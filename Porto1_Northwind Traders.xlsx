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https://d.docs.live.net/e597bb5403a5a90a/Desktop/Project/PortoGithub/"/>
    </mc:Choice>
  </mc:AlternateContent>
  <xr:revisionPtr revIDLastSave="15" documentId="11_F25DC773A252ABDACC104832C9987A765ADE58EC" xr6:coauthVersionLast="47" xr6:coauthVersionMax="47" xr10:uidLastSave="{5A9907C0-E52A-4FF0-9514-0672E38439EA}"/>
  <bookViews>
    <workbookView xWindow="-108" yWindow="-108" windowWidth="23256" windowHeight="12456" firstSheet="3" activeTab="10" xr2:uid="{00000000-000D-0000-FFFF-FFFF00000000}"/>
  </bookViews>
  <sheets>
    <sheet name="shippers" sheetId="8" r:id="rId1"/>
    <sheet name="products" sheetId="7" r:id="rId2"/>
    <sheet name="employees" sheetId="4" r:id="rId3"/>
    <sheet name="categories" sheetId="2" r:id="rId4"/>
    <sheet name="customers" sheetId="9" r:id="rId5"/>
    <sheet name="orders" sheetId="6" r:id="rId6"/>
    <sheet name="order_details" sheetId="5" r:id="rId7"/>
    <sheet name="Analysis" sheetId="1" r:id="rId8"/>
    <sheet name="Pi" sheetId="11" r:id="rId9"/>
    <sheet name="Insight" sheetId="12" r:id="rId10"/>
    <sheet name="Dashboard" sheetId="13" r:id="rId11"/>
  </sheets>
  <definedNames>
    <definedName name="_xlcn.WorksheetConnection_Porto1.xlsxorder_details1" hidden="1">order_details[]</definedName>
    <definedName name="_xlcn.WorksheetConnection_Porto1.xlsxorders1" hidden="1">orders[]</definedName>
    <definedName name="ExternalData_1" localSheetId="3" hidden="1">'categories'!$A$1:$C$9</definedName>
    <definedName name="ExternalData_2" localSheetId="4" hidden="1">customers!$A$1:$F$92</definedName>
    <definedName name="ExternalData_3" localSheetId="2" hidden="1">employees!$A$1:$F$10</definedName>
    <definedName name="ExternalData_4" localSheetId="6" hidden="1">order_details!$A$1:$E$2156</definedName>
    <definedName name="ExternalData_5" localSheetId="5" hidden="1">orders!$A$1:$H$831</definedName>
    <definedName name="ExternalData_6" localSheetId="1" hidden="1">products!$A$1:$F$78</definedName>
    <definedName name="ExternalData_7" localSheetId="0" hidden="1">shippers!$A$1:$B$4</definedName>
    <definedName name="Slicer_Year">#N/A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Porto1.xlsx!orders"/>
          <x15:modelTable id="order_details" name="order_details" connection="WorksheetConnection_Porto1.xlsx!order_detail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1" l="1"/>
  <c r="M2" i="1" s="1"/>
  <c r="B3" i="1"/>
  <c r="M3" i="1" s="1"/>
  <c r="B4" i="1"/>
  <c r="M4" i="1" s="1"/>
  <c r="B5" i="1"/>
  <c r="B6" i="1"/>
  <c r="M6" i="1" s="1"/>
  <c r="B7" i="1"/>
  <c r="M7" i="1" s="1"/>
  <c r="B8" i="1"/>
  <c r="M8" i="1" s="1"/>
  <c r="B9" i="1"/>
  <c r="M9" i="1" s="1"/>
  <c r="B10" i="1"/>
  <c r="M10" i="1" s="1"/>
  <c r="B11" i="1"/>
  <c r="M11" i="1" s="1"/>
  <c r="B12" i="1"/>
  <c r="M12" i="1" s="1"/>
  <c r="B13" i="1"/>
  <c r="M13" i="1" s="1"/>
  <c r="B14" i="1"/>
  <c r="M14" i="1" s="1"/>
  <c r="B15" i="1"/>
  <c r="M15" i="1" s="1"/>
  <c r="B16" i="1"/>
  <c r="M16" i="1" s="1"/>
  <c r="B17" i="1"/>
  <c r="M17" i="1" s="1"/>
  <c r="B18" i="1"/>
  <c r="M18" i="1" s="1"/>
  <c r="B19" i="1"/>
  <c r="M19" i="1" s="1"/>
  <c r="B20" i="1"/>
  <c r="M20" i="1" s="1"/>
  <c r="B21" i="1"/>
  <c r="M21" i="1" s="1"/>
  <c r="B22" i="1"/>
  <c r="M22" i="1" s="1"/>
  <c r="B23" i="1"/>
  <c r="M23" i="1" s="1"/>
  <c r="B24" i="1"/>
  <c r="M24" i="1" s="1"/>
  <c r="B25" i="1"/>
  <c r="M25" i="1" s="1"/>
  <c r="B26" i="1"/>
  <c r="M26" i="1" s="1"/>
  <c r="B27" i="1"/>
  <c r="M27" i="1" s="1"/>
  <c r="B28" i="1"/>
  <c r="M28" i="1" s="1"/>
  <c r="B29" i="1"/>
  <c r="M29" i="1" s="1"/>
  <c r="B30" i="1"/>
  <c r="M30" i="1" s="1"/>
  <c r="B31" i="1"/>
  <c r="M31" i="1" s="1"/>
  <c r="B32" i="1"/>
  <c r="M32" i="1" s="1"/>
  <c r="B33" i="1"/>
  <c r="M33" i="1" s="1"/>
  <c r="B34" i="1"/>
  <c r="M34" i="1" s="1"/>
  <c r="B35" i="1"/>
  <c r="M35" i="1" s="1"/>
  <c r="B36" i="1"/>
  <c r="M36" i="1" s="1"/>
  <c r="B37" i="1"/>
  <c r="M37" i="1" s="1"/>
  <c r="B38" i="1"/>
  <c r="M38" i="1" s="1"/>
  <c r="B39" i="1"/>
  <c r="M39" i="1" s="1"/>
  <c r="B40" i="1"/>
  <c r="M40" i="1" s="1"/>
  <c r="B41" i="1"/>
  <c r="M41" i="1" s="1"/>
  <c r="B42" i="1"/>
  <c r="M42" i="1" s="1"/>
  <c r="B43" i="1"/>
  <c r="M43" i="1" s="1"/>
  <c r="B44" i="1"/>
  <c r="M44" i="1" s="1"/>
  <c r="B45" i="1"/>
  <c r="M45" i="1" s="1"/>
  <c r="B46" i="1"/>
  <c r="M46" i="1" s="1"/>
  <c r="B47" i="1"/>
  <c r="M47" i="1" s="1"/>
  <c r="B48" i="1"/>
  <c r="M48" i="1" s="1"/>
  <c r="B49" i="1"/>
  <c r="M49" i="1" s="1"/>
  <c r="B50" i="1"/>
  <c r="M50" i="1" s="1"/>
  <c r="B51" i="1"/>
  <c r="M51" i="1" s="1"/>
  <c r="B52" i="1"/>
  <c r="M52" i="1" s="1"/>
  <c r="B53" i="1"/>
  <c r="M53" i="1" s="1"/>
  <c r="B54" i="1"/>
  <c r="M54" i="1" s="1"/>
  <c r="B55" i="1"/>
  <c r="M55" i="1" s="1"/>
  <c r="B56" i="1"/>
  <c r="M56" i="1" s="1"/>
  <c r="B57" i="1"/>
  <c r="M57" i="1" s="1"/>
  <c r="B58" i="1"/>
  <c r="M58" i="1" s="1"/>
  <c r="B59" i="1"/>
  <c r="M59" i="1" s="1"/>
  <c r="B60" i="1"/>
  <c r="M60" i="1" s="1"/>
  <c r="B61" i="1"/>
  <c r="M61" i="1" s="1"/>
  <c r="B62" i="1"/>
  <c r="M62" i="1" s="1"/>
  <c r="B63" i="1"/>
  <c r="M63" i="1" s="1"/>
  <c r="B64" i="1"/>
  <c r="M64" i="1" s="1"/>
  <c r="B65" i="1"/>
  <c r="M65" i="1" s="1"/>
  <c r="B66" i="1"/>
  <c r="M66" i="1" s="1"/>
  <c r="B67" i="1"/>
  <c r="M67" i="1" s="1"/>
  <c r="B68" i="1"/>
  <c r="M68" i="1" s="1"/>
  <c r="B69" i="1"/>
  <c r="M69" i="1" s="1"/>
  <c r="B70" i="1"/>
  <c r="M70" i="1" s="1"/>
  <c r="B71" i="1"/>
  <c r="M71" i="1" s="1"/>
  <c r="B72" i="1"/>
  <c r="M72" i="1" s="1"/>
  <c r="B73" i="1"/>
  <c r="M73" i="1" s="1"/>
  <c r="B74" i="1"/>
  <c r="M74" i="1" s="1"/>
  <c r="B75" i="1"/>
  <c r="M75" i="1" s="1"/>
  <c r="B76" i="1"/>
  <c r="M76" i="1" s="1"/>
  <c r="B77" i="1"/>
  <c r="M77" i="1" s="1"/>
  <c r="B78" i="1"/>
  <c r="M78" i="1" s="1"/>
  <c r="B79" i="1"/>
  <c r="M79" i="1" s="1"/>
  <c r="B80" i="1"/>
  <c r="M80" i="1" s="1"/>
  <c r="B81" i="1"/>
  <c r="M81" i="1" s="1"/>
  <c r="B82" i="1"/>
  <c r="M82" i="1" s="1"/>
  <c r="B83" i="1"/>
  <c r="M83" i="1" s="1"/>
  <c r="B84" i="1"/>
  <c r="M84" i="1" s="1"/>
  <c r="B85" i="1"/>
  <c r="M85" i="1" s="1"/>
  <c r="B86" i="1"/>
  <c r="M86" i="1" s="1"/>
  <c r="B87" i="1"/>
  <c r="B88" i="1"/>
  <c r="M88" i="1" s="1"/>
  <c r="B89" i="1"/>
  <c r="M89" i="1" s="1"/>
  <c r="B90" i="1"/>
  <c r="M90" i="1" s="1"/>
  <c r="B91" i="1"/>
  <c r="M91" i="1" s="1"/>
  <c r="B92" i="1"/>
  <c r="M92" i="1" s="1"/>
  <c r="B93" i="1"/>
  <c r="M93" i="1" s="1"/>
  <c r="B94" i="1"/>
  <c r="M94" i="1" s="1"/>
  <c r="B95" i="1"/>
  <c r="M95" i="1" s="1"/>
  <c r="B96" i="1"/>
  <c r="M96" i="1" s="1"/>
  <c r="B97" i="1"/>
  <c r="M97" i="1" s="1"/>
  <c r="B98" i="1"/>
  <c r="M98" i="1" s="1"/>
  <c r="B99" i="1"/>
  <c r="M99" i="1" s="1"/>
  <c r="B100" i="1"/>
  <c r="M100" i="1" s="1"/>
  <c r="B101" i="1"/>
  <c r="M101" i="1" s="1"/>
  <c r="B102" i="1"/>
  <c r="M102" i="1" s="1"/>
  <c r="B103" i="1"/>
  <c r="M103" i="1" s="1"/>
  <c r="B104" i="1"/>
  <c r="M104" i="1" s="1"/>
  <c r="B105" i="1"/>
  <c r="M105" i="1" s="1"/>
  <c r="B106" i="1"/>
  <c r="M106" i="1" s="1"/>
  <c r="B107" i="1"/>
  <c r="M107" i="1" s="1"/>
  <c r="B108" i="1"/>
  <c r="M108" i="1" s="1"/>
  <c r="B109" i="1"/>
  <c r="M109" i="1" s="1"/>
  <c r="B110" i="1"/>
  <c r="M110" i="1" s="1"/>
  <c r="B111" i="1"/>
  <c r="M111" i="1" s="1"/>
  <c r="B112" i="1"/>
  <c r="M112" i="1" s="1"/>
  <c r="B113" i="1"/>
  <c r="M113" i="1" s="1"/>
  <c r="B114" i="1"/>
  <c r="M114" i="1" s="1"/>
  <c r="B115" i="1"/>
  <c r="M115" i="1" s="1"/>
  <c r="B116" i="1"/>
  <c r="M116" i="1" s="1"/>
  <c r="B117" i="1"/>
  <c r="M117" i="1" s="1"/>
  <c r="B118" i="1"/>
  <c r="M118" i="1" s="1"/>
  <c r="B119" i="1"/>
  <c r="M119" i="1" s="1"/>
  <c r="B120" i="1"/>
  <c r="M120" i="1" s="1"/>
  <c r="B121" i="1"/>
  <c r="M121" i="1" s="1"/>
  <c r="B122" i="1"/>
  <c r="M122" i="1" s="1"/>
  <c r="B123" i="1"/>
  <c r="M123" i="1" s="1"/>
  <c r="B124" i="1"/>
  <c r="M124" i="1" s="1"/>
  <c r="B125" i="1"/>
  <c r="M125" i="1" s="1"/>
  <c r="B126" i="1"/>
  <c r="M126" i="1" s="1"/>
  <c r="B127" i="1"/>
  <c r="M127" i="1" s="1"/>
  <c r="B128" i="1"/>
  <c r="M128" i="1" s="1"/>
  <c r="B129" i="1"/>
  <c r="M129" i="1" s="1"/>
  <c r="B130" i="1"/>
  <c r="M130" i="1" s="1"/>
  <c r="B131" i="1"/>
  <c r="M131" i="1" s="1"/>
  <c r="B132" i="1"/>
  <c r="M132" i="1" s="1"/>
  <c r="B133" i="1"/>
  <c r="M133" i="1" s="1"/>
  <c r="B134" i="1"/>
  <c r="M134" i="1" s="1"/>
  <c r="B135" i="1"/>
  <c r="M135" i="1" s="1"/>
  <c r="B136" i="1"/>
  <c r="M136" i="1" s="1"/>
  <c r="B137" i="1"/>
  <c r="M137" i="1" s="1"/>
  <c r="B138" i="1"/>
  <c r="M138" i="1" s="1"/>
  <c r="B139" i="1"/>
  <c r="M139" i="1" s="1"/>
  <c r="B140" i="1"/>
  <c r="M140" i="1" s="1"/>
  <c r="B141" i="1"/>
  <c r="M141" i="1" s="1"/>
  <c r="B142" i="1"/>
  <c r="M142" i="1" s="1"/>
  <c r="B143" i="1"/>
  <c r="M143" i="1" s="1"/>
  <c r="B144" i="1"/>
  <c r="M144" i="1" s="1"/>
  <c r="B145" i="1"/>
  <c r="M145" i="1" s="1"/>
  <c r="B146" i="1"/>
  <c r="M146" i="1" s="1"/>
  <c r="B147" i="1"/>
  <c r="M147" i="1" s="1"/>
  <c r="B148" i="1"/>
  <c r="M148" i="1" s="1"/>
  <c r="B149" i="1"/>
  <c r="M149" i="1" s="1"/>
  <c r="B150" i="1"/>
  <c r="M150" i="1" s="1"/>
  <c r="B151" i="1"/>
  <c r="M151" i="1" s="1"/>
  <c r="B152" i="1"/>
  <c r="M152" i="1" s="1"/>
  <c r="B153" i="1"/>
  <c r="M153" i="1" s="1"/>
  <c r="B154" i="1"/>
  <c r="M154" i="1" s="1"/>
  <c r="B155" i="1"/>
  <c r="M155" i="1" s="1"/>
  <c r="B156" i="1"/>
  <c r="M156" i="1" s="1"/>
  <c r="B157" i="1"/>
  <c r="M157" i="1" s="1"/>
  <c r="B158" i="1"/>
  <c r="M158" i="1" s="1"/>
  <c r="B159" i="1"/>
  <c r="M159" i="1" s="1"/>
  <c r="B160" i="1"/>
  <c r="M160" i="1" s="1"/>
  <c r="B161" i="1"/>
  <c r="M161" i="1" s="1"/>
  <c r="B162" i="1"/>
  <c r="M162" i="1" s="1"/>
  <c r="B163" i="1"/>
  <c r="M163" i="1" s="1"/>
  <c r="B164" i="1"/>
  <c r="M164" i="1" s="1"/>
  <c r="B165" i="1"/>
  <c r="M165" i="1" s="1"/>
  <c r="B166" i="1"/>
  <c r="M166" i="1" s="1"/>
  <c r="B167" i="1"/>
  <c r="M167" i="1" s="1"/>
  <c r="B168" i="1"/>
  <c r="M168" i="1" s="1"/>
  <c r="B169" i="1"/>
  <c r="M169" i="1" s="1"/>
  <c r="B170" i="1"/>
  <c r="M170" i="1" s="1"/>
  <c r="B171" i="1"/>
  <c r="M171" i="1" s="1"/>
  <c r="B172" i="1"/>
  <c r="M172" i="1" s="1"/>
  <c r="B173" i="1"/>
  <c r="M173" i="1" s="1"/>
  <c r="B174" i="1"/>
  <c r="B175" i="1"/>
  <c r="M175" i="1" s="1"/>
  <c r="B176" i="1"/>
  <c r="M176" i="1" s="1"/>
  <c r="B177" i="1"/>
  <c r="M177" i="1" s="1"/>
  <c r="B178" i="1"/>
  <c r="M178" i="1" s="1"/>
  <c r="B179" i="1"/>
  <c r="M179" i="1" s="1"/>
  <c r="B180" i="1"/>
  <c r="M180" i="1" s="1"/>
  <c r="B181" i="1"/>
  <c r="M181" i="1" s="1"/>
  <c r="B182" i="1"/>
  <c r="M182" i="1" s="1"/>
  <c r="B183" i="1"/>
  <c r="M183" i="1" s="1"/>
  <c r="B184" i="1"/>
  <c r="M184" i="1" s="1"/>
  <c r="B185" i="1"/>
  <c r="M185" i="1" s="1"/>
  <c r="B186" i="1"/>
  <c r="M186" i="1" s="1"/>
  <c r="B187" i="1"/>
  <c r="M187" i="1" s="1"/>
  <c r="B188" i="1"/>
  <c r="M188" i="1" s="1"/>
  <c r="B189" i="1"/>
  <c r="M189" i="1" s="1"/>
  <c r="B190" i="1"/>
  <c r="M190" i="1" s="1"/>
  <c r="B191" i="1"/>
  <c r="M191" i="1" s="1"/>
  <c r="B192" i="1"/>
  <c r="M192" i="1" s="1"/>
  <c r="B193" i="1"/>
  <c r="M193" i="1" s="1"/>
  <c r="B194" i="1"/>
  <c r="M194" i="1" s="1"/>
  <c r="B195" i="1"/>
  <c r="M195" i="1" s="1"/>
  <c r="B196" i="1"/>
  <c r="M196" i="1" s="1"/>
  <c r="B197" i="1"/>
  <c r="M197" i="1" s="1"/>
  <c r="B198" i="1"/>
  <c r="M198" i="1" s="1"/>
  <c r="B199" i="1"/>
  <c r="M199" i="1" s="1"/>
  <c r="B200" i="1"/>
  <c r="M200" i="1" s="1"/>
  <c r="B201" i="1"/>
  <c r="M201" i="1" s="1"/>
  <c r="B202" i="1"/>
  <c r="M202" i="1" s="1"/>
  <c r="B203" i="1"/>
  <c r="M203" i="1" s="1"/>
  <c r="B204" i="1"/>
  <c r="M204" i="1" s="1"/>
  <c r="B205" i="1"/>
  <c r="M205" i="1" s="1"/>
  <c r="B206" i="1"/>
  <c r="M206" i="1" s="1"/>
  <c r="B207" i="1"/>
  <c r="M207" i="1" s="1"/>
  <c r="B208" i="1"/>
  <c r="M208" i="1" s="1"/>
  <c r="B209" i="1"/>
  <c r="M209" i="1" s="1"/>
  <c r="B210" i="1"/>
  <c r="M210" i="1" s="1"/>
  <c r="B211" i="1"/>
  <c r="M211" i="1" s="1"/>
  <c r="B212" i="1"/>
  <c r="M212" i="1" s="1"/>
  <c r="B213" i="1"/>
  <c r="M213" i="1" s="1"/>
  <c r="B214" i="1"/>
  <c r="M214" i="1" s="1"/>
  <c r="B215" i="1"/>
  <c r="M215" i="1" s="1"/>
  <c r="B216" i="1"/>
  <c r="M216" i="1" s="1"/>
  <c r="B217" i="1"/>
  <c r="M217" i="1" s="1"/>
  <c r="B218" i="1"/>
  <c r="M218" i="1" s="1"/>
  <c r="B219" i="1"/>
  <c r="M219" i="1" s="1"/>
  <c r="B220" i="1"/>
  <c r="M220" i="1" s="1"/>
  <c r="B221" i="1"/>
  <c r="M221" i="1" s="1"/>
  <c r="B222" i="1"/>
  <c r="M222" i="1" s="1"/>
  <c r="B223" i="1"/>
  <c r="M223" i="1" s="1"/>
  <c r="B224" i="1"/>
  <c r="M224" i="1" s="1"/>
  <c r="B225" i="1"/>
  <c r="M225" i="1" s="1"/>
  <c r="B226" i="1"/>
  <c r="M226" i="1" s="1"/>
  <c r="B227" i="1"/>
  <c r="M227" i="1" s="1"/>
  <c r="B228" i="1"/>
  <c r="M228" i="1" s="1"/>
  <c r="B229" i="1"/>
  <c r="M229" i="1" s="1"/>
  <c r="B230" i="1"/>
  <c r="M230" i="1" s="1"/>
  <c r="B231" i="1"/>
  <c r="M231" i="1" s="1"/>
  <c r="B232" i="1"/>
  <c r="M232" i="1" s="1"/>
  <c r="B233" i="1"/>
  <c r="M233" i="1" s="1"/>
  <c r="B234" i="1"/>
  <c r="M234" i="1" s="1"/>
  <c r="B235" i="1"/>
  <c r="M235" i="1" s="1"/>
  <c r="B236" i="1"/>
  <c r="M236" i="1" s="1"/>
  <c r="B237" i="1"/>
  <c r="M237" i="1" s="1"/>
  <c r="B238" i="1"/>
  <c r="M238" i="1" s="1"/>
  <c r="B239" i="1"/>
  <c r="M239" i="1" s="1"/>
  <c r="B240" i="1"/>
  <c r="M240" i="1" s="1"/>
  <c r="B241" i="1"/>
  <c r="M241" i="1" s="1"/>
  <c r="B242" i="1"/>
  <c r="M242" i="1" s="1"/>
  <c r="B243" i="1"/>
  <c r="M243" i="1" s="1"/>
  <c r="B244" i="1"/>
  <c r="M244" i="1" s="1"/>
  <c r="B245" i="1"/>
  <c r="M245" i="1" s="1"/>
  <c r="B246" i="1"/>
  <c r="M246" i="1" s="1"/>
  <c r="B247" i="1"/>
  <c r="M247" i="1" s="1"/>
  <c r="B248" i="1"/>
  <c r="M248" i="1" s="1"/>
  <c r="B249" i="1"/>
  <c r="M249" i="1" s="1"/>
  <c r="B250" i="1"/>
  <c r="M250" i="1" s="1"/>
  <c r="B251" i="1"/>
  <c r="M251" i="1" s="1"/>
  <c r="B252" i="1"/>
  <c r="M252" i="1" s="1"/>
  <c r="B253" i="1"/>
  <c r="M253" i="1" s="1"/>
  <c r="B254" i="1"/>
  <c r="M254" i="1" s="1"/>
  <c r="B255" i="1"/>
  <c r="B256" i="1"/>
  <c r="M256" i="1" s="1"/>
  <c r="B257" i="1"/>
  <c r="M257" i="1" s="1"/>
  <c r="B258" i="1"/>
  <c r="M258" i="1" s="1"/>
  <c r="B259" i="1"/>
  <c r="M259" i="1" s="1"/>
  <c r="B260" i="1"/>
  <c r="M260" i="1" s="1"/>
  <c r="B261" i="1"/>
  <c r="M261" i="1" s="1"/>
  <c r="B262" i="1"/>
  <c r="M262" i="1" s="1"/>
  <c r="B263" i="1"/>
  <c r="M263" i="1" s="1"/>
  <c r="B264" i="1"/>
  <c r="M264" i="1" s="1"/>
  <c r="B265" i="1"/>
  <c r="M265" i="1" s="1"/>
  <c r="B266" i="1"/>
  <c r="M266" i="1" s="1"/>
  <c r="B267" i="1"/>
  <c r="M267" i="1" s="1"/>
  <c r="B268" i="1"/>
  <c r="M268" i="1" s="1"/>
  <c r="B269" i="1"/>
  <c r="M269" i="1" s="1"/>
  <c r="B270" i="1"/>
  <c r="M270" i="1" s="1"/>
  <c r="B271" i="1"/>
  <c r="M271" i="1" s="1"/>
  <c r="B272" i="1"/>
  <c r="M272" i="1" s="1"/>
  <c r="B273" i="1"/>
  <c r="M273" i="1" s="1"/>
  <c r="B274" i="1"/>
  <c r="M274" i="1" s="1"/>
  <c r="B275" i="1"/>
  <c r="M275" i="1" s="1"/>
  <c r="B276" i="1"/>
  <c r="M276" i="1" s="1"/>
  <c r="B277" i="1"/>
  <c r="M277" i="1" s="1"/>
  <c r="B278" i="1"/>
  <c r="M278" i="1" s="1"/>
  <c r="B279" i="1"/>
  <c r="M279" i="1" s="1"/>
  <c r="B280" i="1"/>
  <c r="M280" i="1" s="1"/>
  <c r="B281" i="1"/>
  <c r="M281" i="1" s="1"/>
  <c r="B282" i="1"/>
  <c r="M282" i="1" s="1"/>
  <c r="B283" i="1"/>
  <c r="M283" i="1" s="1"/>
  <c r="B284" i="1"/>
  <c r="M284" i="1" s="1"/>
  <c r="B285" i="1"/>
  <c r="M285" i="1" s="1"/>
  <c r="B286" i="1"/>
  <c r="M286" i="1" s="1"/>
  <c r="B287" i="1"/>
  <c r="M287" i="1" s="1"/>
  <c r="B288" i="1"/>
  <c r="M288" i="1" s="1"/>
  <c r="B289" i="1"/>
  <c r="M289" i="1" s="1"/>
  <c r="B290" i="1"/>
  <c r="M290" i="1" s="1"/>
  <c r="B291" i="1"/>
  <c r="M291" i="1" s="1"/>
  <c r="B292" i="1"/>
  <c r="M292" i="1" s="1"/>
  <c r="B293" i="1"/>
  <c r="M293" i="1" s="1"/>
  <c r="B294" i="1"/>
  <c r="M294" i="1" s="1"/>
  <c r="B295" i="1"/>
  <c r="M295" i="1" s="1"/>
  <c r="B296" i="1"/>
  <c r="M296" i="1" s="1"/>
  <c r="B297" i="1"/>
  <c r="M297" i="1" s="1"/>
  <c r="B298" i="1"/>
  <c r="M298" i="1" s="1"/>
  <c r="B299" i="1"/>
  <c r="M299" i="1" s="1"/>
  <c r="B300" i="1"/>
  <c r="M300" i="1" s="1"/>
  <c r="B301" i="1"/>
  <c r="M301" i="1" s="1"/>
  <c r="B302" i="1"/>
  <c r="B303" i="1"/>
  <c r="M303" i="1" s="1"/>
  <c r="B304" i="1"/>
  <c r="M304" i="1" s="1"/>
  <c r="B305" i="1"/>
  <c r="M305" i="1" s="1"/>
  <c r="B306" i="1"/>
  <c r="M306" i="1" s="1"/>
  <c r="B307" i="1"/>
  <c r="M307" i="1" s="1"/>
  <c r="B308" i="1"/>
  <c r="M308" i="1" s="1"/>
  <c r="B309" i="1"/>
  <c r="M309" i="1" s="1"/>
  <c r="B310" i="1"/>
  <c r="M310" i="1" s="1"/>
  <c r="B311" i="1"/>
  <c r="M311" i="1" s="1"/>
  <c r="B312" i="1"/>
  <c r="M312" i="1" s="1"/>
  <c r="B313" i="1"/>
  <c r="M313" i="1" s="1"/>
  <c r="B314" i="1"/>
  <c r="M314" i="1" s="1"/>
  <c r="B315" i="1"/>
  <c r="M315" i="1" s="1"/>
  <c r="B316" i="1"/>
  <c r="M316" i="1" s="1"/>
  <c r="B317" i="1"/>
  <c r="M317" i="1" s="1"/>
  <c r="B318" i="1"/>
  <c r="M318" i="1" s="1"/>
  <c r="B319" i="1"/>
  <c r="M319" i="1" s="1"/>
  <c r="B320" i="1"/>
  <c r="M320" i="1" s="1"/>
  <c r="B321" i="1"/>
  <c r="M321" i="1" s="1"/>
  <c r="B322" i="1"/>
  <c r="M322" i="1" s="1"/>
  <c r="B323" i="1"/>
  <c r="M323" i="1" s="1"/>
  <c r="B324" i="1"/>
  <c r="M324" i="1" s="1"/>
  <c r="B325" i="1"/>
  <c r="M325" i="1" s="1"/>
  <c r="B326" i="1"/>
  <c r="M326" i="1" s="1"/>
  <c r="B327" i="1"/>
  <c r="M327" i="1" s="1"/>
  <c r="B328" i="1"/>
  <c r="M328" i="1" s="1"/>
  <c r="B329" i="1"/>
  <c r="M329" i="1" s="1"/>
  <c r="B330" i="1"/>
  <c r="M330" i="1" s="1"/>
  <c r="B331" i="1"/>
  <c r="M331" i="1" s="1"/>
  <c r="B332" i="1"/>
  <c r="M332" i="1" s="1"/>
  <c r="B333" i="1"/>
  <c r="M333" i="1" s="1"/>
  <c r="B334" i="1"/>
  <c r="M334" i="1" s="1"/>
  <c r="B335" i="1"/>
  <c r="M335" i="1" s="1"/>
  <c r="B336" i="1"/>
  <c r="M336" i="1" s="1"/>
  <c r="B337" i="1"/>
  <c r="M337" i="1" s="1"/>
  <c r="B338" i="1"/>
  <c r="M338" i="1" s="1"/>
  <c r="B339" i="1"/>
  <c r="M339" i="1" s="1"/>
  <c r="B340" i="1"/>
  <c r="M340" i="1" s="1"/>
  <c r="B341" i="1"/>
  <c r="M341" i="1" s="1"/>
  <c r="B342" i="1"/>
  <c r="M342" i="1" s="1"/>
  <c r="B343" i="1"/>
  <c r="M343" i="1" s="1"/>
  <c r="B344" i="1"/>
  <c r="M344" i="1" s="1"/>
  <c r="B345" i="1"/>
  <c r="M345" i="1" s="1"/>
  <c r="B346" i="1"/>
  <c r="M346" i="1" s="1"/>
  <c r="B347" i="1"/>
  <c r="M347" i="1" s="1"/>
  <c r="B348" i="1"/>
  <c r="M348" i="1" s="1"/>
  <c r="B349" i="1"/>
  <c r="M349" i="1" s="1"/>
  <c r="B350" i="1"/>
  <c r="M350" i="1" s="1"/>
  <c r="B351" i="1"/>
  <c r="M351" i="1" s="1"/>
  <c r="B352" i="1"/>
  <c r="M352" i="1" s="1"/>
  <c r="B353" i="1"/>
  <c r="M353" i="1" s="1"/>
  <c r="B354" i="1"/>
  <c r="M354" i="1" s="1"/>
  <c r="B355" i="1"/>
  <c r="M355" i="1" s="1"/>
  <c r="B356" i="1"/>
  <c r="M356" i="1" s="1"/>
  <c r="B357" i="1"/>
  <c r="M357" i="1" s="1"/>
  <c r="B358" i="1"/>
  <c r="M358" i="1" s="1"/>
  <c r="B359" i="1"/>
  <c r="M359" i="1" s="1"/>
  <c r="B360" i="1"/>
  <c r="M360" i="1" s="1"/>
  <c r="B361" i="1"/>
  <c r="M361" i="1" s="1"/>
  <c r="B362" i="1"/>
  <c r="M362" i="1" s="1"/>
  <c r="B363" i="1"/>
  <c r="M363" i="1" s="1"/>
  <c r="B364" i="1"/>
  <c r="M364" i="1" s="1"/>
  <c r="B365" i="1"/>
  <c r="M365" i="1" s="1"/>
  <c r="B366" i="1"/>
  <c r="M366" i="1" s="1"/>
  <c r="B367" i="1"/>
  <c r="M367" i="1" s="1"/>
  <c r="B368" i="1"/>
  <c r="M368" i="1" s="1"/>
  <c r="B369" i="1"/>
  <c r="M369" i="1" s="1"/>
  <c r="B370" i="1"/>
  <c r="M370" i="1" s="1"/>
  <c r="B371" i="1"/>
  <c r="M371" i="1" s="1"/>
  <c r="B372" i="1"/>
  <c r="M372" i="1" s="1"/>
  <c r="B373" i="1"/>
  <c r="M373" i="1" s="1"/>
  <c r="B374" i="1"/>
  <c r="M374" i="1" s="1"/>
  <c r="B375" i="1"/>
  <c r="M375" i="1" s="1"/>
  <c r="B376" i="1"/>
  <c r="M376" i="1" s="1"/>
  <c r="B377" i="1"/>
  <c r="M377" i="1" s="1"/>
  <c r="B378" i="1"/>
  <c r="M378" i="1" s="1"/>
  <c r="B379" i="1"/>
  <c r="M379" i="1" s="1"/>
  <c r="B380" i="1"/>
  <c r="M380" i="1" s="1"/>
  <c r="B381" i="1"/>
  <c r="M381" i="1" s="1"/>
  <c r="B382" i="1"/>
  <c r="B383" i="1"/>
  <c r="M383" i="1" s="1"/>
  <c r="B384" i="1"/>
  <c r="M384" i="1" s="1"/>
  <c r="B385" i="1"/>
  <c r="M385" i="1" s="1"/>
  <c r="B386" i="1"/>
  <c r="M386" i="1" s="1"/>
  <c r="B387" i="1"/>
  <c r="M387" i="1" s="1"/>
  <c r="B388" i="1"/>
  <c r="M388" i="1" s="1"/>
  <c r="B389" i="1"/>
  <c r="M389" i="1" s="1"/>
  <c r="B390" i="1"/>
  <c r="M390" i="1" s="1"/>
  <c r="B391" i="1"/>
  <c r="M391" i="1" s="1"/>
  <c r="B392" i="1"/>
  <c r="M392" i="1" s="1"/>
  <c r="B393" i="1"/>
  <c r="M393" i="1" s="1"/>
  <c r="B394" i="1"/>
  <c r="M394" i="1" s="1"/>
  <c r="B395" i="1"/>
  <c r="M395" i="1" s="1"/>
  <c r="B396" i="1"/>
  <c r="M396" i="1" s="1"/>
  <c r="B397" i="1"/>
  <c r="M397" i="1" s="1"/>
  <c r="B398" i="1"/>
  <c r="M398" i="1" s="1"/>
  <c r="B399" i="1"/>
  <c r="M399" i="1" s="1"/>
  <c r="B400" i="1"/>
  <c r="M400" i="1" s="1"/>
  <c r="B401" i="1"/>
  <c r="M401" i="1" s="1"/>
  <c r="B402" i="1"/>
  <c r="M402" i="1" s="1"/>
  <c r="B403" i="1"/>
  <c r="M403" i="1" s="1"/>
  <c r="B404" i="1"/>
  <c r="M404" i="1" s="1"/>
  <c r="B405" i="1"/>
  <c r="M405" i="1" s="1"/>
  <c r="B406" i="1"/>
  <c r="M406" i="1" s="1"/>
  <c r="B407" i="1"/>
  <c r="M407" i="1" s="1"/>
  <c r="B408" i="1"/>
  <c r="M408" i="1" s="1"/>
  <c r="B409" i="1"/>
  <c r="M409" i="1" s="1"/>
  <c r="B410" i="1"/>
  <c r="M410" i="1" s="1"/>
  <c r="B411" i="1"/>
  <c r="M411" i="1" s="1"/>
  <c r="B412" i="1"/>
  <c r="M412" i="1" s="1"/>
  <c r="B413" i="1"/>
  <c r="M413" i="1" s="1"/>
  <c r="B414" i="1"/>
  <c r="M414" i="1" s="1"/>
  <c r="B415" i="1"/>
  <c r="M415" i="1" s="1"/>
  <c r="B416" i="1"/>
  <c r="M416" i="1" s="1"/>
  <c r="B417" i="1"/>
  <c r="M417" i="1" s="1"/>
  <c r="B418" i="1"/>
  <c r="B419" i="1"/>
  <c r="M419" i="1" s="1"/>
  <c r="B420" i="1"/>
  <c r="M420" i="1" s="1"/>
  <c r="B421" i="1"/>
  <c r="M421" i="1" s="1"/>
  <c r="B422" i="1"/>
  <c r="M422" i="1" s="1"/>
  <c r="B423" i="1"/>
  <c r="M423" i="1" s="1"/>
  <c r="B424" i="1"/>
  <c r="M424" i="1" s="1"/>
  <c r="B425" i="1"/>
  <c r="M425" i="1" s="1"/>
  <c r="B426" i="1"/>
  <c r="M426" i="1" s="1"/>
  <c r="B427" i="1"/>
  <c r="M427" i="1" s="1"/>
  <c r="B428" i="1"/>
  <c r="M428" i="1" s="1"/>
  <c r="B429" i="1"/>
  <c r="M429" i="1" s="1"/>
  <c r="B430" i="1"/>
  <c r="M430" i="1" s="1"/>
  <c r="B431" i="1"/>
  <c r="M431" i="1" s="1"/>
  <c r="B432" i="1"/>
  <c r="M432" i="1" s="1"/>
  <c r="B433" i="1"/>
  <c r="M433" i="1" s="1"/>
  <c r="B434" i="1"/>
  <c r="M434" i="1" s="1"/>
  <c r="B435" i="1"/>
  <c r="M435" i="1" s="1"/>
  <c r="B436" i="1"/>
  <c r="M436" i="1" s="1"/>
  <c r="B437" i="1"/>
  <c r="M437" i="1" s="1"/>
  <c r="B438" i="1"/>
  <c r="M438" i="1" s="1"/>
  <c r="B439" i="1"/>
  <c r="M439" i="1" s="1"/>
  <c r="B440" i="1"/>
  <c r="M440" i="1" s="1"/>
  <c r="B441" i="1"/>
  <c r="M441" i="1" s="1"/>
  <c r="B442" i="1"/>
  <c r="M442" i="1" s="1"/>
  <c r="B443" i="1"/>
  <c r="M443" i="1" s="1"/>
  <c r="B444" i="1"/>
  <c r="M444" i="1" s="1"/>
  <c r="B445" i="1"/>
  <c r="M445" i="1" s="1"/>
  <c r="B446" i="1"/>
  <c r="M446" i="1" s="1"/>
  <c r="B447" i="1"/>
  <c r="M447" i="1" s="1"/>
  <c r="B448" i="1"/>
  <c r="M448" i="1" s="1"/>
  <c r="B449" i="1"/>
  <c r="M449" i="1" s="1"/>
  <c r="B450" i="1"/>
  <c r="B451" i="1"/>
  <c r="M451" i="1" s="1"/>
  <c r="B452" i="1"/>
  <c r="M452" i="1" s="1"/>
  <c r="B453" i="1"/>
  <c r="M453" i="1" s="1"/>
  <c r="B454" i="1"/>
  <c r="M454" i="1" s="1"/>
  <c r="B455" i="1"/>
  <c r="M455" i="1" s="1"/>
  <c r="B456" i="1"/>
  <c r="M456" i="1" s="1"/>
  <c r="B457" i="1"/>
  <c r="M457" i="1" s="1"/>
  <c r="B458" i="1"/>
  <c r="M458" i="1" s="1"/>
  <c r="B459" i="1"/>
  <c r="M459" i="1" s="1"/>
  <c r="B460" i="1"/>
  <c r="M460" i="1" s="1"/>
  <c r="B461" i="1"/>
  <c r="M461" i="1" s="1"/>
  <c r="B462" i="1"/>
  <c r="M462" i="1" s="1"/>
  <c r="B463" i="1"/>
  <c r="M463" i="1" s="1"/>
  <c r="B464" i="1"/>
  <c r="M464" i="1" s="1"/>
  <c r="B465" i="1"/>
  <c r="M465" i="1" s="1"/>
  <c r="B466" i="1"/>
  <c r="M466" i="1" s="1"/>
  <c r="B467" i="1"/>
  <c r="M467" i="1" s="1"/>
  <c r="B468" i="1"/>
  <c r="M468" i="1" s="1"/>
  <c r="B469" i="1"/>
  <c r="M469" i="1" s="1"/>
  <c r="B470" i="1"/>
  <c r="M470" i="1" s="1"/>
  <c r="B471" i="1"/>
  <c r="M471" i="1" s="1"/>
  <c r="B472" i="1"/>
  <c r="M472" i="1" s="1"/>
  <c r="B473" i="1"/>
  <c r="M473" i="1" s="1"/>
  <c r="B474" i="1"/>
  <c r="M474" i="1" s="1"/>
  <c r="B475" i="1"/>
  <c r="M475" i="1" s="1"/>
  <c r="B476" i="1"/>
  <c r="M476" i="1" s="1"/>
  <c r="B477" i="1"/>
  <c r="M477" i="1" s="1"/>
  <c r="B478" i="1"/>
  <c r="M478" i="1" s="1"/>
  <c r="B479" i="1"/>
  <c r="M479" i="1" s="1"/>
  <c r="B480" i="1"/>
  <c r="M480" i="1" s="1"/>
  <c r="B481" i="1"/>
  <c r="M481" i="1" s="1"/>
  <c r="B482" i="1"/>
  <c r="B483" i="1"/>
  <c r="M483" i="1" s="1"/>
  <c r="B484" i="1"/>
  <c r="M484" i="1" s="1"/>
  <c r="B485" i="1"/>
  <c r="M485" i="1" s="1"/>
  <c r="B486" i="1"/>
  <c r="M486" i="1" s="1"/>
  <c r="B487" i="1"/>
  <c r="M487" i="1" s="1"/>
  <c r="B488" i="1"/>
  <c r="M488" i="1" s="1"/>
  <c r="B489" i="1"/>
  <c r="M489" i="1" s="1"/>
  <c r="B490" i="1"/>
  <c r="M490" i="1" s="1"/>
  <c r="B491" i="1"/>
  <c r="M491" i="1" s="1"/>
  <c r="B492" i="1"/>
  <c r="M492" i="1" s="1"/>
  <c r="B493" i="1"/>
  <c r="M493" i="1" s="1"/>
  <c r="B494" i="1"/>
  <c r="M494" i="1" s="1"/>
  <c r="B495" i="1"/>
  <c r="M495" i="1" s="1"/>
  <c r="B496" i="1"/>
  <c r="M496" i="1" s="1"/>
  <c r="B497" i="1"/>
  <c r="M497" i="1" s="1"/>
  <c r="B498" i="1"/>
  <c r="M498" i="1" s="1"/>
  <c r="B499" i="1"/>
  <c r="M499" i="1" s="1"/>
  <c r="B500" i="1"/>
  <c r="M500" i="1" s="1"/>
  <c r="B501" i="1"/>
  <c r="M501" i="1" s="1"/>
  <c r="B502" i="1"/>
  <c r="M502" i="1" s="1"/>
  <c r="B503" i="1"/>
  <c r="M503" i="1" s="1"/>
  <c r="B504" i="1"/>
  <c r="M504" i="1" s="1"/>
  <c r="B505" i="1"/>
  <c r="M505" i="1" s="1"/>
  <c r="B506" i="1"/>
  <c r="M506" i="1" s="1"/>
  <c r="B507" i="1"/>
  <c r="M507" i="1" s="1"/>
  <c r="B508" i="1"/>
  <c r="M508" i="1" s="1"/>
  <c r="B509" i="1"/>
  <c r="M509" i="1" s="1"/>
  <c r="B510" i="1"/>
  <c r="M510" i="1" s="1"/>
  <c r="B511" i="1"/>
  <c r="M511" i="1" s="1"/>
  <c r="B512" i="1"/>
  <c r="M512" i="1" s="1"/>
  <c r="B513" i="1"/>
  <c r="M513" i="1" s="1"/>
  <c r="B514" i="1"/>
  <c r="B515" i="1"/>
  <c r="M515" i="1" s="1"/>
  <c r="B516" i="1"/>
  <c r="M516" i="1" s="1"/>
  <c r="B517" i="1"/>
  <c r="M517" i="1" s="1"/>
  <c r="B518" i="1"/>
  <c r="M518" i="1" s="1"/>
  <c r="B519" i="1"/>
  <c r="M519" i="1" s="1"/>
  <c r="B520" i="1"/>
  <c r="M520" i="1" s="1"/>
  <c r="B521" i="1"/>
  <c r="M521" i="1" s="1"/>
  <c r="B522" i="1"/>
  <c r="M522" i="1" s="1"/>
  <c r="B523" i="1"/>
  <c r="M523" i="1" s="1"/>
  <c r="B524" i="1"/>
  <c r="M524" i="1" s="1"/>
  <c r="B525" i="1"/>
  <c r="M525" i="1" s="1"/>
  <c r="B526" i="1"/>
  <c r="M526" i="1" s="1"/>
  <c r="B527" i="1"/>
  <c r="M527" i="1" s="1"/>
  <c r="B528" i="1"/>
  <c r="M528" i="1" s="1"/>
  <c r="B529" i="1"/>
  <c r="M529" i="1" s="1"/>
  <c r="B530" i="1"/>
  <c r="M530" i="1" s="1"/>
  <c r="B531" i="1"/>
  <c r="M531" i="1" s="1"/>
  <c r="B532" i="1"/>
  <c r="M532" i="1" s="1"/>
  <c r="B533" i="1"/>
  <c r="M533" i="1" s="1"/>
  <c r="B534" i="1"/>
  <c r="M534" i="1" s="1"/>
  <c r="B535" i="1"/>
  <c r="M535" i="1" s="1"/>
  <c r="B536" i="1"/>
  <c r="M536" i="1" s="1"/>
  <c r="B537" i="1"/>
  <c r="M537" i="1" s="1"/>
  <c r="B538" i="1"/>
  <c r="M538" i="1" s="1"/>
  <c r="B539" i="1"/>
  <c r="M539" i="1" s="1"/>
  <c r="B540" i="1"/>
  <c r="M540" i="1" s="1"/>
  <c r="B541" i="1"/>
  <c r="M541" i="1" s="1"/>
  <c r="B542" i="1"/>
  <c r="M542" i="1" s="1"/>
  <c r="B543" i="1"/>
  <c r="M543" i="1" s="1"/>
  <c r="B544" i="1"/>
  <c r="M544" i="1" s="1"/>
  <c r="B545" i="1"/>
  <c r="M545" i="1" s="1"/>
  <c r="B546" i="1"/>
  <c r="B547" i="1"/>
  <c r="M547" i="1" s="1"/>
  <c r="B548" i="1"/>
  <c r="M548" i="1" s="1"/>
  <c r="B549" i="1"/>
  <c r="M549" i="1" s="1"/>
  <c r="B550" i="1"/>
  <c r="M550" i="1" s="1"/>
  <c r="B551" i="1"/>
  <c r="M551" i="1" s="1"/>
  <c r="B552" i="1"/>
  <c r="M552" i="1" s="1"/>
  <c r="B553" i="1"/>
  <c r="M553" i="1" s="1"/>
  <c r="B554" i="1"/>
  <c r="M554" i="1" s="1"/>
  <c r="B555" i="1"/>
  <c r="M555" i="1" s="1"/>
  <c r="B556" i="1"/>
  <c r="M556" i="1" s="1"/>
  <c r="B557" i="1"/>
  <c r="M557" i="1" s="1"/>
  <c r="B558" i="1"/>
  <c r="M558" i="1" s="1"/>
  <c r="B559" i="1"/>
  <c r="M559" i="1" s="1"/>
  <c r="B560" i="1"/>
  <c r="M560" i="1" s="1"/>
  <c r="B561" i="1"/>
  <c r="M561" i="1" s="1"/>
  <c r="B562" i="1"/>
  <c r="M562" i="1" s="1"/>
  <c r="B563" i="1"/>
  <c r="M563" i="1" s="1"/>
  <c r="B564" i="1"/>
  <c r="M564" i="1" s="1"/>
  <c r="B565" i="1"/>
  <c r="M565" i="1" s="1"/>
  <c r="B566" i="1"/>
  <c r="M566" i="1" s="1"/>
  <c r="B567" i="1"/>
  <c r="M567" i="1" s="1"/>
  <c r="B568" i="1"/>
  <c r="M568" i="1" s="1"/>
  <c r="B569" i="1"/>
  <c r="M569" i="1" s="1"/>
  <c r="B570" i="1"/>
  <c r="M570" i="1" s="1"/>
  <c r="B571" i="1"/>
  <c r="M571" i="1" s="1"/>
  <c r="B572" i="1"/>
  <c r="M572" i="1" s="1"/>
  <c r="B573" i="1"/>
  <c r="M573" i="1" s="1"/>
  <c r="B574" i="1"/>
  <c r="M574" i="1" s="1"/>
  <c r="B575" i="1"/>
  <c r="M575" i="1" s="1"/>
  <c r="B576" i="1"/>
  <c r="M576" i="1" s="1"/>
  <c r="B577" i="1"/>
  <c r="M577" i="1" s="1"/>
  <c r="B578" i="1"/>
  <c r="B579" i="1"/>
  <c r="M579" i="1" s="1"/>
  <c r="B580" i="1"/>
  <c r="M580" i="1" s="1"/>
  <c r="B581" i="1"/>
  <c r="M581" i="1" s="1"/>
  <c r="B582" i="1"/>
  <c r="M582" i="1" s="1"/>
  <c r="B583" i="1"/>
  <c r="M583" i="1" s="1"/>
  <c r="B584" i="1"/>
  <c r="M584" i="1" s="1"/>
  <c r="B585" i="1"/>
  <c r="M585" i="1" s="1"/>
  <c r="B586" i="1"/>
  <c r="M586" i="1" s="1"/>
  <c r="B587" i="1"/>
  <c r="M587" i="1" s="1"/>
  <c r="B588" i="1"/>
  <c r="M588" i="1" s="1"/>
  <c r="B589" i="1"/>
  <c r="M589" i="1" s="1"/>
  <c r="B590" i="1"/>
  <c r="M590" i="1" s="1"/>
  <c r="B591" i="1"/>
  <c r="M591" i="1" s="1"/>
  <c r="B592" i="1"/>
  <c r="M592" i="1" s="1"/>
  <c r="B593" i="1"/>
  <c r="M593" i="1" s="1"/>
  <c r="B594" i="1"/>
  <c r="M594" i="1" s="1"/>
  <c r="B595" i="1"/>
  <c r="M595" i="1" s="1"/>
  <c r="B596" i="1"/>
  <c r="M596" i="1" s="1"/>
  <c r="B597" i="1"/>
  <c r="M597" i="1" s="1"/>
  <c r="B598" i="1"/>
  <c r="M598" i="1" s="1"/>
  <c r="B599" i="1"/>
  <c r="M599" i="1" s="1"/>
  <c r="B600" i="1"/>
  <c r="M600" i="1" s="1"/>
  <c r="B601" i="1"/>
  <c r="M601" i="1" s="1"/>
  <c r="B602" i="1"/>
  <c r="M602" i="1" s="1"/>
  <c r="B603" i="1"/>
  <c r="M603" i="1" s="1"/>
  <c r="B604" i="1"/>
  <c r="M604" i="1" s="1"/>
  <c r="B605" i="1"/>
  <c r="M605" i="1" s="1"/>
  <c r="B606" i="1"/>
  <c r="M606" i="1" s="1"/>
  <c r="B607" i="1"/>
  <c r="M607" i="1" s="1"/>
  <c r="B608" i="1"/>
  <c r="M608" i="1" s="1"/>
  <c r="B609" i="1"/>
  <c r="M609" i="1" s="1"/>
  <c r="B610" i="1"/>
  <c r="B611" i="1"/>
  <c r="M611" i="1" s="1"/>
  <c r="B612" i="1"/>
  <c r="M612" i="1" s="1"/>
  <c r="B613" i="1"/>
  <c r="M613" i="1" s="1"/>
  <c r="B614" i="1"/>
  <c r="M614" i="1" s="1"/>
  <c r="B615" i="1"/>
  <c r="M615" i="1" s="1"/>
  <c r="B616" i="1"/>
  <c r="M616" i="1" s="1"/>
  <c r="B617" i="1"/>
  <c r="M617" i="1" s="1"/>
  <c r="B618" i="1"/>
  <c r="M618" i="1" s="1"/>
  <c r="B619" i="1"/>
  <c r="M619" i="1" s="1"/>
  <c r="B620" i="1"/>
  <c r="M620" i="1" s="1"/>
  <c r="B621" i="1"/>
  <c r="M621" i="1" s="1"/>
  <c r="B622" i="1"/>
  <c r="M622" i="1" s="1"/>
  <c r="B623" i="1"/>
  <c r="M623" i="1" s="1"/>
  <c r="B624" i="1"/>
  <c r="M624" i="1" s="1"/>
  <c r="B625" i="1"/>
  <c r="M625" i="1" s="1"/>
  <c r="B626" i="1"/>
  <c r="M626" i="1" s="1"/>
  <c r="B627" i="1"/>
  <c r="M627" i="1" s="1"/>
  <c r="B628" i="1"/>
  <c r="M628" i="1" s="1"/>
  <c r="B629" i="1"/>
  <c r="M629" i="1" s="1"/>
  <c r="B630" i="1"/>
  <c r="M630" i="1" s="1"/>
  <c r="B631" i="1"/>
  <c r="M631" i="1" s="1"/>
  <c r="B632" i="1"/>
  <c r="M632" i="1" s="1"/>
  <c r="B633" i="1"/>
  <c r="M633" i="1" s="1"/>
  <c r="B634" i="1"/>
  <c r="M634" i="1" s="1"/>
  <c r="B635" i="1"/>
  <c r="M635" i="1" s="1"/>
  <c r="B636" i="1"/>
  <c r="M636" i="1" s="1"/>
  <c r="B637" i="1"/>
  <c r="M637" i="1" s="1"/>
  <c r="B638" i="1"/>
  <c r="M638" i="1" s="1"/>
  <c r="B639" i="1"/>
  <c r="M639" i="1" s="1"/>
  <c r="B640" i="1"/>
  <c r="M640" i="1" s="1"/>
  <c r="B641" i="1"/>
  <c r="M641" i="1" s="1"/>
  <c r="B642" i="1"/>
  <c r="B643" i="1"/>
  <c r="M643" i="1" s="1"/>
  <c r="B644" i="1"/>
  <c r="M644" i="1" s="1"/>
  <c r="B645" i="1"/>
  <c r="M645" i="1" s="1"/>
  <c r="B646" i="1"/>
  <c r="M646" i="1" s="1"/>
  <c r="B647" i="1"/>
  <c r="M647" i="1" s="1"/>
  <c r="B648" i="1"/>
  <c r="M648" i="1" s="1"/>
  <c r="B649" i="1"/>
  <c r="M649" i="1" s="1"/>
  <c r="B650" i="1"/>
  <c r="M650" i="1" s="1"/>
  <c r="B651" i="1"/>
  <c r="M651" i="1" s="1"/>
  <c r="B652" i="1"/>
  <c r="M652" i="1" s="1"/>
  <c r="B653" i="1"/>
  <c r="M653" i="1" s="1"/>
  <c r="B654" i="1"/>
  <c r="M654" i="1" s="1"/>
  <c r="B655" i="1"/>
  <c r="M655" i="1" s="1"/>
  <c r="B656" i="1"/>
  <c r="M656" i="1" s="1"/>
  <c r="B657" i="1"/>
  <c r="M657" i="1" s="1"/>
  <c r="B658" i="1"/>
  <c r="M658" i="1" s="1"/>
  <c r="B659" i="1"/>
  <c r="M659" i="1" s="1"/>
  <c r="B660" i="1"/>
  <c r="M660" i="1" s="1"/>
  <c r="B661" i="1"/>
  <c r="M661" i="1" s="1"/>
  <c r="B662" i="1"/>
  <c r="M662" i="1" s="1"/>
  <c r="B663" i="1"/>
  <c r="M663" i="1" s="1"/>
  <c r="B664" i="1"/>
  <c r="M664" i="1" s="1"/>
  <c r="B665" i="1"/>
  <c r="M665" i="1" s="1"/>
  <c r="B666" i="1"/>
  <c r="M666" i="1" s="1"/>
  <c r="B667" i="1"/>
  <c r="M667" i="1" s="1"/>
  <c r="B668" i="1"/>
  <c r="M668" i="1" s="1"/>
  <c r="B669" i="1"/>
  <c r="M669" i="1" s="1"/>
  <c r="B670" i="1"/>
  <c r="M670" i="1" s="1"/>
  <c r="B671" i="1"/>
  <c r="M671" i="1" s="1"/>
  <c r="B672" i="1"/>
  <c r="M672" i="1" s="1"/>
  <c r="B673" i="1"/>
  <c r="M673" i="1" s="1"/>
  <c r="B674" i="1"/>
  <c r="B675" i="1"/>
  <c r="M675" i="1" s="1"/>
  <c r="B676" i="1"/>
  <c r="M676" i="1" s="1"/>
  <c r="B677" i="1"/>
  <c r="M677" i="1" s="1"/>
  <c r="B678" i="1"/>
  <c r="M678" i="1" s="1"/>
  <c r="B679" i="1"/>
  <c r="M679" i="1" s="1"/>
  <c r="B680" i="1"/>
  <c r="M680" i="1" s="1"/>
  <c r="B681" i="1"/>
  <c r="M681" i="1" s="1"/>
  <c r="B682" i="1"/>
  <c r="M682" i="1" s="1"/>
  <c r="B683" i="1"/>
  <c r="M683" i="1" s="1"/>
  <c r="B684" i="1"/>
  <c r="M684" i="1" s="1"/>
  <c r="B685" i="1"/>
  <c r="M685" i="1" s="1"/>
  <c r="B686" i="1"/>
  <c r="M686" i="1" s="1"/>
  <c r="B687" i="1"/>
  <c r="M687" i="1" s="1"/>
  <c r="B688" i="1"/>
  <c r="M688" i="1" s="1"/>
  <c r="B689" i="1"/>
  <c r="M689" i="1" s="1"/>
  <c r="B690" i="1"/>
  <c r="M690" i="1" s="1"/>
  <c r="B691" i="1"/>
  <c r="M691" i="1" s="1"/>
  <c r="B692" i="1"/>
  <c r="M692" i="1" s="1"/>
  <c r="B693" i="1"/>
  <c r="M693" i="1" s="1"/>
  <c r="B694" i="1"/>
  <c r="M694" i="1" s="1"/>
  <c r="B695" i="1"/>
  <c r="M695" i="1" s="1"/>
  <c r="B696" i="1"/>
  <c r="M696" i="1" s="1"/>
  <c r="B697" i="1"/>
  <c r="M697" i="1" s="1"/>
  <c r="B698" i="1"/>
  <c r="M698" i="1" s="1"/>
  <c r="B699" i="1"/>
  <c r="M699" i="1" s="1"/>
  <c r="B700" i="1"/>
  <c r="M700" i="1" s="1"/>
  <c r="B701" i="1"/>
  <c r="M701" i="1" s="1"/>
  <c r="B702" i="1"/>
  <c r="M702" i="1" s="1"/>
  <c r="B703" i="1"/>
  <c r="M703" i="1" s="1"/>
  <c r="B704" i="1"/>
  <c r="M704" i="1" s="1"/>
  <c r="B705" i="1"/>
  <c r="M705" i="1" s="1"/>
  <c r="B706" i="1"/>
  <c r="B707" i="1"/>
  <c r="M707" i="1" s="1"/>
  <c r="B708" i="1"/>
  <c r="M708" i="1" s="1"/>
  <c r="B709" i="1"/>
  <c r="M709" i="1" s="1"/>
  <c r="B710" i="1"/>
  <c r="M710" i="1" s="1"/>
  <c r="B711" i="1"/>
  <c r="M711" i="1" s="1"/>
  <c r="B712" i="1"/>
  <c r="M712" i="1" s="1"/>
  <c r="B713" i="1"/>
  <c r="M713" i="1" s="1"/>
  <c r="B714" i="1"/>
  <c r="M714" i="1" s="1"/>
  <c r="B715" i="1"/>
  <c r="M715" i="1" s="1"/>
  <c r="B716" i="1"/>
  <c r="M716" i="1" s="1"/>
  <c r="B717" i="1"/>
  <c r="M717" i="1" s="1"/>
  <c r="B718" i="1"/>
  <c r="M718" i="1" s="1"/>
  <c r="B719" i="1"/>
  <c r="M719" i="1" s="1"/>
  <c r="B720" i="1"/>
  <c r="M720" i="1" s="1"/>
  <c r="B721" i="1"/>
  <c r="M721" i="1" s="1"/>
  <c r="B722" i="1"/>
  <c r="M722" i="1" s="1"/>
  <c r="B723" i="1"/>
  <c r="M723" i="1" s="1"/>
  <c r="B724" i="1"/>
  <c r="M724" i="1" s="1"/>
  <c r="B725" i="1"/>
  <c r="M725" i="1" s="1"/>
  <c r="B726" i="1"/>
  <c r="M726" i="1" s="1"/>
  <c r="B727" i="1"/>
  <c r="M727" i="1" s="1"/>
  <c r="B728" i="1"/>
  <c r="M728" i="1" s="1"/>
  <c r="B729" i="1"/>
  <c r="M729" i="1" s="1"/>
  <c r="B730" i="1"/>
  <c r="M730" i="1" s="1"/>
  <c r="B731" i="1"/>
  <c r="M731" i="1" s="1"/>
  <c r="B732" i="1"/>
  <c r="M732" i="1" s="1"/>
  <c r="B733" i="1"/>
  <c r="M733" i="1" s="1"/>
  <c r="B734" i="1"/>
  <c r="M734" i="1" s="1"/>
  <c r="B735" i="1"/>
  <c r="M735" i="1" s="1"/>
  <c r="B736" i="1"/>
  <c r="M736" i="1" s="1"/>
  <c r="B737" i="1"/>
  <c r="M737" i="1" s="1"/>
  <c r="B738" i="1"/>
  <c r="B739" i="1"/>
  <c r="M739" i="1" s="1"/>
  <c r="B740" i="1"/>
  <c r="M740" i="1" s="1"/>
  <c r="B741" i="1"/>
  <c r="M741" i="1" s="1"/>
  <c r="B742" i="1"/>
  <c r="M742" i="1" s="1"/>
  <c r="B743" i="1"/>
  <c r="M743" i="1" s="1"/>
  <c r="B744" i="1"/>
  <c r="M744" i="1" s="1"/>
  <c r="B745" i="1"/>
  <c r="M745" i="1" s="1"/>
  <c r="B746" i="1"/>
  <c r="M746" i="1" s="1"/>
  <c r="B747" i="1"/>
  <c r="M747" i="1" s="1"/>
  <c r="B748" i="1"/>
  <c r="M748" i="1" s="1"/>
  <c r="B749" i="1"/>
  <c r="M749" i="1" s="1"/>
  <c r="B750" i="1"/>
  <c r="M750" i="1" s="1"/>
  <c r="B751" i="1"/>
  <c r="M751" i="1" s="1"/>
  <c r="B752" i="1"/>
  <c r="M752" i="1" s="1"/>
  <c r="B753" i="1"/>
  <c r="M753" i="1" s="1"/>
  <c r="B754" i="1"/>
  <c r="M754" i="1" s="1"/>
  <c r="B755" i="1"/>
  <c r="M755" i="1" s="1"/>
  <c r="B756" i="1"/>
  <c r="M756" i="1" s="1"/>
  <c r="B757" i="1"/>
  <c r="M757" i="1" s="1"/>
  <c r="B758" i="1"/>
  <c r="M758" i="1" s="1"/>
  <c r="B759" i="1"/>
  <c r="M759" i="1" s="1"/>
  <c r="B760" i="1"/>
  <c r="M760" i="1" s="1"/>
  <c r="B761" i="1"/>
  <c r="M761" i="1" s="1"/>
  <c r="B762" i="1"/>
  <c r="M762" i="1" s="1"/>
  <c r="B763" i="1"/>
  <c r="M763" i="1" s="1"/>
  <c r="B764" i="1"/>
  <c r="M764" i="1" s="1"/>
  <c r="B765" i="1"/>
  <c r="M765" i="1" s="1"/>
  <c r="B766" i="1"/>
  <c r="M766" i="1" s="1"/>
  <c r="B767" i="1"/>
  <c r="M767" i="1" s="1"/>
  <c r="B768" i="1"/>
  <c r="M768" i="1" s="1"/>
  <c r="B769" i="1"/>
  <c r="M769" i="1" s="1"/>
  <c r="B770" i="1"/>
  <c r="B771" i="1"/>
  <c r="M771" i="1" s="1"/>
  <c r="B772" i="1"/>
  <c r="M772" i="1" s="1"/>
  <c r="B773" i="1"/>
  <c r="M773" i="1" s="1"/>
  <c r="B774" i="1"/>
  <c r="M774" i="1" s="1"/>
  <c r="B775" i="1"/>
  <c r="M775" i="1" s="1"/>
  <c r="B776" i="1"/>
  <c r="M776" i="1" s="1"/>
  <c r="B777" i="1"/>
  <c r="M777" i="1" s="1"/>
  <c r="B778" i="1"/>
  <c r="M778" i="1" s="1"/>
  <c r="B779" i="1"/>
  <c r="M779" i="1" s="1"/>
  <c r="B780" i="1"/>
  <c r="M780" i="1" s="1"/>
  <c r="B781" i="1"/>
  <c r="M781" i="1" s="1"/>
  <c r="B782" i="1"/>
  <c r="M782" i="1" s="1"/>
  <c r="B783" i="1"/>
  <c r="M783" i="1" s="1"/>
  <c r="B784" i="1"/>
  <c r="M784" i="1" s="1"/>
  <c r="B785" i="1"/>
  <c r="M785" i="1" s="1"/>
  <c r="B786" i="1"/>
  <c r="M786" i="1" s="1"/>
  <c r="B787" i="1"/>
  <c r="M787" i="1" s="1"/>
  <c r="B788" i="1"/>
  <c r="M788" i="1" s="1"/>
  <c r="B789" i="1"/>
  <c r="M789" i="1" s="1"/>
  <c r="B790" i="1"/>
  <c r="M790" i="1" s="1"/>
  <c r="B791" i="1"/>
  <c r="M791" i="1" s="1"/>
  <c r="B792" i="1"/>
  <c r="M792" i="1" s="1"/>
  <c r="B793" i="1"/>
  <c r="M793" i="1" s="1"/>
  <c r="B794" i="1"/>
  <c r="M794" i="1" s="1"/>
  <c r="B795" i="1"/>
  <c r="M795" i="1" s="1"/>
  <c r="B796" i="1"/>
  <c r="M796" i="1" s="1"/>
  <c r="B797" i="1"/>
  <c r="M797" i="1" s="1"/>
  <c r="B798" i="1"/>
  <c r="M798" i="1" s="1"/>
  <c r="B799" i="1"/>
  <c r="M799" i="1" s="1"/>
  <c r="B800" i="1"/>
  <c r="M800" i="1" s="1"/>
  <c r="B801" i="1"/>
  <c r="M801" i="1" s="1"/>
  <c r="B802" i="1"/>
  <c r="B803" i="1"/>
  <c r="M803" i="1" s="1"/>
  <c r="B804" i="1"/>
  <c r="M804" i="1" s="1"/>
  <c r="B805" i="1"/>
  <c r="M805" i="1" s="1"/>
  <c r="B806" i="1"/>
  <c r="M806" i="1" s="1"/>
  <c r="B807" i="1"/>
  <c r="M807" i="1" s="1"/>
  <c r="B808" i="1"/>
  <c r="M808" i="1" s="1"/>
  <c r="B809" i="1"/>
  <c r="M809" i="1" s="1"/>
  <c r="B810" i="1"/>
  <c r="M810" i="1" s="1"/>
  <c r="B811" i="1"/>
  <c r="M811" i="1" s="1"/>
  <c r="B812" i="1"/>
  <c r="M812" i="1" s="1"/>
  <c r="B813" i="1"/>
  <c r="M813" i="1" s="1"/>
  <c r="B814" i="1"/>
  <c r="M814" i="1" s="1"/>
  <c r="B815" i="1"/>
  <c r="M815" i="1" s="1"/>
  <c r="B816" i="1"/>
  <c r="M816" i="1" s="1"/>
  <c r="B817" i="1"/>
  <c r="M817" i="1" s="1"/>
  <c r="B818" i="1"/>
  <c r="M818" i="1" s="1"/>
  <c r="B819" i="1"/>
  <c r="M819" i="1" s="1"/>
  <c r="B820" i="1"/>
  <c r="M820" i="1" s="1"/>
  <c r="B821" i="1"/>
  <c r="M821" i="1" s="1"/>
  <c r="B822" i="1"/>
  <c r="M822" i="1" s="1"/>
  <c r="B823" i="1"/>
  <c r="M823" i="1" s="1"/>
  <c r="B824" i="1"/>
  <c r="M824" i="1" s="1"/>
  <c r="B825" i="1"/>
  <c r="M825" i="1" s="1"/>
  <c r="B826" i="1"/>
  <c r="M826" i="1" s="1"/>
  <c r="B827" i="1"/>
  <c r="M827" i="1" s="1"/>
  <c r="B828" i="1"/>
  <c r="M828" i="1" s="1"/>
  <c r="B829" i="1"/>
  <c r="M829" i="1" s="1"/>
  <c r="B830" i="1"/>
  <c r="M830" i="1" s="1"/>
  <c r="B831" i="1"/>
  <c r="M831" i="1" s="1"/>
  <c r="B832" i="1"/>
  <c r="M832" i="1" s="1"/>
  <c r="B833" i="1"/>
  <c r="M833" i="1" s="1"/>
  <c r="B834" i="1"/>
  <c r="B835" i="1"/>
  <c r="M835" i="1" s="1"/>
  <c r="B836" i="1"/>
  <c r="M836" i="1" s="1"/>
  <c r="B837" i="1"/>
  <c r="M837" i="1" s="1"/>
  <c r="B838" i="1"/>
  <c r="M838" i="1" s="1"/>
  <c r="B839" i="1"/>
  <c r="M839" i="1" s="1"/>
  <c r="B840" i="1"/>
  <c r="M840" i="1" s="1"/>
  <c r="B841" i="1"/>
  <c r="M841" i="1" s="1"/>
  <c r="B842" i="1"/>
  <c r="M842" i="1" s="1"/>
  <c r="B843" i="1"/>
  <c r="M843" i="1" s="1"/>
  <c r="B844" i="1"/>
  <c r="M844" i="1" s="1"/>
  <c r="B845" i="1"/>
  <c r="M845" i="1" s="1"/>
  <c r="B846" i="1"/>
  <c r="M846" i="1" s="1"/>
  <c r="B847" i="1"/>
  <c r="M847" i="1" s="1"/>
  <c r="B848" i="1"/>
  <c r="M848" i="1" s="1"/>
  <c r="B849" i="1"/>
  <c r="M849" i="1" s="1"/>
  <c r="B850" i="1"/>
  <c r="M850" i="1" s="1"/>
  <c r="B851" i="1"/>
  <c r="M851" i="1" s="1"/>
  <c r="B852" i="1"/>
  <c r="M852" i="1" s="1"/>
  <c r="B853" i="1"/>
  <c r="B854" i="1"/>
  <c r="M854" i="1" s="1"/>
  <c r="B855" i="1"/>
  <c r="M855" i="1" s="1"/>
  <c r="B856" i="1"/>
  <c r="M856" i="1" s="1"/>
  <c r="B857" i="1"/>
  <c r="M857" i="1" s="1"/>
  <c r="B858" i="1"/>
  <c r="M858" i="1" s="1"/>
  <c r="B859" i="1"/>
  <c r="M859" i="1" s="1"/>
  <c r="B860" i="1"/>
  <c r="M860" i="1" s="1"/>
  <c r="B861" i="1"/>
  <c r="M861" i="1" s="1"/>
  <c r="B862" i="1"/>
  <c r="M862" i="1" s="1"/>
  <c r="B863" i="1"/>
  <c r="M863" i="1" s="1"/>
  <c r="B864" i="1"/>
  <c r="M864" i="1" s="1"/>
  <c r="B865" i="1"/>
  <c r="M865" i="1" s="1"/>
  <c r="B866" i="1"/>
  <c r="M866" i="1" s="1"/>
  <c r="B867" i="1"/>
  <c r="M867" i="1" s="1"/>
  <c r="B868" i="1"/>
  <c r="M868" i="1" s="1"/>
  <c r="B869" i="1"/>
  <c r="M869" i="1" s="1"/>
  <c r="B870" i="1"/>
  <c r="M870" i="1" s="1"/>
  <c r="B871" i="1"/>
  <c r="M871" i="1" s="1"/>
  <c r="B872" i="1"/>
  <c r="M872" i="1" s="1"/>
  <c r="B873" i="1"/>
  <c r="M873" i="1" s="1"/>
  <c r="B874" i="1"/>
  <c r="M874" i="1" s="1"/>
  <c r="B875" i="1"/>
  <c r="B876" i="1"/>
  <c r="M876" i="1" s="1"/>
  <c r="B877" i="1"/>
  <c r="M877" i="1" s="1"/>
  <c r="B878" i="1"/>
  <c r="M878" i="1" s="1"/>
  <c r="B879" i="1"/>
  <c r="M879" i="1" s="1"/>
  <c r="B880" i="1"/>
  <c r="M880" i="1" s="1"/>
  <c r="B881" i="1"/>
  <c r="M881" i="1" s="1"/>
  <c r="B882" i="1"/>
  <c r="M882" i="1" s="1"/>
  <c r="B883" i="1"/>
  <c r="M883" i="1" s="1"/>
  <c r="B884" i="1"/>
  <c r="M884" i="1" s="1"/>
  <c r="B885" i="1"/>
  <c r="M885" i="1" s="1"/>
  <c r="B886" i="1"/>
  <c r="M886" i="1" s="1"/>
  <c r="B887" i="1"/>
  <c r="M887" i="1" s="1"/>
  <c r="B888" i="1"/>
  <c r="M888" i="1" s="1"/>
  <c r="B889" i="1"/>
  <c r="M889" i="1" s="1"/>
  <c r="B890" i="1"/>
  <c r="M890" i="1" s="1"/>
  <c r="B891" i="1"/>
  <c r="M891" i="1" s="1"/>
  <c r="B892" i="1"/>
  <c r="M892" i="1" s="1"/>
  <c r="B893" i="1"/>
  <c r="M893" i="1" s="1"/>
  <c r="B894" i="1"/>
  <c r="M894" i="1" s="1"/>
  <c r="B895" i="1"/>
  <c r="M895" i="1" s="1"/>
  <c r="B896" i="1"/>
  <c r="M896" i="1" s="1"/>
  <c r="B897" i="1"/>
  <c r="M897" i="1" s="1"/>
  <c r="B898" i="1"/>
  <c r="B899" i="1"/>
  <c r="M899" i="1" s="1"/>
  <c r="B900" i="1"/>
  <c r="M900" i="1" s="1"/>
  <c r="B901" i="1"/>
  <c r="M901" i="1" s="1"/>
  <c r="B902" i="1"/>
  <c r="M902" i="1" s="1"/>
  <c r="B903" i="1"/>
  <c r="M903" i="1" s="1"/>
  <c r="B904" i="1"/>
  <c r="M904" i="1" s="1"/>
  <c r="B905" i="1"/>
  <c r="M905" i="1" s="1"/>
  <c r="B906" i="1"/>
  <c r="M906" i="1" s="1"/>
  <c r="B907" i="1"/>
  <c r="M907" i="1" s="1"/>
  <c r="B908" i="1"/>
  <c r="M908" i="1" s="1"/>
  <c r="B909" i="1"/>
  <c r="M909" i="1" s="1"/>
  <c r="B910" i="1"/>
  <c r="M910" i="1" s="1"/>
  <c r="B911" i="1"/>
  <c r="M911" i="1" s="1"/>
  <c r="B912" i="1"/>
  <c r="M912" i="1" s="1"/>
  <c r="B913" i="1"/>
  <c r="M913" i="1" s="1"/>
  <c r="B914" i="1"/>
  <c r="M914" i="1" s="1"/>
  <c r="B915" i="1"/>
  <c r="M915" i="1" s="1"/>
  <c r="B916" i="1"/>
  <c r="M916" i="1" s="1"/>
  <c r="B917" i="1"/>
  <c r="B918" i="1"/>
  <c r="M918" i="1" s="1"/>
  <c r="B919" i="1"/>
  <c r="M919" i="1" s="1"/>
  <c r="B920" i="1"/>
  <c r="M920" i="1" s="1"/>
  <c r="B921" i="1"/>
  <c r="M921" i="1" s="1"/>
  <c r="B922" i="1"/>
  <c r="M922" i="1" s="1"/>
  <c r="B923" i="1"/>
  <c r="M923" i="1" s="1"/>
  <c r="B924" i="1"/>
  <c r="M924" i="1" s="1"/>
  <c r="B925" i="1"/>
  <c r="M925" i="1" s="1"/>
  <c r="B926" i="1"/>
  <c r="M926" i="1" s="1"/>
  <c r="B927" i="1"/>
  <c r="M927" i="1" s="1"/>
  <c r="B928" i="1"/>
  <c r="M928" i="1" s="1"/>
  <c r="B929" i="1"/>
  <c r="M929" i="1" s="1"/>
  <c r="B930" i="1"/>
  <c r="M930" i="1" s="1"/>
  <c r="B931" i="1"/>
  <c r="M931" i="1" s="1"/>
  <c r="B932" i="1"/>
  <c r="M932" i="1" s="1"/>
  <c r="B933" i="1"/>
  <c r="M933" i="1" s="1"/>
  <c r="B934" i="1"/>
  <c r="M934" i="1" s="1"/>
  <c r="B935" i="1"/>
  <c r="M935" i="1" s="1"/>
  <c r="B936" i="1"/>
  <c r="M936" i="1" s="1"/>
  <c r="B937" i="1"/>
  <c r="M937" i="1" s="1"/>
  <c r="B938" i="1"/>
  <c r="M938" i="1" s="1"/>
  <c r="B939" i="1"/>
  <c r="B940" i="1"/>
  <c r="M940" i="1" s="1"/>
  <c r="B941" i="1"/>
  <c r="M941" i="1" s="1"/>
  <c r="B942" i="1"/>
  <c r="M942" i="1" s="1"/>
  <c r="B943" i="1"/>
  <c r="M943" i="1" s="1"/>
  <c r="B944" i="1"/>
  <c r="M944" i="1" s="1"/>
  <c r="B945" i="1"/>
  <c r="M945" i="1" s="1"/>
  <c r="B946" i="1"/>
  <c r="M946" i="1" s="1"/>
  <c r="B947" i="1"/>
  <c r="M947" i="1" s="1"/>
  <c r="B948" i="1"/>
  <c r="M948" i="1" s="1"/>
  <c r="B949" i="1"/>
  <c r="M949" i="1" s="1"/>
  <c r="B950" i="1"/>
  <c r="M950" i="1" s="1"/>
  <c r="B951" i="1"/>
  <c r="M951" i="1" s="1"/>
  <c r="B952" i="1"/>
  <c r="M952" i="1" s="1"/>
  <c r="B953" i="1"/>
  <c r="M953" i="1" s="1"/>
  <c r="B954" i="1"/>
  <c r="M954" i="1" s="1"/>
  <c r="B955" i="1"/>
  <c r="M955" i="1" s="1"/>
  <c r="B956" i="1"/>
  <c r="M956" i="1" s="1"/>
  <c r="B957" i="1"/>
  <c r="M957" i="1" s="1"/>
  <c r="B958" i="1"/>
  <c r="M958" i="1" s="1"/>
  <c r="B959" i="1"/>
  <c r="M959" i="1" s="1"/>
  <c r="B960" i="1"/>
  <c r="M960" i="1" s="1"/>
  <c r="B961" i="1"/>
  <c r="M961" i="1" s="1"/>
  <c r="B962" i="1"/>
  <c r="B963" i="1"/>
  <c r="M963" i="1" s="1"/>
  <c r="B964" i="1"/>
  <c r="M964" i="1" s="1"/>
  <c r="B965" i="1"/>
  <c r="M965" i="1" s="1"/>
  <c r="B966" i="1"/>
  <c r="M966" i="1" s="1"/>
  <c r="B967" i="1"/>
  <c r="M967" i="1" s="1"/>
  <c r="B968" i="1"/>
  <c r="M968" i="1" s="1"/>
  <c r="B969" i="1"/>
  <c r="M969" i="1" s="1"/>
  <c r="B970" i="1"/>
  <c r="M970" i="1" s="1"/>
  <c r="B971" i="1"/>
  <c r="M971" i="1" s="1"/>
  <c r="B972" i="1"/>
  <c r="M972" i="1" s="1"/>
  <c r="B973" i="1"/>
  <c r="M973" i="1" s="1"/>
  <c r="B974" i="1"/>
  <c r="M974" i="1" s="1"/>
  <c r="B975" i="1"/>
  <c r="M975" i="1" s="1"/>
  <c r="B976" i="1"/>
  <c r="M976" i="1" s="1"/>
  <c r="B977" i="1"/>
  <c r="M977" i="1" s="1"/>
  <c r="B978" i="1"/>
  <c r="M978" i="1" s="1"/>
  <c r="B979" i="1"/>
  <c r="M979" i="1" s="1"/>
  <c r="B980" i="1"/>
  <c r="M980" i="1" s="1"/>
  <c r="B981" i="1"/>
  <c r="B982" i="1"/>
  <c r="M982" i="1" s="1"/>
  <c r="B983" i="1"/>
  <c r="M983" i="1" s="1"/>
  <c r="B984" i="1"/>
  <c r="M984" i="1" s="1"/>
  <c r="B985" i="1"/>
  <c r="M985" i="1" s="1"/>
  <c r="B986" i="1"/>
  <c r="M986" i="1" s="1"/>
  <c r="B987" i="1"/>
  <c r="M987" i="1" s="1"/>
  <c r="B988" i="1"/>
  <c r="M988" i="1" s="1"/>
  <c r="B989" i="1"/>
  <c r="M989" i="1" s="1"/>
  <c r="B990" i="1"/>
  <c r="M990" i="1" s="1"/>
  <c r="B991" i="1"/>
  <c r="M991" i="1" s="1"/>
  <c r="B992" i="1"/>
  <c r="M992" i="1" s="1"/>
  <c r="B993" i="1"/>
  <c r="M993" i="1" s="1"/>
  <c r="B994" i="1"/>
  <c r="M994" i="1" s="1"/>
  <c r="B995" i="1"/>
  <c r="M995" i="1" s="1"/>
  <c r="B996" i="1"/>
  <c r="M996" i="1" s="1"/>
  <c r="B997" i="1"/>
  <c r="M997" i="1" s="1"/>
  <c r="B998" i="1"/>
  <c r="M998" i="1" s="1"/>
  <c r="B999" i="1"/>
  <c r="M999" i="1" s="1"/>
  <c r="B1000" i="1"/>
  <c r="M1000" i="1" s="1"/>
  <c r="B1001" i="1"/>
  <c r="M1001" i="1" s="1"/>
  <c r="B1002" i="1"/>
  <c r="M1002" i="1" s="1"/>
  <c r="B1003" i="1"/>
  <c r="B1004" i="1"/>
  <c r="M1004" i="1" s="1"/>
  <c r="B1005" i="1"/>
  <c r="M1005" i="1" s="1"/>
  <c r="B1006" i="1"/>
  <c r="M1006" i="1" s="1"/>
  <c r="B1007" i="1"/>
  <c r="M1007" i="1" s="1"/>
  <c r="B1008" i="1"/>
  <c r="M1008" i="1" s="1"/>
  <c r="B1009" i="1"/>
  <c r="M1009" i="1" s="1"/>
  <c r="B1010" i="1"/>
  <c r="M1010" i="1" s="1"/>
  <c r="B1011" i="1"/>
  <c r="M1011" i="1" s="1"/>
  <c r="B1012" i="1"/>
  <c r="M1012" i="1" s="1"/>
  <c r="B1013" i="1"/>
  <c r="M1013" i="1" s="1"/>
  <c r="B1014" i="1"/>
  <c r="M1014" i="1" s="1"/>
  <c r="B1015" i="1"/>
  <c r="M1015" i="1" s="1"/>
  <c r="B1016" i="1"/>
  <c r="M1016" i="1" s="1"/>
  <c r="B1017" i="1"/>
  <c r="M1017" i="1" s="1"/>
  <c r="B1018" i="1"/>
  <c r="M1018" i="1" s="1"/>
  <c r="B1019" i="1"/>
  <c r="M1019" i="1" s="1"/>
  <c r="B1020" i="1"/>
  <c r="M1020" i="1" s="1"/>
  <c r="B1021" i="1"/>
  <c r="M1021" i="1" s="1"/>
  <c r="B1022" i="1"/>
  <c r="M1022" i="1" s="1"/>
  <c r="B1023" i="1"/>
  <c r="M1023" i="1" s="1"/>
  <c r="B1024" i="1"/>
  <c r="M1024" i="1" s="1"/>
  <c r="B1025" i="1"/>
  <c r="M1025" i="1" s="1"/>
  <c r="B1026" i="1"/>
  <c r="B1027" i="1"/>
  <c r="M1027" i="1" s="1"/>
  <c r="B1028" i="1"/>
  <c r="M1028" i="1" s="1"/>
  <c r="B1029" i="1"/>
  <c r="M1029" i="1" s="1"/>
  <c r="B1030" i="1"/>
  <c r="M1030" i="1" s="1"/>
  <c r="B1031" i="1"/>
  <c r="M1031" i="1" s="1"/>
  <c r="B1032" i="1"/>
  <c r="M1032" i="1" s="1"/>
  <c r="B1033" i="1"/>
  <c r="M1033" i="1" s="1"/>
  <c r="B1034" i="1"/>
  <c r="M1034" i="1" s="1"/>
  <c r="B1035" i="1"/>
  <c r="M1035" i="1" s="1"/>
  <c r="B1036" i="1"/>
  <c r="M1036" i="1" s="1"/>
  <c r="B1037" i="1"/>
  <c r="M1037" i="1" s="1"/>
  <c r="B1038" i="1"/>
  <c r="M1038" i="1" s="1"/>
  <c r="B1039" i="1"/>
  <c r="M1039" i="1" s="1"/>
  <c r="B1040" i="1"/>
  <c r="M1040" i="1" s="1"/>
  <c r="B1041" i="1"/>
  <c r="M1041" i="1" s="1"/>
  <c r="B1042" i="1"/>
  <c r="M1042" i="1" s="1"/>
  <c r="B1043" i="1"/>
  <c r="M1043" i="1" s="1"/>
  <c r="B1044" i="1"/>
  <c r="M1044" i="1" s="1"/>
  <c r="B1045" i="1"/>
  <c r="B1046" i="1"/>
  <c r="M1046" i="1" s="1"/>
  <c r="B1047" i="1"/>
  <c r="M1047" i="1" s="1"/>
  <c r="B1048" i="1"/>
  <c r="M1048" i="1" s="1"/>
  <c r="B1049" i="1"/>
  <c r="M1049" i="1" s="1"/>
  <c r="B1050" i="1"/>
  <c r="M1050" i="1" s="1"/>
  <c r="B1051" i="1"/>
  <c r="M1051" i="1" s="1"/>
  <c r="B1052" i="1"/>
  <c r="M1052" i="1" s="1"/>
  <c r="B1053" i="1"/>
  <c r="M1053" i="1" s="1"/>
  <c r="B1054" i="1"/>
  <c r="M1054" i="1" s="1"/>
  <c r="B1055" i="1"/>
  <c r="M1055" i="1" s="1"/>
  <c r="B1056" i="1"/>
  <c r="M1056" i="1" s="1"/>
  <c r="B1057" i="1"/>
  <c r="M1057" i="1" s="1"/>
  <c r="B1058" i="1"/>
  <c r="M1058" i="1" s="1"/>
  <c r="B1059" i="1"/>
  <c r="M1059" i="1" s="1"/>
  <c r="B1060" i="1"/>
  <c r="M1060" i="1" s="1"/>
  <c r="B1061" i="1"/>
  <c r="M1061" i="1" s="1"/>
  <c r="B1062" i="1"/>
  <c r="M1062" i="1" s="1"/>
  <c r="B1063" i="1"/>
  <c r="M1063" i="1" s="1"/>
  <c r="B1064" i="1"/>
  <c r="M1064" i="1" s="1"/>
  <c r="B1065" i="1"/>
  <c r="M1065" i="1" s="1"/>
  <c r="B1066" i="1"/>
  <c r="M1066" i="1" s="1"/>
  <c r="B1067" i="1"/>
  <c r="B1068" i="1"/>
  <c r="M1068" i="1" s="1"/>
  <c r="B1069" i="1"/>
  <c r="M1069" i="1" s="1"/>
  <c r="B1070" i="1"/>
  <c r="M1070" i="1" s="1"/>
  <c r="B1071" i="1"/>
  <c r="M1071" i="1" s="1"/>
  <c r="B1072" i="1"/>
  <c r="M1072" i="1" s="1"/>
  <c r="B1073" i="1"/>
  <c r="M1073" i="1" s="1"/>
  <c r="B1074" i="1"/>
  <c r="M1074" i="1" s="1"/>
  <c r="B1075" i="1"/>
  <c r="M1075" i="1" s="1"/>
  <c r="B1076" i="1"/>
  <c r="M1076" i="1" s="1"/>
  <c r="B1077" i="1"/>
  <c r="M1077" i="1" s="1"/>
  <c r="B1078" i="1"/>
  <c r="M1078" i="1" s="1"/>
  <c r="B1079" i="1"/>
  <c r="M1079" i="1" s="1"/>
  <c r="B1080" i="1"/>
  <c r="M1080" i="1" s="1"/>
  <c r="B1081" i="1"/>
  <c r="M1081" i="1" s="1"/>
  <c r="B1082" i="1"/>
  <c r="M1082" i="1" s="1"/>
  <c r="B1083" i="1"/>
  <c r="M1083" i="1" s="1"/>
  <c r="B1084" i="1"/>
  <c r="M1084" i="1" s="1"/>
  <c r="B1085" i="1"/>
  <c r="M1085" i="1" s="1"/>
  <c r="B1086" i="1"/>
  <c r="M1086" i="1" s="1"/>
  <c r="B1087" i="1"/>
  <c r="M1087" i="1" s="1"/>
  <c r="B1088" i="1"/>
  <c r="M1088" i="1" s="1"/>
  <c r="B1089" i="1"/>
  <c r="M1089" i="1" s="1"/>
  <c r="B1090" i="1"/>
  <c r="B1091" i="1"/>
  <c r="M1091" i="1" s="1"/>
  <c r="B1092" i="1"/>
  <c r="M1092" i="1" s="1"/>
  <c r="B1093" i="1"/>
  <c r="M1093" i="1" s="1"/>
  <c r="B1094" i="1"/>
  <c r="M1094" i="1" s="1"/>
  <c r="B1095" i="1"/>
  <c r="M1095" i="1" s="1"/>
  <c r="B1096" i="1"/>
  <c r="M1096" i="1" s="1"/>
  <c r="B1097" i="1"/>
  <c r="M1097" i="1" s="1"/>
  <c r="B1098" i="1"/>
  <c r="M1098" i="1" s="1"/>
  <c r="B1099" i="1"/>
  <c r="M1099" i="1" s="1"/>
  <c r="B1100" i="1"/>
  <c r="M1100" i="1" s="1"/>
  <c r="B1101" i="1"/>
  <c r="M1101" i="1" s="1"/>
  <c r="B1102" i="1"/>
  <c r="M1102" i="1" s="1"/>
  <c r="B1103" i="1"/>
  <c r="M1103" i="1" s="1"/>
  <c r="B1104" i="1"/>
  <c r="M1104" i="1" s="1"/>
  <c r="B1105" i="1"/>
  <c r="M1105" i="1" s="1"/>
  <c r="B1106" i="1"/>
  <c r="M1106" i="1" s="1"/>
  <c r="B1107" i="1"/>
  <c r="M1107" i="1" s="1"/>
  <c r="B1108" i="1"/>
  <c r="M1108" i="1" s="1"/>
  <c r="B1109" i="1"/>
  <c r="B1110" i="1"/>
  <c r="M1110" i="1" s="1"/>
  <c r="B1111" i="1"/>
  <c r="M1111" i="1" s="1"/>
  <c r="B1112" i="1"/>
  <c r="M1112" i="1" s="1"/>
  <c r="B1113" i="1"/>
  <c r="M1113" i="1" s="1"/>
  <c r="B1114" i="1"/>
  <c r="M1114" i="1" s="1"/>
  <c r="B1115" i="1"/>
  <c r="M1115" i="1" s="1"/>
  <c r="B1116" i="1"/>
  <c r="M1116" i="1" s="1"/>
  <c r="B1117" i="1"/>
  <c r="M1117" i="1" s="1"/>
  <c r="B1118" i="1"/>
  <c r="M1118" i="1" s="1"/>
  <c r="B1119" i="1"/>
  <c r="M1119" i="1" s="1"/>
  <c r="B1120" i="1"/>
  <c r="M1120" i="1" s="1"/>
  <c r="B1121" i="1"/>
  <c r="M1121" i="1" s="1"/>
  <c r="B1122" i="1"/>
  <c r="M1122" i="1" s="1"/>
  <c r="B1123" i="1"/>
  <c r="M1123" i="1" s="1"/>
  <c r="B1124" i="1"/>
  <c r="M1124" i="1" s="1"/>
  <c r="B1125" i="1"/>
  <c r="M1125" i="1" s="1"/>
  <c r="B1126" i="1"/>
  <c r="M1126" i="1" s="1"/>
  <c r="B1127" i="1"/>
  <c r="M1127" i="1" s="1"/>
  <c r="B1128" i="1"/>
  <c r="M1128" i="1" s="1"/>
  <c r="B1129" i="1"/>
  <c r="M1129" i="1" s="1"/>
  <c r="B1130" i="1"/>
  <c r="M1130" i="1" s="1"/>
  <c r="B1131" i="1"/>
  <c r="B1132" i="1"/>
  <c r="M1132" i="1" s="1"/>
  <c r="B1133" i="1"/>
  <c r="M1133" i="1" s="1"/>
  <c r="B1134" i="1"/>
  <c r="M1134" i="1" s="1"/>
  <c r="B1135" i="1"/>
  <c r="M1135" i="1" s="1"/>
  <c r="B1136" i="1"/>
  <c r="M1136" i="1" s="1"/>
  <c r="B1137" i="1"/>
  <c r="M1137" i="1" s="1"/>
  <c r="B1138" i="1"/>
  <c r="M1138" i="1" s="1"/>
  <c r="B1139" i="1"/>
  <c r="M1139" i="1" s="1"/>
  <c r="B1140" i="1"/>
  <c r="M1140" i="1" s="1"/>
  <c r="B1141" i="1"/>
  <c r="M1141" i="1" s="1"/>
  <c r="B1142" i="1"/>
  <c r="M1142" i="1" s="1"/>
  <c r="B1143" i="1"/>
  <c r="M1143" i="1" s="1"/>
  <c r="B1144" i="1"/>
  <c r="M1144" i="1" s="1"/>
  <c r="B1145" i="1"/>
  <c r="M1145" i="1" s="1"/>
  <c r="B1146" i="1"/>
  <c r="M1146" i="1" s="1"/>
  <c r="B1147" i="1"/>
  <c r="M1147" i="1" s="1"/>
  <c r="B1148" i="1"/>
  <c r="M1148" i="1" s="1"/>
  <c r="B1149" i="1"/>
  <c r="M1149" i="1" s="1"/>
  <c r="B1150" i="1"/>
  <c r="M1150" i="1" s="1"/>
  <c r="B1151" i="1"/>
  <c r="M1151" i="1" s="1"/>
  <c r="B1152" i="1"/>
  <c r="M1152" i="1" s="1"/>
  <c r="B1153" i="1"/>
  <c r="M1153" i="1" s="1"/>
  <c r="B1154" i="1"/>
  <c r="B1155" i="1"/>
  <c r="M1155" i="1" s="1"/>
  <c r="B1156" i="1"/>
  <c r="M1156" i="1" s="1"/>
  <c r="B1157" i="1"/>
  <c r="M1157" i="1" s="1"/>
  <c r="B1158" i="1"/>
  <c r="M1158" i="1" s="1"/>
  <c r="B1159" i="1"/>
  <c r="M1159" i="1" s="1"/>
  <c r="B1160" i="1"/>
  <c r="M1160" i="1" s="1"/>
  <c r="B1161" i="1"/>
  <c r="M1161" i="1" s="1"/>
  <c r="B1162" i="1"/>
  <c r="M1162" i="1" s="1"/>
  <c r="B1163" i="1"/>
  <c r="M1163" i="1" s="1"/>
  <c r="B1164" i="1"/>
  <c r="M1164" i="1" s="1"/>
  <c r="B1165" i="1"/>
  <c r="M1165" i="1" s="1"/>
  <c r="B1166" i="1"/>
  <c r="M1166" i="1" s="1"/>
  <c r="B1167" i="1"/>
  <c r="M1167" i="1" s="1"/>
  <c r="B1168" i="1"/>
  <c r="M1168" i="1" s="1"/>
  <c r="B1169" i="1"/>
  <c r="M1169" i="1" s="1"/>
  <c r="B1170" i="1"/>
  <c r="M1170" i="1" s="1"/>
  <c r="B1171" i="1"/>
  <c r="M1171" i="1" s="1"/>
  <c r="B1172" i="1"/>
  <c r="M1172" i="1" s="1"/>
  <c r="B1173" i="1"/>
  <c r="B1174" i="1"/>
  <c r="M1174" i="1" s="1"/>
  <c r="B1175" i="1"/>
  <c r="M1175" i="1" s="1"/>
  <c r="B1176" i="1"/>
  <c r="M1176" i="1" s="1"/>
  <c r="B1177" i="1"/>
  <c r="M1177" i="1" s="1"/>
  <c r="B1178" i="1"/>
  <c r="M1178" i="1" s="1"/>
  <c r="B1179" i="1"/>
  <c r="M1179" i="1" s="1"/>
  <c r="B1180" i="1"/>
  <c r="M1180" i="1" s="1"/>
  <c r="B1181" i="1"/>
  <c r="M1181" i="1" s="1"/>
  <c r="B1182" i="1"/>
  <c r="M1182" i="1" s="1"/>
  <c r="B1183" i="1"/>
  <c r="M1183" i="1" s="1"/>
  <c r="B1184" i="1"/>
  <c r="M1184" i="1" s="1"/>
  <c r="B1185" i="1"/>
  <c r="M1185" i="1" s="1"/>
  <c r="B1186" i="1"/>
  <c r="M1186" i="1" s="1"/>
  <c r="B1187" i="1"/>
  <c r="M1187" i="1" s="1"/>
  <c r="B1188" i="1"/>
  <c r="M1188" i="1" s="1"/>
  <c r="B1189" i="1"/>
  <c r="M1189" i="1" s="1"/>
  <c r="B1190" i="1"/>
  <c r="M1190" i="1" s="1"/>
  <c r="B1191" i="1"/>
  <c r="M1191" i="1" s="1"/>
  <c r="B1192" i="1"/>
  <c r="M1192" i="1" s="1"/>
  <c r="B1193" i="1"/>
  <c r="M1193" i="1" s="1"/>
  <c r="B1194" i="1"/>
  <c r="M1194" i="1" s="1"/>
  <c r="B1195" i="1"/>
  <c r="B1196" i="1"/>
  <c r="M1196" i="1" s="1"/>
  <c r="B1197" i="1"/>
  <c r="M1197" i="1" s="1"/>
  <c r="B1198" i="1"/>
  <c r="M1198" i="1" s="1"/>
  <c r="B1199" i="1"/>
  <c r="M1199" i="1" s="1"/>
  <c r="B1200" i="1"/>
  <c r="M1200" i="1" s="1"/>
  <c r="B1201" i="1"/>
  <c r="M1201" i="1" s="1"/>
  <c r="B1202" i="1"/>
  <c r="M1202" i="1" s="1"/>
  <c r="B1203" i="1"/>
  <c r="M1203" i="1" s="1"/>
  <c r="B1204" i="1"/>
  <c r="M1204" i="1" s="1"/>
  <c r="B1205" i="1"/>
  <c r="M1205" i="1" s="1"/>
  <c r="B1206" i="1"/>
  <c r="M1206" i="1" s="1"/>
  <c r="B1207" i="1"/>
  <c r="M1207" i="1" s="1"/>
  <c r="B1208" i="1"/>
  <c r="M1208" i="1" s="1"/>
  <c r="B1209" i="1"/>
  <c r="M1209" i="1" s="1"/>
  <c r="B1210" i="1"/>
  <c r="M1210" i="1" s="1"/>
  <c r="B1211" i="1"/>
  <c r="M1211" i="1" s="1"/>
  <c r="B1212" i="1"/>
  <c r="M1212" i="1" s="1"/>
  <c r="B1213" i="1"/>
  <c r="M1213" i="1" s="1"/>
  <c r="B1214" i="1"/>
  <c r="M1214" i="1" s="1"/>
  <c r="B1215" i="1"/>
  <c r="M1215" i="1" s="1"/>
  <c r="B1216" i="1"/>
  <c r="M1216" i="1" s="1"/>
  <c r="B1217" i="1"/>
  <c r="M1217" i="1" s="1"/>
  <c r="B1218" i="1"/>
  <c r="B1219" i="1"/>
  <c r="M1219" i="1" s="1"/>
  <c r="B1220" i="1"/>
  <c r="M1220" i="1" s="1"/>
  <c r="B1221" i="1"/>
  <c r="M1221" i="1" s="1"/>
  <c r="B1222" i="1"/>
  <c r="M1222" i="1" s="1"/>
  <c r="B1223" i="1"/>
  <c r="M1223" i="1" s="1"/>
  <c r="B1224" i="1"/>
  <c r="M1224" i="1" s="1"/>
  <c r="B1225" i="1"/>
  <c r="M1225" i="1" s="1"/>
  <c r="B1226" i="1"/>
  <c r="M1226" i="1" s="1"/>
  <c r="B1227" i="1"/>
  <c r="M1227" i="1" s="1"/>
  <c r="B1228" i="1"/>
  <c r="M1228" i="1" s="1"/>
  <c r="B1229" i="1"/>
  <c r="M1229" i="1" s="1"/>
  <c r="B1230" i="1"/>
  <c r="M1230" i="1" s="1"/>
  <c r="B1231" i="1"/>
  <c r="M1231" i="1" s="1"/>
  <c r="B1232" i="1"/>
  <c r="M1232" i="1" s="1"/>
  <c r="B1233" i="1"/>
  <c r="M1233" i="1" s="1"/>
  <c r="B1234" i="1"/>
  <c r="M1234" i="1" s="1"/>
  <c r="B1235" i="1"/>
  <c r="B1236" i="1"/>
  <c r="M1236" i="1" s="1"/>
  <c r="B1237" i="1"/>
  <c r="M1237" i="1" s="1"/>
  <c r="B1238" i="1"/>
  <c r="M1238" i="1" s="1"/>
  <c r="B1239" i="1"/>
  <c r="M1239" i="1" s="1"/>
  <c r="B1240" i="1"/>
  <c r="M1240" i="1" s="1"/>
  <c r="B1241" i="1"/>
  <c r="M1241" i="1" s="1"/>
  <c r="B1242" i="1"/>
  <c r="M1242" i="1" s="1"/>
  <c r="B1243" i="1"/>
  <c r="M1243" i="1" s="1"/>
  <c r="B1244" i="1"/>
  <c r="M1244" i="1" s="1"/>
  <c r="B1245" i="1"/>
  <c r="M1245" i="1" s="1"/>
  <c r="B1246" i="1"/>
  <c r="B1247" i="1"/>
  <c r="M1247" i="1" s="1"/>
  <c r="B1248" i="1"/>
  <c r="M1248" i="1" s="1"/>
  <c r="B1249" i="1"/>
  <c r="M1249" i="1" s="1"/>
  <c r="B1250" i="1"/>
  <c r="M1250" i="1" s="1"/>
  <c r="B1251" i="1"/>
  <c r="M1251" i="1" s="1"/>
  <c r="B1252" i="1"/>
  <c r="M1252" i="1" s="1"/>
  <c r="B1253" i="1"/>
  <c r="M1253" i="1" s="1"/>
  <c r="B1254" i="1"/>
  <c r="M1254" i="1" s="1"/>
  <c r="B1255" i="1"/>
  <c r="M1255" i="1" s="1"/>
  <c r="B1256" i="1"/>
  <c r="M1256" i="1" s="1"/>
  <c r="B1257" i="1"/>
  <c r="M1257" i="1" s="1"/>
  <c r="B1258" i="1"/>
  <c r="B1259" i="1"/>
  <c r="M1259" i="1" s="1"/>
  <c r="B1260" i="1"/>
  <c r="M1260" i="1" s="1"/>
  <c r="B1261" i="1"/>
  <c r="M1261" i="1" s="1"/>
  <c r="B1262" i="1"/>
  <c r="M1262" i="1" s="1"/>
  <c r="B1263" i="1"/>
  <c r="M1263" i="1" s="1"/>
  <c r="B1264" i="1"/>
  <c r="M1264" i="1" s="1"/>
  <c r="B1265" i="1"/>
  <c r="M1265" i="1" s="1"/>
  <c r="B1266" i="1"/>
  <c r="M1266" i="1" s="1"/>
  <c r="B1267" i="1"/>
  <c r="M1267" i="1" s="1"/>
  <c r="B1268" i="1"/>
  <c r="L1268" i="1" s="1"/>
  <c r="B1269" i="1"/>
  <c r="M1269" i="1" s="1"/>
  <c r="B1270" i="1"/>
  <c r="M1270" i="1" s="1"/>
  <c r="B1271" i="1"/>
  <c r="M1271" i="1" s="1"/>
  <c r="B1272" i="1"/>
  <c r="M1272" i="1" s="1"/>
  <c r="B1273" i="1"/>
  <c r="M1273" i="1" s="1"/>
  <c r="B1274" i="1"/>
  <c r="M1274" i="1" s="1"/>
  <c r="B1275" i="1"/>
  <c r="M1275" i="1" s="1"/>
  <c r="B1276" i="1"/>
  <c r="M1276" i="1" s="1"/>
  <c r="B1277" i="1"/>
  <c r="M1277" i="1" s="1"/>
  <c r="B1278" i="1"/>
  <c r="L1278" i="1" s="1"/>
  <c r="B1279" i="1"/>
  <c r="M1279" i="1" s="1"/>
  <c r="B1280" i="1"/>
  <c r="M1280" i="1" s="1"/>
  <c r="B1281" i="1"/>
  <c r="M1281" i="1" s="1"/>
  <c r="B1282" i="1"/>
  <c r="M1282" i="1" s="1"/>
  <c r="B1283" i="1"/>
  <c r="M1283" i="1" s="1"/>
  <c r="B1284" i="1"/>
  <c r="M1284" i="1" s="1"/>
  <c r="B1285" i="1"/>
  <c r="M1285" i="1" s="1"/>
  <c r="B1286" i="1"/>
  <c r="M1286" i="1" s="1"/>
  <c r="B1287" i="1"/>
  <c r="M1287" i="1" s="1"/>
  <c r="B1288" i="1"/>
  <c r="M1288" i="1" s="1"/>
  <c r="B1289" i="1"/>
  <c r="M1289" i="1" s="1"/>
  <c r="B1290" i="1"/>
  <c r="B1291" i="1"/>
  <c r="M1291" i="1" s="1"/>
  <c r="B1292" i="1"/>
  <c r="M1292" i="1" s="1"/>
  <c r="B1293" i="1"/>
  <c r="M1293" i="1" s="1"/>
  <c r="B1294" i="1"/>
  <c r="M1294" i="1" s="1"/>
  <c r="B1295" i="1"/>
  <c r="M1295" i="1" s="1"/>
  <c r="B1296" i="1"/>
  <c r="M1296" i="1" s="1"/>
  <c r="B1297" i="1"/>
  <c r="M1297" i="1" s="1"/>
  <c r="B1298" i="1"/>
  <c r="M1298" i="1" s="1"/>
  <c r="B1299" i="1"/>
  <c r="M1299" i="1" s="1"/>
  <c r="B1300" i="1"/>
  <c r="B1301" i="1"/>
  <c r="M1301" i="1" s="1"/>
  <c r="B1302" i="1"/>
  <c r="M1302" i="1" s="1"/>
  <c r="B1303" i="1"/>
  <c r="M1303" i="1" s="1"/>
  <c r="B1304" i="1"/>
  <c r="M1304" i="1" s="1"/>
  <c r="B1305" i="1"/>
  <c r="M1305" i="1" s="1"/>
  <c r="B1306" i="1"/>
  <c r="M1306" i="1" s="1"/>
  <c r="B1307" i="1"/>
  <c r="M1307" i="1" s="1"/>
  <c r="B1308" i="1"/>
  <c r="M1308" i="1" s="1"/>
  <c r="B1309" i="1"/>
  <c r="M1309" i="1" s="1"/>
  <c r="B1310" i="1"/>
  <c r="B1311" i="1"/>
  <c r="M1311" i="1" s="1"/>
  <c r="B1312" i="1"/>
  <c r="M1312" i="1" s="1"/>
  <c r="B1313" i="1"/>
  <c r="M1313" i="1" s="1"/>
  <c r="B1314" i="1"/>
  <c r="M1314" i="1" s="1"/>
  <c r="B1315" i="1"/>
  <c r="M1315" i="1" s="1"/>
  <c r="B1316" i="1"/>
  <c r="M1316" i="1" s="1"/>
  <c r="B1317" i="1"/>
  <c r="M1317" i="1" s="1"/>
  <c r="B1318" i="1"/>
  <c r="M1318" i="1" s="1"/>
  <c r="B1319" i="1"/>
  <c r="M1319" i="1" s="1"/>
  <c r="B1320" i="1"/>
  <c r="M1320" i="1" s="1"/>
  <c r="B1321" i="1"/>
  <c r="M1321" i="1" s="1"/>
  <c r="B1322" i="1"/>
  <c r="B1323" i="1"/>
  <c r="M1323" i="1" s="1"/>
  <c r="B1324" i="1"/>
  <c r="M1324" i="1" s="1"/>
  <c r="B1325" i="1"/>
  <c r="M1325" i="1" s="1"/>
  <c r="B1326" i="1"/>
  <c r="M1326" i="1" s="1"/>
  <c r="B1327" i="1"/>
  <c r="M1327" i="1" s="1"/>
  <c r="B1328" i="1"/>
  <c r="M1328" i="1" s="1"/>
  <c r="B1329" i="1"/>
  <c r="M1329" i="1" s="1"/>
  <c r="B1330" i="1"/>
  <c r="M1330" i="1" s="1"/>
  <c r="B1331" i="1"/>
  <c r="M1331" i="1" s="1"/>
  <c r="B1332" i="1"/>
  <c r="L1332" i="1" s="1"/>
  <c r="B1333" i="1"/>
  <c r="M1333" i="1" s="1"/>
  <c r="B1334" i="1"/>
  <c r="M1334" i="1" s="1"/>
  <c r="B1335" i="1"/>
  <c r="M1335" i="1" s="1"/>
  <c r="B1336" i="1"/>
  <c r="M1336" i="1" s="1"/>
  <c r="B1337" i="1"/>
  <c r="M1337" i="1" s="1"/>
  <c r="B1338" i="1"/>
  <c r="M1338" i="1" s="1"/>
  <c r="B1339" i="1"/>
  <c r="M1339" i="1" s="1"/>
  <c r="B1340" i="1"/>
  <c r="M1340" i="1" s="1"/>
  <c r="B1341" i="1"/>
  <c r="M1341" i="1" s="1"/>
  <c r="B1342" i="1"/>
  <c r="L1342" i="1" s="1"/>
  <c r="B1343" i="1"/>
  <c r="M1343" i="1" s="1"/>
  <c r="B1344" i="1"/>
  <c r="M1344" i="1" s="1"/>
  <c r="B1345" i="1"/>
  <c r="M1345" i="1" s="1"/>
  <c r="B1346" i="1"/>
  <c r="M1346" i="1" s="1"/>
  <c r="B1347" i="1"/>
  <c r="M1347" i="1" s="1"/>
  <c r="B1348" i="1"/>
  <c r="M1348" i="1" s="1"/>
  <c r="B1349" i="1"/>
  <c r="M1349" i="1" s="1"/>
  <c r="B1350" i="1"/>
  <c r="M1350" i="1" s="1"/>
  <c r="B1351" i="1"/>
  <c r="M1351" i="1" s="1"/>
  <c r="B1352" i="1"/>
  <c r="M1352" i="1" s="1"/>
  <c r="B1353" i="1"/>
  <c r="M1353" i="1" s="1"/>
  <c r="B1354" i="1"/>
  <c r="M1354" i="1" s="1"/>
  <c r="B1355" i="1"/>
  <c r="M1355" i="1" s="1"/>
  <c r="B1356" i="1"/>
  <c r="M1356" i="1" s="1"/>
  <c r="B1357" i="1"/>
  <c r="M1357" i="1" s="1"/>
  <c r="B1358" i="1"/>
  <c r="M1358" i="1" s="1"/>
  <c r="B1359" i="1"/>
  <c r="M1359" i="1" s="1"/>
  <c r="B1360" i="1"/>
  <c r="M1360" i="1" s="1"/>
  <c r="B1361" i="1"/>
  <c r="M1361" i="1" s="1"/>
  <c r="B1362" i="1"/>
  <c r="M1362" i="1" s="1"/>
  <c r="B1363" i="1"/>
  <c r="M1363" i="1" s="1"/>
  <c r="B1364" i="1"/>
  <c r="M1364" i="1" s="1"/>
  <c r="B1365" i="1"/>
  <c r="M1365" i="1" s="1"/>
  <c r="B1366" i="1"/>
  <c r="M1366" i="1" s="1"/>
  <c r="B1367" i="1"/>
  <c r="M1367" i="1" s="1"/>
  <c r="B1368" i="1"/>
  <c r="M1368" i="1" s="1"/>
  <c r="B1369" i="1"/>
  <c r="M1369" i="1" s="1"/>
  <c r="B1370" i="1"/>
  <c r="M1370" i="1" s="1"/>
  <c r="B1371" i="1"/>
  <c r="M1371" i="1" s="1"/>
  <c r="B1372" i="1"/>
  <c r="M1372" i="1" s="1"/>
  <c r="B1373" i="1"/>
  <c r="M1373" i="1" s="1"/>
  <c r="B1374" i="1"/>
  <c r="M1374" i="1" s="1"/>
  <c r="B1375" i="1"/>
  <c r="M1375" i="1" s="1"/>
  <c r="B1376" i="1"/>
  <c r="M1376" i="1" s="1"/>
  <c r="B1377" i="1"/>
  <c r="M1377" i="1" s="1"/>
  <c r="B1378" i="1"/>
  <c r="M1378" i="1" s="1"/>
  <c r="B1379" i="1"/>
  <c r="M1379" i="1" s="1"/>
  <c r="B1380" i="1"/>
  <c r="M1380" i="1" s="1"/>
  <c r="B1381" i="1"/>
  <c r="M1381" i="1" s="1"/>
  <c r="B1382" i="1"/>
  <c r="M1382" i="1" s="1"/>
  <c r="B1383" i="1"/>
  <c r="M1383" i="1" s="1"/>
  <c r="B1384" i="1"/>
  <c r="M1384" i="1" s="1"/>
  <c r="B1385" i="1"/>
  <c r="M1385" i="1" s="1"/>
  <c r="B1386" i="1"/>
  <c r="M1386" i="1" s="1"/>
  <c r="B1387" i="1"/>
  <c r="M1387" i="1" s="1"/>
  <c r="B1388" i="1"/>
  <c r="M1388" i="1" s="1"/>
  <c r="B1389" i="1"/>
  <c r="M1389" i="1" s="1"/>
  <c r="B1390" i="1"/>
  <c r="M1390" i="1" s="1"/>
  <c r="B1391" i="1"/>
  <c r="M1391" i="1" s="1"/>
  <c r="B1392" i="1"/>
  <c r="M1392" i="1" s="1"/>
  <c r="B1393" i="1"/>
  <c r="M1393" i="1" s="1"/>
  <c r="B1394" i="1"/>
  <c r="M1394" i="1" s="1"/>
  <c r="B1395" i="1"/>
  <c r="M1395" i="1" s="1"/>
  <c r="B1396" i="1"/>
  <c r="M1396" i="1" s="1"/>
  <c r="B1397" i="1"/>
  <c r="M1397" i="1" s="1"/>
  <c r="B1398" i="1"/>
  <c r="M1398" i="1" s="1"/>
  <c r="B1399" i="1"/>
  <c r="M1399" i="1" s="1"/>
  <c r="B1400" i="1"/>
  <c r="M1400" i="1" s="1"/>
  <c r="B1401" i="1"/>
  <c r="M1401" i="1" s="1"/>
  <c r="B1402" i="1"/>
  <c r="M1402" i="1" s="1"/>
  <c r="B1403" i="1"/>
  <c r="M1403" i="1" s="1"/>
  <c r="B1404" i="1"/>
  <c r="M1404" i="1" s="1"/>
  <c r="B1405" i="1"/>
  <c r="M1405" i="1" s="1"/>
  <c r="B1406" i="1"/>
  <c r="M1406" i="1" s="1"/>
  <c r="B1407" i="1"/>
  <c r="M1407" i="1" s="1"/>
  <c r="B1408" i="1"/>
  <c r="M1408" i="1" s="1"/>
  <c r="B1409" i="1"/>
  <c r="M1409" i="1" s="1"/>
  <c r="B1410" i="1"/>
  <c r="M1410" i="1" s="1"/>
  <c r="B1411" i="1"/>
  <c r="M1411" i="1" s="1"/>
  <c r="B1412" i="1"/>
  <c r="M1412" i="1" s="1"/>
  <c r="B1413" i="1"/>
  <c r="M1413" i="1" s="1"/>
  <c r="B1414" i="1"/>
  <c r="M1414" i="1" s="1"/>
  <c r="B1415" i="1"/>
  <c r="M1415" i="1" s="1"/>
  <c r="B1416" i="1"/>
  <c r="M1416" i="1" s="1"/>
  <c r="B1417" i="1"/>
  <c r="M1417" i="1" s="1"/>
  <c r="B1418" i="1"/>
  <c r="M1418" i="1" s="1"/>
  <c r="B1419" i="1"/>
  <c r="M1419" i="1" s="1"/>
  <c r="B1420" i="1"/>
  <c r="M1420" i="1" s="1"/>
  <c r="B1421" i="1"/>
  <c r="M1421" i="1" s="1"/>
  <c r="B1422" i="1"/>
  <c r="M1422" i="1" s="1"/>
  <c r="B1423" i="1"/>
  <c r="M1423" i="1" s="1"/>
  <c r="B1424" i="1"/>
  <c r="M1424" i="1" s="1"/>
  <c r="B1425" i="1"/>
  <c r="M1425" i="1" s="1"/>
  <c r="B1426" i="1"/>
  <c r="M1426" i="1" s="1"/>
  <c r="B1427" i="1"/>
  <c r="M1427" i="1" s="1"/>
  <c r="B1428" i="1"/>
  <c r="M1428" i="1" s="1"/>
  <c r="B1429" i="1"/>
  <c r="M1429" i="1" s="1"/>
  <c r="B1430" i="1"/>
  <c r="M1430" i="1" s="1"/>
  <c r="B1431" i="1"/>
  <c r="M1431" i="1" s="1"/>
  <c r="B1432" i="1"/>
  <c r="M1432" i="1" s="1"/>
  <c r="B1433" i="1"/>
  <c r="M1433" i="1" s="1"/>
  <c r="B1434" i="1"/>
  <c r="M1434" i="1" s="1"/>
  <c r="B1435" i="1"/>
  <c r="M1435" i="1" s="1"/>
  <c r="B1436" i="1"/>
  <c r="M1436" i="1" s="1"/>
  <c r="B1437" i="1"/>
  <c r="M1437" i="1" s="1"/>
  <c r="B1438" i="1"/>
  <c r="M1438" i="1" s="1"/>
  <c r="B1439" i="1"/>
  <c r="M1439" i="1" s="1"/>
  <c r="B1440" i="1"/>
  <c r="M1440" i="1" s="1"/>
  <c r="B1441" i="1"/>
  <c r="M1441" i="1" s="1"/>
  <c r="B1442" i="1"/>
  <c r="M1442" i="1" s="1"/>
  <c r="B1443" i="1"/>
  <c r="M1443" i="1" s="1"/>
  <c r="B1444" i="1"/>
  <c r="M1444" i="1" s="1"/>
  <c r="B1445" i="1"/>
  <c r="M1445" i="1" s="1"/>
  <c r="B1446" i="1"/>
  <c r="M1446" i="1" s="1"/>
  <c r="B1447" i="1"/>
  <c r="M1447" i="1" s="1"/>
  <c r="B1448" i="1"/>
  <c r="M1448" i="1" s="1"/>
  <c r="B1449" i="1"/>
  <c r="M1449" i="1" s="1"/>
  <c r="B1450" i="1"/>
  <c r="M1450" i="1" s="1"/>
  <c r="B1451" i="1"/>
  <c r="M1451" i="1" s="1"/>
  <c r="B1452" i="1"/>
  <c r="M1452" i="1" s="1"/>
  <c r="B1453" i="1"/>
  <c r="M1453" i="1" s="1"/>
  <c r="B1454" i="1"/>
  <c r="M1454" i="1" s="1"/>
  <c r="B1455" i="1"/>
  <c r="M1455" i="1" s="1"/>
  <c r="B1456" i="1"/>
  <c r="M1456" i="1" s="1"/>
  <c r="B1457" i="1"/>
  <c r="M1457" i="1" s="1"/>
  <c r="B1458" i="1"/>
  <c r="M1458" i="1" s="1"/>
  <c r="B1459" i="1"/>
  <c r="M1459" i="1" s="1"/>
  <c r="B1460" i="1"/>
  <c r="M1460" i="1" s="1"/>
  <c r="B1461" i="1"/>
  <c r="M1461" i="1" s="1"/>
  <c r="B1462" i="1"/>
  <c r="M1462" i="1" s="1"/>
  <c r="B1463" i="1"/>
  <c r="M1463" i="1" s="1"/>
  <c r="B1464" i="1"/>
  <c r="M1464" i="1" s="1"/>
  <c r="B1465" i="1"/>
  <c r="M1465" i="1" s="1"/>
  <c r="B1466" i="1"/>
  <c r="M1466" i="1" s="1"/>
  <c r="B1467" i="1"/>
  <c r="M1467" i="1" s="1"/>
  <c r="B1468" i="1"/>
  <c r="M1468" i="1" s="1"/>
  <c r="B1469" i="1"/>
  <c r="M1469" i="1" s="1"/>
  <c r="B1470" i="1"/>
  <c r="M1470" i="1" s="1"/>
  <c r="B1471" i="1"/>
  <c r="M1471" i="1" s="1"/>
  <c r="B1472" i="1"/>
  <c r="M1472" i="1" s="1"/>
  <c r="B1473" i="1"/>
  <c r="M1473" i="1" s="1"/>
  <c r="B1474" i="1"/>
  <c r="M1474" i="1" s="1"/>
  <c r="B1475" i="1"/>
  <c r="M1475" i="1" s="1"/>
  <c r="B1476" i="1"/>
  <c r="M1476" i="1" s="1"/>
  <c r="B1477" i="1"/>
  <c r="M1477" i="1" s="1"/>
  <c r="B1478" i="1"/>
  <c r="M1478" i="1" s="1"/>
  <c r="B1479" i="1"/>
  <c r="M1479" i="1" s="1"/>
  <c r="B1480" i="1"/>
  <c r="M1480" i="1" s="1"/>
  <c r="B1481" i="1"/>
  <c r="M1481" i="1" s="1"/>
  <c r="B1482" i="1"/>
  <c r="M1482" i="1" s="1"/>
  <c r="B1483" i="1"/>
  <c r="M1483" i="1" s="1"/>
  <c r="B1484" i="1"/>
  <c r="M1484" i="1" s="1"/>
  <c r="B1485" i="1"/>
  <c r="M1485" i="1" s="1"/>
  <c r="B1486" i="1"/>
  <c r="M1486" i="1" s="1"/>
  <c r="B1487" i="1"/>
  <c r="M1487" i="1" s="1"/>
  <c r="B1488" i="1"/>
  <c r="M1488" i="1" s="1"/>
  <c r="B1489" i="1"/>
  <c r="M1489" i="1" s="1"/>
  <c r="B1490" i="1"/>
  <c r="M1490" i="1" s="1"/>
  <c r="B1491" i="1"/>
  <c r="M1491" i="1" s="1"/>
  <c r="B1492" i="1"/>
  <c r="M1492" i="1" s="1"/>
  <c r="B1493" i="1"/>
  <c r="M1493" i="1" s="1"/>
  <c r="B1494" i="1"/>
  <c r="M1494" i="1" s="1"/>
  <c r="B1495" i="1"/>
  <c r="M1495" i="1" s="1"/>
  <c r="B1496" i="1"/>
  <c r="M1496" i="1" s="1"/>
  <c r="B1497" i="1"/>
  <c r="M1497" i="1" s="1"/>
  <c r="B1498" i="1"/>
  <c r="M1498" i="1" s="1"/>
  <c r="B1499" i="1"/>
  <c r="M1499" i="1" s="1"/>
  <c r="B1500" i="1"/>
  <c r="M1500" i="1" s="1"/>
  <c r="B1501" i="1"/>
  <c r="M1501" i="1" s="1"/>
  <c r="B1502" i="1"/>
  <c r="L1502" i="1" s="1"/>
  <c r="B1503" i="1"/>
  <c r="M1503" i="1" s="1"/>
  <c r="B1504" i="1"/>
  <c r="M1504" i="1" s="1"/>
  <c r="B1505" i="1"/>
  <c r="M1505" i="1" s="1"/>
  <c r="B1506" i="1"/>
  <c r="M1506" i="1" s="1"/>
  <c r="B1507" i="1"/>
  <c r="M1507" i="1" s="1"/>
  <c r="B1508" i="1"/>
  <c r="M1508" i="1" s="1"/>
  <c r="B1509" i="1"/>
  <c r="M1509" i="1" s="1"/>
  <c r="B1510" i="1"/>
  <c r="B1511" i="1"/>
  <c r="M1511" i="1" s="1"/>
  <c r="B1512" i="1"/>
  <c r="M1512" i="1" s="1"/>
  <c r="B1513" i="1"/>
  <c r="M1513" i="1" s="1"/>
  <c r="B1514" i="1"/>
  <c r="M1514" i="1" s="1"/>
  <c r="B1515" i="1"/>
  <c r="M1515" i="1" s="1"/>
  <c r="B1516" i="1"/>
  <c r="M1516" i="1" s="1"/>
  <c r="B1517" i="1"/>
  <c r="M1517" i="1" s="1"/>
  <c r="B1518" i="1"/>
  <c r="B1519" i="1"/>
  <c r="M1519" i="1" s="1"/>
  <c r="B1520" i="1"/>
  <c r="M1520" i="1" s="1"/>
  <c r="B1521" i="1"/>
  <c r="M1521" i="1" s="1"/>
  <c r="B1522" i="1"/>
  <c r="M1522" i="1" s="1"/>
  <c r="B1523" i="1"/>
  <c r="M1523" i="1" s="1"/>
  <c r="B1524" i="1"/>
  <c r="M1524" i="1" s="1"/>
  <c r="B1525" i="1"/>
  <c r="M1525" i="1" s="1"/>
  <c r="B1526" i="1"/>
  <c r="B1527" i="1"/>
  <c r="M1527" i="1" s="1"/>
  <c r="B1528" i="1"/>
  <c r="M1528" i="1" s="1"/>
  <c r="B1529" i="1"/>
  <c r="M1529" i="1" s="1"/>
  <c r="B1530" i="1"/>
  <c r="M1530" i="1" s="1"/>
  <c r="B1531" i="1"/>
  <c r="M1531" i="1" s="1"/>
  <c r="B1532" i="1"/>
  <c r="M1532" i="1" s="1"/>
  <c r="B1533" i="1"/>
  <c r="M1533" i="1" s="1"/>
  <c r="B1534" i="1"/>
  <c r="B1535" i="1"/>
  <c r="M1535" i="1" s="1"/>
  <c r="B1536" i="1"/>
  <c r="M1536" i="1" s="1"/>
  <c r="B1537" i="1"/>
  <c r="M1537" i="1" s="1"/>
  <c r="B1538" i="1"/>
  <c r="M1538" i="1" s="1"/>
  <c r="B1539" i="1"/>
  <c r="M1539" i="1" s="1"/>
  <c r="B1540" i="1"/>
  <c r="M1540" i="1" s="1"/>
  <c r="B1541" i="1"/>
  <c r="M1541" i="1" s="1"/>
  <c r="B1542" i="1"/>
  <c r="B1543" i="1"/>
  <c r="M1543" i="1" s="1"/>
  <c r="B1544" i="1"/>
  <c r="M1544" i="1" s="1"/>
  <c r="B1545" i="1"/>
  <c r="M1545" i="1" s="1"/>
  <c r="B1546" i="1"/>
  <c r="M1546" i="1" s="1"/>
  <c r="B1547" i="1"/>
  <c r="M1547" i="1" s="1"/>
  <c r="B1548" i="1"/>
  <c r="M1548" i="1" s="1"/>
  <c r="B1549" i="1"/>
  <c r="M1549" i="1" s="1"/>
  <c r="B1550" i="1"/>
  <c r="B1551" i="1"/>
  <c r="M1551" i="1" s="1"/>
  <c r="B1552" i="1"/>
  <c r="M1552" i="1" s="1"/>
  <c r="B1553" i="1"/>
  <c r="M1553" i="1" s="1"/>
  <c r="B1554" i="1"/>
  <c r="M1554" i="1" s="1"/>
  <c r="B1555" i="1"/>
  <c r="M1555" i="1" s="1"/>
  <c r="B1556" i="1"/>
  <c r="M1556" i="1" s="1"/>
  <c r="B1557" i="1"/>
  <c r="M1557" i="1" s="1"/>
  <c r="B1558" i="1"/>
  <c r="B1559" i="1"/>
  <c r="M1559" i="1" s="1"/>
  <c r="B1560" i="1"/>
  <c r="M1560" i="1" s="1"/>
  <c r="B1561" i="1"/>
  <c r="M1561" i="1" s="1"/>
  <c r="B1562" i="1"/>
  <c r="M1562" i="1" s="1"/>
  <c r="B1563" i="1"/>
  <c r="M1563" i="1" s="1"/>
  <c r="B1564" i="1"/>
  <c r="M1564" i="1" s="1"/>
  <c r="B1565" i="1"/>
  <c r="M1565" i="1" s="1"/>
  <c r="B1566" i="1"/>
  <c r="B1567" i="1"/>
  <c r="M1567" i="1" s="1"/>
  <c r="B1568" i="1"/>
  <c r="M1568" i="1" s="1"/>
  <c r="B1569" i="1"/>
  <c r="M1569" i="1" s="1"/>
  <c r="B1570" i="1"/>
  <c r="M1570" i="1" s="1"/>
  <c r="B1571" i="1"/>
  <c r="M1571" i="1" s="1"/>
  <c r="B1572" i="1"/>
  <c r="M1572" i="1" s="1"/>
  <c r="B1573" i="1"/>
  <c r="M1573" i="1" s="1"/>
  <c r="B1574" i="1"/>
  <c r="B1575" i="1"/>
  <c r="M1575" i="1" s="1"/>
  <c r="B1576" i="1"/>
  <c r="M1576" i="1" s="1"/>
  <c r="B1577" i="1"/>
  <c r="M1577" i="1" s="1"/>
  <c r="B1578" i="1"/>
  <c r="M1578" i="1" s="1"/>
  <c r="B1579" i="1"/>
  <c r="M1579" i="1" s="1"/>
  <c r="B1580" i="1"/>
  <c r="M1580" i="1" s="1"/>
  <c r="B1581" i="1"/>
  <c r="B1582" i="1"/>
  <c r="B1583" i="1"/>
  <c r="M1583" i="1" s="1"/>
  <c r="B1584" i="1"/>
  <c r="M1584" i="1" s="1"/>
  <c r="B1585" i="1"/>
  <c r="M1585" i="1" s="1"/>
  <c r="B1586" i="1"/>
  <c r="M1586" i="1" s="1"/>
  <c r="B1587" i="1"/>
  <c r="M1587" i="1" s="1"/>
  <c r="B1588" i="1"/>
  <c r="M1588" i="1" s="1"/>
  <c r="B1589" i="1"/>
  <c r="B1590" i="1"/>
  <c r="B1591" i="1"/>
  <c r="M1591" i="1" s="1"/>
  <c r="B1592" i="1"/>
  <c r="M1592" i="1" s="1"/>
  <c r="B1593" i="1"/>
  <c r="M1593" i="1" s="1"/>
  <c r="B1594" i="1"/>
  <c r="M1594" i="1" s="1"/>
  <c r="B1595" i="1"/>
  <c r="M1595" i="1" s="1"/>
  <c r="B1596" i="1"/>
  <c r="M1596" i="1" s="1"/>
  <c r="B1597" i="1"/>
  <c r="B1598" i="1"/>
  <c r="B1599" i="1"/>
  <c r="M1599" i="1" s="1"/>
  <c r="B1600" i="1"/>
  <c r="M1600" i="1" s="1"/>
  <c r="B1601" i="1"/>
  <c r="M1601" i="1" s="1"/>
  <c r="B1602" i="1"/>
  <c r="M1602" i="1" s="1"/>
  <c r="B1603" i="1"/>
  <c r="M1603" i="1" s="1"/>
  <c r="B1604" i="1"/>
  <c r="M1604" i="1" s="1"/>
  <c r="B1605" i="1"/>
  <c r="B1606" i="1"/>
  <c r="B1607" i="1"/>
  <c r="M1607" i="1" s="1"/>
  <c r="B1608" i="1"/>
  <c r="M1608" i="1" s="1"/>
  <c r="B1609" i="1"/>
  <c r="M1609" i="1" s="1"/>
  <c r="B1610" i="1"/>
  <c r="M1610" i="1" s="1"/>
  <c r="B1611" i="1"/>
  <c r="M1611" i="1" s="1"/>
  <c r="B1612" i="1"/>
  <c r="M1612" i="1" s="1"/>
  <c r="B1613" i="1"/>
  <c r="B1614" i="1"/>
  <c r="B1615" i="1"/>
  <c r="M1615" i="1" s="1"/>
  <c r="B1616" i="1"/>
  <c r="M1616" i="1" s="1"/>
  <c r="B1617" i="1"/>
  <c r="M1617" i="1" s="1"/>
  <c r="B1618" i="1"/>
  <c r="M1618" i="1" s="1"/>
  <c r="B1619" i="1"/>
  <c r="M1619" i="1" s="1"/>
  <c r="B1620" i="1"/>
  <c r="L1620" i="1" s="1"/>
  <c r="B1621" i="1"/>
  <c r="B1622" i="1"/>
  <c r="B1623" i="1"/>
  <c r="M1623" i="1" s="1"/>
  <c r="B1624" i="1"/>
  <c r="M1624" i="1" s="1"/>
  <c r="B1625" i="1"/>
  <c r="M1625" i="1" s="1"/>
  <c r="B1626" i="1"/>
  <c r="M1626" i="1" s="1"/>
  <c r="B1627" i="1"/>
  <c r="M1627" i="1" s="1"/>
  <c r="B1628" i="1"/>
  <c r="L1628" i="1" s="1"/>
  <c r="B1629" i="1"/>
  <c r="L1629" i="1" s="1"/>
  <c r="B1630" i="1"/>
  <c r="B1631" i="1"/>
  <c r="M1631" i="1" s="1"/>
  <c r="B1632" i="1"/>
  <c r="M1632" i="1" s="1"/>
  <c r="B1633" i="1"/>
  <c r="M1633" i="1" s="1"/>
  <c r="B1634" i="1"/>
  <c r="M1634" i="1" s="1"/>
  <c r="B1635" i="1"/>
  <c r="M1635" i="1" s="1"/>
  <c r="B1636" i="1"/>
  <c r="L1636" i="1" s="1"/>
  <c r="B1637" i="1"/>
  <c r="B1638" i="1"/>
  <c r="B1639" i="1"/>
  <c r="L1639" i="1" s="1"/>
  <c r="B1640" i="1"/>
  <c r="M1640" i="1" s="1"/>
  <c r="B1641" i="1"/>
  <c r="M1641" i="1" s="1"/>
  <c r="B1642" i="1"/>
  <c r="M1642" i="1" s="1"/>
  <c r="B1643" i="1"/>
  <c r="M1643" i="1" s="1"/>
  <c r="B1644" i="1"/>
  <c r="L1644" i="1" s="1"/>
  <c r="B1645" i="1"/>
  <c r="B1646" i="1"/>
  <c r="B1647" i="1"/>
  <c r="L1647" i="1" s="1"/>
  <c r="B1648" i="1"/>
  <c r="M1648" i="1" s="1"/>
  <c r="B1649" i="1"/>
  <c r="M1649" i="1" s="1"/>
  <c r="B1650" i="1"/>
  <c r="M1650" i="1" s="1"/>
  <c r="B1651" i="1"/>
  <c r="M1651" i="1" s="1"/>
  <c r="B1652" i="1"/>
  <c r="L1652" i="1" s="1"/>
  <c r="B1653" i="1"/>
  <c r="B1654" i="1"/>
  <c r="B1655" i="1"/>
  <c r="L1655" i="1" s="1"/>
  <c r="B1656" i="1"/>
  <c r="M1656" i="1" s="1"/>
  <c r="B1657" i="1"/>
  <c r="M1657" i="1" s="1"/>
  <c r="B1658" i="1"/>
  <c r="M1658" i="1" s="1"/>
  <c r="B1659" i="1"/>
  <c r="M1659" i="1" s="1"/>
  <c r="B1660" i="1"/>
  <c r="L1660" i="1" s="1"/>
  <c r="B1661" i="1"/>
  <c r="B1662" i="1"/>
  <c r="B1663" i="1"/>
  <c r="L1663" i="1" s="1"/>
  <c r="B1664" i="1"/>
  <c r="M1664" i="1" s="1"/>
  <c r="B1665" i="1"/>
  <c r="M1665" i="1" s="1"/>
  <c r="B1666" i="1"/>
  <c r="M1666" i="1" s="1"/>
  <c r="B1667" i="1"/>
  <c r="M1667" i="1" s="1"/>
  <c r="B1668" i="1"/>
  <c r="L1668" i="1" s="1"/>
  <c r="B1669" i="1"/>
  <c r="B1670" i="1"/>
  <c r="B1671" i="1"/>
  <c r="L1671" i="1" s="1"/>
  <c r="B1672" i="1"/>
  <c r="M1672" i="1" s="1"/>
  <c r="B1673" i="1"/>
  <c r="M1673" i="1" s="1"/>
  <c r="B1674" i="1"/>
  <c r="M1674" i="1" s="1"/>
  <c r="B1675" i="1"/>
  <c r="M1675" i="1" s="1"/>
  <c r="B1676" i="1"/>
  <c r="L1676" i="1" s="1"/>
  <c r="B1677" i="1"/>
  <c r="B1678" i="1"/>
  <c r="B1679" i="1"/>
  <c r="L1679" i="1" s="1"/>
  <c r="B1680" i="1"/>
  <c r="M1680" i="1" s="1"/>
  <c r="B1681" i="1"/>
  <c r="M1681" i="1" s="1"/>
  <c r="B1682" i="1"/>
  <c r="M1682" i="1" s="1"/>
  <c r="B1683" i="1"/>
  <c r="M1683" i="1" s="1"/>
  <c r="B1684" i="1"/>
  <c r="L1684" i="1" s="1"/>
  <c r="B1685" i="1"/>
  <c r="B1686" i="1"/>
  <c r="B1687" i="1"/>
  <c r="L1687" i="1" s="1"/>
  <c r="B1688" i="1"/>
  <c r="M1688" i="1" s="1"/>
  <c r="B1689" i="1"/>
  <c r="M1689" i="1" s="1"/>
  <c r="B1690" i="1"/>
  <c r="M1690" i="1" s="1"/>
  <c r="B1691" i="1"/>
  <c r="M1691" i="1" s="1"/>
  <c r="B1692" i="1"/>
  <c r="L1692" i="1" s="1"/>
  <c r="B1693" i="1"/>
  <c r="L1693" i="1" s="1"/>
  <c r="B1694" i="1"/>
  <c r="B1695" i="1"/>
  <c r="L1695" i="1" s="1"/>
  <c r="B1696" i="1"/>
  <c r="M1696" i="1" s="1"/>
  <c r="B1697" i="1"/>
  <c r="M1697" i="1" s="1"/>
  <c r="B1698" i="1"/>
  <c r="M1698" i="1" s="1"/>
  <c r="B1699" i="1"/>
  <c r="M1699" i="1" s="1"/>
  <c r="B1700" i="1"/>
  <c r="L1700" i="1" s="1"/>
  <c r="B1701" i="1"/>
  <c r="B1702" i="1"/>
  <c r="B1703" i="1"/>
  <c r="L1703" i="1" s="1"/>
  <c r="B1704" i="1"/>
  <c r="M1704" i="1" s="1"/>
  <c r="B1705" i="1"/>
  <c r="M1705" i="1" s="1"/>
  <c r="B1706" i="1"/>
  <c r="M1706" i="1" s="1"/>
  <c r="B1707" i="1"/>
  <c r="M1707" i="1" s="1"/>
  <c r="B1708" i="1"/>
  <c r="L1708" i="1" s="1"/>
  <c r="B1709" i="1"/>
  <c r="B1710" i="1"/>
  <c r="B1711" i="1"/>
  <c r="L1711" i="1" s="1"/>
  <c r="B1712" i="1"/>
  <c r="M1712" i="1" s="1"/>
  <c r="B1713" i="1"/>
  <c r="M1713" i="1" s="1"/>
  <c r="B1714" i="1"/>
  <c r="M1714" i="1" s="1"/>
  <c r="B1715" i="1"/>
  <c r="M1715" i="1" s="1"/>
  <c r="B1716" i="1"/>
  <c r="L1716" i="1" s="1"/>
  <c r="B1717" i="1"/>
  <c r="B1718" i="1"/>
  <c r="B1719" i="1"/>
  <c r="L1719" i="1" s="1"/>
  <c r="B1720" i="1"/>
  <c r="M1720" i="1" s="1"/>
  <c r="B1721" i="1"/>
  <c r="M1721" i="1" s="1"/>
  <c r="B1722" i="1"/>
  <c r="L1722" i="1" s="1"/>
  <c r="B1723" i="1"/>
  <c r="M1723" i="1" s="1"/>
  <c r="B1724" i="1"/>
  <c r="L1724" i="1" s="1"/>
  <c r="B1725" i="1"/>
  <c r="B1726" i="1"/>
  <c r="B1727" i="1"/>
  <c r="L1727" i="1" s="1"/>
  <c r="B1728" i="1"/>
  <c r="M1728" i="1" s="1"/>
  <c r="B1729" i="1"/>
  <c r="M1729" i="1" s="1"/>
  <c r="B1730" i="1"/>
  <c r="L1730" i="1" s="1"/>
  <c r="B1731" i="1"/>
  <c r="M1731" i="1" s="1"/>
  <c r="B1732" i="1"/>
  <c r="L1732" i="1" s="1"/>
  <c r="B1733" i="1"/>
  <c r="B1734" i="1"/>
  <c r="B1735" i="1"/>
  <c r="L1735" i="1" s="1"/>
  <c r="B1736" i="1"/>
  <c r="M1736" i="1" s="1"/>
  <c r="B1737" i="1"/>
  <c r="M1737" i="1" s="1"/>
  <c r="B1738" i="1"/>
  <c r="L1738" i="1" s="1"/>
  <c r="B1739" i="1"/>
  <c r="M1739" i="1" s="1"/>
  <c r="B1740" i="1"/>
  <c r="L1740" i="1" s="1"/>
  <c r="B1741" i="1"/>
  <c r="B1742" i="1"/>
  <c r="B1743" i="1"/>
  <c r="L1743" i="1" s="1"/>
  <c r="B1744" i="1"/>
  <c r="M1744" i="1" s="1"/>
  <c r="B1745" i="1"/>
  <c r="M1745" i="1" s="1"/>
  <c r="B1746" i="1"/>
  <c r="L1746" i="1" s="1"/>
  <c r="B1747" i="1"/>
  <c r="M1747" i="1" s="1"/>
  <c r="B1748" i="1"/>
  <c r="L1748" i="1" s="1"/>
  <c r="B1749" i="1"/>
  <c r="B1750" i="1"/>
  <c r="B1751" i="1"/>
  <c r="L1751" i="1" s="1"/>
  <c r="B1752" i="1"/>
  <c r="M1752" i="1" s="1"/>
  <c r="B1753" i="1"/>
  <c r="M1753" i="1" s="1"/>
  <c r="B1754" i="1"/>
  <c r="L1754" i="1" s="1"/>
  <c r="B1755" i="1"/>
  <c r="M1755" i="1" s="1"/>
  <c r="B1756" i="1"/>
  <c r="L1756" i="1" s="1"/>
  <c r="B1757" i="1"/>
  <c r="L1757" i="1" s="1"/>
  <c r="B1758" i="1"/>
  <c r="B1759" i="1"/>
  <c r="L1759" i="1" s="1"/>
  <c r="B1760" i="1"/>
  <c r="M1760" i="1" s="1"/>
  <c r="B1761" i="1"/>
  <c r="M1761" i="1" s="1"/>
  <c r="B1762" i="1"/>
  <c r="L1762" i="1" s="1"/>
  <c r="B1763" i="1"/>
  <c r="M1763" i="1" s="1"/>
  <c r="B1764" i="1"/>
  <c r="L1764" i="1" s="1"/>
  <c r="B1765" i="1"/>
  <c r="B1766" i="1"/>
  <c r="B1767" i="1"/>
  <c r="L1767" i="1" s="1"/>
  <c r="B1768" i="1"/>
  <c r="M1768" i="1" s="1"/>
  <c r="B1769" i="1"/>
  <c r="M1769" i="1" s="1"/>
  <c r="B1770" i="1"/>
  <c r="L1770" i="1" s="1"/>
  <c r="B1771" i="1"/>
  <c r="M1771" i="1" s="1"/>
  <c r="B1772" i="1"/>
  <c r="L1772" i="1" s="1"/>
  <c r="B1773" i="1"/>
  <c r="B1774" i="1"/>
  <c r="B1775" i="1"/>
  <c r="L1775" i="1" s="1"/>
  <c r="B1776" i="1"/>
  <c r="M1776" i="1" s="1"/>
  <c r="B1777" i="1"/>
  <c r="M1777" i="1" s="1"/>
  <c r="B1778" i="1"/>
  <c r="L1778" i="1" s="1"/>
  <c r="B1779" i="1"/>
  <c r="M1779" i="1" s="1"/>
  <c r="B1780" i="1"/>
  <c r="L1780" i="1" s="1"/>
  <c r="B1781" i="1"/>
  <c r="B1782" i="1"/>
  <c r="B1783" i="1"/>
  <c r="L1783" i="1" s="1"/>
  <c r="B1784" i="1"/>
  <c r="M1784" i="1" s="1"/>
  <c r="B1785" i="1"/>
  <c r="M1785" i="1" s="1"/>
  <c r="B1786" i="1"/>
  <c r="L1786" i="1" s="1"/>
  <c r="B1787" i="1"/>
  <c r="M1787" i="1" s="1"/>
  <c r="B1788" i="1"/>
  <c r="L1788" i="1" s="1"/>
  <c r="B1789" i="1"/>
  <c r="B1790" i="1"/>
  <c r="B1791" i="1"/>
  <c r="L1791" i="1" s="1"/>
  <c r="B1792" i="1"/>
  <c r="M1792" i="1" s="1"/>
  <c r="B1793" i="1"/>
  <c r="M1793" i="1" s="1"/>
  <c r="B1794" i="1"/>
  <c r="L1794" i="1" s="1"/>
  <c r="B1795" i="1"/>
  <c r="M1795" i="1" s="1"/>
  <c r="B1796" i="1"/>
  <c r="L1796" i="1" s="1"/>
  <c r="B1797" i="1"/>
  <c r="B1798" i="1"/>
  <c r="B1799" i="1"/>
  <c r="L1799" i="1" s="1"/>
  <c r="B1800" i="1"/>
  <c r="M1800" i="1" s="1"/>
  <c r="B1801" i="1"/>
  <c r="M1801" i="1" s="1"/>
  <c r="B1802" i="1"/>
  <c r="L1802" i="1" s="1"/>
  <c r="B1803" i="1"/>
  <c r="M1803" i="1" s="1"/>
  <c r="B1804" i="1"/>
  <c r="L1804" i="1" s="1"/>
  <c r="B1805" i="1"/>
  <c r="B1806" i="1"/>
  <c r="B1807" i="1"/>
  <c r="L1807" i="1" s="1"/>
  <c r="B1808" i="1"/>
  <c r="M1808" i="1" s="1"/>
  <c r="B1809" i="1"/>
  <c r="M1809" i="1" s="1"/>
  <c r="B1810" i="1"/>
  <c r="L1810" i="1" s="1"/>
  <c r="B1811" i="1"/>
  <c r="M1811" i="1" s="1"/>
  <c r="B1812" i="1"/>
  <c r="L1812" i="1" s="1"/>
  <c r="B1813" i="1"/>
  <c r="B1814" i="1"/>
  <c r="B1815" i="1"/>
  <c r="L1815" i="1" s="1"/>
  <c r="B1816" i="1"/>
  <c r="M1816" i="1" s="1"/>
  <c r="B1817" i="1"/>
  <c r="M1817" i="1" s="1"/>
  <c r="B1818" i="1"/>
  <c r="L1818" i="1" s="1"/>
  <c r="B1819" i="1"/>
  <c r="M1819" i="1" s="1"/>
  <c r="B1820" i="1"/>
  <c r="L1820" i="1" s="1"/>
  <c r="B1821" i="1"/>
  <c r="B1822" i="1"/>
  <c r="B1823" i="1"/>
  <c r="L1823" i="1" s="1"/>
  <c r="B1824" i="1"/>
  <c r="M1824" i="1" s="1"/>
  <c r="B1825" i="1"/>
  <c r="M1825" i="1" s="1"/>
  <c r="B1826" i="1"/>
  <c r="L1826" i="1" s="1"/>
  <c r="B1827" i="1"/>
  <c r="M1827" i="1" s="1"/>
  <c r="B1828" i="1"/>
  <c r="L1828" i="1" s="1"/>
  <c r="B1829" i="1"/>
  <c r="B1830" i="1"/>
  <c r="B1831" i="1"/>
  <c r="L1831" i="1" s="1"/>
  <c r="B1832" i="1"/>
  <c r="M1832" i="1" s="1"/>
  <c r="B1833" i="1"/>
  <c r="M1833" i="1" s="1"/>
  <c r="B1834" i="1"/>
  <c r="B1835" i="1"/>
  <c r="M1835" i="1" s="1"/>
  <c r="B1836" i="1"/>
  <c r="L1836" i="1" s="1"/>
  <c r="B1837" i="1"/>
  <c r="B1838" i="1"/>
  <c r="B1839" i="1"/>
  <c r="L1839" i="1" s="1"/>
  <c r="B1840" i="1"/>
  <c r="M1840" i="1" s="1"/>
  <c r="B1841" i="1"/>
  <c r="M1841" i="1" s="1"/>
  <c r="B1842" i="1"/>
  <c r="B1843" i="1"/>
  <c r="M1843" i="1" s="1"/>
  <c r="B1844" i="1"/>
  <c r="L1844" i="1" s="1"/>
  <c r="B1845" i="1"/>
  <c r="B1846" i="1"/>
  <c r="B1847" i="1"/>
  <c r="L1847" i="1" s="1"/>
  <c r="B1848" i="1"/>
  <c r="M1848" i="1" s="1"/>
  <c r="B1849" i="1"/>
  <c r="M1849" i="1" s="1"/>
  <c r="B1850" i="1"/>
  <c r="L1850" i="1" s="1"/>
  <c r="B1851" i="1"/>
  <c r="M1851" i="1" s="1"/>
  <c r="B1852" i="1"/>
  <c r="L1852" i="1" s="1"/>
  <c r="B1853" i="1"/>
  <c r="B1854" i="1"/>
  <c r="B1855" i="1"/>
  <c r="L1855" i="1" s="1"/>
  <c r="B1856" i="1"/>
  <c r="M1856" i="1" s="1"/>
  <c r="B1857" i="1"/>
  <c r="M1857" i="1" s="1"/>
  <c r="B1858" i="1"/>
  <c r="B1859" i="1"/>
  <c r="M1859" i="1" s="1"/>
  <c r="B1860" i="1"/>
  <c r="L1860" i="1" s="1"/>
  <c r="B1861" i="1"/>
  <c r="B1862" i="1"/>
  <c r="B1863" i="1"/>
  <c r="L1863" i="1" s="1"/>
  <c r="B1864" i="1"/>
  <c r="M1864" i="1" s="1"/>
  <c r="B1865" i="1"/>
  <c r="M1865" i="1" s="1"/>
  <c r="B1866" i="1"/>
  <c r="B1867" i="1"/>
  <c r="M1867" i="1" s="1"/>
  <c r="B1868" i="1"/>
  <c r="L1868" i="1" s="1"/>
  <c r="B1869" i="1"/>
  <c r="B1870" i="1"/>
  <c r="B1871" i="1"/>
  <c r="L1871" i="1" s="1"/>
  <c r="B1872" i="1"/>
  <c r="M1872" i="1" s="1"/>
  <c r="B1873" i="1"/>
  <c r="M1873" i="1" s="1"/>
  <c r="B1874" i="1"/>
  <c r="B1875" i="1"/>
  <c r="M1875" i="1" s="1"/>
  <c r="B1876" i="1"/>
  <c r="L1876" i="1" s="1"/>
  <c r="B1877" i="1"/>
  <c r="B1878" i="1"/>
  <c r="B1879" i="1"/>
  <c r="L1879" i="1" s="1"/>
  <c r="B1880" i="1"/>
  <c r="M1880" i="1" s="1"/>
  <c r="B1881" i="1"/>
  <c r="M1881" i="1" s="1"/>
  <c r="B1882" i="1"/>
  <c r="L1882" i="1" s="1"/>
  <c r="B1883" i="1"/>
  <c r="M1883" i="1" s="1"/>
  <c r="B1884" i="1"/>
  <c r="L1884" i="1" s="1"/>
  <c r="B1885" i="1"/>
  <c r="B1886" i="1"/>
  <c r="B1887" i="1"/>
  <c r="L1887" i="1" s="1"/>
  <c r="B1888" i="1"/>
  <c r="M1888" i="1" s="1"/>
  <c r="B1889" i="1"/>
  <c r="M1889" i="1" s="1"/>
  <c r="B1890" i="1"/>
  <c r="B1891" i="1"/>
  <c r="M1891" i="1" s="1"/>
  <c r="B1892" i="1"/>
  <c r="L1892" i="1" s="1"/>
  <c r="B1893" i="1"/>
  <c r="B1894" i="1"/>
  <c r="B1895" i="1"/>
  <c r="L1895" i="1" s="1"/>
  <c r="B1896" i="1"/>
  <c r="M1896" i="1" s="1"/>
  <c r="B1897" i="1"/>
  <c r="M1897" i="1" s="1"/>
  <c r="B1898" i="1"/>
  <c r="B1899" i="1"/>
  <c r="M1899" i="1" s="1"/>
  <c r="B1900" i="1"/>
  <c r="L1900" i="1" s="1"/>
  <c r="B1901" i="1"/>
  <c r="B1902" i="1"/>
  <c r="B1903" i="1"/>
  <c r="L1903" i="1" s="1"/>
  <c r="B1904" i="1"/>
  <c r="M1904" i="1" s="1"/>
  <c r="B1905" i="1"/>
  <c r="M1905" i="1" s="1"/>
  <c r="B1906" i="1"/>
  <c r="B1907" i="1"/>
  <c r="M1907" i="1" s="1"/>
  <c r="B1908" i="1"/>
  <c r="L1908" i="1" s="1"/>
  <c r="B1909" i="1"/>
  <c r="B1910" i="1"/>
  <c r="B1911" i="1"/>
  <c r="L1911" i="1" s="1"/>
  <c r="B1912" i="1"/>
  <c r="M1912" i="1" s="1"/>
  <c r="B1913" i="1"/>
  <c r="M1913" i="1" s="1"/>
  <c r="B1914" i="1"/>
  <c r="L1914" i="1" s="1"/>
  <c r="B1915" i="1"/>
  <c r="L1915" i="1" s="1"/>
  <c r="B1916" i="1"/>
  <c r="L1916" i="1" s="1"/>
  <c r="B1917" i="1"/>
  <c r="B1918" i="1"/>
  <c r="B1919" i="1"/>
  <c r="L1919" i="1" s="1"/>
  <c r="B1920" i="1"/>
  <c r="M1920" i="1" s="1"/>
  <c r="B1921" i="1"/>
  <c r="M1921" i="1" s="1"/>
  <c r="B1922" i="1"/>
  <c r="B1923" i="1"/>
  <c r="L1923" i="1" s="1"/>
  <c r="B1924" i="1"/>
  <c r="L1924" i="1" s="1"/>
  <c r="B1925" i="1"/>
  <c r="B1926" i="1"/>
  <c r="B1927" i="1"/>
  <c r="L1927" i="1" s="1"/>
  <c r="B1928" i="1"/>
  <c r="M1928" i="1" s="1"/>
  <c r="B1929" i="1"/>
  <c r="M1929" i="1" s="1"/>
  <c r="B1930" i="1"/>
  <c r="B1931" i="1"/>
  <c r="L1931" i="1" s="1"/>
  <c r="B1932" i="1"/>
  <c r="L1932" i="1" s="1"/>
  <c r="B1933" i="1"/>
  <c r="B1934" i="1"/>
  <c r="B1935" i="1"/>
  <c r="L1935" i="1" s="1"/>
  <c r="B1936" i="1"/>
  <c r="M1936" i="1" s="1"/>
  <c r="B1937" i="1"/>
  <c r="M1937" i="1" s="1"/>
  <c r="B1938" i="1"/>
  <c r="B1939" i="1"/>
  <c r="L1939" i="1" s="1"/>
  <c r="B1940" i="1"/>
  <c r="L1940" i="1" s="1"/>
  <c r="B1941" i="1"/>
  <c r="B1942" i="1"/>
  <c r="B1943" i="1"/>
  <c r="L1943" i="1" s="1"/>
  <c r="B1944" i="1"/>
  <c r="M1944" i="1" s="1"/>
  <c r="B1945" i="1"/>
  <c r="M1945" i="1" s="1"/>
  <c r="B1946" i="1"/>
  <c r="B1947" i="1"/>
  <c r="L1947" i="1" s="1"/>
  <c r="B1948" i="1"/>
  <c r="L1948" i="1" s="1"/>
  <c r="B1949" i="1"/>
  <c r="B1950" i="1"/>
  <c r="B1951" i="1"/>
  <c r="L1951" i="1" s="1"/>
  <c r="B1952" i="1"/>
  <c r="M1952" i="1" s="1"/>
  <c r="B1953" i="1"/>
  <c r="M1953" i="1" s="1"/>
  <c r="B1954" i="1"/>
  <c r="B1955" i="1"/>
  <c r="L1955" i="1" s="1"/>
  <c r="B1956" i="1"/>
  <c r="L1956" i="1" s="1"/>
  <c r="B1957" i="1"/>
  <c r="B1958" i="1"/>
  <c r="B1959" i="1"/>
  <c r="L1959" i="1" s="1"/>
  <c r="B1960" i="1"/>
  <c r="M1960" i="1" s="1"/>
  <c r="B1961" i="1"/>
  <c r="M1961" i="1" s="1"/>
  <c r="B1962" i="1"/>
  <c r="B1963" i="1"/>
  <c r="L1963" i="1" s="1"/>
  <c r="B1964" i="1"/>
  <c r="L1964" i="1" s="1"/>
  <c r="B1965" i="1"/>
  <c r="B1966" i="1"/>
  <c r="B1967" i="1"/>
  <c r="L1967" i="1" s="1"/>
  <c r="B1968" i="1"/>
  <c r="M1968" i="1" s="1"/>
  <c r="B1969" i="1"/>
  <c r="M1969" i="1" s="1"/>
  <c r="B1970" i="1"/>
  <c r="B1971" i="1"/>
  <c r="L1971" i="1" s="1"/>
  <c r="B1972" i="1"/>
  <c r="L1972" i="1" s="1"/>
  <c r="B1973" i="1"/>
  <c r="B1974" i="1"/>
  <c r="B1975" i="1"/>
  <c r="L1975" i="1" s="1"/>
  <c r="B1976" i="1"/>
  <c r="M1976" i="1" s="1"/>
  <c r="B1977" i="1"/>
  <c r="M1977" i="1" s="1"/>
  <c r="B1978" i="1"/>
  <c r="B1979" i="1"/>
  <c r="L1979" i="1" s="1"/>
  <c r="B1980" i="1"/>
  <c r="L1980" i="1" s="1"/>
  <c r="B1981" i="1"/>
  <c r="B1982" i="1"/>
  <c r="B1983" i="1"/>
  <c r="L1983" i="1" s="1"/>
  <c r="B1984" i="1"/>
  <c r="M1984" i="1" s="1"/>
  <c r="B1985" i="1"/>
  <c r="M1985" i="1" s="1"/>
  <c r="B1986" i="1"/>
  <c r="B1987" i="1"/>
  <c r="L1987" i="1" s="1"/>
  <c r="B1988" i="1"/>
  <c r="L1988" i="1" s="1"/>
  <c r="B1989" i="1"/>
  <c r="B1990" i="1"/>
  <c r="B1991" i="1"/>
  <c r="L1991" i="1" s="1"/>
  <c r="B1992" i="1"/>
  <c r="M1992" i="1" s="1"/>
  <c r="B1993" i="1"/>
  <c r="M1993" i="1" s="1"/>
  <c r="B1994" i="1"/>
  <c r="B1995" i="1"/>
  <c r="L1995" i="1" s="1"/>
  <c r="B1996" i="1"/>
  <c r="L1996" i="1" s="1"/>
  <c r="B1997" i="1"/>
  <c r="B1998" i="1"/>
  <c r="B1999" i="1"/>
  <c r="L1999" i="1" s="1"/>
  <c r="B2000" i="1"/>
  <c r="M2000" i="1" s="1"/>
  <c r="B2001" i="1"/>
  <c r="M2001" i="1" s="1"/>
  <c r="B2002" i="1"/>
  <c r="B2003" i="1"/>
  <c r="L2003" i="1" s="1"/>
  <c r="B2004" i="1"/>
  <c r="L2004" i="1" s="1"/>
  <c r="B2005" i="1"/>
  <c r="B2006" i="1"/>
  <c r="B2007" i="1"/>
  <c r="L2007" i="1" s="1"/>
  <c r="B2008" i="1"/>
  <c r="M2008" i="1" s="1"/>
  <c r="B2009" i="1"/>
  <c r="M2009" i="1" s="1"/>
  <c r="B2010" i="1"/>
  <c r="B2011" i="1"/>
  <c r="L2011" i="1" s="1"/>
  <c r="B2012" i="1"/>
  <c r="L2012" i="1" s="1"/>
  <c r="B2013" i="1"/>
  <c r="B2014" i="1"/>
  <c r="B2015" i="1"/>
  <c r="L2015" i="1" s="1"/>
  <c r="B2016" i="1"/>
  <c r="M2016" i="1" s="1"/>
  <c r="B2017" i="1"/>
  <c r="M2017" i="1" s="1"/>
  <c r="B2018" i="1"/>
  <c r="B2019" i="1"/>
  <c r="L2019" i="1" s="1"/>
  <c r="B2020" i="1"/>
  <c r="L2020" i="1" s="1"/>
  <c r="B2021" i="1"/>
  <c r="B2022" i="1"/>
  <c r="B2023" i="1"/>
  <c r="L2023" i="1" s="1"/>
  <c r="B2024" i="1"/>
  <c r="M2024" i="1" s="1"/>
  <c r="B2025" i="1"/>
  <c r="M2025" i="1" s="1"/>
  <c r="B2026" i="1"/>
  <c r="B2027" i="1"/>
  <c r="L2027" i="1" s="1"/>
  <c r="B2028" i="1"/>
  <c r="L2028" i="1" s="1"/>
  <c r="B2029" i="1"/>
  <c r="B2030" i="1"/>
  <c r="B2031" i="1"/>
  <c r="L2031" i="1" s="1"/>
  <c r="B2032" i="1"/>
  <c r="M2032" i="1" s="1"/>
  <c r="B2033" i="1"/>
  <c r="M2033" i="1" s="1"/>
  <c r="B2034" i="1"/>
  <c r="B2035" i="1"/>
  <c r="L2035" i="1" s="1"/>
  <c r="B2036" i="1"/>
  <c r="L2036" i="1" s="1"/>
  <c r="B2037" i="1"/>
  <c r="B2038" i="1"/>
  <c r="B2039" i="1"/>
  <c r="L2039" i="1" s="1"/>
  <c r="B2040" i="1"/>
  <c r="M2040" i="1" s="1"/>
  <c r="B2041" i="1"/>
  <c r="M2041" i="1" s="1"/>
  <c r="B2042" i="1"/>
  <c r="B2043" i="1"/>
  <c r="L2043" i="1" s="1"/>
  <c r="B2044" i="1"/>
  <c r="L2044" i="1" s="1"/>
  <c r="B2045" i="1"/>
  <c r="B2046" i="1"/>
  <c r="B2047" i="1"/>
  <c r="L2047" i="1" s="1"/>
  <c r="B2048" i="1"/>
  <c r="M2048" i="1" s="1"/>
  <c r="B2049" i="1"/>
  <c r="M2049" i="1" s="1"/>
  <c r="B2050" i="1"/>
  <c r="B2051" i="1"/>
  <c r="L2051" i="1" s="1"/>
  <c r="B2052" i="1"/>
  <c r="L2052" i="1" s="1"/>
  <c r="B2053" i="1"/>
  <c r="B2054" i="1"/>
  <c r="B2055" i="1"/>
  <c r="L2055" i="1" s="1"/>
  <c r="B2056" i="1"/>
  <c r="M2056" i="1" s="1"/>
  <c r="B2057" i="1"/>
  <c r="M2057" i="1" s="1"/>
  <c r="B2058" i="1"/>
  <c r="B2059" i="1"/>
  <c r="L2059" i="1" s="1"/>
  <c r="B2060" i="1"/>
  <c r="L2060" i="1" s="1"/>
  <c r="B2061" i="1"/>
  <c r="B2062" i="1"/>
  <c r="B2063" i="1"/>
  <c r="L2063" i="1" s="1"/>
  <c r="B2064" i="1"/>
  <c r="M2064" i="1" s="1"/>
  <c r="B2065" i="1"/>
  <c r="M2065" i="1" s="1"/>
  <c r="B2066" i="1"/>
  <c r="B2067" i="1"/>
  <c r="L2067" i="1" s="1"/>
  <c r="B2068" i="1"/>
  <c r="L2068" i="1" s="1"/>
  <c r="B2069" i="1"/>
  <c r="B2070" i="1"/>
  <c r="B2071" i="1"/>
  <c r="L2071" i="1" s="1"/>
  <c r="B2072" i="1"/>
  <c r="M2072" i="1" s="1"/>
  <c r="B2073" i="1"/>
  <c r="M2073" i="1" s="1"/>
  <c r="B2074" i="1"/>
  <c r="B2075" i="1"/>
  <c r="L2075" i="1" s="1"/>
  <c r="B2076" i="1"/>
  <c r="L2076" i="1" s="1"/>
  <c r="B2077" i="1"/>
  <c r="B2078" i="1"/>
  <c r="B2079" i="1"/>
  <c r="L2079" i="1" s="1"/>
  <c r="B2080" i="1"/>
  <c r="M2080" i="1" s="1"/>
  <c r="B2081" i="1"/>
  <c r="M2081" i="1" s="1"/>
  <c r="B2082" i="1"/>
  <c r="B2083" i="1"/>
  <c r="L2083" i="1" s="1"/>
  <c r="B2084" i="1"/>
  <c r="L2084" i="1" s="1"/>
  <c r="B2085" i="1"/>
  <c r="B2086" i="1"/>
  <c r="B2087" i="1"/>
  <c r="L2087" i="1" s="1"/>
  <c r="B2088" i="1"/>
  <c r="M2088" i="1" s="1"/>
  <c r="B2089" i="1"/>
  <c r="M2089" i="1" s="1"/>
  <c r="B2090" i="1"/>
  <c r="B2091" i="1"/>
  <c r="L2091" i="1" s="1"/>
  <c r="B2092" i="1"/>
  <c r="L2092" i="1" s="1"/>
  <c r="B2093" i="1"/>
  <c r="B2094" i="1"/>
  <c r="B2095" i="1"/>
  <c r="L2095" i="1" s="1"/>
  <c r="B2096" i="1"/>
  <c r="M2096" i="1" s="1"/>
  <c r="B2097" i="1"/>
  <c r="M2097" i="1" s="1"/>
  <c r="B2098" i="1"/>
  <c r="B2099" i="1"/>
  <c r="L2099" i="1" s="1"/>
  <c r="B2100" i="1"/>
  <c r="L2100" i="1" s="1"/>
  <c r="B2101" i="1"/>
  <c r="B2102" i="1"/>
  <c r="B2103" i="1"/>
  <c r="L2103" i="1" s="1"/>
  <c r="B2104" i="1"/>
  <c r="M2104" i="1" s="1"/>
  <c r="B2105" i="1"/>
  <c r="M2105" i="1" s="1"/>
  <c r="B2106" i="1"/>
  <c r="B2107" i="1"/>
  <c r="L2107" i="1" s="1"/>
  <c r="B2108" i="1"/>
  <c r="L2108" i="1" s="1"/>
  <c r="B2109" i="1"/>
  <c r="B2110" i="1"/>
  <c r="B2111" i="1"/>
  <c r="L2111" i="1" s="1"/>
  <c r="B2112" i="1"/>
  <c r="M2112" i="1" s="1"/>
  <c r="B2113" i="1"/>
  <c r="M2113" i="1" s="1"/>
  <c r="B2114" i="1"/>
  <c r="B2115" i="1"/>
  <c r="L2115" i="1" s="1"/>
  <c r="B2116" i="1"/>
  <c r="L2116" i="1" s="1"/>
  <c r="B2117" i="1"/>
  <c r="B2118" i="1"/>
  <c r="B2119" i="1"/>
  <c r="L2119" i="1" s="1"/>
  <c r="B2120" i="1"/>
  <c r="M2120" i="1" s="1"/>
  <c r="B2121" i="1"/>
  <c r="M2121" i="1" s="1"/>
  <c r="B2122" i="1"/>
  <c r="B2123" i="1"/>
  <c r="L2123" i="1" s="1"/>
  <c r="B2124" i="1"/>
  <c r="L2124" i="1" s="1"/>
  <c r="B2125" i="1"/>
  <c r="B2126" i="1"/>
  <c r="B2127" i="1"/>
  <c r="L2127" i="1" s="1"/>
  <c r="B2128" i="1"/>
  <c r="M2128" i="1" s="1"/>
  <c r="B2129" i="1"/>
  <c r="M2129" i="1" s="1"/>
  <c r="B2130" i="1"/>
  <c r="B2131" i="1"/>
  <c r="L2131" i="1" s="1"/>
  <c r="B2132" i="1"/>
  <c r="L2132" i="1" s="1"/>
  <c r="B2133" i="1"/>
  <c r="B2134" i="1"/>
  <c r="B2135" i="1"/>
  <c r="L2135" i="1" s="1"/>
  <c r="B2136" i="1"/>
  <c r="M2136" i="1" s="1"/>
  <c r="B2137" i="1"/>
  <c r="M2137" i="1" s="1"/>
  <c r="B2138" i="1"/>
  <c r="B2139" i="1"/>
  <c r="L2139" i="1" s="1"/>
  <c r="B2140" i="1"/>
  <c r="L2140" i="1" s="1"/>
  <c r="B2141" i="1"/>
  <c r="B2142" i="1"/>
  <c r="B2143" i="1"/>
  <c r="L2143" i="1" s="1"/>
  <c r="B2144" i="1"/>
  <c r="M2144" i="1" s="1"/>
  <c r="B2145" i="1"/>
  <c r="M2145" i="1" s="1"/>
  <c r="B2146" i="1"/>
  <c r="B2147" i="1"/>
  <c r="L2147" i="1" s="1"/>
  <c r="B2148" i="1"/>
  <c r="L2148" i="1" s="1"/>
  <c r="B2149" i="1"/>
  <c r="B2150" i="1"/>
  <c r="B2151" i="1"/>
  <c r="L2151" i="1" s="1"/>
  <c r="B2152" i="1"/>
  <c r="M2152" i="1" s="1"/>
  <c r="B2153" i="1"/>
  <c r="M2153" i="1" s="1"/>
  <c r="B2154" i="1"/>
  <c r="B2155" i="1"/>
  <c r="L2155" i="1" s="1"/>
  <c r="B2156" i="1"/>
  <c r="L2156" i="1" s="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K510" i="1" s="1"/>
  <c r="J511" i="1"/>
  <c r="K511" i="1" s="1"/>
  <c r="J512" i="1"/>
  <c r="K512" i="1" s="1"/>
  <c r="J513" i="1"/>
  <c r="K513" i="1" s="1"/>
  <c r="J514" i="1"/>
  <c r="K514" i="1" s="1"/>
  <c r="J515" i="1"/>
  <c r="K515" i="1" s="1"/>
  <c r="J516" i="1"/>
  <c r="K516" i="1" s="1"/>
  <c r="J517" i="1"/>
  <c r="K517" i="1" s="1"/>
  <c r="J518" i="1"/>
  <c r="K518" i="1" s="1"/>
  <c r="J519" i="1"/>
  <c r="K519"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K554" i="1" s="1"/>
  <c r="J555" i="1"/>
  <c r="K555" i="1" s="1"/>
  <c r="J556" i="1"/>
  <c r="K556" i="1" s="1"/>
  <c r="J557" i="1"/>
  <c r="K557" i="1" s="1"/>
  <c r="J558" i="1"/>
  <c r="K558" i="1" s="1"/>
  <c r="J559" i="1"/>
  <c r="K559" i="1" s="1"/>
  <c r="J560" i="1"/>
  <c r="K560" i="1" s="1"/>
  <c r="J561" i="1"/>
  <c r="K561" i="1" s="1"/>
  <c r="J562" i="1"/>
  <c r="K562" i="1" s="1"/>
  <c r="J563" i="1"/>
  <c r="K563"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 r="J602" i="1"/>
  <c r="K602" i="1" s="1"/>
  <c r="J603" i="1"/>
  <c r="K603" i="1" s="1"/>
  <c r="J604" i="1"/>
  <c r="K604" i="1" s="1"/>
  <c r="J605" i="1"/>
  <c r="K605" i="1" s="1"/>
  <c r="J606" i="1"/>
  <c r="K606" i="1" s="1"/>
  <c r="J607" i="1"/>
  <c r="K607" i="1" s="1"/>
  <c r="J608" i="1"/>
  <c r="K608" i="1" s="1"/>
  <c r="J609" i="1"/>
  <c r="K609" i="1" s="1"/>
  <c r="J610" i="1"/>
  <c r="K610" i="1" s="1"/>
  <c r="J611" i="1"/>
  <c r="K611" i="1" s="1"/>
  <c r="J612" i="1"/>
  <c r="K612" i="1" s="1"/>
  <c r="J613" i="1"/>
  <c r="K613" i="1" s="1"/>
  <c r="J614" i="1"/>
  <c r="K614" i="1" s="1"/>
  <c r="J615" i="1"/>
  <c r="K615" i="1" s="1"/>
  <c r="J616" i="1"/>
  <c r="K616" i="1" s="1"/>
  <c r="J617" i="1"/>
  <c r="K617" i="1" s="1"/>
  <c r="J618" i="1"/>
  <c r="K618" i="1" s="1"/>
  <c r="J619" i="1"/>
  <c r="K619" i="1" s="1"/>
  <c r="J620" i="1"/>
  <c r="K620" i="1" s="1"/>
  <c r="J621" i="1"/>
  <c r="K621" i="1" s="1"/>
  <c r="J622" i="1"/>
  <c r="K622" i="1" s="1"/>
  <c r="J623" i="1"/>
  <c r="K623" i="1" s="1"/>
  <c r="J624" i="1"/>
  <c r="K624" i="1" s="1"/>
  <c r="J625" i="1"/>
  <c r="K625" i="1" s="1"/>
  <c r="J626" i="1"/>
  <c r="K626" i="1" s="1"/>
  <c r="J627" i="1"/>
  <c r="K627" i="1" s="1"/>
  <c r="J628" i="1"/>
  <c r="K628" i="1" s="1"/>
  <c r="J629" i="1"/>
  <c r="K629" i="1" s="1"/>
  <c r="J630" i="1"/>
  <c r="K630" i="1" s="1"/>
  <c r="J631" i="1"/>
  <c r="K631" i="1" s="1"/>
  <c r="J632" i="1"/>
  <c r="K632" i="1" s="1"/>
  <c r="J633" i="1"/>
  <c r="K633" i="1" s="1"/>
  <c r="J634" i="1"/>
  <c r="K634" i="1" s="1"/>
  <c r="J635" i="1"/>
  <c r="K635" i="1" s="1"/>
  <c r="J636" i="1"/>
  <c r="K636" i="1" s="1"/>
  <c r="J637" i="1"/>
  <c r="K637" i="1" s="1"/>
  <c r="J638" i="1"/>
  <c r="K638" i="1" s="1"/>
  <c r="J639" i="1"/>
  <c r="K639" i="1" s="1"/>
  <c r="J640" i="1"/>
  <c r="K640" i="1" s="1"/>
  <c r="J641" i="1"/>
  <c r="K641" i="1" s="1"/>
  <c r="J642" i="1"/>
  <c r="K642" i="1" s="1"/>
  <c r="J643" i="1"/>
  <c r="K643" i="1" s="1"/>
  <c r="J644" i="1"/>
  <c r="K644" i="1" s="1"/>
  <c r="J645" i="1"/>
  <c r="K645" i="1" s="1"/>
  <c r="J646" i="1"/>
  <c r="K646" i="1" s="1"/>
  <c r="J647" i="1"/>
  <c r="K647" i="1" s="1"/>
  <c r="J648" i="1"/>
  <c r="K648" i="1" s="1"/>
  <c r="J649" i="1"/>
  <c r="K649" i="1" s="1"/>
  <c r="J650" i="1"/>
  <c r="K650" i="1" s="1"/>
  <c r="J651" i="1"/>
  <c r="K651" i="1" s="1"/>
  <c r="J652" i="1"/>
  <c r="K652" i="1" s="1"/>
  <c r="J653" i="1"/>
  <c r="K653" i="1" s="1"/>
  <c r="J654" i="1"/>
  <c r="K654" i="1" s="1"/>
  <c r="J655" i="1"/>
  <c r="K655" i="1" s="1"/>
  <c r="J656" i="1"/>
  <c r="K656" i="1" s="1"/>
  <c r="J657" i="1"/>
  <c r="K657" i="1" s="1"/>
  <c r="J658" i="1"/>
  <c r="K658" i="1" s="1"/>
  <c r="J659" i="1"/>
  <c r="K659" i="1" s="1"/>
  <c r="J660" i="1"/>
  <c r="K660" i="1" s="1"/>
  <c r="J661" i="1"/>
  <c r="K661" i="1" s="1"/>
  <c r="J662" i="1"/>
  <c r="K662" i="1" s="1"/>
  <c r="J663" i="1"/>
  <c r="K663" i="1" s="1"/>
  <c r="J664" i="1"/>
  <c r="K664" i="1" s="1"/>
  <c r="J665" i="1"/>
  <c r="K665" i="1" s="1"/>
  <c r="J666" i="1"/>
  <c r="K666" i="1" s="1"/>
  <c r="J667" i="1"/>
  <c r="K667" i="1" s="1"/>
  <c r="J668" i="1"/>
  <c r="K668" i="1" s="1"/>
  <c r="J669" i="1"/>
  <c r="K669" i="1" s="1"/>
  <c r="J670" i="1"/>
  <c r="K670" i="1" s="1"/>
  <c r="J671" i="1"/>
  <c r="K671" i="1" s="1"/>
  <c r="J672" i="1"/>
  <c r="K672" i="1" s="1"/>
  <c r="J673" i="1"/>
  <c r="K673" i="1" s="1"/>
  <c r="J674" i="1"/>
  <c r="K674" i="1" s="1"/>
  <c r="J675" i="1"/>
  <c r="K675" i="1" s="1"/>
  <c r="J676" i="1"/>
  <c r="K676" i="1" s="1"/>
  <c r="J677" i="1"/>
  <c r="K677" i="1" s="1"/>
  <c r="J678" i="1"/>
  <c r="K678" i="1" s="1"/>
  <c r="J679" i="1"/>
  <c r="K679" i="1" s="1"/>
  <c r="J680" i="1"/>
  <c r="K680" i="1" s="1"/>
  <c r="J681" i="1"/>
  <c r="K681" i="1" s="1"/>
  <c r="J682" i="1"/>
  <c r="K682" i="1" s="1"/>
  <c r="J683" i="1"/>
  <c r="K683" i="1" s="1"/>
  <c r="J684" i="1"/>
  <c r="K684" i="1" s="1"/>
  <c r="J685" i="1"/>
  <c r="K685" i="1" s="1"/>
  <c r="J686" i="1"/>
  <c r="K686" i="1" s="1"/>
  <c r="J687" i="1"/>
  <c r="K687" i="1" s="1"/>
  <c r="J688" i="1"/>
  <c r="K688" i="1" s="1"/>
  <c r="J689" i="1"/>
  <c r="K689" i="1" s="1"/>
  <c r="J690" i="1"/>
  <c r="K690" i="1" s="1"/>
  <c r="J691" i="1"/>
  <c r="K691" i="1" s="1"/>
  <c r="J692" i="1"/>
  <c r="K692" i="1" s="1"/>
  <c r="J693" i="1"/>
  <c r="K693" i="1" s="1"/>
  <c r="J694" i="1"/>
  <c r="K694" i="1" s="1"/>
  <c r="J695" i="1"/>
  <c r="K695" i="1" s="1"/>
  <c r="J696" i="1"/>
  <c r="K696" i="1" s="1"/>
  <c r="J697" i="1"/>
  <c r="K697" i="1" s="1"/>
  <c r="J698" i="1"/>
  <c r="K698" i="1" s="1"/>
  <c r="J699" i="1"/>
  <c r="K699" i="1" s="1"/>
  <c r="J700" i="1"/>
  <c r="K700" i="1" s="1"/>
  <c r="J701" i="1"/>
  <c r="K701" i="1" s="1"/>
  <c r="J702" i="1"/>
  <c r="K702" i="1" s="1"/>
  <c r="J703" i="1"/>
  <c r="K703" i="1" s="1"/>
  <c r="J704" i="1"/>
  <c r="K704" i="1" s="1"/>
  <c r="J705" i="1"/>
  <c r="K705" i="1" s="1"/>
  <c r="J706" i="1"/>
  <c r="K706" i="1" s="1"/>
  <c r="J707" i="1"/>
  <c r="K707" i="1" s="1"/>
  <c r="J708" i="1"/>
  <c r="K708" i="1" s="1"/>
  <c r="J709" i="1"/>
  <c r="K709" i="1" s="1"/>
  <c r="J710" i="1"/>
  <c r="K710" i="1" s="1"/>
  <c r="J711" i="1"/>
  <c r="K711" i="1" s="1"/>
  <c r="J712" i="1"/>
  <c r="K712" i="1" s="1"/>
  <c r="J713" i="1"/>
  <c r="K713" i="1" s="1"/>
  <c r="J714" i="1"/>
  <c r="K714" i="1" s="1"/>
  <c r="J715" i="1"/>
  <c r="K715" i="1" s="1"/>
  <c r="J716" i="1"/>
  <c r="K716" i="1" s="1"/>
  <c r="J717" i="1"/>
  <c r="K717" i="1" s="1"/>
  <c r="J718" i="1"/>
  <c r="K718" i="1" s="1"/>
  <c r="J719" i="1"/>
  <c r="K719" i="1" s="1"/>
  <c r="J720" i="1"/>
  <c r="K720" i="1" s="1"/>
  <c r="J721" i="1"/>
  <c r="K721" i="1" s="1"/>
  <c r="J722" i="1"/>
  <c r="K722" i="1" s="1"/>
  <c r="J723" i="1"/>
  <c r="K723" i="1" s="1"/>
  <c r="J724" i="1"/>
  <c r="K724" i="1" s="1"/>
  <c r="J725" i="1"/>
  <c r="K725" i="1" s="1"/>
  <c r="J726" i="1"/>
  <c r="K726" i="1" s="1"/>
  <c r="J727" i="1"/>
  <c r="K727" i="1" s="1"/>
  <c r="J728" i="1"/>
  <c r="K728" i="1" s="1"/>
  <c r="J729" i="1"/>
  <c r="K729" i="1" s="1"/>
  <c r="J730" i="1"/>
  <c r="K730" i="1" s="1"/>
  <c r="J731" i="1"/>
  <c r="K731" i="1" s="1"/>
  <c r="J732" i="1"/>
  <c r="K732" i="1" s="1"/>
  <c r="J733" i="1"/>
  <c r="K733" i="1" s="1"/>
  <c r="J734" i="1"/>
  <c r="K734" i="1" s="1"/>
  <c r="J735" i="1"/>
  <c r="K735" i="1" s="1"/>
  <c r="J736" i="1"/>
  <c r="K736" i="1" s="1"/>
  <c r="J737" i="1"/>
  <c r="K737" i="1" s="1"/>
  <c r="J738" i="1"/>
  <c r="K738" i="1" s="1"/>
  <c r="J739" i="1"/>
  <c r="K739" i="1" s="1"/>
  <c r="J740" i="1"/>
  <c r="K740" i="1" s="1"/>
  <c r="J741" i="1"/>
  <c r="K741" i="1" s="1"/>
  <c r="J742" i="1"/>
  <c r="K742" i="1" s="1"/>
  <c r="J743" i="1"/>
  <c r="K743" i="1" s="1"/>
  <c r="J744" i="1"/>
  <c r="K744" i="1" s="1"/>
  <c r="J745" i="1"/>
  <c r="K745" i="1" s="1"/>
  <c r="J746" i="1"/>
  <c r="K746" i="1" s="1"/>
  <c r="J747" i="1"/>
  <c r="K747" i="1" s="1"/>
  <c r="J748" i="1"/>
  <c r="K748" i="1" s="1"/>
  <c r="J749" i="1"/>
  <c r="K749" i="1" s="1"/>
  <c r="J750" i="1"/>
  <c r="K750" i="1" s="1"/>
  <c r="J751" i="1"/>
  <c r="K751" i="1" s="1"/>
  <c r="J752" i="1"/>
  <c r="K752" i="1" s="1"/>
  <c r="J753" i="1"/>
  <c r="K753" i="1" s="1"/>
  <c r="J754" i="1"/>
  <c r="K754" i="1" s="1"/>
  <c r="J755" i="1"/>
  <c r="K755" i="1" s="1"/>
  <c r="J756" i="1"/>
  <c r="K756" i="1" s="1"/>
  <c r="J757" i="1"/>
  <c r="K757" i="1" s="1"/>
  <c r="J758" i="1"/>
  <c r="K758" i="1" s="1"/>
  <c r="J759" i="1"/>
  <c r="K759" i="1" s="1"/>
  <c r="J760" i="1"/>
  <c r="K760" i="1" s="1"/>
  <c r="J761" i="1"/>
  <c r="K761" i="1" s="1"/>
  <c r="J762" i="1"/>
  <c r="K762" i="1" s="1"/>
  <c r="J763" i="1"/>
  <c r="K763" i="1" s="1"/>
  <c r="J764" i="1"/>
  <c r="K764" i="1" s="1"/>
  <c r="J765" i="1"/>
  <c r="K765" i="1" s="1"/>
  <c r="J766" i="1"/>
  <c r="K766" i="1" s="1"/>
  <c r="J767" i="1"/>
  <c r="K767" i="1" s="1"/>
  <c r="J768" i="1"/>
  <c r="K768" i="1" s="1"/>
  <c r="J769" i="1"/>
  <c r="K769" i="1" s="1"/>
  <c r="J770" i="1"/>
  <c r="K770" i="1" s="1"/>
  <c r="J771" i="1"/>
  <c r="K771" i="1" s="1"/>
  <c r="J772" i="1"/>
  <c r="K772" i="1" s="1"/>
  <c r="J773" i="1"/>
  <c r="K773" i="1" s="1"/>
  <c r="J774" i="1"/>
  <c r="K774" i="1" s="1"/>
  <c r="J775" i="1"/>
  <c r="K775" i="1" s="1"/>
  <c r="J776" i="1"/>
  <c r="K776" i="1" s="1"/>
  <c r="J777" i="1"/>
  <c r="K777" i="1" s="1"/>
  <c r="J778" i="1"/>
  <c r="K778" i="1" s="1"/>
  <c r="J779" i="1"/>
  <c r="K779" i="1" s="1"/>
  <c r="J780" i="1"/>
  <c r="K780" i="1" s="1"/>
  <c r="J781" i="1"/>
  <c r="K781" i="1" s="1"/>
  <c r="J782" i="1"/>
  <c r="K782" i="1" s="1"/>
  <c r="J783" i="1"/>
  <c r="K783" i="1" s="1"/>
  <c r="J784" i="1"/>
  <c r="K784" i="1" s="1"/>
  <c r="J785" i="1"/>
  <c r="K785" i="1" s="1"/>
  <c r="J786" i="1"/>
  <c r="K786" i="1" s="1"/>
  <c r="J787" i="1"/>
  <c r="K787" i="1" s="1"/>
  <c r="J788" i="1"/>
  <c r="K788" i="1" s="1"/>
  <c r="J789" i="1"/>
  <c r="K789" i="1" s="1"/>
  <c r="J790" i="1"/>
  <c r="K790" i="1" s="1"/>
  <c r="J791" i="1"/>
  <c r="K791" i="1" s="1"/>
  <c r="J792" i="1"/>
  <c r="K792" i="1" s="1"/>
  <c r="J793" i="1"/>
  <c r="K793" i="1" s="1"/>
  <c r="J794" i="1"/>
  <c r="K794" i="1" s="1"/>
  <c r="J795" i="1"/>
  <c r="K795" i="1" s="1"/>
  <c r="J796" i="1"/>
  <c r="K796" i="1" s="1"/>
  <c r="J797" i="1"/>
  <c r="K797" i="1" s="1"/>
  <c r="J798" i="1"/>
  <c r="K798" i="1" s="1"/>
  <c r="J799" i="1"/>
  <c r="K799" i="1" s="1"/>
  <c r="J800" i="1"/>
  <c r="K800" i="1" s="1"/>
  <c r="J801" i="1"/>
  <c r="K801" i="1" s="1"/>
  <c r="J802" i="1"/>
  <c r="K802" i="1" s="1"/>
  <c r="J803" i="1"/>
  <c r="K803" i="1" s="1"/>
  <c r="J804" i="1"/>
  <c r="K804" i="1" s="1"/>
  <c r="J805" i="1"/>
  <c r="K805" i="1" s="1"/>
  <c r="J806" i="1"/>
  <c r="K806" i="1" s="1"/>
  <c r="J807" i="1"/>
  <c r="K807" i="1" s="1"/>
  <c r="J808" i="1"/>
  <c r="K808" i="1" s="1"/>
  <c r="J809" i="1"/>
  <c r="K809" i="1" s="1"/>
  <c r="J810" i="1"/>
  <c r="K810" i="1" s="1"/>
  <c r="J811" i="1"/>
  <c r="K811" i="1" s="1"/>
  <c r="J812" i="1"/>
  <c r="K812" i="1" s="1"/>
  <c r="J813" i="1"/>
  <c r="K813" i="1" s="1"/>
  <c r="J814" i="1"/>
  <c r="K814" i="1" s="1"/>
  <c r="J815" i="1"/>
  <c r="K815" i="1" s="1"/>
  <c r="J816" i="1"/>
  <c r="K816" i="1" s="1"/>
  <c r="J817" i="1"/>
  <c r="K817" i="1" s="1"/>
  <c r="J818" i="1"/>
  <c r="K818" i="1" s="1"/>
  <c r="J819" i="1"/>
  <c r="K819" i="1" s="1"/>
  <c r="J820" i="1"/>
  <c r="K820" i="1" s="1"/>
  <c r="J821" i="1"/>
  <c r="K821" i="1" s="1"/>
  <c r="J822" i="1"/>
  <c r="K822" i="1" s="1"/>
  <c r="J823" i="1"/>
  <c r="K823" i="1" s="1"/>
  <c r="J824" i="1"/>
  <c r="K824" i="1" s="1"/>
  <c r="J825" i="1"/>
  <c r="K825" i="1" s="1"/>
  <c r="J826" i="1"/>
  <c r="K826" i="1" s="1"/>
  <c r="J827" i="1"/>
  <c r="K827" i="1" s="1"/>
  <c r="J828" i="1"/>
  <c r="K828" i="1" s="1"/>
  <c r="J829" i="1"/>
  <c r="K829" i="1" s="1"/>
  <c r="J830" i="1"/>
  <c r="K830" i="1" s="1"/>
  <c r="J831" i="1"/>
  <c r="K831" i="1" s="1"/>
  <c r="J832" i="1"/>
  <c r="K832" i="1" s="1"/>
  <c r="J833" i="1"/>
  <c r="K833" i="1" s="1"/>
  <c r="J834" i="1"/>
  <c r="K834" i="1" s="1"/>
  <c r="J835" i="1"/>
  <c r="K835" i="1" s="1"/>
  <c r="J836" i="1"/>
  <c r="K836" i="1" s="1"/>
  <c r="J837" i="1"/>
  <c r="K837" i="1" s="1"/>
  <c r="J838" i="1"/>
  <c r="K838" i="1" s="1"/>
  <c r="J839" i="1"/>
  <c r="K839" i="1" s="1"/>
  <c r="J840" i="1"/>
  <c r="K840" i="1" s="1"/>
  <c r="J841" i="1"/>
  <c r="K841" i="1" s="1"/>
  <c r="J842" i="1"/>
  <c r="K842" i="1" s="1"/>
  <c r="J843" i="1"/>
  <c r="K843" i="1" s="1"/>
  <c r="J844" i="1"/>
  <c r="K844" i="1" s="1"/>
  <c r="J845" i="1"/>
  <c r="K845" i="1" s="1"/>
  <c r="J846" i="1"/>
  <c r="K846" i="1" s="1"/>
  <c r="J847" i="1"/>
  <c r="K847" i="1" s="1"/>
  <c r="J848" i="1"/>
  <c r="K848" i="1" s="1"/>
  <c r="J849" i="1"/>
  <c r="K849" i="1" s="1"/>
  <c r="J850" i="1"/>
  <c r="K850" i="1" s="1"/>
  <c r="J851" i="1"/>
  <c r="K851" i="1" s="1"/>
  <c r="J852" i="1"/>
  <c r="K852" i="1" s="1"/>
  <c r="J853" i="1"/>
  <c r="K853" i="1" s="1"/>
  <c r="J854" i="1"/>
  <c r="K854" i="1" s="1"/>
  <c r="J855" i="1"/>
  <c r="K855" i="1" s="1"/>
  <c r="J856" i="1"/>
  <c r="K856" i="1" s="1"/>
  <c r="J857" i="1"/>
  <c r="K857" i="1" s="1"/>
  <c r="J858" i="1"/>
  <c r="K858" i="1" s="1"/>
  <c r="J859" i="1"/>
  <c r="K859" i="1" s="1"/>
  <c r="J860" i="1"/>
  <c r="K860" i="1" s="1"/>
  <c r="J861" i="1"/>
  <c r="K861" i="1" s="1"/>
  <c r="J862" i="1"/>
  <c r="K862" i="1" s="1"/>
  <c r="J863" i="1"/>
  <c r="K863" i="1" s="1"/>
  <c r="J864" i="1"/>
  <c r="K864" i="1" s="1"/>
  <c r="J865" i="1"/>
  <c r="K865" i="1" s="1"/>
  <c r="J866" i="1"/>
  <c r="K866" i="1" s="1"/>
  <c r="J867" i="1"/>
  <c r="K867" i="1" s="1"/>
  <c r="J868" i="1"/>
  <c r="K868" i="1" s="1"/>
  <c r="J869" i="1"/>
  <c r="K869" i="1" s="1"/>
  <c r="J870" i="1"/>
  <c r="K870" i="1" s="1"/>
  <c r="J871" i="1"/>
  <c r="K871" i="1" s="1"/>
  <c r="J872" i="1"/>
  <c r="K872" i="1" s="1"/>
  <c r="J873" i="1"/>
  <c r="K873" i="1" s="1"/>
  <c r="J874" i="1"/>
  <c r="K874" i="1" s="1"/>
  <c r="J875" i="1"/>
  <c r="K875" i="1" s="1"/>
  <c r="J876" i="1"/>
  <c r="K876" i="1" s="1"/>
  <c r="J877" i="1"/>
  <c r="K877" i="1" s="1"/>
  <c r="J878" i="1"/>
  <c r="K878" i="1" s="1"/>
  <c r="J879" i="1"/>
  <c r="K879" i="1" s="1"/>
  <c r="J880" i="1"/>
  <c r="K880" i="1" s="1"/>
  <c r="J881" i="1"/>
  <c r="K881" i="1" s="1"/>
  <c r="J882" i="1"/>
  <c r="K882" i="1" s="1"/>
  <c r="J883" i="1"/>
  <c r="K883" i="1" s="1"/>
  <c r="J884" i="1"/>
  <c r="K884" i="1" s="1"/>
  <c r="J885" i="1"/>
  <c r="K885" i="1" s="1"/>
  <c r="J886" i="1"/>
  <c r="K886" i="1" s="1"/>
  <c r="J887" i="1"/>
  <c r="K887" i="1" s="1"/>
  <c r="J888" i="1"/>
  <c r="K888" i="1" s="1"/>
  <c r="J889" i="1"/>
  <c r="K889" i="1" s="1"/>
  <c r="J890" i="1"/>
  <c r="K890" i="1" s="1"/>
  <c r="J891" i="1"/>
  <c r="K891" i="1" s="1"/>
  <c r="J892" i="1"/>
  <c r="K892" i="1" s="1"/>
  <c r="J893" i="1"/>
  <c r="K893" i="1" s="1"/>
  <c r="J894" i="1"/>
  <c r="K894" i="1" s="1"/>
  <c r="J895" i="1"/>
  <c r="K895" i="1" s="1"/>
  <c r="J896" i="1"/>
  <c r="K896" i="1" s="1"/>
  <c r="J897" i="1"/>
  <c r="K897" i="1" s="1"/>
  <c r="J898" i="1"/>
  <c r="K898" i="1" s="1"/>
  <c r="J899" i="1"/>
  <c r="K899" i="1" s="1"/>
  <c r="J900" i="1"/>
  <c r="K900" i="1" s="1"/>
  <c r="J901" i="1"/>
  <c r="K901" i="1" s="1"/>
  <c r="J902" i="1"/>
  <c r="K902" i="1" s="1"/>
  <c r="J903" i="1"/>
  <c r="K903" i="1" s="1"/>
  <c r="J904" i="1"/>
  <c r="K904" i="1" s="1"/>
  <c r="J905" i="1"/>
  <c r="K905" i="1" s="1"/>
  <c r="J906" i="1"/>
  <c r="K906" i="1" s="1"/>
  <c r="J907" i="1"/>
  <c r="K907" i="1" s="1"/>
  <c r="J908" i="1"/>
  <c r="K908" i="1" s="1"/>
  <c r="J909" i="1"/>
  <c r="K909" i="1" s="1"/>
  <c r="J910" i="1"/>
  <c r="K910" i="1" s="1"/>
  <c r="J911" i="1"/>
  <c r="K911" i="1" s="1"/>
  <c r="J912" i="1"/>
  <c r="K912" i="1" s="1"/>
  <c r="J913" i="1"/>
  <c r="K913" i="1" s="1"/>
  <c r="J914" i="1"/>
  <c r="K914" i="1" s="1"/>
  <c r="J915" i="1"/>
  <c r="K915" i="1" s="1"/>
  <c r="J916" i="1"/>
  <c r="K916" i="1" s="1"/>
  <c r="J917" i="1"/>
  <c r="K917" i="1" s="1"/>
  <c r="J918" i="1"/>
  <c r="K918" i="1" s="1"/>
  <c r="J919" i="1"/>
  <c r="K919" i="1" s="1"/>
  <c r="J920" i="1"/>
  <c r="K920" i="1" s="1"/>
  <c r="J921" i="1"/>
  <c r="K921" i="1" s="1"/>
  <c r="J922" i="1"/>
  <c r="K922" i="1" s="1"/>
  <c r="J923" i="1"/>
  <c r="K923" i="1" s="1"/>
  <c r="J924" i="1"/>
  <c r="K924" i="1" s="1"/>
  <c r="J925" i="1"/>
  <c r="K925" i="1" s="1"/>
  <c r="J926" i="1"/>
  <c r="K926" i="1" s="1"/>
  <c r="J927" i="1"/>
  <c r="K927" i="1" s="1"/>
  <c r="J928" i="1"/>
  <c r="K928" i="1" s="1"/>
  <c r="J929" i="1"/>
  <c r="K929" i="1" s="1"/>
  <c r="J930" i="1"/>
  <c r="K930" i="1" s="1"/>
  <c r="J931" i="1"/>
  <c r="K931" i="1" s="1"/>
  <c r="J932" i="1"/>
  <c r="K932" i="1" s="1"/>
  <c r="J933" i="1"/>
  <c r="K933" i="1" s="1"/>
  <c r="J934" i="1"/>
  <c r="K934" i="1" s="1"/>
  <c r="J935" i="1"/>
  <c r="K935" i="1" s="1"/>
  <c r="J936" i="1"/>
  <c r="K936" i="1" s="1"/>
  <c r="J937" i="1"/>
  <c r="K937" i="1" s="1"/>
  <c r="J938" i="1"/>
  <c r="K938" i="1" s="1"/>
  <c r="J939" i="1"/>
  <c r="K939" i="1" s="1"/>
  <c r="J940" i="1"/>
  <c r="K940" i="1" s="1"/>
  <c r="J941" i="1"/>
  <c r="K941" i="1" s="1"/>
  <c r="J942" i="1"/>
  <c r="K942" i="1" s="1"/>
  <c r="J943" i="1"/>
  <c r="K943" i="1" s="1"/>
  <c r="J944" i="1"/>
  <c r="K944" i="1" s="1"/>
  <c r="J945" i="1"/>
  <c r="K945" i="1" s="1"/>
  <c r="J946" i="1"/>
  <c r="K946" i="1" s="1"/>
  <c r="J947" i="1"/>
  <c r="K947" i="1" s="1"/>
  <c r="J948" i="1"/>
  <c r="K948" i="1" s="1"/>
  <c r="J949" i="1"/>
  <c r="K949" i="1" s="1"/>
  <c r="J950" i="1"/>
  <c r="K950" i="1" s="1"/>
  <c r="J951" i="1"/>
  <c r="K951" i="1" s="1"/>
  <c r="J952" i="1"/>
  <c r="K952" i="1" s="1"/>
  <c r="J953" i="1"/>
  <c r="K953" i="1" s="1"/>
  <c r="J954" i="1"/>
  <c r="K954" i="1" s="1"/>
  <c r="J955" i="1"/>
  <c r="K955" i="1" s="1"/>
  <c r="J956" i="1"/>
  <c r="K956" i="1" s="1"/>
  <c r="J957" i="1"/>
  <c r="K957" i="1" s="1"/>
  <c r="J958" i="1"/>
  <c r="K958" i="1" s="1"/>
  <c r="J959" i="1"/>
  <c r="K959" i="1" s="1"/>
  <c r="J960" i="1"/>
  <c r="K960" i="1" s="1"/>
  <c r="J961" i="1"/>
  <c r="K961" i="1" s="1"/>
  <c r="J962" i="1"/>
  <c r="K962" i="1" s="1"/>
  <c r="J963" i="1"/>
  <c r="K963" i="1" s="1"/>
  <c r="J964" i="1"/>
  <c r="K964" i="1" s="1"/>
  <c r="J965" i="1"/>
  <c r="K965" i="1" s="1"/>
  <c r="J966" i="1"/>
  <c r="K966" i="1" s="1"/>
  <c r="J967" i="1"/>
  <c r="K967" i="1" s="1"/>
  <c r="J968" i="1"/>
  <c r="K968" i="1" s="1"/>
  <c r="J969" i="1"/>
  <c r="K969" i="1" s="1"/>
  <c r="J970" i="1"/>
  <c r="K970" i="1" s="1"/>
  <c r="J971" i="1"/>
  <c r="K971" i="1" s="1"/>
  <c r="J972" i="1"/>
  <c r="K972" i="1" s="1"/>
  <c r="J973" i="1"/>
  <c r="K973" i="1" s="1"/>
  <c r="J974" i="1"/>
  <c r="K974" i="1" s="1"/>
  <c r="J975" i="1"/>
  <c r="K975" i="1" s="1"/>
  <c r="J976" i="1"/>
  <c r="K976" i="1" s="1"/>
  <c r="J977" i="1"/>
  <c r="K977" i="1" s="1"/>
  <c r="J978" i="1"/>
  <c r="K978" i="1" s="1"/>
  <c r="J979" i="1"/>
  <c r="K979" i="1" s="1"/>
  <c r="J980" i="1"/>
  <c r="K980" i="1" s="1"/>
  <c r="J981" i="1"/>
  <c r="K981" i="1" s="1"/>
  <c r="J982" i="1"/>
  <c r="K982" i="1" s="1"/>
  <c r="J983" i="1"/>
  <c r="K983" i="1" s="1"/>
  <c r="J984" i="1"/>
  <c r="K984" i="1" s="1"/>
  <c r="J985" i="1"/>
  <c r="K985" i="1" s="1"/>
  <c r="J986" i="1"/>
  <c r="K986" i="1" s="1"/>
  <c r="J987" i="1"/>
  <c r="K987" i="1" s="1"/>
  <c r="J988" i="1"/>
  <c r="K988" i="1" s="1"/>
  <c r="J989" i="1"/>
  <c r="K989" i="1" s="1"/>
  <c r="J990" i="1"/>
  <c r="K990" i="1" s="1"/>
  <c r="J991" i="1"/>
  <c r="K991" i="1" s="1"/>
  <c r="J992" i="1"/>
  <c r="K992" i="1" s="1"/>
  <c r="J993" i="1"/>
  <c r="K993" i="1" s="1"/>
  <c r="J994" i="1"/>
  <c r="K994" i="1" s="1"/>
  <c r="J995" i="1"/>
  <c r="K995" i="1" s="1"/>
  <c r="J996" i="1"/>
  <c r="K996" i="1" s="1"/>
  <c r="J997" i="1"/>
  <c r="K997" i="1" s="1"/>
  <c r="J998" i="1"/>
  <c r="K998" i="1" s="1"/>
  <c r="J999" i="1"/>
  <c r="K999" i="1" s="1"/>
  <c r="J1000" i="1"/>
  <c r="K1000" i="1" s="1"/>
  <c r="J1001" i="1"/>
  <c r="K1001" i="1" s="1"/>
  <c r="J1002" i="1"/>
  <c r="K1002" i="1" s="1"/>
  <c r="J1003" i="1"/>
  <c r="K1003" i="1" s="1"/>
  <c r="J1004" i="1"/>
  <c r="K1004" i="1" s="1"/>
  <c r="J1005" i="1"/>
  <c r="K1005" i="1" s="1"/>
  <c r="J1006" i="1"/>
  <c r="K1006" i="1" s="1"/>
  <c r="J1007" i="1"/>
  <c r="K1007" i="1" s="1"/>
  <c r="J1008" i="1"/>
  <c r="K1008" i="1" s="1"/>
  <c r="J1009" i="1"/>
  <c r="K1009" i="1" s="1"/>
  <c r="J1010" i="1"/>
  <c r="K1010" i="1" s="1"/>
  <c r="J1011" i="1"/>
  <c r="K1011" i="1" s="1"/>
  <c r="J1012" i="1"/>
  <c r="K1012" i="1" s="1"/>
  <c r="J1013" i="1"/>
  <c r="K1013" i="1" s="1"/>
  <c r="J1014" i="1"/>
  <c r="K1014" i="1" s="1"/>
  <c r="J1015" i="1"/>
  <c r="K1015" i="1" s="1"/>
  <c r="J1016" i="1"/>
  <c r="K1016" i="1" s="1"/>
  <c r="J1017" i="1"/>
  <c r="K1017" i="1" s="1"/>
  <c r="J1018" i="1"/>
  <c r="K1018" i="1" s="1"/>
  <c r="J1019" i="1"/>
  <c r="K1019" i="1" s="1"/>
  <c r="J1020" i="1"/>
  <c r="K1020" i="1" s="1"/>
  <c r="J1021" i="1"/>
  <c r="K1021" i="1" s="1"/>
  <c r="J1022" i="1"/>
  <c r="K1022" i="1" s="1"/>
  <c r="J1023" i="1"/>
  <c r="K1023" i="1" s="1"/>
  <c r="J1024" i="1"/>
  <c r="K1024" i="1" s="1"/>
  <c r="J1025" i="1"/>
  <c r="K1025" i="1" s="1"/>
  <c r="J1026" i="1"/>
  <c r="K1026" i="1" s="1"/>
  <c r="J1027" i="1"/>
  <c r="K1027" i="1" s="1"/>
  <c r="J1028" i="1"/>
  <c r="K1028" i="1" s="1"/>
  <c r="J1029" i="1"/>
  <c r="K1029" i="1" s="1"/>
  <c r="J1030" i="1"/>
  <c r="K1030" i="1" s="1"/>
  <c r="J1031" i="1"/>
  <c r="K1031" i="1" s="1"/>
  <c r="J1032" i="1"/>
  <c r="K1032" i="1" s="1"/>
  <c r="J1033" i="1"/>
  <c r="K1033" i="1" s="1"/>
  <c r="J1034" i="1"/>
  <c r="K1034" i="1" s="1"/>
  <c r="J1035" i="1"/>
  <c r="K1035" i="1" s="1"/>
  <c r="J1036" i="1"/>
  <c r="K1036" i="1" s="1"/>
  <c r="J1037" i="1"/>
  <c r="K1037" i="1" s="1"/>
  <c r="J1038" i="1"/>
  <c r="K1038" i="1" s="1"/>
  <c r="J1039" i="1"/>
  <c r="K1039" i="1" s="1"/>
  <c r="J1040" i="1"/>
  <c r="K1040" i="1" s="1"/>
  <c r="J1041" i="1"/>
  <c r="K1041" i="1" s="1"/>
  <c r="J1042" i="1"/>
  <c r="K1042" i="1" s="1"/>
  <c r="J1043" i="1"/>
  <c r="K1043" i="1" s="1"/>
  <c r="J1044" i="1"/>
  <c r="K1044" i="1" s="1"/>
  <c r="J1045" i="1"/>
  <c r="K1045" i="1" s="1"/>
  <c r="J1046" i="1"/>
  <c r="K1046" i="1" s="1"/>
  <c r="J1047" i="1"/>
  <c r="K1047" i="1" s="1"/>
  <c r="J1048" i="1"/>
  <c r="K1048" i="1" s="1"/>
  <c r="J1049" i="1"/>
  <c r="K1049" i="1" s="1"/>
  <c r="J1050" i="1"/>
  <c r="K1050" i="1" s="1"/>
  <c r="J1051" i="1"/>
  <c r="K1051" i="1" s="1"/>
  <c r="J1052" i="1"/>
  <c r="K1052" i="1" s="1"/>
  <c r="J1053" i="1"/>
  <c r="K1053" i="1" s="1"/>
  <c r="J1054" i="1"/>
  <c r="K1054" i="1" s="1"/>
  <c r="J1055" i="1"/>
  <c r="K1055" i="1" s="1"/>
  <c r="J1056" i="1"/>
  <c r="K1056" i="1" s="1"/>
  <c r="J1057" i="1"/>
  <c r="K1057" i="1" s="1"/>
  <c r="J1058" i="1"/>
  <c r="K1058" i="1" s="1"/>
  <c r="J1059" i="1"/>
  <c r="K1059" i="1" s="1"/>
  <c r="J1060" i="1"/>
  <c r="K1060" i="1" s="1"/>
  <c r="J1061" i="1"/>
  <c r="K1061" i="1" s="1"/>
  <c r="J1062" i="1"/>
  <c r="K1062" i="1" s="1"/>
  <c r="J1063" i="1"/>
  <c r="K1063" i="1" s="1"/>
  <c r="J1064" i="1"/>
  <c r="K1064" i="1" s="1"/>
  <c r="J1065" i="1"/>
  <c r="K1065" i="1" s="1"/>
  <c r="J1066" i="1"/>
  <c r="K1066" i="1" s="1"/>
  <c r="J1067" i="1"/>
  <c r="K1067" i="1" s="1"/>
  <c r="J1068" i="1"/>
  <c r="K1068" i="1" s="1"/>
  <c r="J1069" i="1"/>
  <c r="K1069" i="1" s="1"/>
  <c r="J1070" i="1"/>
  <c r="K1070" i="1" s="1"/>
  <c r="J1071" i="1"/>
  <c r="K1071" i="1" s="1"/>
  <c r="J1072" i="1"/>
  <c r="K1072" i="1" s="1"/>
  <c r="J1073" i="1"/>
  <c r="K1073" i="1" s="1"/>
  <c r="J1074" i="1"/>
  <c r="K1074" i="1" s="1"/>
  <c r="J1075" i="1"/>
  <c r="K1075" i="1" s="1"/>
  <c r="J1076" i="1"/>
  <c r="K1076" i="1" s="1"/>
  <c r="J1077" i="1"/>
  <c r="K1077" i="1" s="1"/>
  <c r="J1078" i="1"/>
  <c r="K1078" i="1" s="1"/>
  <c r="J1079" i="1"/>
  <c r="K1079" i="1" s="1"/>
  <c r="J1080" i="1"/>
  <c r="K1080" i="1" s="1"/>
  <c r="J1081" i="1"/>
  <c r="K1081" i="1" s="1"/>
  <c r="J1082" i="1"/>
  <c r="K1082" i="1" s="1"/>
  <c r="J1083" i="1"/>
  <c r="K1083" i="1" s="1"/>
  <c r="J1084" i="1"/>
  <c r="K1084" i="1" s="1"/>
  <c r="J1085" i="1"/>
  <c r="K1085" i="1" s="1"/>
  <c r="J1086" i="1"/>
  <c r="K1086" i="1" s="1"/>
  <c r="J1087" i="1"/>
  <c r="K1087" i="1" s="1"/>
  <c r="J1088" i="1"/>
  <c r="K1088" i="1" s="1"/>
  <c r="J1089" i="1"/>
  <c r="K1089" i="1" s="1"/>
  <c r="J1090" i="1"/>
  <c r="K1090" i="1" s="1"/>
  <c r="J1091" i="1"/>
  <c r="K1091" i="1" s="1"/>
  <c r="J1092" i="1"/>
  <c r="K1092" i="1" s="1"/>
  <c r="J1093" i="1"/>
  <c r="K1093" i="1" s="1"/>
  <c r="J1094" i="1"/>
  <c r="K1094" i="1" s="1"/>
  <c r="J1095" i="1"/>
  <c r="K1095" i="1" s="1"/>
  <c r="J1096" i="1"/>
  <c r="K1096" i="1" s="1"/>
  <c r="J1097" i="1"/>
  <c r="K1097" i="1" s="1"/>
  <c r="J1098" i="1"/>
  <c r="K1098" i="1" s="1"/>
  <c r="J1099" i="1"/>
  <c r="K1099" i="1" s="1"/>
  <c r="J1100" i="1"/>
  <c r="K1100" i="1" s="1"/>
  <c r="J1101" i="1"/>
  <c r="K1101" i="1" s="1"/>
  <c r="J1102" i="1"/>
  <c r="K1102" i="1" s="1"/>
  <c r="J1103" i="1"/>
  <c r="K1103" i="1" s="1"/>
  <c r="J1104" i="1"/>
  <c r="K1104" i="1" s="1"/>
  <c r="J1105" i="1"/>
  <c r="K1105" i="1" s="1"/>
  <c r="J1106" i="1"/>
  <c r="K1106" i="1" s="1"/>
  <c r="J1107" i="1"/>
  <c r="K1107" i="1" s="1"/>
  <c r="J1108" i="1"/>
  <c r="K1108" i="1" s="1"/>
  <c r="J1109" i="1"/>
  <c r="K1109" i="1" s="1"/>
  <c r="J1110" i="1"/>
  <c r="K1110" i="1" s="1"/>
  <c r="J1111" i="1"/>
  <c r="K1111" i="1" s="1"/>
  <c r="J1112" i="1"/>
  <c r="K1112" i="1" s="1"/>
  <c r="J1113" i="1"/>
  <c r="K1113" i="1" s="1"/>
  <c r="J1114" i="1"/>
  <c r="K1114" i="1" s="1"/>
  <c r="J1115" i="1"/>
  <c r="K1115" i="1" s="1"/>
  <c r="J1116" i="1"/>
  <c r="K1116" i="1" s="1"/>
  <c r="J1117" i="1"/>
  <c r="K1117" i="1" s="1"/>
  <c r="J1118" i="1"/>
  <c r="K1118" i="1" s="1"/>
  <c r="J1119" i="1"/>
  <c r="K1119" i="1" s="1"/>
  <c r="J1120" i="1"/>
  <c r="K1120" i="1" s="1"/>
  <c r="J1121" i="1"/>
  <c r="K1121" i="1" s="1"/>
  <c r="J1122" i="1"/>
  <c r="K1122" i="1" s="1"/>
  <c r="J1123" i="1"/>
  <c r="K1123" i="1" s="1"/>
  <c r="J1124" i="1"/>
  <c r="K1124" i="1" s="1"/>
  <c r="J1125" i="1"/>
  <c r="K1125" i="1" s="1"/>
  <c r="J1126" i="1"/>
  <c r="K1126" i="1" s="1"/>
  <c r="J1127" i="1"/>
  <c r="K1127" i="1" s="1"/>
  <c r="J1128" i="1"/>
  <c r="K1128" i="1" s="1"/>
  <c r="J1129" i="1"/>
  <c r="K1129" i="1" s="1"/>
  <c r="J1130" i="1"/>
  <c r="K1130" i="1" s="1"/>
  <c r="J1131" i="1"/>
  <c r="K1131" i="1" s="1"/>
  <c r="J1132" i="1"/>
  <c r="K1132" i="1" s="1"/>
  <c r="J1133" i="1"/>
  <c r="K1133" i="1" s="1"/>
  <c r="J1134" i="1"/>
  <c r="K1134" i="1" s="1"/>
  <c r="J1135" i="1"/>
  <c r="K1135" i="1" s="1"/>
  <c r="J1136" i="1"/>
  <c r="K1136" i="1" s="1"/>
  <c r="J1137" i="1"/>
  <c r="K1137" i="1" s="1"/>
  <c r="J1138" i="1"/>
  <c r="K1138" i="1" s="1"/>
  <c r="J1139" i="1"/>
  <c r="K1139" i="1" s="1"/>
  <c r="J1140" i="1"/>
  <c r="K1140" i="1" s="1"/>
  <c r="J1141" i="1"/>
  <c r="K1141" i="1" s="1"/>
  <c r="J1142" i="1"/>
  <c r="K1142" i="1" s="1"/>
  <c r="J1143" i="1"/>
  <c r="K1143" i="1" s="1"/>
  <c r="J1144" i="1"/>
  <c r="K1144" i="1" s="1"/>
  <c r="J1145" i="1"/>
  <c r="K1145" i="1" s="1"/>
  <c r="J1146" i="1"/>
  <c r="K1146" i="1" s="1"/>
  <c r="J1147" i="1"/>
  <c r="K1147" i="1" s="1"/>
  <c r="J1148" i="1"/>
  <c r="K1148" i="1" s="1"/>
  <c r="J1149" i="1"/>
  <c r="K1149" i="1" s="1"/>
  <c r="J1150" i="1"/>
  <c r="K1150" i="1" s="1"/>
  <c r="J1151" i="1"/>
  <c r="K1151" i="1" s="1"/>
  <c r="J1152" i="1"/>
  <c r="K1152" i="1" s="1"/>
  <c r="J1153" i="1"/>
  <c r="K1153" i="1" s="1"/>
  <c r="J1154" i="1"/>
  <c r="K1154" i="1" s="1"/>
  <c r="J1155" i="1"/>
  <c r="K1155" i="1" s="1"/>
  <c r="J1156" i="1"/>
  <c r="K1156" i="1" s="1"/>
  <c r="J1157" i="1"/>
  <c r="K1157" i="1" s="1"/>
  <c r="J1158" i="1"/>
  <c r="K1158" i="1" s="1"/>
  <c r="J1159" i="1"/>
  <c r="K1159" i="1" s="1"/>
  <c r="J1160" i="1"/>
  <c r="K1160" i="1" s="1"/>
  <c r="J1161" i="1"/>
  <c r="K1161" i="1" s="1"/>
  <c r="J1162" i="1"/>
  <c r="K1162" i="1" s="1"/>
  <c r="J1163" i="1"/>
  <c r="K1163" i="1" s="1"/>
  <c r="J1164" i="1"/>
  <c r="K1164" i="1" s="1"/>
  <c r="J1165" i="1"/>
  <c r="K1165" i="1" s="1"/>
  <c r="J1166" i="1"/>
  <c r="K1166" i="1" s="1"/>
  <c r="J1167" i="1"/>
  <c r="K1167" i="1" s="1"/>
  <c r="J1168" i="1"/>
  <c r="K1168" i="1" s="1"/>
  <c r="J1169" i="1"/>
  <c r="K1169" i="1" s="1"/>
  <c r="J1170" i="1"/>
  <c r="K1170" i="1" s="1"/>
  <c r="J1171" i="1"/>
  <c r="K1171" i="1" s="1"/>
  <c r="J1172" i="1"/>
  <c r="K1172" i="1" s="1"/>
  <c r="J1173" i="1"/>
  <c r="K1173" i="1" s="1"/>
  <c r="J1174" i="1"/>
  <c r="K1174" i="1" s="1"/>
  <c r="J1175" i="1"/>
  <c r="K1175" i="1" s="1"/>
  <c r="J1176" i="1"/>
  <c r="K1176" i="1" s="1"/>
  <c r="J1177" i="1"/>
  <c r="K1177" i="1" s="1"/>
  <c r="J1178" i="1"/>
  <c r="K1178" i="1" s="1"/>
  <c r="J1179" i="1"/>
  <c r="K1179" i="1" s="1"/>
  <c r="J1180" i="1"/>
  <c r="K1180" i="1" s="1"/>
  <c r="J1181" i="1"/>
  <c r="K1181" i="1" s="1"/>
  <c r="J1182" i="1"/>
  <c r="K1182" i="1" s="1"/>
  <c r="J1183" i="1"/>
  <c r="K1183" i="1" s="1"/>
  <c r="J1184" i="1"/>
  <c r="K1184" i="1" s="1"/>
  <c r="J1185" i="1"/>
  <c r="K1185" i="1" s="1"/>
  <c r="J1186" i="1"/>
  <c r="K1186" i="1" s="1"/>
  <c r="J1187" i="1"/>
  <c r="K1187" i="1" s="1"/>
  <c r="J1188" i="1"/>
  <c r="K1188" i="1" s="1"/>
  <c r="J1189" i="1"/>
  <c r="K1189" i="1" s="1"/>
  <c r="J1190" i="1"/>
  <c r="K1190" i="1" s="1"/>
  <c r="J1191" i="1"/>
  <c r="K1191" i="1" s="1"/>
  <c r="J1192" i="1"/>
  <c r="K1192" i="1" s="1"/>
  <c r="J1193" i="1"/>
  <c r="K1193" i="1" s="1"/>
  <c r="J1194" i="1"/>
  <c r="K1194" i="1" s="1"/>
  <c r="J1195" i="1"/>
  <c r="K1195" i="1" s="1"/>
  <c r="J1196" i="1"/>
  <c r="K1196" i="1" s="1"/>
  <c r="J1197" i="1"/>
  <c r="K1197" i="1" s="1"/>
  <c r="J1198" i="1"/>
  <c r="K1198" i="1" s="1"/>
  <c r="J1199" i="1"/>
  <c r="K1199" i="1" s="1"/>
  <c r="J1200" i="1"/>
  <c r="K1200" i="1" s="1"/>
  <c r="J1201" i="1"/>
  <c r="K1201" i="1" s="1"/>
  <c r="J1202" i="1"/>
  <c r="K1202" i="1" s="1"/>
  <c r="J1203" i="1"/>
  <c r="K1203" i="1" s="1"/>
  <c r="J1204" i="1"/>
  <c r="K1204" i="1" s="1"/>
  <c r="J1205" i="1"/>
  <c r="K1205" i="1" s="1"/>
  <c r="J1206" i="1"/>
  <c r="K1206" i="1" s="1"/>
  <c r="J1207" i="1"/>
  <c r="K1207" i="1" s="1"/>
  <c r="J1208" i="1"/>
  <c r="K1208" i="1" s="1"/>
  <c r="J1209" i="1"/>
  <c r="K1209" i="1" s="1"/>
  <c r="J1210" i="1"/>
  <c r="K1210" i="1" s="1"/>
  <c r="J1211" i="1"/>
  <c r="K1211" i="1" s="1"/>
  <c r="J1212" i="1"/>
  <c r="K1212" i="1" s="1"/>
  <c r="J1213" i="1"/>
  <c r="K1213" i="1" s="1"/>
  <c r="J1214" i="1"/>
  <c r="K1214" i="1" s="1"/>
  <c r="J1215" i="1"/>
  <c r="K1215" i="1" s="1"/>
  <c r="J1216" i="1"/>
  <c r="K1216" i="1" s="1"/>
  <c r="J1217" i="1"/>
  <c r="K1217" i="1" s="1"/>
  <c r="J1218" i="1"/>
  <c r="K1218" i="1" s="1"/>
  <c r="J1219" i="1"/>
  <c r="K1219" i="1" s="1"/>
  <c r="J1220" i="1"/>
  <c r="K1220" i="1" s="1"/>
  <c r="J1221" i="1"/>
  <c r="K1221" i="1" s="1"/>
  <c r="J1222" i="1"/>
  <c r="K1222" i="1" s="1"/>
  <c r="J1223" i="1"/>
  <c r="K1223" i="1" s="1"/>
  <c r="J1224" i="1"/>
  <c r="K1224" i="1" s="1"/>
  <c r="J1225" i="1"/>
  <c r="K1225" i="1" s="1"/>
  <c r="J1226" i="1"/>
  <c r="K1226" i="1" s="1"/>
  <c r="J1227" i="1"/>
  <c r="K1227" i="1" s="1"/>
  <c r="J1228" i="1"/>
  <c r="K1228" i="1" s="1"/>
  <c r="J1229" i="1"/>
  <c r="K1229" i="1" s="1"/>
  <c r="J1230" i="1"/>
  <c r="K1230" i="1" s="1"/>
  <c r="J1231" i="1"/>
  <c r="K1231" i="1" s="1"/>
  <c r="J1232" i="1"/>
  <c r="K1232" i="1" s="1"/>
  <c r="J1233" i="1"/>
  <c r="K1233" i="1" s="1"/>
  <c r="J1234" i="1"/>
  <c r="K1234" i="1" s="1"/>
  <c r="J1235" i="1"/>
  <c r="K1235" i="1" s="1"/>
  <c r="J1236" i="1"/>
  <c r="K1236" i="1" s="1"/>
  <c r="J1237" i="1"/>
  <c r="K1237" i="1" s="1"/>
  <c r="J1238" i="1"/>
  <c r="K1238" i="1" s="1"/>
  <c r="J1239" i="1"/>
  <c r="K1239" i="1" s="1"/>
  <c r="J1240" i="1"/>
  <c r="K1240" i="1" s="1"/>
  <c r="J1241" i="1"/>
  <c r="K1241" i="1" s="1"/>
  <c r="J1242" i="1"/>
  <c r="K1242" i="1" s="1"/>
  <c r="J1243" i="1"/>
  <c r="K1243" i="1" s="1"/>
  <c r="J1244" i="1"/>
  <c r="K1244" i="1" s="1"/>
  <c r="J1245" i="1"/>
  <c r="K1245" i="1" s="1"/>
  <c r="J1246" i="1"/>
  <c r="K1246" i="1" s="1"/>
  <c r="J1247" i="1"/>
  <c r="K1247" i="1" s="1"/>
  <c r="J1248" i="1"/>
  <c r="K1248" i="1" s="1"/>
  <c r="J1249" i="1"/>
  <c r="K1249" i="1" s="1"/>
  <c r="J1250" i="1"/>
  <c r="K1250" i="1" s="1"/>
  <c r="J1251" i="1"/>
  <c r="K1251" i="1" s="1"/>
  <c r="J1252" i="1"/>
  <c r="K1252" i="1" s="1"/>
  <c r="J1253" i="1"/>
  <c r="K1253" i="1" s="1"/>
  <c r="J1254" i="1"/>
  <c r="K1254" i="1" s="1"/>
  <c r="J1255" i="1"/>
  <c r="K1255" i="1" s="1"/>
  <c r="J1256" i="1"/>
  <c r="K1256" i="1" s="1"/>
  <c r="J1257" i="1"/>
  <c r="K1257" i="1" s="1"/>
  <c r="J1258" i="1"/>
  <c r="K1258" i="1" s="1"/>
  <c r="J1259" i="1"/>
  <c r="K1259" i="1" s="1"/>
  <c r="J1260" i="1"/>
  <c r="K1260" i="1" s="1"/>
  <c r="J1261" i="1"/>
  <c r="K1261" i="1" s="1"/>
  <c r="J1262" i="1"/>
  <c r="K1262" i="1" s="1"/>
  <c r="J1263" i="1"/>
  <c r="K1263" i="1" s="1"/>
  <c r="J1264" i="1"/>
  <c r="K1264" i="1" s="1"/>
  <c r="J1265" i="1"/>
  <c r="K1265" i="1" s="1"/>
  <c r="J1266" i="1"/>
  <c r="K1266" i="1" s="1"/>
  <c r="J1267" i="1"/>
  <c r="K1267" i="1" s="1"/>
  <c r="J1268" i="1"/>
  <c r="K1268" i="1" s="1"/>
  <c r="J1269" i="1"/>
  <c r="K1269" i="1" s="1"/>
  <c r="J1270" i="1"/>
  <c r="K1270" i="1" s="1"/>
  <c r="J1271" i="1"/>
  <c r="K1271" i="1" s="1"/>
  <c r="J1272" i="1"/>
  <c r="K1272" i="1" s="1"/>
  <c r="J1273" i="1"/>
  <c r="K1273" i="1" s="1"/>
  <c r="J1274" i="1"/>
  <c r="K1274" i="1" s="1"/>
  <c r="J1275" i="1"/>
  <c r="K1275" i="1" s="1"/>
  <c r="J1276" i="1"/>
  <c r="K1276" i="1" s="1"/>
  <c r="J1277" i="1"/>
  <c r="K1277" i="1" s="1"/>
  <c r="J1278" i="1"/>
  <c r="K1278" i="1" s="1"/>
  <c r="J1279" i="1"/>
  <c r="K1279" i="1" s="1"/>
  <c r="J1280" i="1"/>
  <c r="K1280" i="1" s="1"/>
  <c r="J1281" i="1"/>
  <c r="K1281" i="1" s="1"/>
  <c r="J1282" i="1"/>
  <c r="K1282" i="1" s="1"/>
  <c r="J1283" i="1"/>
  <c r="K1283" i="1" s="1"/>
  <c r="J1284" i="1"/>
  <c r="K1284" i="1" s="1"/>
  <c r="J1285" i="1"/>
  <c r="K1285" i="1" s="1"/>
  <c r="J1286" i="1"/>
  <c r="K1286" i="1" s="1"/>
  <c r="J1287" i="1"/>
  <c r="K1287" i="1" s="1"/>
  <c r="J1288" i="1"/>
  <c r="K1288" i="1" s="1"/>
  <c r="J1289" i="1"/>
  <c r="K1289" i="1" s="1"/>
  <c r="J1290" i="1"/>
  <c r="K1290" i="1" s="1"/>
  <c r="J1291" i="1"/>
  <c r="K1291" i="1" s="1"/>
  <c r="J1292" i="1"/>
  <c r="K1292" i="1" s="1"/>
  <c r="J1293" i="1"/>
  <c r="K1293" i="1" s="1"/>
  <c r="J1294" i="1"/>
  <c r="K1294" i="1" s="1"/>
  <c r="J1295" i="1"/>
  <c r="K1295" i="1" s="1"/>
  <c r="J1296" i="1"/>
  <c r="K1296" i="1" s="1"/>
  <c r="J1297" i="1"/>
  <c r="K1297" i="1" s="1"/>
  <c r="J1298" i="1"/>
  <c r="K1298" i="1" s="1"/>
  <c r="J1299" i="1"/>
  <c r="K1299" i="1" s="1"/>
  <c r="J1300" i="1"/>
  <c r="K1300" i="1" s="1"/>
  <c r="J1301" i="1"/>
  <c r="K1301" i="1" s="1"/>
  <c r="J1302" i="1"/>
  <c r="K1302" i="1" s="1"/>
  <c r="J1303" i="1"/>
  <c r="K1303" i="1" s="1"/>
  <c r="J1304" i="1"/>
  <c r="K1304" i="1" s="1"/>
  <c r="J1305" i="1"/>
  <c r="K1305" i="1" s="1"/>
  <c r="J1306" i="1"/>
  <c r="K1306" i="1" s="1"/>
  <c r="J1307" i="1"/>
  <c r="K1307" i="1" s="1"/>
  <c r="J1308" i="1"/>
  <c r="K1308" i="1" s="1"/>
  <c r="J1309" i="1"/>
  <c r="K1309" i="1" s="1"/>
  <c r="J1310" i="1"/>
  <c r="K1310" i="1" s="1"/>
  <c r="J1311" i="1"/>
  <c r="K1311" i="1" s="1"/>
  <c r="J1312" i="1"/>
  <c r="K1312" i="1" s="1"/>
  <c r="J1313" i="1"/>
  <c r="K1313" i="1" s="1"/>
  <c r="J1314" i="1"/>
  <c r="K1314" i="1" s="1"/>
  <c r="J1315" i="1"/>
  <c r="K1315" i="1" s="1"/>
  <c r="J1316" i="1"/>
  <c r="K1316" i="1" s="1"/>
  <c r="J1317" i="1"/>
  <c r="K1317" i="1" s="1"/>
  <c r="J1318" i="1"/>
  <c r="K1318" i="1" s="1"/>
  <c r="J1319" i="1"/>
  <c r="K1319" i="1" s="1"/>
  <c r="J1320" i="1"/>
  <c r="K1320" i="1" s="1"/>
  <c r="J1321" i="1"/>
  <c r="K1321" i="1" s="1"/>
  <c r="J1322" i="1"/>
  <c r="K1322" i="1" s="1"/>
  <c r="J1323" i="1"/>
  <c r="K1323" i="1" s="1"/>
  <c r="J1324" i="1"/>
  <c r="K1324" i="1" s="1"/>
  <c r="J1325" i="1"/>
  <c r="K1325" i="1" s="1"/>
  <c r="J1326" i="1"/>
  <c r="K1326" i="1" s="1"/>
  <c r="J1327" i="1"/>
  <c r="K1327" i="1" s="1"/>
  <c r="J1328" i="1"/>
  <c r="K1328" i="1" s="1"/>
  <c r="J1329" i="1"/>
  <c r="K1329" i="1" s="1"/>
  <c r="J1330" i="1"/>
  <c r="K1330" i="1" s="1"/>
  <c r="J1331" i="1"/>
  <c r="K1331" i="1" s="1"/>
  <c r="J1332" i="1"/>
  <c r="K1332" i="1" s="1"/>
  <c r="J1333" i="1"/>
  <c r="K1333" i="1" s="1"/>
  <c r="J1334" i="1"/>
  <c r="K1334" i="1" s="1"/>
  <c r="J1335" i="1"/>
  <c r="K1335" i="1" s="1"/>
  <c r="J1336" i="1"/>
  <c r="K1336" i="1" s="1"/>
  <c r="J1337" i="1"/>
  <c r="K1337" i="1" s="1"/>
  <c r="J1338" i="1"/>
  <c r="K1338" i="1" s="1"/>
  <c r="J1339" i="1"/>
  <c r="K1339" i="1" s="1"/>
  <c r="J1340" i="1"/>
  <c r="K1340" i="1" s="1"/>
  <c r="J1341" i="1"/>
  <c r="K1341" i="1" s="1"/>
  <c r="J1342" i="1"/>
  <c r="K1342" i="1" s="1"/>
  <c r="J1343" i="1"/>
  <c r="K1343" i="1" s="1"/>
  <c r="J1344" i="1"/>
  <c r="K1344" i="1" s="1"/>
  <c r="J1345" i="1"/>
  <c r="K1345" i="1" s="1"/>
  <c r="J1346" i="1"/>
  <c r="K1346" i="1" s="1"/>
  <c r="J1347" i="1"/>
  <c r="K1347" i="1" s="1"/>
  <c r="J1348" i="1"/>
  <c r="K1348" i="1" s="1"/>
  <c r="J1349" i="1"/>
  <c r="K1349" i="1" s="1"/>
  <c r="J1350" i="1"/>
  <c r="K1350" i="1" s="1"/>
  <c r="J1351" i="1"/>
  <c r="K1351" i="1" s="1"/>
  <c r="J1352" i="1"/>
  <c r="K1352" i="1" s="1"/>
  <c r="J1353" i="1"/>
  <c r="K1353" i="1" s="1"/>
  <c r="J1354" i="1"/>
  <c r="K1354" i="1" s="1"/>
  <c r="J1355" i="1"/>
  <c r="K1355" i="1" s="1"/>
  <c r="J1356" i="1"/>
  <c r="K1356" i="1" s="1"/>
  <c r="J1357" i="1"/>
  <c r="K1357" i="1" s="1"/>
  <c r="J1358" i="1"/>
  <c r="K1358" i="1" s="1"/>
  <c r="J1359" i="1"/>
  <c r="K1359" i="1" s="1"/>
  <c r="J1360" i="1"/>
  <c r="K1360" i="1" s="1"/>
  <c r="J1361" i="1"/>
  <c r="K1361" i="1" s="1"/>
  <c r="J1362" i="1"/>
  <c r="K1362" i="1" s="1"/>
  <c r="J1363" i="1"/>
  <c r="K1363" i="1" s="1"/>
  <c r="J1364" i="1"/>
  <c r="K1364" i="1" s="1"/>
  <c r="J1365" i="1"/>
  <c r="K1365" i="1" s="1"/>
  <c r="J1366" i="1"/>
  <c r="K1366" i="1" s="1"/>
  <c r="J1367" i="1"/>
  <c r="K1367" i="1" s="1"/>
  <c r="J1368" i="1"/>
  <c r="K1368" i="1" s="1"/>
  <c r="J1369" i="1"/>
  <c r="K1369" i="1" s="1"/>
  <c r="J1370" i="1"/>
  <c r="K1370" i="1" s="1"/>
  <c r="J1371" i="1"/>
  <c r="K1371" i="1" s="1"/>
  <c r="J1372" i="1"/>
  <c r="K1372" i="1" s="1"/>
  <c r="J1373" i="1"/>
  <c r="K1373" i="1" s="1"/>
  <c r="J1374" i="1"/>
  <c r="K1374" i="1" s="1"/>
  <c r="J1375" i="1"/>
  <c r="K1375" i="1" s="1"/>
  <c r="J1376" i="1"/>
  <c r="K1376" i="1" s="1"/>
  <c r="J1377" i="1"/>
  <c r="K1377" i="1" s="1"/>
  <c r="J1378" i="1"/>
  <c r="K1378" i="1" s="1"/>
  <c r="J1379" i="1"/>
  <c r="K1379" i="1" s="1"/>
  <c r="J1380" i="1"/>
  <c r="K1380" i="1" s="1"/>
  <c r="J1381" i="1"/>
  <c r="K1381" i="1" s="1"/>
  <c r="J1382" i="1"/>
  <c r="K1382" i="1" s="1"/>
  <c r="J1383" i="1"/>
  <c r="K1383" i="1" s="1"/>
  <c r="J1384" i="1"/>
  <c r="K1384" i="1" s="1"/>
  <c r="J1385" i="1"/>
  <c r="K1385" i="1" s="1"/>
  <c r="J1386" i="1"/>
  <c r="K1386" i="1" s="1"/>
  <c r="J1387" i="1"/>
  <c r="K1387" i="1" s="1"/>
  <c r="J1388" i="1"/>
  <c r="K1388" i="1" s="1"/>
  <c r="J1389" i="1"/>
  <c r="K1389" i="1" s="1"/>
  <c r="J1390" i="1"/>
  <c r="K1390" i="1" s="1"/>
  <c r="J1391" i="1"/>
  <c r="K1391" i="1" s="1"/>
  <c r="J1392" i="1"/>
  <c r="K1392" i="1" s="1"/>
  <c r="J1393" i="1"/>
  <c r="K1393" i="1" s="1"/>
  <c r="J1394" i="1"/>
  <c r="K1394" i="1" s="1"/>
  <c r="J1395" i="1"/>
  <c r="K1395" i="1" s="1"/>
  <c r="J1396" i="1"/>
  <c r="K1396" i="1" s="1"/>
  <c r="J1397" i="1"/>
  <c r="K1397" i="1" s="1"/>
  <c r="J1398" i="1"/>
  <c r="K1398" i="1" s="1"/>
  <c r="J1399" i="1"/>
  <c r="K1399" i="1" s="1"/>
  <c r="J1400" i="1"/>
  <c r="K1400" i="1" s="1"/>
  <c r="J1401" i="1"/>
  <c r="K1401" i="1" s="1"/>
  <c r="J1402" i="1"/>
  <c r="K1402" i="1" s="1"/>
  <c r="J1403" i="1"/>
  <c r="K1403" i="1" s="1"/>
  <c r="J1404" i="1"/>
  <c r="K1404" i="1" s="1"/>
  <c r="J1405" i="1"/>
  <c r="K1405" i="1" s="1"/>
  <c r="J1406" i="1"/>
  <c r="K1406" i="1" s="1"/>
  <c r="J1407" i="1"/>
  <c r="K1407" i="1" s="1"/>
  <c r="J1408" i="1"/>
  <c r="K1408" i="1" s="1"/>
  <c r="J1409" i="1"/>
  <c r="K1409" i="1" s="1"/>
  <c r="J1410" i="1"/>
  <c r="K1410" i="1" s="1"/>
  <c r="J1411" i="1"/>
  <c r="K1411" i="1" s="1"/>
  <c r="J1412" i="1"/>
  <c r="K1412" i="1" s="1"/>
  <c r="J1413" i="1"/>
  <c r="K1413" i="1" s="1"/>
  <c r="J1414" i="1"/>
  <c r="K1414" i="1" s="1"/>
  <c r="J1415" i="1"/>
  <c r="K1415" i="1" s="1"/>
  <c r="J1416" i="1"/>
  <c r="K1416" i="1" s="1"/>
  <c r="J1417" i="1"/>
  <c r="K1417" i="1" s="1"/>
  <c r="J1418" i="1"/>
  <c r="K1418" i="1" s="1"/>
  <c r="J1419" i="1"/>
  <c r="K1419" i="1" s="1"/>
  <c r="J1420" i="1"/>
  <c r="K1420" i="1" s="1"/>
  <c r="J1421" i="1"/>
  <c r="K1421" i="1" s="1"/>
  <c r="J1422" i="1"/>
  <c r="K1422" i="1" s="1"/>
  <c r="J1423" i="1"/>
  <c r="K1423" i="1" s="1"/>
  <c r="J1424" i="1"/>
  <c r="K1424" i="1" s="1"/>
  <c r="J1425" i="1"/>
  <c r="K1425" i="1" s="1"/>
  <c r="J1426" i="1"/>
  <c r="K1426" i="1" s="1"/>
  <c r="J1427" i="1"/>
  <c r="K1427" i="1" s="1"/>
  <c r="J1428" i="1"/>
  <c r="K1428" i="1" s="1"/>
  <c r="J1429" i="1"/>
  <c r="K1429" i="1" s="1"/>
  <c r="J1430" i="1"/>
  <c r="K1430" i="1" s="1"/>
  <c r="J1431" i="1"/>
  <c r="K1431" i="1" s="1"/>
  <c r="J1432" i="1"/>
  <c r="K1432" i="1" s="1"/>
  <c r="J1433" i="1"/>
  <c r="K1433" i="1" s="1"/>
  <c r="J1434" i="1"/>
  <c r="K1434" i="1" s="1"/>
  <c r="J1435" i="1"/>
  <c r="K1435" i="1" s="1"/>
  <c r="J1436" i="1"/>
  <c r="K1436" i="1" s="1"/>
  <c r="J1437" i="1"/>
  <c r="K1437" i="1" s="1"/>
  <c r="J1438" i="1"/>
  <c r="K1438" i="1" s="1"/>
  <c r="J1439" i="1"/>
  <c r="K1439" i="1" s="1"/>
  <c r="J1440" i="1"/>
  <c r="K1440" i="1" s="1"/>
  <c r="J1441" i="1"/>
  <c r="K1441" i="1" s="1"/>
  <c r="J1442" i="1"/>
  <c r="K1442" i="1" s="1"/>
  <c r="J1443" i="1"/>
  <c r="K1443" i="1" s="1"/>
  <c r="J1444" i="1"/>
  <c r="K1444" i="1" s="1"/>
  <c r="J1445" i="1"/>
  <c r="K1445" i="1" s="1"/>
  <c r="J1446" i="1"/>
  <c r="K1446" i="1" s="1"/>
  <c r="J1447" i="1"/>
  <c r="K1447" i="1" s="1"/>
  <c r="J1448" i="1"/>
  <c r="K1448" i="1" s="1"/>
  <c r="J1449" i="1"/>
  <c r="K1449" i="1" s="1"/>
  <c r="J1450" i="1"/>
  <c r="K1450" i="1" s="1"/>
  <c r="J1451" i="1"/>
  <c r="K1451" i="1" s="1"/>
  <c r="J1452" i="1"/>
  <c r="K1452" i="1" s="1"/>
  <c r="J1453" i="1"/>
  <c r="K1453" i="1" s="1"/>
  <c r="J1454" i="1"/>
  <c r="K1454" i="1" s="1"/>
  <c r="J1455" i="1"/>
  <c r="K1455" i="1" s="1"/>
  <c r="J1456" i="1"/>
  <c r="K1456" i="1" s="1"/>
  <c r="J1457" i="1"/>
  <c r="K1457" i="1" s="1"/>
  <c r="J1458" i="1"/>
  <c r="K1458" i="1" s="1"/>
  <c r="J1459" i="1"/>
  <c r="K1459" i="1" s="1"/>
  <c r="J1460" i="1"/>
  <c r="K1460" i="1" s="1"/>
  <c r="J1461" i="1"/>
  <c r="K1461" i="1" s="1"/>
  <c r="J1462" i="1"/>
  <c r="K1462" i="1" s="1"/>
  <c r="J1463" i="1"/>
  <c r="K1463" i="1" s="1"/>
  <c r="J1464" i="1"/>
  <c r="K1464" i="1" s="1"/>
  <c r="J1465" i="1"/>
  <c r="K1465" i="1" s="1"/>
  <c r="J1466" i="1"/>
  <c r="K1466" i="1" s="1"/>
  <c r="J1467" i="1"/>
  <c r="K1467" i="1" s="1"/>
  <c r="J1468" i="1"/>
  <c r="K1468" i="1" s="1"/>
  <c r="J1469" i="1"/>
  <c r="K1469" i="1" s="1"/>
  <c r="J1470" i="1"/>
  <c r="K1470" i="1" s="1"/>
  <c r="J1471" i="1"/>
  <c r="K1471" i="1" s="1"/>
  <c r="J1472" i="1"/>
  <c r="K1472" i="1" s="1"/>
  <c r="J1473" i="1"/>
  <c r="K1473" i="1" s="1"/>
  <c r="J1474" i="1"/>
  <c r="K1474" i="1" s="1"/>
  <c r="J1475" i="1"/>
  <c r="K1475" i="1" s="1"/>
  <c r="J1476" i="1"/>
  <c r="K1476" i="1" s="1"/>
  <c r="J1477" i="1"/>
  <c r="K1477" i="1" s="1"/>
  <c r="J1478" i="1"/>
  <c r="K1478" i="1" s="1"/>
  <c r="J1479" i="1"/>
  <c r="K1479" i="1" s="1"/>
  <c r="J1480" i="1"/>
  <c r="K1480" i="1" s="1"/>
  <c r="J1481" i="1"/>
  <c r="K1481" i="1" s="1"/>
  <c r="J1482" i="1"/>
  <c r="K1482" i="1" s="1"/>
  <c r="J1483" i="1"/>
  <c r="K1483" i="1" s="1"/>
  <c r="J1484" i="1"/>
  <c r="K1484" i="1" s="1"/>
  <c r="J1485" i="1"/>
  <c r="K1485" i="1" s="1"/>
  <c r="J1486" i="1"/>
  <c r="K1486" i="1" s="1"/>
  <c r="J1487" i="1"/>
  <c r="K1487" i="1" s="1"/>
  <c r="J1488" i="1"/>
  <c r="K1488" i="1" s="1"/>
  <c r="J1489" i="1"/>
  <c r="K1489" i="1" s="1"/>
  <c r="J1490" i="1"/>
  <c r="K1490" i="1" s="1"/>
  <c r="J1491" i="1"/>
  <c r="K1491" i="1" s="1"/>
  <c r="J1492" i="1"/>
  <c r="K1492" i="1" s="1"/>
  <c r="J1493" i="1"/>
  <c r="K1493" i="1" s="1"/>
  <c r="J1494" i="1"/>
  <c r="K1494" i="1" s="1"/>
  <c r="J1495" i="1"/>
  <c r="K1495" i="1" s="1"/>
  <c r="J1496" i="1"/>
  <c r="K1496" i="1" s="1"/>
  <c r="J1497" i="1"/>
  <c r="K1497" i="1" s="1"/>
  <c r="J1498" i="1"/>
  <c r="K1498" i="1" s="1"/>
  <c r="J1499" i="1"/>
  <c r="K1499" i="1" s="1"/>
  <c r="J1500" i="1"/>
  <c r="K1500" i="1" s="1"/>
  <c r="J1501" i="1"/>
  <c r="K1501" i="1" s="1"/>
  <c r="J1502" i="1"/>
  <c r="K1502" i="1" s="1"/>
  <c r="J1503" i="1"/>
  <c r="K1503" i="1" s="1"/>
  <c r="J1504" i="1"/>
  <c r="K1504" i="1" s="1"/>
  <c r="J1505" i="1"/>
  <c r="K1505" i="1" s="1"/>
  <c r="J1506" i="1"/>
  <c r="K1506" i="1" s="1"/>
  <c r="J1507" i="1"/>
  <c r="K1507" i="1" s="1"/>
  <c r="J1508" i="1"/>
  <c r="K1508" i="1" s="1"/>
  <c r="J1509" i="1"/>
  <c r="K1509" i="1" s="1"/>
  <c r="J1510" i="1"/>
  <c r="K1510" i="1" s="1"/>
  <c r="J1511" i="1"/>
  <c r="K1511" i="1" s="1"/>
  <c r="J1512" i="1"/>
  <c r="K1512" i="1" s="1"/>
  <c r="J1513" i="1"/>
  <c r="K1513" i="1" s="1"/>
  <c r="J1514" i="1"/>
  <c r="K1514" i="1" s="1"/>
  <c r="J1515" i="1"/>
  <c r="K1515" i="1" s="1"/>
  <c r="J1516" i="1"/>
  <c r="K1516" i="1" s="1"/>
  <c r="J1517" i="1"/>
  <c r="K1517" i="1" s="1"/>
  <c r="J1518" i="1"/>
  <c r="K1518" i="1" s="1"/>
  <c r="J1519" i="1"/>
  <c r="K1519" i="1" s="1"/>
  <c r="J1520" i="1"/>
  <c r="K1520" i="1" s="1"/>
  <c r="J1521" i="1"/>
  <c r="K1521" i="1" s="1"/>
  <c r="J1522" i="1"/>
  <c r="K1522" i="1" s="1"/>
  <c r="J1523" i="1"/>
  <c r="K1523" i="1" s="1"/>
  <c r="J1524" i="1"/>
  <c r="K1524" i="1" s="1"/>
  <c r="J1525" i="1"/>
  <c r="K1525" i="1" s="1"/>
  <c r="J1526" i="1"/>
  <c r="K1526" i="1" s="1"/>
  <c r="J1527" i="1"/>
  <c r="K1527" i="1" s="1"/>
  <c r="J1528" i="1"/>
  <c r="K1528" i="1" s="1"/>
  <c r="J1529" i="1"/>
  <c r="K1529" i="1" s="1"/>
  <c r="J1530" i="1"/>
  <c r="K1530" i="1" s="1"/>
  <c r="J1531" i="1"/>
  <c r="K1531" i="1" s="1"/>
  <c r="J1532" i="1"/>
  <c r="K1532" i="1" s="1"/>
  <c r="J1533" i="1"/>
  <c r="K1533" i="1" s="1"/>
  <c r="J1534" i="1"/>
  <c r="K1534" i="1" s="1"/>
  <c r="J1535" i="1"/>
  <c r="K1535" i="1" s="1"/>
  <c r="J1536" i="1"/>
  <c r="K1536" i="1" s="1"/>
  <c r="J1537" i="1"/>
  <c r="K1537" i="1" s="1"/>
  <c r="J1538" i="1"/>
  <c r="K1538" i="1" s="1"/>
  <c r="J1539" i="1"/>
  <c r="K1539" i="1" s="1"/>
  <c r="J1540" i="1"/>
  <c r="K1540" i="1" s="1"/>
  <c r="J1541" i="1"/>
  <c r="K1541" i="1" s="1"/>
  <c r="J1542" i="1"/>
  <c r="K1542" i="1" s="1"/>
  <c r="J1543" i="1"/>
  <c r="K1543" i="1" s="1"/>
  <c r="J1544" i="1"/>
  <c r="K1544" i="1" s="1"/>
  <c r="J1545" i="1"/>
  <c r="K1545" i="1" s="1"/>
  <c r="J1546" i="1"/>
  <c r="K1546" i="1" s="1"/>
  <c r="J1547" i="1"/>
  <c r="K1547" i="1" s="1"/>
  <c r="J1548" i="1"/>
  <c r="K1548" i="1" s="1"/>
  <c r="J1549" i="1"/>
  <c r="K1549" i="1" s="1"/>
  <c r="J1550" i="1"/>
  <c r="K1550" i="1" s="1"/>
  <c r="J1551" i="1"/>
  <c r="K1551" i="1" s="1"/>
  <c r="J1552" i="1"/>
  <c r="K1552" i="1" s="1"/>
  <c r="J1553" i="1"/>
  <c r="K1553" i="1" s="1"/>
  <c r="J1554" i="1"/>
  <c r="K1554" i="1" s="1"/>
  <c r="J1555" i="1"/>
  <c r="K1555" i="1" s="1"/>
  <c r="J1556" i="1"/>
  <c r="K1556" i="1" s="1"/>
  <c r="J1557" i="1"/>
  <c r="K1557" i="1" s="1"/>
  <c r="J1558" i="1"/>
  <c r="K1558" i="1" s="1"/>
  <c r="J1559" i="1"/>
  <c r="K1559" i="1" s="1"/>
  <c r="J1560" i="1"/>
  <c r="K1560" i="1" s="1"/>
  <c r="J1561" i="1"/>
  <c r="K1561" i="1" s="1"/>
  <c r="J1562" i="1"/>
  <c r="K1562" i="1" s="1"/>
  <c r="J1563" i="1"/>
  <c r="K1563" i="1" s="1"/>
  <c r="J1564" i="1"/>
  <c r="K1564" i="1" s="1"/>
  <c r="J1565" i="1"/>
  <c r="K1565" i="1" s="1"/>
  <c r="J1566" i="1"/>
  <c r="K1566" i="1" s="1"/>
  <c r="J1567" i="1"/>
  <c r="K1567" i="1" s="1"/>
  <c r="J1568" i="1"/>
  <c r="K1568" i="1" s="1"/>
  <c r="J1569" i="1"/>
  <c r="K1569" i="1" s="1"/>
  <c r="J1570" i="1"/>
  <c r="K1570" i="1" s="1"/>
  <c r="J1571" i="1"/>
  <c r="K1571" i="1" s="1"/>
  <c r="J1572" i="1"/>
  <c r="K1572" i="1" s="1"/>
  <c r="J1573" i="1"/>
  <c r="K1573" i="1" s="1"/>
  <c r="J1574" i="1"/>
  <c r="K1574" i="1" s="1"/>
  <c r="J1575" i="1"/>
  <c r="K1575" i="1" s="1"/>
  <c r="J1576" i="1"/>
  <c r="K1576" i="1" s="1"/>
  <c r="J1577" i="1"/>
  <c r="K1577" i="1" s="1"/>
  <c r="J1578" i="1"/>
  <c r="K1578" i="1" s="1"/>
  <c r="J1579" i="1"/>
  <c r="K1579" i="1" s="1"/>
  <c r="J1580" i="1"/>
  <c r="K1580" i="1" s="1"/>
  <c r="J1581" i="1"/>
  <c r="K1581" i="1" s="1"/>
  <c r="J1582" i="1"/>
  <c r="K1582" i="1" s="1"/>
  <c r="J1583" i="1"/>
  <c r="K1583" i="1" s="1"/>
  <c r="J1584" i="1"/>
  <c r="K1584" i="1" s="1"/>
  <c r="J1585" i="1"/>
  <c r="K1585" i="1" s="1"/>
  <c r="J1586" i="1"/>
  <c r="K1586" i="1" s="1"/>
  <c r="J1587" i="1"/>
  <c r="K1587" i="1" s="1"/>
  <c r="J1588" i="1"/>
  <c r="K1588" i="1" s="1"/>
  <c r="J1589" i="1"/>
  <c r="K1589" i="1" s="1"/>
  <c r="J1590" i="1"/>
  <c r="K1590" i="1" s="1"/>
  <c r="J1591" i="1"/>
  <c r="K1591" i="1" s="1"/>
  <c r="J1592" i="1"/>
  <c r="K1592" i="1" s="1"/>
  <c r="J1593" i="1"/>
  <c r="K1593" i="1" s="1"/>
  <c r="J1594" i="1"/>
  <c r="K1594" i="1" s="1"/>
  <c r="J1595" i="1"/>
  <c r="K1595" i="1" s="1"/>
  <c r="J1596" i="1"/>
  <c r="K1596" i="1" s="1"/>
  <c r="J1597" i="1"/>
  <c r="K1597" i="1" s="1"/>
  <c r="J1598" i="1"/>
  <c r="K1598" i="1" s="1"/>
  <c r="J1599" i="1"/>
  <c r="K1599" i="1" s="1"/>
  <c r="J1600" i="1"/>
  <c r="K1600" i="1" s="1"/>
  <c r="J1601" i="1"/>
  <c r="K1601" i="1" s="1"/>
  <c r="J1602" i="1"/>
  <c r="K1602" i="1" s="1"/>
  <c r="J1603" i="1"/>
  <c r="K1603" i="1" s="1"/>
  <c r="J1604" i="1"/>
  <c r="K1604" i="1" s="1"/>
  <c r="J1605" i="1"/>
  <c r="K1605" i="1" s="1"/>
  <c r="J1606" i="1"/>
  <c r="K1606" i="1" s="1"/>
  <c r="J1607" i="1"/>
  <c r="K1607" i="1" s="1"/>
  <c r="J1608" i="1"/>
  <c r="K1608" i="1" s="1"/>
  <c r="J1609" i="1"/>
  <c r="K1609" i="1" s="1"/>
  <c r="J1610" i="1"/>
  <c r="K1610" i="1" s="1"/>
  <c r="J1611" i="1"/>
  <c r="K1611" i="1" s="1"/>
  <c r="J1612" i="1"/>
  <c r="K1612" i="1" s="1"/>
  <c r="J1613" i="1"/>
  <c r="K1613" i="1" s="1"/>
  <c r="J1614" i="1"/>
  <c r="K1614" i="1" s="1"/>
  <c r="J1615" i="1"/>
  <c r="K1615" i="1" s="1"/>
  <c r="J1616" i="1"/>
  <c r="K1616" i="1" s="1"/>
  <c r="J1617" i="1"/>
  <c r="K1617" i="1" s="1"/>
  <c r="J1618" i="1"/>
  <c r="K1618" i="1" s="1"/>
  <c r="J1619" i="1"/>
  <c r="K1619" i="1" s="1"/>
  <c r="J1620" i="1"/>
  <c r="K1620" i="1" s="1"/>
  <c r="J1621" i="1"/>
  <c r="K1621" i="1" s="1"/>
  <c r="J1622" i="1"/>
  <c r="K1622" i="1" s="1"/>
  <c r="J1623" i="1"/>
  <c r="K1623" i="1" s="1"/>
  <c r="J1624" i="1"/>
  <c r="K1624" i="1" s="1"/>
  <c r="J1625" i="1"/>
  <c r="K1625" i="1" s="1"/>
  <c r="J1626" i="1"/>
  <c r="K1626" i="1" s="1"/>
  <c r="J1627" i="1"/>
  <c r="K1627" i="1" s="1"/>
  <c r="J1628" i="1"/>
  <c r="K1628" i="1" s="1"/>
  <c r="J1629" i="1"/>
  <c r="K1629" i="1" s="1"/>
  <c r="J1630" i="1"/>
  <c r="K1630" i="1" s="1"/>
  <c r="J1631" i="1"/>
  <c r="K1631" i="1" s="1"/>
  <c r="J1632" i="1"/>
  <c r="K1632" i="1" s="1"/>
  <c r="J1633" i="1"/>
  <c r="K1633" i="1" s="1"/>
  <c r="J1634" i="1"/>
  <c r="K1634" i="1" s="1"/>
  <c r="J1635" i="1"/>
  <c r="K1635" i="1" s="1"/>
  <c r="J1636" i="1"/>
  <c r="K1636" i="1" s="1"/>
  <c r="J1637" i="1"/>
  <c r="K1637" i="1" s="1"/>
  <c r="J1638" i="1"/>
  <c r="K1638" i="1" s="1"/>
  <c r="J1639" i="1"/>
  <c r="K1639" i="1" s="1"/>
  <c r="J1640" i="1"/>
  <c r="K1640" i="1" s="1"/>
  <c r="J1641" i="1"/>
  <c r="K1641" i="1" s="1"/>
  <c r="J1642" i="1"/>
  <c r="K1642" i="1" s="1"/>
  <c r="J1643" i="1"/>
  <c r="K1643" i="1" s="1"/>
  <c r="J1644" i="1"/>
  <c r="K1644" i="1" s="1"/>
  <c r="J1645" i="1"/>
  <c r="K1645" i="1" s="1"/>
  <c r="J1646" i="1"/>
  <c r="K1646" i="1" s="1"/>
  <c r="J1647" i="1"/>
  <c r="K1647" i="1" s="1"/>
  <c r="J1648" i="1"/>
  <c r="K1648" i="1" s="1"/>
  <c r="J1649" i="1"/>
  <c r="K1649" i="1" s="1"/>
  <c r="J1650" i="1"/>
  <c r="K1650" i="1" s="1"/>
  <c r="J1651" i="1"/>
  <c r="K1651" i="1" s="1"/>
  <c r="J1652" i="1"/>
  <c r="K1652" i="1" s="1"/>
  <c r="J1653" i="1"/>
  <c r="K1653" i="1" s="1"/>
  <c r="J1654" i="1"/>
  <c r="K1654" i="1" s="1"/>
  <c r="J1655" i="1"/>
  <c r="K1655" i="1" s="1"/>
  <c r="J1656" i="1"/>
  <c r="K1656" i="1" s="1"/>
  <c r="J1657" i="1"/>
  <c r="K1657" i="1" s="1"/>
  <c r="J1658" i="1"/>
  <c r="K1658" i="1" s="1"/>
  <c r="J1659" i="1"/>
  <c r="K1659" i="1" s="1"/>
  <c r="J1660" i="1"/>
  <c r="K1660" i="1" s="1"/>
  <c r="J1661" i="1"/>
  <c r="K1661" i="1" s="1"/>
  <c r="J1662" i="1"/>
  <c r="K1662" i="1" s="1"/>
  <c r="J1663" i="1"/>
  <c r="K1663" i="1" s="1"/>
  <c r="J1664" i="1"/>
  <c r="K1664" i="1" s="1"/>
  <c r="J1665" i="1"/>
  <c r="K1665" i="1" s="1"/>
  <c r="J1666" i="1"/>
  <c r="K1666" i="1" s="1"/>
  <c r="J1667" i="1"/>
  <c r="K1667" i="1" s="1"/>
  <c r="J1668" i="1"/>
  <c r="K1668" i="1" s="1"/>
  <c r="J1669" i="1"/>
  <c r="K1669" i="1" s="1"/>
  <c r="J1670" i="1"/>
  <c r="K1670" i="1" s="1"/>
  <c r="J1671" i="1"/>
  <c r="K1671" i="1" s="1"/>
  <c r="J1672" i="1"/>
  <c r="K1672" i="1" s="1"/>
  <c r="J1673" i="1"/>
  <c r="K1673" i="1" s="1"/>
  <c r="J1674" i="1"/>
  <c r="K1674" i="1" s="1"/>
  <c r="J1675" i="1"/>
  <c r="K1675" i="1" s="1"/>
  <c r="J1676" i="1"/>
  <c r="K1676" i="1" s="1"/>
  <c r="J1677" i="1"/>
  <c r="K1677" i="1" s="1"/>
  <c r="J1678" i="1"/>
  <c r="K1678" i="1" s="1"/>
  <c r="J1679" i="1"/>
  <c r="K1679" i="1" s="1"/>
  <c r="J1680" i="1"/>
  <c r="K1680" i="1" s="1"/>
  <c r="J1681" i="1"/>
  <c r="K1681" i="1" s="1"/>
  <c r="J1682" i="1"/>
  <c r="K1682" i="1" s="1"/>
  <c r="J1683" i="1"/>
  <c r="K1683" i="1" s="1"/>
  <c r="J1684" i="1"/>
  <c r="K1684" i="1" s="1"/>
  <c r="J1685" i="1"/>
  <c r="K1685" i="1" s="1"/>
  <c r="J1686" i="1"/>
  <c r="K1686" i="1" s="1"/>
  <c r="J1687" i="1"/>
  <c r="K1687" i="1" s="1"/>
  <c r="J1688" i="1"/>
  <c r="K1688" i="1" s="1"/>
  <c r="J1689" i="1"/>
  <c r="K1689" i="1" s="1"/>
  <c r="J1690" i="1"/>
  <c r="K1690" i="1" s="1"/>
  <c r="J1691" i="1"/>
  <c r="K1691" i="1" s="1"/>
  <c r="J1692" i="1"/>
  <c r="K1692" i="1" s="1"/>
  <c r="J1693" i="1"/>
  <c r="K1693" i="1" s="1"/>
  <c r="J1694" i="1"/>
  <c r="K1694" i="1" s="1"/>
  <c r="J1695" i="1"/>
  <c r="K1695" i="1" s="1"/>
  <c r="J1696" i="1"/>
  <c r="K1696" i="1" s="1"/>
  <c r="J1697" i="1"/>
  <c r="K1697" i="1" s="1"/>
  <c r="J1698" i="1"/>
  <c r="K1698" i="1" s="1"/>
  <c r="J1699" i="1"/>
  <c r="K1699" i="1" s="1"/>
  <c r="J1700" i="1"/>
  <c r="K1700" i="1" s="1"/>
  <c r="J1701" i="1"/>
  <c r="K1701" i="1" s="1"/>
  <c r="J1702" i="1"/>
  <c r="K1702" i="1" s="1"/>
  <c r="J1703" i="1"/>
  <c r="K1703" i="1" s="1"/>
  <c r="J1704" i="1"/>
  <c r="K1704" i="1" s="1"/>
  <c r="J1705" i="1"/>
  <c r="K1705" i="1" s="1"/>
  <c r="J1706" i="1"/>
  <c r="K1706" i="1" s="1"/>
  <c r="J1707" i="1"/>
  <c r="K1707" i="1" s="1"/>
  <c r="J1708" i="1"/>
  <c r="K1708" i="1" s="1"/>
  <c r="J1709" i="1"/>
  <c r="K1709" i="1" s="1"/>
  <c r="J1710" i="1"/>
  <c r="K1710" i="1" s="1"/>
  <c r="J1711" i="1"/>
  <c r="K1711" i="1" s="1"/>
  <c r="J1712" i="1"/>
  <c r="K1712" i="1" s="1"/>
  <c r="J1713" i="1"/>
  <c r="K1713" i="1" s="1"/>
  <c r="J1714" i="1"/>
  <c r="K1714" i="1" s="1"/>
  <c r="J1715" i="1"/>
  <c r="K1715" i="1" s="1"/>
  <c r="J1716" i="1"/>
  <c r="K1716" i="1" s="1"/>
  <c r="J1717" i="1"/>
  <c r="K1717" i="1" s="1"/>
  <c r="J1718" i="1"/>
  <c r="K1718" i="1" s="1"/>
  <c r="J1719" i="1"/>
  <c r="K1719" i="1" s="1"/>
  <c r="J1720" i="1"/>
  <c r="K1720" i="1" s="1"/>
  <c r="J1721" i="1"/>
  <c r="K1721" i="1" s="1"/>
  <c r="J1722" i="1"/>
  <c r="K1722" i="1" s="1"/>
  <c r="J1723" i="1"/>
  <c r="K1723" i="1" s="1"/>
  <c r="J1724" i="1"/>
  <c r="K1724" i="1" s="1"/>
  <c r="J1725" i="1"/>
  <c r="K1725" i="1" s="1"/>
  <c r="J1726" i="1"/>
  <c r="K1726" i="1" s="1"/>
  <c r="J1727" i="1"/>
  <c r="K1727" i="1" s="1"/>
  <c r="J1728" i="1"/>
  <c r="K1728" i="1" s="1"/>
  <c r="J1729" i="1"/>
  <c r="K1729" i="1" s="1"/>
  <c r="J1730" i="1"/>
  <c r="K1730" i="1" s="1"/>
  <c r="J1731" i="1"/>
  <c r="K1731" i="1" s="1"/>
  <c r="J1732" i="1"/>
  <c r="K1732" i="1" s="1"/>
  <c r="J1733" i="1"/>
  <c r="K1733" i="1" s="1"/>
  <c r="J1734" i="1"/>
  <c r="K1734" i="1" s="1"/>
  <c r="J1735" i="1"/>
  <c r="K1735" i="1" s="1"/>
  <c r="J1736" i="1"/>
  <c r="K1736" i="1" s="1"/>
  <c r="J1737" i="1"/>
  <c r="K1737" i="1" s="1"/>
  <c r="J1738" i="1"/>
  <c r="K1738" i="1" s="1"/>
  <c r="J1739" i="1"/>
  <c r="K1739" i="1" s="1"/>
  <c r="J1740" i="1"/>
  <c r="K1740" i="1" s="1"/>
  <c r="J1741" i="1"/>
  <c r="K1741" i="1" s="1"/>
  <c r="J1742" i="1"/>
  <c r="K1742" i="1" s="1"/>
  <c r="J1743" i="1"/>
  <c r="K1743" i="1" s="1"/>
  <c r="J1744" i="1"/>
  <c r="K1744" i="1" s="1"/>
  <c r="J1745" i="1"/>
  <c r="K1745" i="1" s="1"/>
  <c r="J1746" i="1"/>
  <c r="K1746" i="1" s="1"/>
  <c r="J1747" i="1"/>
  <c r="K1747" i="1" s="1"/>
  <c r="J1748" i="1"/>
  <c r="K1748" i="1" s="1"/>
  <c r="J1749" i="1"/>
  <c r="K1749" i="1" s="1"/>
  <c r="J1750" i="1"/>
  <c r="K1750" i="1" s="1"/>
  <c r="J1751" i="1"/>
  <c r="K1751" i="1" s="1"/>
  <c r="J1752" i="1"/>
  <c r="K1752" i="1" s="1"/>
  <c r="J1753" i="1"/>
  <c r="K1753" i="1" s="1"/>
  <c r="J1754" i="1"/>
  <c r="K1754" i="1" s="1"/>
  <c r="J1755" i="1"/>
  <c r="K1755" i="1" s="1"/>
  <c r="J1756" i="1"/>
  <c r="K1756" i="1" s="1"/>
  <c r="J1757" i="1"/>
  <c r="K1757" i="1" s="1"/>
  <c r="J1758" i="1"/>
  <c r="K1758" i="1" s="1"/>
  <c r="J1759" i="1"/>
  <c r="K1759" i="1" s="1"/>
  <c r="J1760" i="1"/>
  <c r="K1760" i="1" s="1"/>
  <c r="J1761" i="1"/>
  <c r="K1761" i="1" s="1"/>
  <c r="J1762" i="1"/>
  <c r="K1762" i="1" s="1"/>
  <c r="J1763" i="1"/>
  <c r="K1763" i="1" s="1"/>
  <c r="J1764" i="1"/>
  <c r="K1764" i="1" s="1"/>
  <c r="J1765" i="1"/>
  <c r="K1765" i="1" s="1"/>
  <c r="J1766" i="1"/>
  <c r="K1766" i="1" s="1"/>
  <c r="J1767" i="1"/>
  <c r="K1767" i="1" s="1"/>
  <c r="J1768" i="1"/>
  <c r="K1768" i="1" s="1"/>
  <c r="J1769" i="1"/>
  <c r="K1769" i="1" s="1"/>
  <c r="J1770" i="1"/>
  <c r="K1770" i="1" s="1"/>
  <c r="J1771" i="1"/>
  <c r="K1771" i="1" s="1"/>
  <c r="J1772" i="1"/>
  <c r="K1772" i="1" s="1"/>
  <c r="J1773" i="1"/>
  <c r="K1773" i="1" s="1"/>
  <c r="J1774" i="1"/>
  <c r="K1774" i="1" s="1"/>
  <c r="J1775" i="1"/>
  <c r="K1775" i="1" s="1"/>
  <c r="J1776" i="1"/>
  <c r="K1776" i="1" s="1"/>
  <c r="J1777" i="1"/>
  <c r="K1777" i="1" s="1"/>
  <c r="J1778" i="1"/>
  <c r="K1778" i="1" s="1"/>
  <c r="J1779" i="1"/>
  <c r="K1779" i="1" s="1"/>
  <c r="J1780" i="1"/>
  <c r="K1780" i="1" s="1"/>
  <c r="J1781" i="1"/>
  <c r="K1781" i="1" s="1"/>
  <c r="J1782" i="1"/>
  <c r="K1782" i="1" s="1"/>
  <c r="J1783" i="1"/>
  <c r="K1783" i="1" s="1"/>
  <c r="J1784" i="1"/>
  <c r="K1784" i="1" s="1"/>
  <c r="J1785" i="1"/>
  <c r="K1785" i="1" s="1"/>
  <c r="J1786" i="1"/>
  <c r="K1786" i="1" s="1"/>
  <c r="J1787" i="1"/>
  <c r="K1787" i="1" s="1"/>
  <c r="J1788" i="1"/>
  <c r="K1788" i="1" s="1"/>
  <c r="J1789" i="1"/>
  <c r="K1789" i="1" s="1"/>
  <c r="J1790" i="1"/>
  <c r="K1790" i="1" s="1"/>
  <c r="J1791" i="1"/>
  <c r="K1791" i="1" s="1"/>
  <c r="J1792" i="1"/>
  <c r="K1792" i="1" s="1"/>
  <c r="J1793" i="1"/>
  <c r="K1793" i="1" s="1"/>
  <c r="J1794" i="1"/>
  <c r="K1794" i="1" s="1"/>
  <c r="J1795" i="1"/>
  <c r="K1795" i="1" s="1"/>
  <c r="J1796" i="1"/>
  <c r="K1796" i="1" s="1"/>
  <c r="J1797" i="1"/>
  <c r="K1797" i="1" s="1"/>
  <c r="J1798" i="1"/>
  <c r="K1798" i="1" s="1"/>
  <c r="J1799" i="1"/>
  <c r="K1799" i="1" s="1"/>
  <c r="J1800" i="1"/>
  <c r="K1800" i="1" s="1"/>
  <c r="J1801" i="1"/>
  <c r="K1801" i="1" s="1"/>
  <c r="J1802" i="1"/>
  <c r="K1802" i="1" s="1"/>
  <c r="J1803" i="1"/>
  <c r="K1803" i="1" s="1"/>
  <c r="J1804" i="1"/>
  <c r="K1804" i="1" s="1"/>
  <c r="J1805" i="1"/>
  <c r="K1805" i="1" s="1"/>
  <c r="J1806" i="1"/>
  <c r="K1806" i="1" s="1"/>
  <c r="J1807" i="1"/>
  <c r="K1807" i="1" s="1"/>
  <c r="J1808" i="1"/>
  <c r="K1808" i="1" s="1"/>
  <c r="J1809" i="1"/>
  <c r="K1809" i="1" s="1"/>
  <c r="J1810" i="1"/>
  <c r="K1810" i="1" s="1"/>
  <c r="J1811" i="1"/>
  <c r="K1811" i="1" s="1"/>
  <c r="J1812" i="1"/>
  <c r="K1812" i="1" s="1"/>
  <c r="J1813" i="1"/>
  <c r="K1813" i="1" s="1"/>
  <c r="J1814" i="1"/>
  <c r="K1814" i="1" s="1"/>
  <c r="J1815" i="1"/>
  <c r="K1815" i="1" s="1"/>
  <c r="J1816" i="1"/>
  <c r="K1816" i="1" s="1"/>
  <c r="J1817" i="1"/>
  <c r="K1817" i="1" s="1"/>
  <c r="J1818" i="1"/>
  <c r="K1818" i="1" s="1"/>
  <c r="J1819" i="1"/>
  <c r="K1819" i="1" s="1"/>
  <c r="J1820" i="1"/>
  <c r="K1820" i="1" s="1"/>
  <c r="J1821" i="1"/>
  <c r="K1821" i="1" s="1"/>
  <c r="J1822" i="1"/>
  <c r="K1822" i="1" s="1"/>
  <c r="J1823" i="1"/>
  <c r="K1823" i="1" s="1"/>
  <c r="J1824" i="1"/>
  <c r="K1824" i="1" s="1"/>
  <c r="J1825" i="1"/>
  <c r="K1825" i="1" s="1"/>
  <c r="J1826" i="1"/>
  <c r="K1826" i="1" s="1"/>
  <c r="J1827" i="1"/>
  <c r="K1827" i="1" s="1"/>
  <c r="J1828" i="1"/>
  <c r="K1828" i="1" s="1"/>
  <c r="J1829" i="1"/>
  <c r="K1829" i="1" s="1"/>
  <c r="J1830" i="1"/>
  <c r="K1830" i="1" s="1"/>
  <c r="J1831" i="1"/>
  <c r="K1831" i="1" s="1"/>
  <c r="J1832" i="1"/>
  <c r="K1832" i="1" s="1"/>
  <c r="J1833" i="1"/>
  <c r="K1833" i="1" s="1"/>
  <c r="J1834" i="1"/>
  <c r="K1834" i="1" s="1"/>
  <c r="J1835" i="1"/>
  <c r="K1835" i="1" s="1"/>
  <c r="J1836" i="1"/>
  <c r="K1836" i="1" s="1"/>
  <c r="J1837" i="1"/>
  <c r="K1837" i="1" s="1"/>
  <c r="J1838" i="1"/>
  <c r="K1838" i="1" s="1"/>
  <c r="J1839" i="1"/>
  <c r="K1839" i="1" s="1"/>
  <c r="J1840" i="1"/>
  <c r="K1840" i="1" s="1"/>
  <c r="J1841" i="1"/>
  <c r="K1841" i="1" s="1"/>
  <c r="J1842" i="1"/>
  <c r="K1842" i="1" s="1"/>
  <c r="J1843" i="1"/>
  <c r="K1843" i="1" s="1"/>
  <c r="J1844" i="1"/>
  <c r="K1844" i="1" s="1"/>
  <c r="J1845" i="1"/>
  <c r="K1845" i="1" s="1"/>
  <c r="J1846" i="1"/>
  <c r="K1846" i="1" s="1"/>
  <c r="J1847" i="1"/>
  <c r="K1847" i="1" s="1"/>
  <c r="J1848" i="1"/>
  <c r="K1848" i="1" s="1"/>
  <c r="J1849" i="1"/>
  <c r="K1849" i="1" s="1"/>
  <c r="J1850" i="1"/>
  <c r="K1850" i="1" s="1"/>
  <c r="J1851" i="1"/>
  <c r="K1851" i="1" s="1"/>
  <c r="J1852" i="1"/>
  <c r="K1852" i="1" s="1"/>
  <c r="J1853" i="1"/>
  <c r="K1853" i="1" s="1"/>
  <c r="J1854" i="1"/>
  <c r="K1854" i="1" s="1"/>
  <c r="J1855" i="1"/>
  <c r="K1855" i="1" s="1"/>
  <c r="J1856" i="1"/>
  <c r="K1856" i="1" s="1"/>
  <c r="J1857" i="1"/>
  <c r="K1857" i="1" s="1"/>
  <c r="J1858" i="1"/>
  <c r="K1858" i="1" s="1"/>
  <c r="J1859" i="1"/>
  <c r="K1859" i="1" s="1"/>
  <c r="J1860" i="1"/>
  <c r="K1860" i="1" s="1"/>
  <c r="J1861" i="1"/>
  <c r="K1861" i="1" s="1"/>
  <c r="J1862" i="1"/>
  <c r="K1862" i="1" s="1"/>
  <c r="J1863" i="1"/>
  <c r="K1863" i="1" s="1"/>
  <c r="J1864" i="1"/>
  <c r="K1864" i="1" s="1"/>
  <c r="J1865" i="1"/>
  <c r="K1865" i="1" s="1"/>
  <c r="J1866" i="1"/>
  <c r="K1866" i="1" s="1"/>
  <c r="J1867" i="1"/>
  <c r="K1867" i="1" s="1"/>
  <c r="J1868" i="1"/>
  <c r="K1868" i="1" s="1"/>
  <c r="J1869" i="1"/>
  <c r="K1869" i="1" s="1"/>
  <c r="J1870" i="1"/>
  <c r="K1870" i="1" s="1"/>
  <c r="J1871" i="1"/>
  <c r="K1871" i="1" s="1"/>
  <c r="J1872" i="1"/>
  <c r="K1872" i="1" s="1"/>
  <c r="J1873" i="1"/>
  <c r="K1873" i="1" s="1"/>
  <c r="J1874" i="1"/>
  <c r="K1874" i="1" s="1"/>
  <c r="J1875" i="1"/>
  <c r="K1875" i="1" s="1"/>
  <c r="J1876" i="1"/>
  <c r="K1876" i="1" s="1"/>
  <c r="J1877" i="1"/>
  <c r="K1877" i="1" s="1"/>
  <c r="J1878" i="1"/>
  <c r="K1878" i="1" s="1"/>
  <c r="J1879" i="1"/>
  <c r="K1879" i="1" s="1"/>
  <c r="J1880" i="1"/>
  <c r="K1880" i="1" s="1"/>
  <c r="J1881" i="1"/>
  <c r="K1881" i="1" s="1"/>
  <c r="J1882" i="1"/>
  <c r="K1882" i="1" s="1"/>
  <c r="J1883" i="1"/>
  <c r="K1883" i="1" s="1"/>
  <c r="J1884" i="1"/>
  <c r="K1884" i="1" s="1"/>
  <c r="J1885" i="1"/>
  <c r="K1885" i="1" s="1"/>
  <c r="J1886" i="1"/>
  <c r="K1886" i="1" s="1"/>
  <c r="J1887" i="1"/>
  <c r="K1887" i="1" s="1"/>
  <c r="J1888" i="1"/>
  <c r="K1888" i="1" s="1"/>
  <c r="J1889" i="1"/>
  <c r="K1889" i="1" s="1"/>
  <c r="J1890" i="1"/>
  <c r="K1890" i="1" s="1"/>
  <c r="J1891" i="1"/>
  <c r="K1891" i="1" s="1"/>
  <c r="J1892" i="1"/>
  <c r="K1892" i="1" s="1"/>
  <c r="J1893" i="1"/>
  <c r="K1893" i="1" s="1"/>
  <c r="J1894" i="1"/>
  <c r="K1894" i="1" s="1"/>
  <c r="J1895" i="1"/>
  <c r="K1895" i="1" s="1"/>
  <c r="J1896" i="1"/>
  <c r="K1896" i="1" s="1"/>
  <c r="J1897" i="1"/>
  <c r="K1897" i="1" s="1"/>
  <c r="J1898" i="1"/>
  <c r="K1898" i="1" s="1"/>
  <c r="J1899" i="1"/>
  <c r="K1899" i="1" s="1"/>
  <c r="J1900" i="1"/>
  <c r="K1900" i="1" s="1"/>
  <c r="J1901" i="1"/>
  <c r="K1901" i="1" s="1"/>
  <c r="J1902" i="1"/>
  <c r="K1902" i="1" s="1"/>
  <c r="J1903" i="1"/>
  <c r="K1903" i="1" s="1"/>
  <c r="J1904" i="1"/>
  <c r="K1904" i="1" s="1"/>
  <c r="J1905" i="1"/>
  <c r="K1905" i="1" s="1"/>
  <c r="J1906" i="1"/>
  <c r="K1906" i="1" s="1"/>
  <c r="J1907" i="1"/>
  <c r="K1907" i="1" s="1"/>
  <c r="J1908" i="1"/>
  <c r="K1908" i="1" s="1"/>
  <c r="J1909" i="1"/>
  <c r="K1909" i="1" s="1"/>
  <c r="J1910" i="1"/>
  <c r="K1910" i="1" s="1"/>
  <c r="J1911" i="1"/>
  <c r="K1911" i="1" s="1"/>
  <c r="J1912" i="1"/>
  <c r="K1912" i="1" s="1"/>
  <c r="J1913" i="1"/>
  <c r="K1913" i="1" s="1"/>
  <c r="J1914" i="1"/>
  <c r="K1914" i="1" s="1"/>
  <c r="J1915" i="1"/>
  <c r="K1915" i="1" s="1"/>
  <c r="J1916" i="1"/>
  <c r="K1916" i="1" s="1"/>
  <c r="J1917" i="1"/>
  <c r="K1917" i="1" s="1"/>
  <c r="J1918" i="1"/>
  <c r="K1918" i="1" s="1"/>
  <c r="J1919" i="1"/>
  <c r="K1919" i="1" s="1"/>
  <c r="J1920" i="1"/>
  <c r="K1920" i="1" s="1"/>
  <c r="J1921" i="1"/>
  <c r="K1921" i="1" s="1"/>
  <c r="J1922" i="1"/>
  <c r="K1922" i="1" s="1"/>
  <c r="J1923" i="1"/>
  <c r="K1923" i="1" s="1"/>
  <c r="J1924" i="1"/>
  <c r="K1924" i="1" s="1"/>
  <c r="J1925" i="1"/>
  <c r="K1925" i="1" s="1"/>
  <c r="J1926" i="1"/>
  <c r="K1926" i="1" s="1"/>
  <c r="J1927" i="1"/>
  <c r="K1927" i="1" s="1"/>
  <c r="J1928" i="1"/>
  <c r="K1928" i="1" s="1"/>
  <c r="J1929" i="1"/>
  <c r="K1929" i="1" s="1"/>
  <c r="J1930" i="1"/>
  <c r="K1930" i="1" s="1"/>
  <c r="J1931" i="1"/>
  <c r="K1931" i="1" s="1"/>
  <c r="J1932" i="1"/>
  <c r="K1932" i="1" s="1"/>
  <c r="J1933" i="1"/>
  <c r="K1933" i="1" s="1"/>
  <c r="J1934" i="1"/>
  <c r="K1934" i="1" s="1"/>
  <c r="J1935" i="1"/>
  <c r="K1935" i="1" s="1"/>
  <c r="J1936" i="1"/>
  <c r="K1936" i="1" s="1"/>
  <c r="J1937" i="1"/>
  <c r="K1937" i="1" s="1"/>
  <c r="J1938" i="1"/>
  <c r="K1938" i="1" s="1"/>
  <c r="J1939" i="1"/>
  <c r="K1939" i="1" s="1"/>
  <c r="J1940" i="1"/>
  <c r="K1940" i="1" s="1"/>
  <c r="J1941" i="1"/>
  <c r="K1941" i="1" s="1"/>
  <c r="J1942" i="1"/>
  <c r="K1942" i="1" s="1"/>
  <c r="J1943" i="1"/>
  <c r="K1943" i="1" s="1"/>
  <c r="J1944" i="1"/>
  <c r="K1944" i="1" s="1"/>
  <c r="J1945" i="1"/>
  <c r="K1945" i="1" s="1"/>
  <c r="J1946" i="1"/>
  <c r="K1946" i="1" s="1"/>
  <c r="J1947" i="1"/>
  <c r="K1947" i="1" s="1"/>
  <c r="J1948" i="1"/>
  <c r="K1948" i="1" s="1"/>
  <c r="J1949" i="1"/>
  <c r="K1949" i="1" s="1"/>
  <c r="J1950" i="1"/>
  <c r="K1950" i="1" s="1"/>
  <c r="J1951" i="1"/>
  <c r="K1951" i="1" s="1"/>
  <c r="J1952" i="1"/>
  <c r="K1952" i="1" s="1"/>
  <c r="J1953" i="1"/>
  <c r="K1953" i="1" s="1"/>
  <c r="J1954" i="1"/>
  <c r="K1954" i="1" s="1"/>
  <c r="J1955" i="1"/>
  <c r="K1955" i="1" s="1"/>
  <c r="J1956" i="1"/>
  <c r="K1956" i="1" s="1"/>
  <c r="J1957" i="1"/>
  <c r="K1957" i="1" s="1"/>
  <c r="J1958" i="1"/>
  <c r="K1958" i="1" s="1"/>
  <c r="J1959" i="1"/>
  <c r="K1959" i="1" s="1"/>
  <c r="J1960" i="1"/>
  <c r="K1960" i="1" s="1"/>
  <c r="J1961" i="1"/>
  <c r="K1961" i="1" s="1"/>
  <c r="J1962" i="1"/>
  <c r="K1962" i="1" s="1"/>
  <c r="J1963" i="1"/>
  <c r="K1963" i="1" s="1"/>
  <c r="J1964" i="1"/>
  <c r="K1964" i="1" s="1"/>
  <c r="J1965" i="1"/>
  <c r="K1965" i="1" s="1"/>
  <c r="J1966" i="1"/>
  <c r="K1966" i="1" s="1"/>
  <c r="J1967" i="1"/>
  <c r="K1967" i="1" s="1"/>
  <c r="J1968" i="1"/>
  <c r="K1968" i="1" s="1"/>
  <c r="J1969" i="1"/>
  <c r="K1969" i="1" s="1"/>
  <c r="J1970" i="1"/>
  <c r="K1970" i="1" s="1"/>
  <c r="J1971" i="1"/>
  <c r="K1971" i="1" s="1"/>
  <c r="J1972" i="1"/>
  <c r="K1972" i="1" s="1"/>
  <c r="J1973" i="1"/>
  <c r="K1973" i="1" s="1"/>
  <c r="J1974" i="1"/>
  <c r="K1974" i="1" s="1"/>
  <c r="J1975" i="1"/>
  <c r="K1975" i="1" s="1"/>
  <c r="J1976" i="1"/>
  <c r="K1976" i="1" s="1"/>
  <c r="J1977" i="1"/>
  <c r="K1977" i="1" s="1"/>
  <c r="J1978" i="1"/>
  <c r="K1978" i="1" s="1"/>
  <c r="J1979" i="1"/>
  <c r="K1979" i="1" s="1"/>
  <c r="J1980" i="1"/>
  <c r="K1980" i="1" s="1"/>
  <c r="J1981" i="1"/>
  <c r="K1981" i="1" s="1"/>
  <c r="J1982" i="1"/>
  <c r="K1982" i="1" s="1"/>
  <c r="J1983" i="1"/>
  <c r="K1983" i="1" s="1"/>
  <c r="J1984" i="1"/>
  <c r="K1984" i="1" s="1"/>
  <c r="J1985" i="1"/>
  <c r="K1985" i="1" s="1"/>
  <c r="J1986" i="1"/>
  <c r="K1986" i="1" s="1"/>
  <c r="J1987" i="1"/>
  <c r="K1987" i="1" s="1"/>
  <c r="J1988" i="1"/>
  <c r="K1988" i="1" s="1"/>
  <c r="J1989" i="1"/>
  <c r="K1989" i="1" s="1"/>
  <c r="J1990" i="1"/>
  <c r="K1990" i="1" s="1"/>
  <c r="J1991" i="1"/>
  <c r="K1991" i="1" s="1"/>
  <c r="J1992" i="1"/>
  <c r="K1992" i="1" s="1"/>
  <c r="J1993" i="1"/>
  <c r="K1993" i="1" s="1"/>
  <c r="J1994" i="1"/>
  <c r="K1994" i="1" s="1"/>
  <c r="J1995" i="1"/>
  <c r="K1995" i="1" s="1"/>
  <c r="J1996" i="1"/>
  <c r="K1996" i="1" s="1"/>
  <c r="J1997" i="1"/>
  <c r="K1997" i="1" s="1"/>
  <c r="J1998" i="1"/>
  <c r="K1998" i="1" s="1"/>
  <c r="J1999" i="1"/>
  <c r="K1999" i="1" s="1"/>
  <c r="J2000" i="1"/>
  <c r="K2000" i="1" s="1"/>
  <c r="J2001" i="1"/>
  <c r="K2001" i="1" s="1"/>
  <c r="J2002" i="1"/>
  <c r="K2002" i="1" s="1"/>
  <c r="J2003" i="1"/>
  <c r="K2003" i="1" s="1"/>
  <c r="J2004" i="1"/>
  <c r="K2004" i="1" s="1"/>
  <c r="J2005" i="1"/>
  <c r="K2005" i="1" s="1"/>
  <c r="J2006" i="1"/>
  <c r="K2006" i="1" s="1"/>
  <c r="J2007" i="1"/>
  <c r="K2007" i="1" s="1"/>
  <c r="J2008" i="1"/>
  <c r="K2008" i="1" s="1"/>
  <c r="J2009" i="1"/>
  <c r="K2009" i="1" s="1"/>
  <c r="J2010" i="1"/>
  <c r="K2010" i="1" s="1"/>
  <c r="J2011" i="1"/>
  <c r="K2011" i="1" s="1"/>
  <c r="J2012" i="1"/>
  <c r="K2012" i="1" s="1"/>
  <c r="J2013" i="1"/>
  <c r="K2013" i="1" s="1"/>
  <c r="J2014" i="1"/>
  <c r="K2014" i="1" s="1"/>
  <c r="J2015" i="1"/>
  <c r="K2015" i="1" s="1"/>
  <c r="J2016" i="1"/>
  <c r="K2016" i="1" s="1"/>
  <c r="J2017" i="1"/>
  <c r="K2017" i="1" s="1"/>
  <c r="J2018" i="1"/>
  <c r="K2018" i="1" s="1"/>
  <c r="J2019" i="1"/>
  <c r="K2019" i="1" s="1"/>
  <c r="J2020" i="1"/>
  <c r="K2020" i="1" s="1"/>
  <c r="J2021" i="1"/>
  <c r="K2021" i="1" s="1"/>
  <c r="J2022" i="1"/>
  <c r="K2022" i="1" s="1"/>
  <c r="J2023" i="1"/>
  <c r="K2023" i="1" s="1"/>
  <c r="J2024" i="1"/>
  <c r="K2024" i="1" s="1"/>
  <c r="J2025" i="1"/>
  <c r="K2025" i="1" s="1"/>
  <c r="J2026" i="1"/>
  <c r="K2026" i="1" s="1"/>
  <c r="J2027" i="1"/>
  <c r="K2027" i="1" s="1"/>
  <c r="J2028" i="1"/>
  <c r="K2028" i="1" s="1"/>
  <c r="J2029" i="1"/>
  <c r="K2029" i="1" s="1"/>
  <c r="J2030" i="1"/>
  <c r="K2030" i="1" s="1"/>
  <c r="J2031" i="1"/>
  <c r="K2031" i="1" s="1"/>
  <c r="J2032" i="1"/>
  <c r="K2032" i="1" s="1"/>
  <c r="J2033" i="1"/>
  <c r="K2033" i="1" s="1"/>
  <c r="J2034" i="1"/>
  <c r="K2034" i="1" s="1"/>
  <c r="J2035" i="1"/>
  <c r="K2035" i="1" s="1"/>
  <c r="J2036" i="1"/>
  <c r="K2036" i="1" s="1"/>
  <c r="J2037" i="1"/>
  <c r="K2037" i="1" s="1"/>
  <c r="J2038" i="1"/>
  <c r="K2038" i="1" s="1"/>
  <c r="J2039" i="1"/>
  <c r="K2039" i="1" s="1"/>
  <c r="J2040" i="1"/>
  <c r="K2040" i="1" s="1"/>
  <c r="J2041" i="1"/>
  <c r="K2041" i="1" s="1"/>
  <c r="J2042" i="1"/>
  <c r="K2042" i="1" s="1"/>
  <c r="J2043" i="1"/>
  <c r="K2043" i="1" s="1"/>
  <c r="J2044" i="1"/>
  <c r="K2044" i="1" s="1"/>
  <c r="J2045" i="1"/>
  <c r="K2045" i="1" s="1"/>
  <c r="J2046" i="1"/>
  <c r="K2046" i="1" s="1"/>
  <c r="J2047" i="1"/>
  <c r="K2047" i="1" s="1"/>
  <c r="J2048" i="1"/>
  <c r="K2048" i="1" s="1"/>
  <c r="J2049" i="1"/>
  <c r="K2049" i="1" s="1"/>
  <c r="J2050" i="1"/>
  <c r="K2050" i="1" s="1"/>
  <c r="J2051" i="1"/>
  <c r="K2051" i="1" s="1"/>
  <c r="J2052" i="1"/>
  <c r="K2052" i="1" s="1"/>
  <c r="J2053" i="1"/>
  <c r="K2053" i="1" s="1"/>
  <c r="J2054" i="1"/>
  <c r="K2054" i="1" s="1"/>
  <c r="J2055" i="1"/>
  <c r="K2055" i="1" s="1"/>
  <c r="J2056" i="1"/>
  <c r="K2056" i="1" s="1"/>
  <c r="J2057" i="1"/>
  <c r="K2057" i="1" s="1"/>
  <c r="J2058" i="1"/>
  <c r="K2058" i="1" s="1"/>
  <c r="J2059" i="1"/>
  <c r="K2059" i="1" s="1"/>
  <c r="J2060" i="1"/>
  <c r="K2060" i="1" s="1"/>
  <c r="J2061" i="1"/>
  <c r="K2061" i="1" s="1"/>
  <c r="J2062" i="1"/>
  <c r="K2062" i="1" s="1"/>
  <c r="J2063" i="1"/>
  <c r="K2063" i="1" s="1"/>
  <c r="J2064" i="1"/>
  <c r="K2064" i="1" s="1"/>
  <c r="J2065" i="1"/>
  <c r="K2065" i="1" s="1"/>
  <c r="J2066" i="1"/>
  <c r="K2066" i="1" s="1"/>
  <c r="J2067" i="1"/>
  <c r="K2067" i="1" s="1"/>
  <c r="J2068" i="1"/>
  <c r="K2068" i="1" s="1"/>
  <c r="J2069" i="1"/>
  <c r="K2069" i="1" s="1"/>
  <c r="J2070" i="1"/>
  <c r="K2070" i="1" s="1"/>
  <c r="J2071" i="1"/>
  <c r="K2071" i="1" s="1"/>
  <c r="J2072" i="1"/>
  <c r="K2072" i="1" s="1"/>
  <c r="J2073" i="1"/>
  <c r="K2073" i="1" s="1"/>
  <c r="J2074" i="1"/>
  <c r="K2074" i="1" s="1"/>
  <c r="J2075" i="1"/>
  <c r="K2075" i="1" s="1"/>
  <c r="J2076" i="1"/>
  <c r="K2076" i="1" s="1"/>
  <c r="J2077" i="1"/>
  <c r="K2077" i="1" s="1"/>
  <c r="J2078" i="1"/>
  <c r="K2078" i="1" s="1"/>
  <c r="J2079" i="1"/>
  <c r="K2079" i="1" s="1"/>
  <c r="J2080" i="1"/>
  <c r="K2080" i="1" s="1"/>
  <c r="J2081" i="1"/>
  <c r="K2081" i="1" s="1"/>
  <c r="J2082" i="1"/>
  <c r="K2082" i="1" s="1"/>
  <c r="J2083" i="1"/>
  <c r="K2083" i="1" s="1"/>
  <c r="J2084" i="1"/>
  <c r="K2084" i="1" s="1"/>
  <c r="J2085" i="1"/>
  <c r="K2085" i="1" s="1"/>
  <c r="J2086" i="1"/>
  <c r="K2086" i="1" s="1"/>
  <c r="J2087" i="1"/>
  <c r="K2087" i="1" s="1"/>
  <c r="J2088" i="1"/>
  <c r="K2088" i="1" s="1"/>
  <c r="J2089" i="1"/>
  <c r="K2089" i="1" s="1"/>
  <c r="J2090" i="1"/>
  <c r="K2090" i="1" s="1"/>
  <c r="J2091" i="1"/>
  <c r="K2091" i="1" s="1"/>
  <c r="J2092" i="1"/>
  <c r="K2092" i="1" s="1"/>
  <c r="J2093" i="1"/>
  <c r="K2093" i="1" s="1"/>
  <c r="J2094" i="1"/>
  <c r="K2094" i="1" s="1"/>
  <c r="J2095" i="1"/>
  <c r="K2095" i="1" s="1"/>
  <c r="J2096" i="1"/>
  <c r="K2096" i="1" s="1"/>
  <c r="J2097" i="1"/>
  <c r="K2097" i="1" s="1"/>
  <c r="J2098" i="1"/>
  <c r="K2098" i="1" s="1"/>
  <c r="J2099" i="1"/>
  <c r="K2099" i="1" s="1"/>
  <c r="J2100" i="1"/>
  <c r="K2100" i="1" s="1"/>
  <c r="J2101" i="1"/>
  <c r="K2101" i="1" s="1"/>
  <c r="J2102" i="1"/>
  <c r="K2102" i="1" s="1"/>
  <c r="J2103" i="1"/>
  <c r="K2103" i="1" s="1"/>
  <c r="J2104" i="1"/>
  <c r="K2104" i="1" s="1"/>
  <c r="J2105" i="1"/>
  <c r="K2105" i="1" s="1"/>
  <c r="J2106" i="1"/>
  <c r="K2106" i="1" s="1"/>
  <c r="J2107" i="1"/>
  <c r="K2107" i="1" s="1"/>
  <c r="J2108" i="1"/>
  <c r="K2108" i="1" s="1"/>
  <c r="J2109" i="1"/>
  <c r="K2109" i="1" s="1"/>
  <c r="J2110" i="1"/>
  <c r="K2110" i="1" s="1"/>
  <c r="J2111" i="1"/>
  <c r="K2111" i="1" s="1"/>
  <c r="J2112" i="1"/>
  <c r="K2112" i="1" s="1"/>
  <c r="J2113" i="1"/>
  <c r="K2113" i="1" s="1"/>
  <c r="J2114" i="1"/>
  <c r="K2114" i="1" s="1"/>
  <c r="J2115" i="1"/>
  <c r="K2115" i="1" s="1"/>
  <c r="J2116" i="1"/>
  <c r="K2116" i="1" s="1"/>
  <c r="J2117" i="1"/>
  <c r="K2117" i="1" s="1"/>
  <c r="J2118" i="1"/>
  <c r="K2118" i="1" s="1"/>
  <c r="J2119" i="1"/>
  <c r="K2119" i="1" s="1"/>
  <c r="J2120" i="1"/>
  <c r="K2120" i="1" s="1"/>
  <c r="J2121" i="1"/>
  <c r="K2121" i="1" s="1"/>
  <c r="J2122" i="1"/>
  <c r="K2122" i="1" s="1"/>
  <c r="J2123" i="1"/>
  <c r="K2123" i="1" s="1"/>
  <c r="J2124" i="1"/>
  <c r="K2124" i="1" s="1"/>
  <c r="J2125" i="1"/>
  <c r="K2125" i="1" s="1"/>
  <c r="J2126" i="1"/>
  <c r="K2126" i="1" s="1"/>
  <c r="J2127" i="1"/>
  <c r="K2127" i="1" s="1"/>
  <c r="J2128" i="1"/>
  <c r="K2128" i="1" s="1"/>
  <c r="J2129" i="1"/>
  <c r="K2129" i="1" s="1"/>
  <c r="J2130" i="1"/>
  <c r="K2130" i="1" s="1"/>
  <c r="J2131" i="1"/>
  <c r="K2131" i="1" s="1"/>
  <c r="J2132" i="1"/>
  <c r="K2132" i="1" s="1"/>
  <c r="J2133" i="1"/>
  <c r="K2133" i="1" s="1"/>
  <c r="J2134" i="1"/>
  <c r="K2134" i="1" s="1"/>
  <c r="J2135" i="1"/>
  <c r="K2135" i="1" s="1"/>
  <c r="J2136" i="1"/>
  <c r="K2136" i="1" s="1"/>
  <c r="J2137" i="1"/>
  <c r="K2137" i="1" s="1"/>
  <c r="J2138" i="1"/>
  <c r="K2138" i="1" s="1"/>
  <c r="J2139" i="1"/>
  <c r="K2139" i="1" s="1"/>
  <c r="J2140" i="1"/>
  <c r="K2140" i="1" s="1"/>
  <c r="J2141" i="1"/>
  <c r="K2141" i="1" s="1"/>
  <c r="J2142" i="1"/>
  <c r="K2142" i="1" s="1"/>
  <c r="J2143" i="1"/>
  <c r="K2143" i="1" s="1"/>
  <c r="J2144" i="1"/>
  <c r="K2144" i="1" s="1"/>
  <c r="J2145" i="1"/>
  <c r="K2145" i="1" s="1"/>
  <c r="J2146" i="1"/>
  <c r="K2146" i="1" s="1"/>
  <c r="J2147" i="1"/>
  <c r="K2147" i="1" s="1"/>
  <c r="J2148" i="1"/>
  <c r="K2148" i="1" s="1"/>
  <c r="J2149" i="1"/>
  <c r="K2149" i="1" s="1"/>
  <c r="J2150" i="1"/>
  <c r="K2150" i="1" s="1"/>
  <c r="J2151" i="1"/>
  <c r="K2151" i="1" s="1"/>
  <c r="J2152" i="1"/>
  <c r="K2152" i="1" s="1"/>
  <c r="J2153" i="1"/>
  <c r="K2153" i="1" s="1"/>
  <c r="J2154" i="1"/>
  <c r="K2154" i="1" s="1"/>
  <c r="J2155" i="1"/>
  <c r="K2155" i="1" s="1"/>
  <c r="J2156" i="1"/>
  <c r="K2156" i="1" s="1"/>
  <c r="J2" i="1"/>
  <c r="K2" i="1" s="1"/>
  <c r="C3" i="1"/>
  <c r="D3" i="1" s="1"/>
  <c r="E3" i="1" s="1"/>
  <c r="C4" i="1"/>
  <c r="D4" i="1" s="1"/>
  <c r="E4" i="1" s="1"/>
  <c r="C5" i="1"/>
  <c r="D5" i="1" s="1"/>
  <c r="E5" i="1" s="1"/>
  <c r="C6" i="1"/>
  <c r="D6" i="1" s="1"/>
  <c r="E6" i="1" s="1"/>
  <c r="C7" i="1"/>
  <c r="D7" i="1" s="1"/>
  <c r="E7" i="1" s="1"/>
  <c r="C8" i="1"/>
  <c r="D8" i="1" s="1"/>
  <c r="E8" i="1" s="1"/>
  <c r="C9" i="1"/>
  <c r="D9" i="1" s="1"/>
  <c r="E9" i="1" s="1"/>
  <c r="C10" i="1"/>
  <c r="D10" i="1" s="1"/>
  <c r="E10" i="1" s="1"/>
  <c r="C11" i="1"/>
  <c r="D11" i="1" s="1"/>
  <c r="E11" i="1" s="1"/>
  <c r="C12" i="1"/>
  <c r="D12" i="1" s="1"/>
  <c r="E12" i="1" s="1"/>
  <c r="C13" i="1"/>
  <c r="D13" i="1" s="1"/>
  <c r="E13" i="1" s="1"/>
  <c r="C14" i="1"/>
  <c r="D14" i="1" s="1"/>
  <c r="E14" i="1" s="1"/>
  <c r="C15" i="1"/>
  <c r="D15" i="1" s="1"/>
  <c r="E15" i="1" s="1"/>
  <c r="C16" i="1"/>
  <c r="D16" i="1" s="1"/>
  <c r="E16" i="1" s="1"/>
  <c r="C17" i="1"/>
  <c r="D17" i="1" s="1"/>
  <c r="E17" i="1" s="1"/>
  <c r="C18" i="1"/>
  <c r="D18" i="1" s="1"/>
  <c r="E18" i="1" s="1"/>
  <c r="C19" i="1"/>
  <c r="D19" i="1" s="1"/>
  <c r="E19" i="1" s="1"/>
  <c r="C20" i="1"/>
  <c r="D20" i="1" s="1"/>
  <c r="E20" i="1" s="1"/>
  <c r="C21" i="1"/>
  <c r="D21" i="1" s="1"/>
  <c r="E21" i="1" s="1"/>
  <c r="C22" i="1"/>
  <c r="D22" i="1" s="1"/>
  <c r="E22" i="1" s="1"/>
  <c r="C23" i="1"/>
  <c r="D23" i="1" s="1"/>
  <c r="E23" i="1" s="1"/>
  <c r="C24" i="1"/>
  <c r="D24" i="1" s="1"/>
  <c r="E24" i="1" s="1"/>
  <c r="C25" i="1"/>
  <c r="D25" i="1" s="1"/>
  <c r="E25" i="1" s="1"/>
  <c r="C26" i="1"/>
  <c r="D26" i="1" s="1"/>
  <c r="E26" i="1" s="1"/>
  <c r="C27" i="1"/>
  <c r="D27" i="1" s="1"/>
  <c r="E27" i="1" s="1"/>
  <c r="C28" i="1"/>
  <c r="D28" i="1" s="1"/>
  <c r="E28" i="1" s="1"/>
  <c r="C29" i="1"/>
  <c r="D29" i="1" s="1"/>
  <c r="E29" i="1" s="1"/>
  <c r="C30" i="1"/>
  <c r="D30" i="1" s="1"/>
  <c r="E30" i="1" s="1"/>
  <c r="C31" i="1"/>
  <c r="D31" i="1" s="1"/>
  <c r="E31" i="1" s="1"/>
  <c r="C32" i="1"/>
  <c r="D32" i="1" s="1"/>
  <c r="E32" i="1" s="1"/>
  <c r="C33" i="1"/>
  <c r="D33" i="1" s="1"/>
  <c r="E33" i="1" s="1"/>
  <c r="C34" i="1"/>
  <c r="D34" i="1" s="1"/>
  <c r="E34" i="1" s="1"/>
  <c r="C35" i="1"/>
  <c r="D35" i="1" s="1"/>
  <c r="E35" i="1" s="1"/>
  <c r="C36" i="1"/>
  <c r="D36" i="1" s="1"/>
  <c r="E36" i="1" s="1"/>
  <c r="C37" i="1"/>
  <c r="D37" i="1" s="1"/>
  <c r="E37" i="1" s="1"/>
  <c r="C38" i="1"/>
  <c r="D38" i="1" s="1"/>
  <c r="E38" i="1" s="1"/>
  <c r="C39" i="1"/>
  <c r="D39" i="1" s="1"/>
  <c r="E39" i="1" s="1"/>
  <c r="C40" i="1"/>
  <c r="D40" i="1" s="1"/>
  <c r="E40" i="1" s="1"/>
  <c r="C41" i="1"/>
  <c r="D41" i="1" s="1"/>
  <c r="E41" i="1" s="1"/>
  <c r="C42" i="1"/>
  <c r="D42" i="1" s="1"/>
  <c r="E42" i="1" s="1"/>
  <c r="C43" i="1"/>
  <c r="D43" i="1" s="1"/>
  <c r="E43" i="1" s="1"/>
  <c r="C44" i="1"/>
  <c r="D44" i="1" s="1"/>
  <c r="E44" i="1" s="1"/>
  <c r="C45" i="1"/>
  <c r="D45" i="1" s="1"/>
  <c r="E45" i="1" s="1"/>
  <c r="C46" i="1"/>
  <c r="D46" i="1" s="1"/>
  <c r="E46" i="1" s="1"/>
  <c r="C47" i="1"/>
  <c r="D47" i="1" s="1"/>
  <c r="E47" i="1" s="1"/>
  <c r="C48" i="1"/>
  <c r="D48" i="1" s="1"/>
  <c r="E48" i="1" s="1"/>
  <c r="C49" i="1"/>
  <c r="D49" i="1" s="1"/>
  <c r="E49" i="1" s="1"/>
  <c r="C50" i="1"/>
  <c r="D50" i="1" s="1"/>
  <c r="E50" i="1" s="1"/>
  <c r="C51" i="1"/>
  <c r="D51" i="1" s="1"/>
  <c r="E51" i="1" s="1"/>
  <c r="C52" i="1"/>
  <c r="D52" i="1" s="1"/>
  <c r="E52" i="1" s="1"/>
  <c r="C53" i="1"/>
  <c r="D53" i="1" s="1"/>
  <c r="E53" i="1" s="1"/>
  <c r="C54" i="1"/>
  <c r="D54" i="1" s="1"/>
  <c r="E54" i="1" s="1"/>
  <c r="C55" i="1"/>
  <c r="D55" i="1" s="1"/>
  <c r="E55" i="1" s="1"/>
  <c r="C56" i="1"/>
  <c r="D56" i="1" s="1"/>
  <c r="E56" i="1" s="1"/>
  <c r="C57" i="1"/>
  <c r="D57" i="1" s="1"/>
  <c r="E57" i="1" s="1"/>
  <c r="C58" i="1"/>
  <c r="D58" i="1" s="1"/>
  <c r="E58" i="1" s="1"/>
  <c r="C59" i="1"/>
  <c r="D59" i="1" s="1"/>
  <c r="E59" i="1" s="1"/>
  <c r="C60" i="1"/>
  <c r="D60" i="1" s="1"/>
  <c r="E60" i="1" s="1"/>
  <c r="C61" i="1"/>
  <c r="D61" i="1" s="1"/>
  <c r="E61" i="1" s="1"/>
  <c r="C62" i="1"/>
  <c r="D62" i="1" s="1"/>
  <c r="E62" i="1" s="1"/>
  <c r="C63" i="1"/>
  <c r="D63" i="1" s="1"/>
  <c r="E63" i="1" s="1"/>
  <c r="C64" i="1"/>
  <c r="D64" i="1" s="1"/>
  <c r="E64" i="1" s="1"/>
  <c r="C65" i="1"/>
  <c r="D65" i="1" s="1"/>
  <c r="E65" i="1" s="1"/>
  <c r="C66" i="1"/>
  <c r="D66" i="1" s="1"/>
  <c r="E66" i="1" s="1"/>
  <c r="C67" i="1"/>
  <c r="D67" i="1" s="1"/>
  <c r="E67" i="1" s="1"/>
  <c r="C68" i="1"/>
  <c r="D68" i="1" s="1"/>
  <c r="E68" i="1" s="1"/>
  <c r="C69" i="1"/>
  <c r="D69" i="1" s="1"/>
  <c r="E69" i="1" s="1"/>
  <c r="C70" i="1"/>
  <c r="D70" i="1" s="1"/>
  <c r="E70" i="1" s="1"/>
  <c r="C71" i="1"/>
  <c r="D71" i="1" s="1"/>
  <c r="E71" i="1" s="1"/>
  <c r="C72" i="1"/>
  <c r="D72" i="1" s="1"/>
  <c r="E72" i="1" s="1"/>
  <c r="C73" i="1"/>
  <c r="D73" i="1" s="1"/>
  <c r="E73" i="1" s="1"/>
  <c r="C74" i="1"/>
  <c r="D74" i="1" s="1"/>
  <c r="E74" i="1" s="1"/>
  <c r="C75" i="1"/>
  <c r="D75" i="1" s="1"/>
  <c r="E75" i="1" s="1"/>
  <c r="C76" i="1"/>
  <c r="D76" i="1" s="1"/>
  <c r="E76" i="1" s="1"/>
  <c r="C77" i="1"/>
  <c r="D77" i="1" s="1"/>
  <c r="E77" i="1" s="1"/>
  <c r="C78" i="1"/>
  <c r="D78" i="1" s="1"/>
  <c r="E78" i="1" s="1"/>
  <c r="C79" i="1"/>
  <c r="D79" i="1" s="1"/>
  <c r="E79" i="1" s="1"/>
  <c r="C80" i="1"/>
  <c r="D80" i="1" s="1"/>
  <c r="E80" i="1" s="1"/>
  <c r="C81" i="1"/>
  <c r="D81" i="1" s="1"/>
  <c r="E81" i="1" s="1"/>
  <c r="C82" i="1"/>
  <c r="D82" i="1" s="1"/>
  <c r="E82" i="1" s="1"/>
  <c r="C83" i="1"/>
  <c r="D83" i="1" s="1"/>
  <c r="E83" i="1" s="1"/>
  <c r="C84" i="1"/>
  <c r="D84" i="1" s="1"/>
  <c r="E84" i="1" s="1"/>
  <c r="C85" i="1"/>
  <c r="D85" i="1" s="1"/>
  <c r="E85" i="1" s="1"/>
  <c r="C86" i="1"/>
  <c r="D86" i="1" s="1"/>
  <c r="E86" i="1" s="1"/>
  <c r="C87" i="1"/>
  <c r="D87" i="1" s="1"/>
  <c r="E87" i="1" s="1"/>
  <c r="C88" i="1"/>
  <c r="D88" i="1" s="1"/>
  <c r="E88" i="1" s="1"/>
  <c r="C89" i="1"/>
  <c r="D89" i="1" s="1"/>
  <c r="E89" i="1" s="1"/>
  <c r="C90" i="1"/>
  <c r="D90" i="1" s="1"/>
  <c r="E90" i="1" s="1"/>
  <c r="C91" i="1"/>
  <c r="D91" i="1" s="1"/>
  <c r="E91" i="1" s="1"/>
  <c r="C92" i="1"/>
  <c r="D92" i="1" s="1"/>
  <c r="E92" i="1" s="1"/>
  <c r="C93" i="1"/>
  <c r="D93" i="1" s="1"/>
  <c r="E93" i="1" s="1"/>
  <c r="C94" i="1"/>
  <c r="D94" i="1" s="1"/>
  <c r="E94" i="1" s="1"/>
  <c r="C95" i="1"/>
  <c r="D95" i="1" s="1"/>
  <c r="E95" i="1" s="1"/>
  <c r="C96" i="1"/>
  <c r="D96" i="1" s="1"/>
  <c r="E96" i="1" s="1"/>
  <c r="C97" i="1"/>
  <c r="D97" i="1" s="1"/>
  <c r="E97" i="1" s="1"/>
  <c r="C98" i="1"/>
  <c r="D98" i="1" s="1"/>
  <c r="E98" i="1" s="1"/>
  <c r="C99" i="1"/>
  <c r="D99" i="1" s="1"/>
  <c r="E99" i="1" s="1"/>
  <c r="C100" i="1"/>
  <c r="D100" i="1" s="1"/>
  <c r="E100" i="1" s="1"/>
  <c r="C101" i="1"/>
  <c r="D101" i="1" s="1"/>
  <c r="E101" i="1" s="1"/>
  <c r="C102" i="1"/>
  <c r="D102" i="1" s="1"/>
  <c r="E102" i="1" s="1"/>
  <c r="C103" i="1"/>
  <c r="D103" i="1" s="1"/>
  <c r="E103" i="1" s="1"/>
  <c r="C104" i="1"/>
  <c r="D104" i="1" s="1"/>
  <c r="E104" i="1" s="1"/>
  <c r="C105" i="1"/>
  <c r="D105" i="1" s="1"/>
  <c r="E105" i="1" s="1"/>
  <c r="C106" i="1"/>
  <c r="D106" i="1" s="1"/>
  <c r="E106" i="1" s="1"/>
  <c r="C107" i="1"/>
  <c r="D107" i="1" s="1"/>
  <c r="E107" i="1" s="1"/>
  <c r="C108" i="1"/>
  <c r="D108" i="1" s="1"/>
  <c r="E108" i="1" s="1"/>
  <c r="C109" i="1"/>
  <c r="D109" i="1" s="1"/>
  <c r="E109" i="1" s="1"/>
  <c r="C110" i="1"/>
  <c r="D110" i="1" s="1"/>
  <c r="E110" i="1" s="1"/>
  <c r="C111" i="1"/>
  <c r="D111" i="1" s="1"/>
  <c r="E111" i="1" s="1"/>
  <c r="C112" i="1"/>
  <c r="D112" i="1" s="1"/>
  <c r="E112" i="1" s="1"/>
  <c r="C113" i="1"/>
  <c r="D113" i="1" s="1"/>
  <c r="E113" i="1" s="1"/>
  <c r="C114" i="1"/>
  <c r="D114" i="1" s="1"/>
  <c r="E114" i="1" s="1"/>
  <c r="C115" i="1"/>
  <c r="D115" i="1" s="1"/>
  <c r="E115" i="1" s="1"/>
  <c r="C116" i="1"/>
  <c r="D116" i="1" s="1"/>
  <c r="E116" i="1" s="1"/>
  <c r="C117" i="1"/>
  <c r="D117" i="1" s="1"/>
  <c r="E117" i="1" s="1"/>
  <c r="C118" i="1"/>
  <c r="D118" i="1" s="1"/>
  <c r="E118" i="1" s="1"/>
  <c r="C119" i="1"/>
  <c r="D119" i="1" s="1"/>
  <c r="E119" i="1" s="1"/>
  <c r="C120" i="1"/>
  <c r="D120" i="1" s="1"/>
  <c r="E120" i="1" s="1"/>
  <c r="C121" i="1"/>
  <c r="D121" i="1" s="1"/>
  <c r="E121" i="1" s="1"/>
  <c r="C122" i="1"/>
  <c r="D122" i="1" s="1"/>
  <c r="E122" i="1" s="1"/>
  <c r="C123" i="1"/>
  <c r="D123" i="1" s="1"/>
  <c r="E123" i="1" s="1"/>
  <c r="C124" i="1"/>
  <c r="D124" i="1" s="1"/>
  <c r="E124" i="1" s="1"/>
  <c r="C125" i="1"/>
  <c r="D125" i="1" s="1"/>
  <c r="E125" i="1" s="1"/>
  <c r="C126" i="1"/>
  <c r="D126" i="1" s="1"/>
  <c r="E126" i="1" s="1"/>
  <c r="C127" i="1"/>
  <c r="D127" i="1" s="1"/>
  <c r="E127" i="1" s="1"/>
  <c r="C128" i="1"/>
  <c r="D128" i="1" s="1"/>
  <c r="E128" i="1" s="1"/>
  <c r="C129" i="1"/>
  <c r="D129" i="1" s="1"/>
  <c r="E129" i="1" s="1"/>
  <c r="C130" i="1"/>
  <c r="D130" i="1" s="1"/>
  <c r="E130" i="1" s="1"/>
  <c r="C131" i="1"/>
  <c r="D131" i="1" s="1"/>
  <c r="E131" i="1" s="1"/>
  <c r="C132" i="1"/>
  <c r="D132" i="1" s="1"/>
  <c r="E132" i="1" s="1"/>
  <c r="C133" i="1"/>
  <c r="D133" i="1" s="1"/>
  <c r="E133" i="1" s="1"/>
  <c r="C134" i="1"/>
  <c r="D134" i="1" s="1"/>
  <c r="E134" i="1" s="1"/>
  <c r="C135" i="1"/>
  <c r="D135" i="1" s="1"/>
  <c r="E135" i="1" s="1"/>
  <c r="C136" i="1"/>
  <c r="D136" i="1" s="1"/>
  <c r="E136" i="1" s="1"/>
  <c r="C137" i="1"/>
  <c r="D137" i="1" s="1"/>
  <c r="E137" i="1" s="1"/>
  <c r="C138" i="1"/>
  <c r="D138" i="1" s="1"/>
  <c r="E138" i="1" s="1"/>
  <c r="C139" i="1"/>
  <c r="D139" i="1" s="1"/>
  <c r="E139" i="1" s="1"/>
  <c r="C140" i="1"/>
  <c r="D140" i="1" s="1"/>
  <c r="E140" i="1" s="1"/>
  <c r="C141" i="1"/>
  <c r="D141" i="1" s="1"/>
  <c r="E141" i="1" s="1"/>
  <c r="C142" i="1"/>
  <c r="D142" i="1" s="1"/>
  <c r="E142" i="1" s="1"/>
  <c r="C143" i="1"/>
  <c r="D143" i="1" s="1"/>
  <c r="E143" i="1" s="1"/>
  <c r="C144" i="1"/>
  <c r="D144" i="1" s="1"/>
  <c r="E144" i="1" s="1"/>
  <c r="C145" i="1"/>
  <c r="D145" i="1" s="1"/>
  <c r="E145" i="1" s="1"/>
  <c r="C146" i="1"/>
  <c r="D146" i="1" s="1"/>
  <c r="E146" i="1" s="1"/>
  <c r="C147" i="1"/>
  <c r="D147" i="1" s="1"/>
  <c r="E147" i="1" s="1"/>
  <c r="C148" i="1"/>
  <c r="D148" i="1" s="1"/>
  <c r="E148" i="1" s="1"/>
  <c r="C149" i="1"/>
  <c r="D149" i="1" s="1"/>
  <c r="E149" i="1" s="1"/>
  <c r="C150" i="1"/>
  <c r="D150" i="1" s="1"/>
  <c r="E150" i="1" s="1"/>
  <c r="C151" i="1"/>
  <c r="D151" i="1" s="1"/>
  <c r="E151" i="1" s="1"/>
  <c r="C152" i="1"/>
  <c r="D152" i="1" s="1"/>
  <c r="E152" i="1" s="1"/>
  <c r="C153" i="1"/>
  <c r="D153" i="1" s="1"/>
  <c r="E153" i="1" s="1"/>
  <c r="C154" i="1"/>
  <c r="D154" i="1" s="1"/>
  <c r="E154" i="1" s="1"/>
  <c r="C155" i="1"/>
  <c r="D155" i="1" s="1"/>
  <c r="E155" i="1" s="1"/>
  <c r="C156" i="1"/>
  <c r="D156" i="1" s="1"/>
  <c r="E156" i="1" s="1"/>
  <c r="C157" i="1"/>
  <c r="D157" i="1" s="1"/>
  <c r="E157" i="1" s="1"/>
  <c r="C158" i="1"/>
  <c r="D158" i="1" s="1"/>
  <c r="E158" i="1" s="1"/>
  <c r="C159" i="1"/>
  <c r="D159" i="1" s="1"/>
  <c r="E159" i="1" s="1"/>
  <c r="C160" i="1"/>
  <c r="D160" i="1" s="1"/>
  <c r="E160" i="1" s="1"/>
  <c r="C161" i="1"/>
  <c r="D161" i="1" s="1"/>
  <c r="E161" i="1" s="1"/>
  <c r="C162" i="1"/>
  <c r="D162" i="1" s="1"/>
  <c r="E162" i="1" s="1"/>
  <c r="C163" i="1"/>
  <c r="D163" i="1" s="1"/>
  <c r="E163" i="1" s="1"/>
  <c r="C164" i="1"/>
  <c r="D164" i="1" s="1"/>
  <c r="E164" i="1" s="1"/>
  <c r="C165" i="1"/>
  <c r="D165" i="1" s="1"/>
  <c r="E165" i="1" s="1"/>
  <c r="C166" i="1"/>
  <c r="D166" i="1" s="1"/>
  <c r="E166" i="1" s="1"/>
  <c r="C167" i="1"/>
  <c r="D167" i="1" s="1"/>
  <c r="E167" i="1" s="1"/>
  <c r="C168" i="1"/>
  <c r="D168" i="1" s="1"/>
  <c r="E168" i="1" s="1"/>
  <c r="C169" i="1"/>
  <c r="D169" i="1" s="1"/>
  <c r="E169" i="1" s="1"/>
  <c r="C170" i="1"/>
  <c r="D170" i="1" s="1"/>
  <c r="E170" i="1" s="1"/>
  <c r="C171" i="1"/>
  <c r="D171" i="1" s="1"/>
  <c r="E171" i="1" s="1"/>
  <c r="C172" i="1"/>
  <c r="D172" i="1" s="1"/>
  <c r="E172" i="1" s="1"/>
  <c r="C173" i="1"/>
  <c r="D173" i="1" s="1"/>
  <c r="E173" i="1" s="1"/>
  <c r="C174" i="1"/>
  <c r="D174" i="1" s="1"/>
  <c r="E174" i="1" s="1"/>
  <c r="C175" i="1"/>
  <c r="D175" i="1" s="1"/>
  <c r="E175" i="1" s="1"/>
  <c r="C176" i="1"/>
  <c r="D176" i="1" s="1"/>
  <c r="E176" i="1" s="1"/>
  <c r="C177" i="1"/>
  <c r="D177" i="1" s="1"/>
  <c r="E177" i="1" s="1"/>
  <c r="C178" i="1"/>
  <c r="D178" i="1" s="1"/>
  <c r="E178" i="1" s="1"/>
  <c r="C179" i="1"/>
  <c r="D179" i="1" s="1"/>
  <c r="E179" i="1" s="1"/>
  <c r="C180" i="1"/>
  <c r="D180" i="1" s="1"/>
  <c r="E180" i="1" s="1"/>
  <c r="C181" i="1"/>
  <c r="D181" i="1" s="1"/>
  <c r="E181" i="1" s="1"/>
  <c r="C182" i="1"/>
  <c r="D182" i="1" s="1"/>
  <c r="E182" i="1" s="1"/>
  <c r="C183" i="1"/>
  <c r="D183" i="1" s="1"/>
  <c r="E183" i="1" s="1"/>
  <c r="C184" i="1"/>
  <c r="D184" i="1" s="1"/>
  <c r="E184" i="1" s="1"/>
  <c r="C185" i="1"/>
  <c r="D185" i="1" s="1"/>
  <c r="E185" i="1" s="1"/>
  <c r="C186" i="1"/>
  <c r="D186" i="1" s="1"/>
  <c r="E186" i="1" s="1"/>
  <c r="C187" i="1"/>
  <c r="D187" i="1" s="1"/>
  <c r="E187" i="1" s="1"/>
  <c r="C188" i="1"/>
  <c r="D188" i="1" s="1"/>
  <c r="E188" i="1" s="1"/>
  <c r="C189" i="1"/>
  <c r="D189" i="1" s="1"/>
  <c r="E189" i="1" s="1"/>
  <c r="C190" i="1"/>
  <c r="D190" i="1" s="1"/>
  <c r="E190" i="1" s="1"/>
  <c r="C191" i="1"/>
  <c r="D191" i="1" s="1"/>
  <c r="E191" i="1" s="1"/>
  <c r="C192" i="1"/>
  <c r="D192" i="1" s="1"/>
  <c r="E192" i="1" s="1"/>
  <c r="C193" i="1"/>
  <c r="D193" i="1" s="1"/>
  <c r="E193" i="1" s="1"/>
  <c r="C194" i="1"/>
  <c r="D194" i="1" s="1"/>
  <c r="E194" i="1" s="1"/>
  <c r="C195" i="1"/>
  <c r="D195" i="1" s="1"/>
  <c r="E195" i="1" s="1"/>
  <c r="C196" i="1"/>
  <c r="D196" i="1" s="1"/>
  <c r="E196" i="1" s="1"/>
  <c r="C197" i="1"/>
  <c r="D197" i="1" s="1"/>
  <c r="E197" i="1" s="1"/>
  <c r="C198" i="1"/>
  <c r="D198" i="1" s="1"/>
  <c r="E198" i="1" s="1"/>
  <c r="C199" i="1"/>
  <c r="D199" i="1" s="1"/>
  <c r="E199" i="1" s="1"/>
  <c r="C200" i="1"/>
  <c r="D200" i="1" s="1"/>
  <c r="E200" i="1" s="1"/>
  <c r="C201" i="1"/>
  <c r="D201" i="1" s="1"/>
  <c r="E201" i="1" s="1"/>
  <c r="C202" i="1"/>
  <c r="D202" i="1" s="1"/>
  <c r="E202" i="1" s="1"/>
  <c r="C203" i="1"/>
  <c r="D203" i="1" s="1"/>
  <c r="E203" i="1" s="1"/>
  <c r="C204" i="1"/>
  <c r="D204" i="1" s="1"/>
  <c r="E204" i="1" s="1"/>
  <c r="C205" i="1"/>
  <c r="D205" i="1" s="1"/>
  <c r="E205" i="1" s="1"/>
  <c r="C206" i="1"/>
  <c r="D206" i="1" s="1"/>
  <c r="E206" i="1" s="1"/>
  <c r="C207" i="1"/>
  <c r="D207" i="1" s="1"/>
  <c r="E207" i="1" s="1"/>
  <c r="C208" i="1"/>
  <c r="D208" i="1" s="1"/>
  <c r="E208" i="1" s="1"/>
  <c r="C209" i="1"/>
  <c r="D209" i="1" s="1"/>
  <c r="E209" i="1" s="1"/>
  <c r="C210" i="1"/>
  <c r="D210" i="1" s="1"/>
  <c r="E210" i="1" s="1"/>
  <c r="C211" i="1"/>
  <c r="D211" i="1" s="1"/>
  <c r="E211" i="1" s="1"/>
  <c r="C212" i="1"/>
  <c r="D212" i="1" s="1"/>
  <c r="E212" i="1" s="1"/>
  <c r="C213" i="1"/>
  <c r="D213" i="1" s="1"/>
  <c r="E213" i="1" s="1"/>
  <c r="C214" i="1"/>
  <c r="D214" i="1" s="1"/>
  <c r="E214" i="1" s="1"/>
  <c r="C215" i="1"/>
  <c r="D215" i="1" s="1"/>
  <c r="E215" i="1" s="1"/>
  <c r="C216" i="1"/>
  <c r="D216" i="1" s="1"/>
  <c r="E216" i="1" s="1"/>
  <c r="C217" i="1"/>
  <c r="D217" i="1" s="1"/>
  <c r="E217" i="1" s="1"/>
  <c r="C218" i="1"/>
  <c r="D218" i="1" s="1"/>
  <c r="E218" i="1" s="1"/>
  <c r="C219" i="1"/>
  <c r="D219" i="1" s="1"/>
  <c r="E219" i="1" s="1"/>
  <c r="C220" i="1"/>
  <c r="D220" i="1" s="1"/>
  <c r="E220" i="1" s="1"/>
  <c r="C221" i="1"/>
  <c r="D221" i="1" s="1"/>
  <c r="E221" i="1" s="1"/>
  <c r="C222" i="1"/>
  <c r="D222" i="1" s="1"/>
  <c r="E222" i="1" s="1"/>
  <c r="C223" i="1"/>
  <c r="D223" i="1" s="1"/>
  <c r="E223" i="1" s="1"/>
  <c r="C224" i="1"/>
  <c r="D224" i="1" s="1"/>
  <c r="E224" i="1" s="1"/>
  <c r="C225" i="1"/>
  <c r="D225" i="1" s="1"/>
  <c r="E225" i="1" s="1"/>
  <c r="C226" i="1"/>
  <c r="D226" i="1" s="1"/>
  <c r="E226" i="1" s="1"/>
  <c r="C227" i="1"/>
  <c r="D227" i="1" s="1"/>
  <c r="E227" i="1" s="1"/>
  <c r="C228" i="1"/>
  <c r="D228" i="1" s="1"/>
  <c r="E228" i="1" s="1"/>
  <c r="C229" i="1"/>
  <c r="D229" i="1" s="1"/>
  <c r="E229" i="1" s="1"/>
  <c r="C230" i="1"/>
  <c r="D230" i="1" s="1"/>
  <c r="E230" i="1" s="1"/>
  <c r="C231" i="1"/>
  <c r="D231" i="1" s="1"/>
  <c r="E231" i="1" s="1"/>
  <c r="C232" i="1"/>
  <c r="D232" i="1" s="1"/>
  <c r="E232" i="1" s="1"/>
  <c r="C233" i="1"/>
  <c r="D233" i="1" s="1"/>
  <c r="E233" i="1" s="1"/>
  <c r="C234" i="1"/>
  <c r="D234" i="1" s="1"/>
  <c r="E234" i="1" s="1"/>
  <c r="C235" i="1"/>
  <c r="D235" i="1" s="1"/>
  <c r="E235" i="1" s="1"/>
  <c r="C236" i="1"/>
  <c r="D236" i="1" s="1"/>
  <c r="E236" i="1" s="1"/>
  <c r="C237" i="1"/>
  <c r="D237" i="1" s="1"/>
  <c r="E237" i="1" s="1"/>
  <c r="C238" i="1"/>
  <c r="D238" i="1" s="1"/>
  <c r="E238" i="1" s="1"/>
  <c r="C239" i="1"/>
  <c r="D239" i="1" s="1"/>
  <c r="E239" i="1" s="1"/>
  <c r="C240" i="1"/>
  <c r="D240" i="1" s="1"/>
  <c r="E240" i="1" s="1"/>
  <c r="C241" i="1"/>
  <c r="D241" i="1" s="1"/>
  <c r="E241" i="1" s="1"/>
  <c r="C242" i="1"/>
  <c r="D242" i="1" s="1"/>
  <c r="E242" i="1" s="1"/>
  <c r="C243" i="1"/>
  <c r="D243" i="1" s="1"/>
  <c r="E243" i="1" s="1"/>
  <c r="C244" i="1"/>
  <c r="D244" i="1" s="1"/>
  <c r="E244" i="1" s="1"/>
  <c r="C245" i="1"/>
  <c r="D245" i="1" s="1"/>
  <c r="E245" i="1" s="1"/>
  <c r="C246" i="1"/>
  <c r="D246" i="1" s="1"/>
  <c r="E246" i="1" s="1"/>
  <c r="C247" i="1"/>
  <c r="D247" i="1" s="1"/>
  <c r="E247" i="1" s="1"/>
  <c r="C248" i="1"/>
  <c r="D248" i="1" s="1"/>
  <c r="E248" i="1" s="1"/>
  <c r="C249" i="1"/>
  <c r="D249" i="1" s="1"/>
  <c r="E249" i="1" s="1"/>
  <c r="C250" i="1"/>
  <c r="D250" i="1" s="1"/>
  <c r="E250" i="1" s="1"/>
  <c r="C251" i="1"/>
  <c r="D251" i="1" s="1"/>
  <c r="E251" i="1" s="1"/>
  <c r="C252" i="1"/>
  <c r="D252" i="1" s="1"/>
  <c r="E252" i="1" s="1"/>
  <c r="C253" i="1"/>
  <c r="D253" i="1" s="1"/>
  <c r="E253" i="1" s="1"/>
  <c r="C254" i="1"/>
  <c r="D254" i="1" s="1"/>
  <c r="E254" i="1" s="1"/>
  <c r="C255" i="1"/>
  <c r="D255" i="1" s="1"/>
  <c r="E255" i="1" s="1"/>
  <c r="C256" i="1"/>
  <c r="D256" i="1" s="1"/>
  <c r="E256" i="1" s="1"/>
  <c r="C257" i="1"/>
  <c r="D257" i="1" s="1"/>
  <c r="E257" i="1" s="1"/>
  <c r="C258" i="1"/>
  <c r="D258" i="1" s="1"/>
  <c r="E258" i="1" s="1"/>
  <c r="C259" i="1"/>
  <c r="D259" i="1" s="1"/>
  <c r="E259" i="1" s="1"/>
  <c r="C260" i="1"/>
  <c r="D260" i="1" s="1"/>
  <c r="E260" i="1" s="1"/>
  <c r="C261" i="1"/>
  <c r="D261" i="1" s="1"/>
  <c r="E261" i="1" s="1"/>
  <c r="C262" i="1"/>
  <c r="D262" i="1" s="1"/>
  <c r="E262" i="1" s="1"/>
  <c r="C263" i="1"/>
  <c r="D263" i="1" s="1"/>
  <c r="E263" i="1" s="1"/>
  <c r="C264" i="1"/>
  <c r="D264" i="1" s="1"/>
  <c r="E264" i="1" s="1"/>
  <c r="C265" i="1"/>
  <c r="D265" i="1" s="1"/>
  <c r="E265" i="1" s="1"/>
  <c r="C266" i="1"/>
  <c r="D266" i="1" s="1"/>
  <c r="E266" i="1" s="1"/>
  <c r="C267" i="1"/>
  <c r="D267" i="1" s="1"/>
  <c r="E267" i="1" s="1"/>
  <c r="C268" i="1"/>
  <c r="D268" i="1" s="1"/>
  <c r="E268" i="1" s="1"/>
  <c r="C269" i="1"/>
  <c r="D269" i="1" s="1"/>
  <c r="E269" i="1" s="1"/>
  <c r="C270" i="1"/>
  <c r="D270" i="1" s="1"/>
  <c r="E270" i="1" s="1"/>
  <c r="C271" i="1"/>
  <c r="D271" i="1" s="1"/>
  <c r="E271" i="1" s="1"/>
  <c r="C272" i="1"/>
  <c r="D272" i="1" s="1"/>
  <c r="E272" i="1" s="1"/>
  <c r="C273" i="1"/>
  <c r="D273" i="1" s="1"/>
  <c r="E273" i="1" s="1"/>
  <c r="C274" i="1"/>
  <c r="D274" i="1" s="1"/>
  <c r="E274" i="1" s="1"/>
  <c r="C275" i="1"/>
  <c r="D275" i="1" s="1"/>
  <c r="E275" i="1" s="1"/>
  <c r="C276" i="1"/>
  <c r="D276" i="1" s="1"/>
  <c r="E276" i="1" s="1"/>
  <c r="C277" i="1"/>
  <c r="D277" i="1" s="1"/>
  <c r="E277" i="1" s="1"/>
  <c r="C278" i="1"/>
  <c r="D278" i="1" s="1"/>
  <c r="E278" i="1" s="1"/>
  <c r="C279" i="1"/>
  <c r="D279" i="1" s="1"/>
  <c r="E279" i="1" s="1"/>
  <c r="C280" i="1"/>
  <c r="D280" i="1" s="1"/>
  <c r="E280" i="1" s="1"/>
  <c r="C281" i="1"/>
  <c r="D281" i="1" s="1"/>
  <c r="E281" i="1" s="1"/>
  <c r="C282" i="1"/>
  <c r="D282" i="1" s="1"/>
  <c r="E282" i="1" s="1"/>
  <c r="C283" i="1"/>
  <c r="D283" i="1" s="1"/>
  <c r="E283" i="1" s="1"/>
  <c r="C284" i="1"/>
  <c r="D284" i="1" s="1"/>
  <c r="E284" i="1" s="1"/>
  <c r="C285" i="1"/>
  <c r="D285" i="1" s="1"/>
  <c r="E285" i="1" s="1"/>
  <c r="C286" i="1"/>
  <c r="D286" i="1" s="1"/>
  <c r="E286" i="1" s="1"/>
  <c r="C287" i="1"/>
  <c r="D287" i="1" s="1"/>
  <c r="E287" i="1" s="1"/>
  <c r="C288" i="1"/>
  <c r="D288" i="1" s="1"/>
  <c r="E288" i="1" s="1"/>
  <c r="C289" i="1"/>
  <c r="D289" i="1" s="1"/>
  <c r="E289" i="1" s="1"/>
  <c r="C290" i="1"/>
  <c r="D290" i="1" s="1"/>
  <c r="E290" i="1" s="1"/>
  <c r="C291" i="1"/>
  <c r="D291" i="1" s="1"/>
  <c r="E291" i="1" s="1"/>
  <c r="C292" i="1"/>
  <c r="D292" i="1" s="1"/>
  <c r="E292" i="1" s="1"/>
  <c r="C293" i="1"/>
  <c r="D293" i="1" s="1"/>
  <c r="E293" i="1" s="1"/>
  <c r="C294" i="1"/>
  <c r="D294" i="1" s="1"/>
  <c r="E294" i="1" s="1"/>
  <c r="C295" i="1"/>
  <c r="D295" i="1" s="1"/>
  <c r="E295" i="1" s="1"/>
  <c r="C296" i="1"/>
  <c r="D296" i="1" s="1"/>
  <c r="E296" i="1" s="1"/>
  <c r="C297" i="1"/>
  <c r="D297" i="1" s="1"/>
  <c r="E297" i="1" s="1"/>
  <c r="C298" i="1"/>
  <c r="D298" i="1" s="1"/>
  <c r="E298" i="1" s="1"/>
  <c r="C299" i="1"/>
  <c r="D299" i="1" s="1"/>
  <c r="E299" i="1" s="1"/>
  <c r="C300" i="1"/>
  <c r="D300" i="1" s="1"/>
  <c r="E300" i="1" s="1"/>
  <c r="C301" i="1"/>
  <c r="D301" i="1" s="1"/>
  <c r="E301" i="1" s="1"/>
  <c r="C302" i="1"/>
  <c r="D302" i="1" s="1"/>
  <c r="E302" i="1" s="1"/>
  <c r="C303" i="1"/>
  <c r="D303" i="1" s="1"/>
  <c r="E303" i="1" s="1"/>
  <c r="C304" i="1"/>
  <c r="D304" i="1" s="1"/>
  <c r="E304" i="1" s="1"/>
  <c r="C305" i="1"/>
  <c r="D305" i="1" s="1"/>
  <c r="E305" i="1" s="1"/>
  <c r="C306" i="1"/>
  <c r="D306" i="1" s="1"/>
  <c r="E306" i="1" s="1"/>
  <c r="C307" i="1"/>
  <c r="D307" i="1" s="1"/>
  <c r="E307" i="1" s="1"/>
  <c r="C308" i="1"/>
  <c r="D308" i="1" s="1"/>
  <c r="E308" i="1" s="1"/>
  <c r="C309" i="1"/>
  <c r="D309" i="1" s="1"/>
  <c r="E309" i="1" s="1"/>
  <c r="C310" i="1"/>
  <c r="D310" i="1" s="1"/>
  <c r="E310" i="1" s="1"/>
  <c r="C311" i="1"/>
  <c r="D311" i="1" s="1"/>
  <c r="E311" i="1" s="1"/>
  <c r="C312" i="1"/>
  <c r="D312" i="1" s="1"/>
  <c r="E312" i="1" s="1"/>
  <c r="C313" i="1"/>
  <c r="D313" i="1" s="1"/>
  <c r="E313" i="1" s="1"/>
  <c r="C314" i="1"/>
  <c r="D314" i="1" s="1"/>
  <c r="E314" i="1" s="1"/>
  <c r="C315" i="1"/>
  <c r="D315" i="1" s="1"/>
  <c r="E315" i="1" s="1"/>
  <c r="C316" i="1"/>
  <c r="D316" i="1" s="1"/>
  <c r="E316" i="1" s="1"/>
  <c r="C317" i="1"/>
  <c r="D317" i="1" s="1"/>
  <c r="E317" i="1" s="1"/>
  <c r="C318" i="1"/>
  <c r="D318" i="1" s="1"/>
  <c r="E318" i="1" s="1"/>
  <c r="C319" i="1"/>
  <c r="D319" i="1" s="1"/>
  <c r="E319" i="1" s="1"/>
  <c r="C320" i="1"/>
  <c r="D320" i="1" s="1"/>
  <c r="E320" i="1" s="1"/>
  <c r="C321" i="1"/>
  <c r="D321" i="1" s="1"/>
  <c r="E321" i="1" s="1"/>
  <c r="C322" i="1"/>
  <c r="D322" i="1" s="1"/>
  <c r="E322" i="1" s="1"/>
  <c r="C323" i="1"/>
  <c r="D323" i="1" s="1"/>
  <c r="E323" i="1" s="1"/>
  <c r="C324" i="1"/>
  <c r="D324" i="1" s="1"/>
  <c r="E324" i="1" s="1"/>
  <c r="C325" i="1"/>
  <c r="D325" i="1" s="1"/>
  <c r="E325" i="1" s="1"/>
  <c r="C326" i="1"/>
  <c r="D326" i="1" s="1"/>
  <c r="E326" i="1" s="1"/>
  <c r="C327" i="1"/>
  <c r="D327" i="1" s="1"/>
  <c r="E327" i="1" s="1"/>
  <c r="C328" i="1"/>
  <c r="D328" i="1" s="1"/>
  <c r="E328" i="1" s="1"/>
  <c r="C329" i="1"/>
  <c r="D329" i="1" s="1"/>
  <c r="E329" i="1" s="1"/>
  <c r="C330" i="1"/>
  <c r="D330" i="1" s="1"/>
  <c r="E330" i="1" s="1"/>
  <c r="C331" i="1"/>
  <c r="D331" i="1" s="1"/>
  <c r="E331" i="1" s="1"/>
  <c r="C332" i="1"/>
  <c r="D332" i="1" s="1"/>
  <c r="E332" i="1" s="1"/>
  <c r="C333" i="1"/>
  <c r="D333" i="1" s="1"/>
  <c r="E333" i="1" s="1"/>
  <c r="C334" i="1"/>
  <c r="D334" i="1" s="1"/>
  <c r="E334" i="1" s="1"/>
  <c r="C335" i="1"/>
  <c r="D335" i="1" s="1"/>
  <c r="E335" i="1" s="1"/>
  <c r="C336" i="1"/>
  <c r="D336" i="1" s="1"/>
  <c r="E336" i="1" s="1"/>
  <c r="C337" i="1"/>
  <c r="D337" i="1" s="1"/>
  <c r="E337" i="1" s="1"/>
  <c r="C338" i="1"/>
  <c r="D338" i="1" s="1"/>
  <c r="E338" i="1" s="1"/>
  <c r="C339" i="1"/>
  <c r="D339" i="1" s="1"/>
  <c r="E339" i="1" s="1"/>
  <c r="C340" i="1"/>
  <c r="D340" i="1" s="1"/>
  <c r="E340" i="1" s="1"/>
  <c r="C341" i="1"/>
  <c r="D341" i="1" s="1"/>
  <c r="E341" i="1" s="1"/>
  <c r="C342" i="1"/>
  <c r="D342" i="1" s="1"/>
  <c r="E342" i="1" s="1"/>
  <c r="C343" i="1"/>
  <c r="D343" i="1" s="1"/>
  <c r="E343" i="1" s="1"/>
  <c r="C344" i="1"/>
  <c r="D344" i="1" s="1"/>
  <c r="E344" i="1" s="1"/>
  <c r="C345" i="1"/>
  <c r="D345" i="1" s="1"/>
  <c r="E345" i="1" s="1"/>
  <c r="C346" i="1"/>
  <c r="D346" i="1" s="1"/>
  <c r="E346" i="1" s="1"/>
  <c r="C347" i="1"/>
  <c r="D347" i="1" s="1"/>
  <c r="E347" i="1" s="1"/>
  <c r="C348" i="1"/>
  <c r="D348" i="1" s="1"/>
  <c r="E348" i="1" s="1"/>
  <c r="C349" i="1"/>
  <c r="D349" i="1" s="1"/>
  <c r="E349" i="1" s="1"/>
  <c r="C350" i="1"/>
  <c r="D350" i="1" s="1"/>
  <c r="E350" i="1" s="1"/>
  <c r="C351" i="1"/>
  <c r="D351" i="1" s="1"/>
  <c r="E351" i="1" s="1"/>
  <c r="C352" i="1"/>
  <c r="D352" i="1" s="1"/>
  <c r="E352" i="1" s="1"/>
  <c r="C353" i="1"/>
  <c r="D353" i="1" s="1"/>
  <c r="E353" i="1" s="1"/>
  <c r="C354" i="1"/>
  <c r="D354" i="1" s="1"/>
  <c r="E354" i="1" s="1"/>
  <c r="C355" i="1"/>
  <c r="D355" i="1" s="1"/>
  <c r="E355" i="1" s="1"/>
  <c r="C356" i="1"/>
  <c r="D356" i="1" s="1"/>
  <c r="E356" i="1" s="1"/>
  <c r="C357" i="1"/>
  <c r="D357" i="1" s="1"/>
  <c r="E357" i="1" s="1"/>
  <c r="C358" i="1"/>
  <c r="D358" i="1" s="1"/>
  <c r="E358" i="1" s="1"/>
  <c r="C359" i="1"/>
  <c r="D359" i="1" s="1"/>
  <c r="E359" i="1" s="1"/>
  <c r="C360" i="1"/>
  <c r="D360" i="1" s="1"/>
  <c r="E360" i="1" s="1"/>
  <c r="C361" i="1"/>
  <c r="D361" i="1" s="1"/>
  <c r="E361" i="1" s="1"/>
  <c r="C362" i="1"/>
  <c r="D362" i="1" s="1"/>
  <c r="E362" i="1" s="1"/>
  <c r="C363" i="1"/>
  <c r="D363" i="1" s="1"/>
  <c r="E363" i="1" s="1"/>
  <c r="C364" i="1"/>
  <c r="D364" i="1" s="1"/>
  <c r="E364" i="1" s="1"/>
  <c r="C365" i="1"/>
  <c r="D365" i="1" s="1"/>
  <c r="E365" i="1" s="1"/>
  <c r="C366" i="1"/>
  <c r="D366" i="1" s="1"/>
  <c r="E366" i="1" s="1"/>
  <c r="C367" i="1"/>
  <c r="D367" i="1" s="1"/>
  <c r="E367" i="1" s="1"/>
  <c r="C368" i="1"/>
  <c r="D368" i="1" s="1"/>
  <c r="E368" i="1" s="1"/>
  <c r="C369" i="1"/>
  <c r="D369" i="1" s="1"/>
  <c r="E369" i="1" s="1"/>
  <c r="C370" i="1"/>
  <c r="D370" i="1" s="1"/>
  <c r="E370" i="1" s="1"/>
  <c r="C371" i="1"/>
  <c r="D371" i="1" s="1"/>
  <c r="E371" i="1" s="1"/>
  <c r="C372" i="1"/>
  <c r="D372" i="1" s="1"/>
  <c r="E372" i="1" s="1"/>
  <c r="C373" i="1"/>
  <c r="D373" i="1" s="1"/>
  <c r="E373" i="1" s="1"/>
  <c r="C374" i="1"/>
  <c r="D374" i="1" s="1"/>
  <c r="E374" i="1" s="1"/>
  <c r="C375" i="1"/>
  <c r="D375" i="1" s="1"/>
  <c r="E375" i="1" s="1"/>
  <c r="C376" i="1"/>
  <c r="D376" i="1" s="1"/>
  <c r="E376" i="1" s="1"/>
  <c r="C377" i="1"/>
  <c r="D377" i="1" s="1"/>
  <c r="E377" i="1" s="1"/>
  <c r="C378" i="1"/>
  <c r="D378" i="1" s="1"/>
  <c r="E378" i="1" s="1"/>
  <c r="C379" i="1"/>
  <c r="D379" i="1" s="1"/>
  <c r="E379" i="1" s="1"/>
  <c r="C380" i="1"/>
  <c r="D380" i="1" s="1"/>
  <c r="E380" i="1" s="1"/>
  <c r="C381" i="1"/>
  <c r="D381" i="1" s="1"/>
  <c r="E381" i="1" s="1"/>
  <c r="C382" i="1"/>
  <c r="D382" i="1" s="1"/>
  <c r="E382" i="1" s="1"/>
  <c r="C383" i="1"/>
  <c r="D383" i="1" s="1"/>
  <c r="E383" i="1" s="1"/>
  <c r="C384" i="1"/>
  <c r="D384" i="1" s="1"/>
  <c r="E384" i="1" s="1"/>
  <c r="C385" i="1"/>
  <c r="D385" i="1" s="1"/>
  <c r="E385" i="1" s="1"/>
  <c r="C386" i="1"/>
  <c r="D386" i="1" s="1"/>
  <c r="E386" i="1" s="1"/>
  <c r="C387" i="1"/>
  <c r="D387" i="1" s="1"/>
  <c r="E387" i="1" s="1"/>
  <c r="C388" i="1"/>
  <c r="D388" i="1" s="1"/>
  <c r="E388" i="1" s="1"/>
  <c r="C389" i="1"/>
  <c r="D389" i="1" s="1"/>
  <c r="E389" i="1" s="1"/>
  <c r="C390" i="1"/>
  <c r="D390" i="1" s="1"/>
  <c r="E390" i="1" s="1"/>
  <c r="C391" i="1"/>
  <c r="D391" i="1" s="1"/>
  <c r="E391" i="1" s="1"/>
  <c r="C392" i="1"/>
  <c r="D392" i="1" s="1"/>
  <c r="E392" i="1" s="1"/>
  <c r="C393" i="1"/>
  <c r="D393" i="1" s="1"/>
  <c r="E393" i="1" s="1"/>
  <c r="C394" i="1"/>
  <c r="D394" i="1" s="1"/>
  <c r="E394" i="1" s="1"/>
  <c r="C395" i="1"/>
  <c r="D395" i="1" s="1"/>
  <c r="E395" i="1" s="1"/>
  <c r="C396" i="1"/>
  <c r="D396" i="1" s="1"/>
  <c r="E396" i="1" s="1"/>
  <c r="C397" i="1"/>
  <c r="D397" i="1" s="1"/>
  <c r="E397" i="1" s="1"/>
  <c r="C398" i="1"/>
  <c r="D398" i="1" s="1"/>
  <c r="E398" i="1" s="1"/>
  <c r="C399" i="1"/>
  <c r="D399" i="1" s="1"/>
  <c r="E399" i="1" s="1"/>
  <c r="C400" i="1"/>
  <c r="D400" i="1" s="1"/>
  <c r="E400" i="1" s="1"/>
  <c r="C401" i="1"/>
  <c r="D401" i="1" s="1"/>
  <c r="E401" i="1" s="1"/>
  <c r="C402" i="1"/>
  <c r="D402" i="1" s="1"/>
  <c r="E402" i="1" s="1"/>
  <c r="C403" i="1"/>
  <c r="D403" i="1" s="1"/>
  <c r="E403" i="1" s="1"/>
  <c r="C404" i="1"/>
  <c r="D404" i="1" s="1"/>
  <c r="E404" i="1" s="1"/>
  <c r="C405" i="1"/>
  <c r="D405" i="1" s="1"/>
  <c r="E405" i="1" s="1"/>
  <c r="C406" i="1"/>
  <c r="D406" i="1" s="1"/>
  <c r="E406" i="1" s="1"/>
  <c r="C407" i="1"/>
  <c r="D407" i="1" s="1"/>
  <c r="E407" i="1" s="1"/>
  <c r="C408" i="1"/>
  <c r="D408" i="1" s="1"/>
  <c r="E408" i="1" s="1"/>
  <c r="C409" i="1"/>
  <c r="D409" i="1" s="1"/>
  <c r="E409" i="1" s="1"/>
  <c r="C410" i="1"/>
  <c r="D410" i="1" s="1"/>
  <c r="E410" i="1" s="1"/>
  <c r="C411" i="1"/>
  <c r="D411" i="1" s="1"/>
  <c r="E411" i="1" s="1"/>
  <c r="C412" i="1"/>
  <c r="D412" i="1" s="1"/>
  <c r="E412" i="1" s="1"/>
  <c r="C413" i="1"/>
  <c r="D413" i="1" s="1"/>
  <c r="E413" i="1" s="1"/>
  <c r="C414" i="1"/>
  <c r="D414" i="1" s="1"/>
  <c r="E414" i="1" s="1"/>
  <c r="C415" i="1"/>
  <c r="D415" i="1" s="1"/>
  <c r="E415" i="1" s="1"/>
  <c r="C416" i="1"/>
  <c r="D416" i="1" s="1"/>
  <c r="E416" i="1" s="1"/>
  <c r="C417" i="1"/>
  <c r="D417" i="1" s="1"/>
  <c r="E417" i="1" s="1"/>
  <c r="C418" i="1"/>
  <c r="D418" i="1" s="1"/>
  <c r="E418" i="1" s="1"/>
  <c r="C419" i="1"/>
  <c r="D419" i="1" s="1"/>
  <c r="E419" i="1" s="1"/>
  <c r="C420" i="1"/>
  <c r="D420" i="1" s="1"/>
  <c r="E420" i="1" s="1"/>
  <c r="C421" i="1"/>
  <c r="D421" i="1" s="1"/>
  <c r="E421" i="1" s="1"/>
  <c r="C422" i="1"/>
  <c r="D422" i="1" s="1"/>
  <c r="E422" i="1" s="1"/>
  <c r="C423" i="1"/>
  <c r="D423" i="1" s="1"/>
  <c r="E423" i="1" s="1"/>
  <c r="C424" i="1"/>
  <c r="D424" i="1" s="1"/>
  <c r="E424" i="1" s="1"/>
  <c r="C425" i="1"/>
  <c r="D425" i="1" s="1"/>
  <c r="E425" i="1" s="1"/>
  <c r="C426" i="1"/>
  <c r="D426" i="1" s="1"/>
  <c r="E426" i="1" s="1"/>
  <c r="C427" i="1"/>
  <c r="D427" i="1" s="1"/>
  <c r="E427" i="1" s="1"/>
  <c r="C428" i="1"/>
  <c r="D428" i="1" s="1"/>
  <c r="E428" i="1" s="1"/>
  <c r="C429" i="1"/>
  <c r="D429" i="1" s="1"/>
  <c r="E429" i="1" s="1"/>
  <c r="C430" i="1"/>
  <c r="D430" i="1" s="1"/>
  <c r="E430" i="1" s="1"/>
  <c r="C431" i="1"/>
  <c r="D431" i="1" s="1"/>
  <c r="E431" i="1" s="1"/>
  <c r="C432" i="1"/>
  <c r="D432" i="1" s="1"/>
  <c r="E432" i="1" s="1"/>
  <c r="C433" i="1"/>
  <c r="D433" i="1" s="1"/>
  <c r="E433" i="1" s="1"/>
  <c r="C434" i="1"/>
  <c r="D434" i="1" s="1"/>
  <c r="E434" i="1" s="1"/>
  <c r="C435" i="1"/>
  <c r="D435" i="1" s="1"/>
  <c r="E435" i="1" s="1"/>
  <c r="C436" i="1"/>
  <c r="D436" i="1" s="1"/>
  <c r="E436" i="1" s="1"/>
  <c r="C437" i="1"/>
  <c r="D437" i="1" s="1"/>
  <c r="E437" i="1" s="1"/>
  <c r="C438" i="1"/>
  <c r="D438" i="1" s="1"/>
  <c r="E438" i="1" s="1"/>
  <c r="C439" i="1"/>
  <c r="D439" i="1" s="1"/>
  <c r="E439" i="1" s="1"/>
  <c r="C440" i="1"/>
  <c r="D440" i="1" s="1"/>
  <c r="E440" i="1" s="1"/>
  <c r="C441" i="1"/>
  <c r="D441" i="1" s="1"/>
  <c r="E441" i="1" s="1"/>
  <c r="C442" i="1"/>
  <c r="D442" i="1" s="1"/>
  <c r="E442" i="1" s="1"/>
  <c r="C443" i="1"/>
  <c r="D443" i="1" s="1"/>
  <c r="E443" i="1" s="1"/>
  <c r="C444" i="1"/>
  <c r="D444" i="1" s="1"/>
  <c r="E444" i="1" s="1"/>
  <c r="C445" i="1"/>
  <c r="D445" i="1" s="1"/>
  <c r="E445" i="1" s="1"/>
  <c r="C446" i="1"/>
  <c r="D446" i="1" s="1"/>
  <c r="E446" i="1" s="1"/>
  <c r="C447" i="1"/>
  <c r="D447" i="1" s="1"/>
  <c r="E447" i="1" s="1"/>
  <c r="C448" i="1"/>
  <c r="D448" i="1" s="1"/>
  <c r="E448" i="1" s="1"/>
  <c r="C449" i="1"/>
  <c r="D449" i="1" s="1"/>
  <c r="E449" i="1" s="1"/>
  <c r="C450" i="1"/>
  <c r="D450" i="1" s="1"/>
  <c r="E450" i="1" s="1"/>
  <c r="C451" i="1"/>
  <c r="D451" i="1" s="1"/>
  <c r="E451" i="1" s="1"/>
  <c r="C452" i="1"/>
  <c r="D452" i="1" s="1"/>
  <c r="E452" i="1" s="1"/>
  <c r="C453" i="1"/>
  <c r="D453" i="1" s="1"/>
  <c r="E453" i="1" s="1"/>
  <c r="C454" i="1"/>
  <c r="D454" i="1" s="1"/>
  <c r="E454" i="1" s="1"/>
  <c r="C455" i="1"/>
  <c r="D455" i="1" s="1"/>
  <c r="E455" i="1" s="1"/>
  <c r="C456" i="1"/>
  <c r="D456" i="1" s="1"/>
  <c r="E456" i="1" s="1"/>
  <c r="C457" i="1"/>
  <c r="D457" i="1" s="1"/>
  <c r="E457" i="1" s="1"/>
  <c r="C458" i="1"/>
  <c r="D458" i="1" s="1"/>
  <c r="E458" i="1" s="1"/>
  <c r="C459" i="1"/>
  <c r="D459" i="1" s="1"/>
  <c r="E459" i="1" s="1"/>
  <c r="C460" i="1"/>
  <c r="D460" i="1" s="1"/>
  <c r="E460" i="1" s="1"/>
  <c r="C461" i="1"/>
  <c r="D461" i="1" s="1"/>
  <c r="E461" i="1" s="1"/>
  <c r="C462" i="1"/>
  <c r="D462" i="1" s="1"/>
  <c r="E462" i="1" s="1"/>
  <c r="C463" i="1"/>
  <c r="D463" i="1" s="1"/>
  <c r="E463" i="1" s="1"/>
  <c r="C464" i="1"/>
  <c r="D464" i="1" s="1"/>
  <c r="E464" i="1" s="1"/>
  <c r="C465" i="1"/>
  <c r="D465" i="1" s="1"/>
  <c r="E465" i="1" s="1"/>
  <c r="C466" i="1"/>
  <c r="D466" i="1" s="1"/>
  <c r="E466" i="1" s="1"/>
  <c r="C467" i="1"/>
  <c r="D467" i="1" s="1"/>
  <c r="E467" i="1" s="1"/>
  <c r="C468" i="1"/>
  <c r="D468" i="1" s="1"/>
  <c r="E468" i="1" s="1"/>
  <c r="C469" i="1"/>
  <c r="D469" i="1" s="1"/>
  <c r="E469" i="1" s="1"/>
  <c r="C470" i="1"/>
  <c r="D470" i="1" s="1"/>
  <c r="E470" i="1" s="1"/>
  <c r="C471" i="1"/>
  <c r="D471" i="1" s="1"/>
  <c r="E471" i="1" s="1"/>
  <c r="C472" i="1"/>
  <c r="D472" i="1" s="1"/>
  <c r="E472" i="1" s="1"/>
  <c r="C473" i="1"/>
  <c r="D473" i="1" s="1"/>
  <c r="E473" i="1" s="1"/>
  <c r="C474" i="1"/>
  <c r="D474" i="1" s="1"/>
  <c r="E474" i="1" s="1"/>
  <c r="C475" i="1"/>
  <c r="D475" i="1" s="1"/>
  <c r="E475" i="1" s="1"/>
  <c r="C476" i="1"/>
  <c r="D476" i="1" s="1"/>
  <c r="E476" i="1" s="1"/>
  <c r="C477" i="1"/>
  <c r="D477" i="1" s="1"/>
  <c r="E477" i="1" s="1"/>
  <c r="C478" i="1"/>
  <c r="D478" i="1" s="1"/>
  <c r="E478" i="1" s="1"/>
  <c r="C479" i="1"/>
  <c r="D479" i="1" s="1"/>
  <c r="E479" i="1" s="1"/>
  <c r="C480" i="1"/>
  <c r="D480" i="1" s="1"/>
  <c r="E480" i="1" s="1"/>
  <c r="C481" i="1"/>
  <c r="D481" i="1" s="1"/>
  <c r="E481" i="1" s="1"/>
  <c r="C482" i="1"/>
  <c r="D482" i="1" s="1"/>
  <c r="E482" i="1" s="1"/>
  <c r="C483" i="1"/>
  <c r="D483" i="1" s="1"/>
  <c r="E483" i="1" s="1"/>
  <c r="C484" i="1"/>
  <c r="D484" i="1" s="1"/>
  <c r="E484" i="1" s="1"/>
  <c r="C485" i="1"/>
  <c r="D485" i="1" s="1"/>
  <c r="E485" i="1" s="1"/>
  <c r="C486" i="1"/>
  <c r="D486" i="1" s="1"/>
  <c r="E486" i="1" s="1"/>
  <c r="C487" i="1"/>
  <c r="D487" i="1" s="1"/>
  <c r="E487" i="1" s="1"/>
  <c r="C488" i="1"/>
  <c r="D488" i="1" s="1"/>
  <c r="E488" i="1" s="1"/>
  <c r="C489" i="1"/>
  <c r="D489" i="1" s="1"/>
  <c r="E489" i="1" s="1"/>
  <c r="C490" i="1"/>
  <c r="D490" i="1" s="1"/>
  <c r="E490" i="1" s="1"/>
  <c r="C491" i="1"/>
  <c r="D491" i="1" s="1"/>
  <c r="E491" i="1" s="1"/>
  <c r="C492" i="1"/>
  <c r="D492" i="1" s="1"/>
  <c r="E492" i="1" s="1"/>
  <c r="C493" i="1"/>
  <c r="D493" i="1" s="1"/>
  <c r="E493" i="1" s="1"/>
  <c r="C494" i="1"/>
  <c r="D494" i="1" s="1"/>
  <c r="E494" i="1" s="1"/>
  <c r="C495" i="1"/>
  <c r="D495" i="1" s="1"/>
  <c r="E495" i="1" s="1"/>
  <c r="C496" i="1"/>
  <c r="D496" i="1" s="1"/>
  <c r="E496" i="1" s="1"/>
  <c r="C497" i="1"/>
  <c r="D497" i="1" s="1"/>
  <c r="E497" i="1" s="1"/>
  <c r="C498" i="1"/>
  <c r="D498" i="1" s="1"/>
  <c r="E498" i="1" s="1"/>
  <c r="C499" i="1"/>
  <c r="D499" i="1" s="1"/>
  <c r="E499" i="1" s="1"/>
  <c r="C500" i="1"/>
  <c r="D500" i="1" s="1"/>
  <c r="E500" i="1" s="1"/>
  <c r="C501" i="1"/>
  <c r="D501" i="1" s="1"/>
  <c r="E501" i="1" s="1"/>
  <c r="C502" i="1"/>
  <c r="D502" i="1" s="1"/>
  <c r="E502" i="1" s="1"/>
  <c r="C503" i="1"/>
  <c r="D503" i="1" s="1"/>
  <c r="E503" i="1" s="1"/>
  <c r="C504" i="1"/>
  <c r="D504" i="1" s="1"/>
  <c r="E504" i="1" s="1"/>
  <c r="C505" i="1"/>
  <c r="D505" i="1" s="1"/>
  <c r="E505" i="1" s="1"/>
  <c r="C506" i="1"/>
  <c r="D506" i="1" s="1"/>
  <c r="E506" i="1" s="1"/>
  <c r="C507" i="1"/>
  <c r="D507" i="1" s="1"/>
  <c r="E507" i="1" s="1"/>
  <c r="C508" i="1"/>
  <c r="D508" i="1" s="1"/>
  <c r="E508" i="1" s="1"/>
  <c r="C509" i="1"/>
  <c r="D509" i="1" s="1"/>
  <c r="E509" i="1" s="1"/>
  <c r="C510" i="1"/>
  <c r="D510" i="1" s="1"/>
  <c r="E510" i="1" s="1"/>
  <c r="C511" i="1"/>
  <c r="D511" i="1" s="1"/>
  <c r="E511" i="1" s="1"/>
  <c r="C512" i="1"/>
  <c r="D512" i="1" s="1"/>
  <c r="E512" i="1" s="1"/>
  <c r="C513" i="1"/>
  <c r="D513" i="1" s="1"/>
  <c r="E513" i="1" s="1"/>
  <c r="C514" i="1"/>
  <c r="D514" i="1" s="1"/>
  <c r="E514" i="1" s="1"/>
  <c r="C515" i="1"/>
  <c r="D515" i="1" s="1"/>
  <c r="E515" i="1" s="1"/>
  <c r="C516" i="1"/>
  <c r="D516" i="1" s="1"/>
  <c r="E516" i="1" s="1"/>
  <c r="C517" i="1"/>
  <c r="D517" i="1" s="1"/>
  <c r="E517" i="1" s="1"/>
  <c r="C518" i="1"/>
  <c r="D518" i="1" s="1"/>
  <c r="E518" i="1" s="1"/>
  <c r="C519" i="1"/>
  <c r="D519" i="1" s="1"/>
  <c r="E519" i="1" s="1"/>
  <c r="C520" i="1"/>
  <c r="D520" i="1" s="1"/>
  <c r="E520" i="1" s="1"/>
  <c r="C521" i="1"/>
  <c r="D521" i="1" s="1"/>
  <c r="E521" i="1" s="1"/>
  <c r="C522" i="1"/>
  <c r="D522" i="1" s="1"/>
  <c r="E522" i="1" s="1"/>
  <c r="C523" i="1"/>
  <c r="D523" i="1" s="1"/>
  <c r="E523" i="1" s="1"/>
  <c r="C524" i="1"/>
  <c r="D524" i="1" s="1"/>
  <c r="E524" i="1" s="1"/>
  <c r="C525" i="1"/>
  <c r="D525" i="1" s="1"/>
  <c r="E525" i="1" s="1"/>
  <c r="C526" i="1"/>
  <c r="D526" i="1" s="1"/>
  <c r="E526" i="1" s="1"/>
  <c r="C527" i="1"/>
  <c r="D527" i="1" s="1"/>
  <c r="E527" i="1" s="1"/>
  <c r="C528" i="1"/>
  <c r="D528" i="1" s="1"/>
  <c r="E528" i="1" s="1"/>
  <c r="C529" i="1"/>
  <c r="D529" i="1" s="1"/>
  <c r="E529" i="1" s="1"/>
  <c r="C530" i="1"/>
  <c r="D530" i="1" s="1"/>
  <c r="E530" i="1" s="1"/>
  <c r="C531" i="1"/>
  <c r="D531" i="1" s="1"/>
  <c r="E531" i="1" s="1"/>
  <c r="C532" i="1"/>
  <c r="D532" i="1" s="1"/>
  <c r="E532" i="1" s="1"/>
  <c r="C533" i="1"/>
  <c r="D533" i="1" s="1"/>
  <c r="E533" i="1" s="1"/>
  <c r="C534" i="1"/>
  <c r="D534" i="1" s="1"/>
  <c r="E534" i="1" s="1"/>
  <c r="C535" i="1"/>
  <c r="D535" i="1" s="1"/>
  <c r="E535" i="1" s="1"/>
  <c r="C536" i="1"/>
  <c r="D536" i="1" s="1"/>
  <c r="E536" i="1" s="1"/>
  <c r="C537" i="1"/>
  <c r="D537" i="1" s="1"/>
  <c r="E537" i="1" s="1"/>
  <c r="C538" i="1"/>
  <c r="D538" i="1" s="1"/>
  <c r="E538" i="1" s="1"/>
  <c r="C539" i="1"/>
  <c r="D539" i="1" s="1"/>
  <c r="E539" i="1" s="1"/>
  <c r="C540" i="1"/>
  <c r="D540" i="1" s="1"/>
  <c r="E540" i="1" s="1"/>
  <c r="C541" i="1"/>
  <c r="D541" i="1" s="1"/>
  <c r="E541" i="1" s="1"/>
  <c r="C542" i="1"/>
  <c r="D542" i="1" s="1"/>
  <c r="E542" i="1" s="1"/>
  <c r="C543" i="1"/>
  <c r="D543" i="1" s="1"/>
  <c r="E543" i="1" s="1"/>
  <c r="C544" i="1"/>
  <c r="D544" i="1" s="1"/>
  <c r="E544" i="1" s="1"/>
  <c r="C545" i="1"/>
  <c r="D545" i="1" s="1"/>
  <c r="E545" i="1" s="1"/>
  <c r="C546" i="1"/>
  <c r="D546" i="1" s="1"/>
  <c r="E546" i="1" s="1"/>
  <c r="C547" i="1"/>
  <c r="D547" i="1" s="1"/>
  <c r="E547" i="1" s="1"/>
  <c r="C548" i="1"/>
  <c r="D548" i="1" s="1"/>
  <c r="E548" i="1" s="1"/>
  <c r="C549" i="1"/>
  <c r="D549" i="1" s="1"/>
  <c r="E549" i="1" s="1"/>
  <c r="C550" i="1"/>
  <c r="D550" i="1" s="1"/>
  <c r="E550" i="1" s="1"/>
  <c r="C551" i="1"/>
  <c r="D551" i="1" s="1"/>
  <c r="E551" i="1" s="1"/>
  <c r="C552" i="1"/>
  <c r="D552" i="1" s="1"/>
  <c r="E552" i="1" s="1"/>
  <c r="C553" i="1"/>
  <c r="D553" i="1" s="1"/>
  <c r="E553" i="1" s="1"/>
  <c r="C554" i="1"/>
  <c r="D554" i="1" s="1"/>
  <c r="E554" i="1" s="1"/>
  <c r="C555" i="1"/>
  <c r="D555" i="1" s="1"/>
  <c r="E555" i="1" s="1"/>
  <c r="C556" i="1"/>
  <c r="D556" i="1" s="1"/>
  <c r="E556" i="1" s="1"/>
  <c r="C557" i="1"/>
  <c r="D557" i="1" s="1"/>
  <c r="E557" i="1" s="1"/>
  <c r="C558" i="1"/>
  <c r="D558" i="1" s="1"/>
  <c r="E558" i="1" s="1"/>
  <c r="C559" i="1"/>
  <c r="D559" i="1" s="1"/>
  <c r="E559" i="1" s="1"/>
  <c r="C560" i="1"/>
  <c r="D560" i="1" s="1"/>
  <c r="E560" i="1" s="1"/>
  <c r="C561" i="1"/>
  <c r="D561" i="1" s="1"/>
  <c r="E561" i="1" s="1"/>
  <c r="C562" i="1"/>
  <c r="D562" i="1" s="1"/>
  <c r="E562" i="1" s="1"/>
  <c r="C563" i="1"/>
  <c r="D563" i="1" s="1"/>
  <c r="E563" i="1" s="1"/>
  <c r="C564" i="1"/>
  <c r="D564" i="1" s="1"/>
  <c r="E564" i="1" s="1"/>
  <c r="C565" i="1"/>
  <c r="D565" i="1" s="1"/>
  <c r="E565" i="1" s="1"/>
  <c r="C566" i="1"/>
  <c r="D566" i="1" s="1"/>
  <c r="E566" i="1" s="1"/>
  <c r="C567" i="1"/>
  <c r="D567" i="1" s="1"/>
  <c r="E567" i="1" s="1"/>
  <c r="C568" i="1"/>
  <c r="D568" i="1" s="1"/>
  <c r="E568" i="1" s="1"/>
  <c r="C569" i="1"/>
  <c r="D569" i="1" s="1"/>
  <c r="E569" i="1" s="1"/>
  <c r="C570" i="1"/>
  <c r="D570" i="1" s="1"/>
  <c r="E570" i="1" s="1"/>
  <c r="C571" i="1"/>
  <c r="D571" i="1" s="1"/>
  <c r="E571" i="1" s="1"/>
  <c r="C572" i="1"/>
  <c r="D572" i="1" s="1"/>
  <c r="E572" i="1" s="1"/>
  <c r="C573" i="1"/>
  <c r="D573" i="1" s="1"/>
  <c r="E573" i="1" s="1"/>
  <c r="C574" i="1"/>
  <c r="D574" i="1" s="1"/>
  <c r="E574" i="1" s="1"/>
  <c r="C575" i="1"/>
  <c r="D575" i="1" s="1"/>
  <c r="E575" i="1" s="1"/>
  <c r="C576" i="1"/>
  <c r="D576" i="1" s="1"/>
  <c r="E576" i="1" s="1"/>
  <c r="C577" i="1"/>
  <c r="D577" i="1" s="1"/>
  <c r="E577" i="1" s="1"/>
  <c r="C578" i="1"/>
  <c r="D578" i="1" s="1"/>
  <c r="E578" i="1" s="1"/>
  <c r="C579" i="1"/>
  <c r="D579" i="1" s="1"/>
  <c r="E579" i="1" s="1"/>
  <c r="C580" i="1"/>
  <c r="D580" i="1" s="1"/>
  <c r="E580" i="1" s="1"/>
  <c r="C581" i="1"/>
  <c r="D581" i="1" s="1"/>
  <c r="E581" i="1" s="1"/>
  <c r="C582" i="1"/>
  <c r="D582" i="1" s="1"/>
  <c r="E582" i="1" s="1"/>
  <c r="C583" i="1"/>
  <c r="D583" i="1" s="1"/>
  <c r="E583" i="1" s="1"/>
  <c r="C584" i="1"/>
  <c r="D584" i="1" s="1"/>
  <c r="E584" i="1" s="1"/>
  <c r="C585" i="1"/>
  <c r="D585" i="1" s="1"/>
  <c r="E585" i="1" s="1"/>
  <c r="C586" i="1"/>
  <c r="D586" i="1" s="1"/>
  <c r="E586" i="1" s="1"/>
  <c r="C587" i="1"/>
  <c r="D587" i="1" s="1"/>
  <c r="E587" i="1" s="1"/>
  <c r="C588" i="1"/>
  <c r="D588" i="1" s="1"/>
  <c r="E588" i="1" s="1"/>
  <c r="C589" i="1"/>
  <c r="D589" i="1" s="1"/>
  <c r="E589" i="1" s="1"/>
  <c r="C590" i="1"/>
  <c r="D590" i="1" s="1"/>
  <c r="E590" i="1" s="1"/>
  <c r="C591" i="1"/>
  <c r="D591" i="1" s="1"/>
  <c r="E591" i="1" s="1"/>
  <c r="C592" i="1"/>
  <c r="D592" i="1" s="1"/>
  <c r="E592" i="1" s="1"/>
  <c r="C593" i="1"/>
  <c r="D593" i="1" s="1"/>
  <c r="E593" i="1" s="1"/>
  <c r="C594" i="1"/>
  <c r="D594" i="1" s="1"/>
  <c r="E594" i="1" s="1"/>
  <c r="C595" i="1"/>
  <c r="D595" i="1" s="1"/>
  <c r="E595" i="1" s="1"/>
  <c r="C596" i="1"/>
  <c r="D596" i="1" s="1"/>
  <c r="E596" i="1" s="1"/>
  <c r="C597" i="1"/>
  <c r="D597" i="1" s="1"/>
  <c r="E597" i="1" s="1"/>
  <c r="C598" i="1"/>
  <c r="D598" i="1" s="1"/>
  <c r="E598" i="1" s="1"/>
  <c r="C599" i="1"/>
  <c r="D599" i="1" s="1"/>
  <c r="E599" i="1" s="1"/>
  <c r="C600" i="1"/>
  <c r="D600" i="1" s="1"/>
  <c r="E600" i="1" s="1"/>
  <c r="C601" i="1"/>
  <c r="D601" i="1" s="1"/>
  <c r="E601" i="1" s="1"/>
  <c r="C602" i="1"/>
  <c r="D602" i="1" s="1"/>
  <c r="E602" i="1" s="1"/>
  <c r="C603" i="1"/>
  <c r="D603" i="1" s="1"/>
  <c r="E603" i="1" s="1"/>
  <c r="C604" i="1"/>
  <c r="D604" i="1" s="1"/>
  <c r="E604" i="1" s="1"/>
  <c r="C605" i="1"/>
  <c r="D605" i="1" s="1"/>
  <c r="E605" i="1" s="1"/>
  <c r="C606" i="1"/>
  <c r="D606" i="1" s="1"/>
  <c r="E606" i="1" s="1"/>
  <c r="C607" i="1"/>
  <c r="D607" i="1" s="1"/>
  <c r="E607" i="1" s="1"/>
  <c r="C608" i="1"/>
  <c r="D608" i="1" s="1"/>
  <c r="E608" i="1" s="1"/>
  <c r="C609" i="1"/>
  <c r="D609" i="1" s="1"/>
  <c r="E609" i="1" s="1"/>
  <c r="C610" i="1"/>
  <c r="D610" i="1" s="1"/>
  <c r="E610" i="1" s="1"/>
  <c r="C611" i="1"/>
  <c r="D611" i="1" s="1"/>
  <c r="E611" i="1" s="1"/>
  <c r="C612" i="1"/>
  <c r="D612" i="1" s="1"/>
  <c r="E612" i="1" s="1"/>
  <c r="C613" i="1"/>
  <c r="D613" i="1" s="1"/>
  <c r="E613" i="1" s="1"/>
  <c r="C614" i="1"/>
  <c r="D614" i="1" s="1"/>
  <c r="E614" i="1" s="1"/>
  <c r="C615" i="1"/>
  <c r="D615" i="1" s="1"/>
  <c r="E615" i="1" s="1"/>
  <c r="C616" i="1"/>
  <c r="D616" i="1" s="1"/>
  <c r="E616" i="1" s="1"/>
  <c r="C617" i="1"/>
  <c r="D617" i="1" s="1"/>
  <c r="E617" i="1" s="1"/>
  <c r="C618" i="1"/>
  <c r="D618" i="1" s="1"/>
  <c r="E618" i="1" s="1"/>
  <c r="C619" i="1"/>
  <c r="D619" i="1" s="1"/>
  <c r="E619" i="1" s="1"/>
  <c r="C620" i="1"/>
  <c r="D620" i="1" s="1"/>
  <c r="E620" i="1" s="1"/>
  <c r="C621" i="1"/>
  <c r="D621" i="1" s="1"/>
  <c r="E621" i="1" s="1"/>
  <c r="C622" i="1"/>
  <c r="D622" i="1" s="1"/>
  <c r="E622" i="1" s="1"/>
  <c r="C623" i="1"/>
  <c r="D623" i="1" s="1"/>
  <c r="E623" i="1" s="1"/>
  <c r="C624" i="1"/>
  <c r="D624" i="1" s="1"/>
  <c r="E624" i="1" s="1"/>
  <c r="C625" i="1"/>
  <c r="D625" i="1" s="1"/>
  <c r="E625" i="1" s="1"/>
  <c r="C626" i="1"/>
  <c r="D626" i="1" s="1"/>
  <c r="E626" i="1" s="1"/>
  <c r="C627" i="1"/>
  <c r="D627" i="1" s="1"/>
  <c r="E627" i="1" s="1"/>
  <c r="C628" i="1"/>
  <c r="D628" i="1" s="1"/>
  <c r="E628" i="1" s="1"/>
  <c r="C629" i="1"/>
  <c r="D629" i="1" s="1"/>
  <c r="E629" i="1" s="1"/>
  <c r="C630" i="1"/>
  <c r="D630" i="1" s="1"/>
  <c r="E630" i="1" s="1"/>
  <c r="C631" i="1"/>
  <c r="D631" i="1" s="1"/>
  <c r="E631" i="1" s="1"/>
  <c r="C632" i="1"/>
  <c r="D632" i="1" s="1"/>
  <c r="E632" i="1" s="1"/>
  <c r="C633" i="1"/>
  <c r="D633" i="1" s="1"/>
  <c r="E633" i="1" s="1"/>
  <c r="C634" i="1"/>
  <c r="D634" i="1" s="1"/>
  <c r="E634" i="1" s="1"/>
  <c r="C635" i="1"/>
  <c r="D635" i="1" s="1"/>
  <c r="E635" i="1" s="1"/>
  <c r="C636" i="1"/>
  <c r="D636" i="1" s="1"/>
  <c r="E636" i="1" s="1"/>
  <c r="C637" i="1"/>
  <c r="D637" i="1" s="1"/>
  <c r="E637" i="1" s="1"/>
  <c r="C638" i="1"/>
  <c r="D638" i="1" s="1"/>
  <c r="E638" i="1" s="1"/>
  <c r="C639" i="1"/>
  <c r="D639" i="1" s="1"/>
  <c r="E639" i="1" s="1"/>
  <c r="C640" i="1"/>
  <c r="D640" i="1" s="1"/>
  <c r="E640" i="1" s="1"/>
  <c r="C641" i="1"/>
  <c r="D641" i="1" s="1"/>
  <c r="E641" i="1" s="1"/>
  <c r="C642" i="1"/>
  <c r="D642" i="1" s="1"/>
  <c r="E642" i="1" s="1"/>
  <c r="C643" i="1"/>
  <c r="D643" i="1" s="1"/>
  <c r="E643" i="1" s="1"/>
  <c r="C644" i="1"/>
  <c r="D644" i="1" s="1"/>
  <c r="E644" i="1" s="1"/>
  <c r="C645" i="1"/>
  <c r="D645" i="1" s="1"/>
  <c r="E645" i="1" s="1"/>
  <c r="C646" i="1"/>
  <c r="D646" i="1" s="1"/>
  <c r="E646" i="1" s="1"/>
  <c r="C647" i="1"/>
  <c r="D647" i="1" s="1"/>
  <c r="E647" i="1" s="1"/>
  <c r="C648" i="1"/>
  <c r="D648" i="1" s="1"/>
  <c r="E648" i="1" s="1"/>
  <c r="C649" i="1"/>
  <c r="D649" i="1" s="1"/>
  <c r="E649" i="1" s="1"/>
  <c r="C650" i="1"/>
  <c r="D650" i="1" s="1"/>
  <c r="E650" i="1" s="1"/>
  <c r="C651" i="1"/>
  <c r="D651" i="1" s="1"/>
  <c r="E651" i="1" s="1"/>
  <c r="C652" i="1"/>
  <c r="D652" i="1" s="1"/>
  <c r="E652" i="1" s="1"/>
  <c r="C653" i="1"/>
  <c r="D653" i="1" s="1"/>
  <c r="E653" i="1" s="1"/>
  <c r="C654" i="1"/>
  <c r="D654" i="1" s="1"/>
  <c r="E654" i="1" s="1"/>
  <c r="C655" i="1"/>
  <c r="D655" i="1" s="1"/>
  <c r="E655" i="1" s="1"/>
  <c r="C656" i="1"/>
  <c r="D656" i="1" s="1"/>
  <c r="E656" i="1" s="1"/>
  <c r="C657" i="1"/>
  <c r="D657" i="1" s="1"/>
  <c r="E657" i="1" s="1"/>
  <c r="C658" i="1"/>
  <c r="D658" i="1" s="1"/>
  <c r="E658" i="1" s="1"/>
  <c r="C659" i="1"/>
  <c r="D659" i="1" s="1"/>
  <c r="E659" i="1" s="1"/>
  <c r="C660" i="1"/>
  <c r="D660" i="1" s="1"/>
  <c r="E660" i="1" s="1"/>
  <c r="C661" i="1"/>
  <c r="D661" i="1" s="1"/>
  <c r="E661" i="1" s="1"/>
  <c r="C662" i="1"/>
  <c r="D662" i="1" s="1"/>
  <c r="E662" i="1" s="1"/>
  <c r="C663" i="1"/>
  <c r="D663" i="1" s="1"/>
  <c r="E663" i="1" s="1"/>
  <c r="C664" i="1"/>
  <c r="D664" i="1" s="1"/>
  <c r="E664" i="1" s="1"/>
  <c r="C665" i="1"/>
  <c r="D665" i="1" s="1"/>
  <c r="E665" i="1" s="1"/>
  <c r="C666" i="1"/>
  <c r="D666" i="1" s="1"/>
  <c r="E666" i="1" s="1"/>
  <c r="C667" i="1"/>
  <c r="D667" i="1" s="1"/>
  <c r="E667" i="1" s="1"/>
  <c r="C668" i="1"/>
  <c r="D668" i="1" s="1"/>
  <c r="E668" i="1" s="1"/>
  <c r="C669" i="1"/>
  <c r="D669" i="1" s="1"/>
  <c r="E669" i="1" s="1"/>
  <c r="C670" i="1"/>
  <c r="D670" i="1" s="1"/>
  <c r="E670" i="1" s="1"/>
  <c r="C671" i="1"/>
  <c r="D671" i="1" s="1"/>
  <c r="E671" i="1" s="1"/>
  <c r="C672" i="1"/>
  <c r="D672" i="1" s="1"/>
  <c r="E672" i="1" s="1"/>
  <c r="C673" i="1"/>
  <c r="D673" i="1" s="1"/>
  <c r="E673" i="1" s="1"/>
  <c r="C674" i="1"/>
  <c r="D674" i="1" s="1"/>
  <c r="E674" i="1" s="1"/>
  <c r="C675" i="1"/>
  <c r="D675" i="1" s="1"/>
  <c r="E675" i="1" s="1"/>
  <c r="C676" i="1"/>
  <c r="D676" i="1" s="1"/>
  <c r="E676" i="1" s="1"/>
  <c r="C677" i="1"/>
  <c r="D677" i="1" s="1"/>
  <c r="E677" i="1" s="1"/>
  <c r="C678" i="1"/>
  <c r="D678" i="1" s="1"/>
  <c r="E678" i="1" s="1"/>
  <c r="C679" i="1"/>
  <c r="D679" i="1" s="1"/>
  <c r="E679" i="1" s="1"/>
  <c r="C680" i="1"/>
  <c r="D680" i="1" s="1"/>
  <c r="E680" i="1" s="1"/>
  <c r="C681" i="1"/>
  <c r="D681" i="1" s="1"/>
  <c r="E681" i="1" s="1"/>
  <c r="C682" i="1"/>
  <c r="D682" i="1" s="1"/>
  <c r="E682" i="1" s="1"/>
  <c r="C683" i="1"/>
  <c r="D683" i="1" s="1"/>
  <c r="E683" i="1" s="1"/>
  <c r="C684" i="1"/>
  <c r="D684" i="1" s="1"/>
  <c r="E684" i="1" s="1"/>
  <c r="C685" i="1"/>
  <c r="D685" i="1" s="1"/>
  <c r="E685" i="1" s="1"/>
  <c r="C686" i="1"/>
  <c r="D686" i="1" s="1"/>
  <c r="E686" i="1" s="1"/>
  <c r="C687" i="1"/>
  <c r="D687" i="1" s="1"/>
  <c r="E687" i="1" s="1"/>
  <c r="C688" i="1"/>
  <c r="D688" i="1" s="1"/>
  <c r="E688" i="1" s="1"/>
  <c r="C689" i="1"/>
  <c r="D689" i="1" s="1"/>
  <c r="E689" i="1" s="1"/>
  <c r="C690" i="1"/>
  <c r="D690" i="1" s="1"/>
  <c r="E690" i="1" s="1"/>
  <c r="C691" i="1"/>
  <c r="D691" i="1" s="1"/>
  <c r="E691" i="1" s="1"/>
  <c r="C692" i="1"/>
  <c r="D692" i="1" s="1"/>
  <c r="E692" i="1" s="1"/>
  <c r="C693" i="1"/>
  <c r="D693" i="1" s="1"/>
  <c r="E693" i="1" s="1"/>
  <c r="C694" i="1"/>
  <c r="D694" i="1" s="1"/>
  <c r="E694" i="1" s="1"/>
  <c r="C695" i="1"/>
  <c r="D695" i="1" s="1"/>
  <c r="E695" i="1" s="1"/>
  <c r="C696" i="1"/>
  <c r="D696" i="1" s="1"/>
  <c r="E696" i="1" s="1"/>
  <c r="C697" i="1"/>
  <c r="D697" i="1" s="1"/>
  <c r="E697" i="1" s="1"/>
  <c r="C698" i="1"/>
  <c r="D698" i="1" s="1"/>
  <c r="E698" i="1" s="1"/>
  <c r="C699" i="1"/>
  <c r="D699" i="1" s="1"/>
  <c r="E699" i="1" s="1"/>
  <c r="C700" i="1"/>
  <c r="D700" i="1" s="1"/>
  <c r="E700" i="1" s="1"/>
  <c r="C701" i="1"/>
  <c r="D701" i="1" s="1"/>
  <c r="E701" i="1" s="1"/>
  <c r="C702" i="1"/>
  <c r="D702" i="1" s="1"/>
  <c r="E702" i="1" s="1"/>
  <c r="C703" i="1"/>
  <c r="D703" i="1" s="1"/>
  <c r="E703" i="1" s="1"/>
  <c r="C704" i="1"/>
  <c r="D704" i="1" s="1"/>
  <c r="E704" i="1" s="1"/>
  <c r="C705" i="1"/>
  <c r="D705" i="1" s="1"/>
  <c r="E705" i="1" s="1"/>
  <c r="C706" i="1"/>
  <c r="D706" i="1" s="1"/>
  <c r="E706" i="1" s="1"/>
  <c r="C707" i="1"/>
  <c r="D707" i="1" s="1"/>
  <c r="E707" i="1" s="1"/>
  <c r="C708" i="1"/>
  <c r="D708" i="1" s="1"/>
  <c r="E708" i="1" s="1"/>
  <c r="C709" i="1"/>
  <c r="D709" i="1" s="1"/>
  <c r="E709" i="1" s="1"/>
  <c r="C710" i="1"/>
  <c r="D710" i="1" s="1"/>
  <c r="E710" i="1" s="1"/>
  <c r="C711" i="1"/>
  <c r="D711" i="1" s="1"/>
  <c r="E711" i="1" s="1"/>
  <c r="C712" i="1"/>
  <c r="D712" i="1" s="1"/>
  <c r="E712" i="1" s="1"/>
  <c r="C713" i="1"/>
  <c r="D713" i="1" s="1"/>
  <c r="E713" i="1" s="1"/>
  <c r="C714" i="1"/>
  <c r="D714" i="1" s="1"/>
  <c r="E714" i="1" s="1"/>
  <c r="C715" i="1"/>
  <c r="D715" i="1" s="1"/>
  <c r="E715" i="1" s="1"/>
  <c r="C716" i="1"/>
  <c r="D716" i="1" s="1"/>
  <c r="E716" i="1" s="1"/>
  <c r="C717" i="1"/>
  <c r="D717" i="1" s="1"/>
  <c r="E717" i="1" s="1"/>
  <c r="C718" i="1"/>
  <c r="D718" i="1" s="1"/>
  <c r="E718" i="1" s="1"/>
  <c r="C719" i="1"/>
  <c r="D719" i="1" s="1"/>
  <c r="E719" i="1" s="1"/>
  <c r="C720" i="1"/>
  <c r="D720" i="1" s="1"/>
  <c r="E720" i="1" s="1"/>
  <c r="C721" i="1"/>
  <c r="D721" i="1" s="1"/>
  <c r="E721" i="1" s="1"/>
  <c r="C722" i="1"/>
  <c r="D722" i="1" s="1"/>
  <c r="E722" i="1" s="1"/>
  <c r="C723" i="1"/>
  <c r="D723" i="1" s="1"/>
  <c r="E723" i="1" s="1"/>
  <c r="C724" i="1"/>
  <c r="D724" i="1" s="1"/>
  <c r="E724" i="1" s="1"/>
  <c r="C725" i="1"/>
  <c r="D725" i="1" s="1"/>
  <c r="E725" i="1" s="1"/>
  <c r="C726" i="1"/>
  <c r="D726" i="1" s="1"/>
  <c r="E726" i="1" s="1"/>
  <c r="C727" i="1"/>
  <c r="D727" i="1" s="1"/>
  <c r="E727" i="1" s="1"/>
  <c r="C728" i="1"/>
  <c r="D728" i="1" s="1"/>
  <c r="E728" i="1" s="1"/>
  <c r="C729" i="1"/>
  <c r="D729" i="1" s="1"/>
  <c r="E729" i="1" s="1"/>
  <c r="C730" i="1"/>
  <c r="D730" i="1" s="1"/>
  <c r="E730" i="1" s="1"/>
  <c r="C731" i="1"/>
  <c r="D731" i="1" s="1"/>
  <c r="E731" i="1" s="1"/>
  <c r="C732" i="1"/>
  <c r="D732" i="1" s="1"/>
  <c r="E732" i="1" s="1"/>
  <c r="C733" i="1"/>
  <c r="D733" i="1" s="1"/>
  <c r="E733" i="1" s="1"/>
  <c r="C734" i="1"/>
  <c r="D734" i="1" s="1"/>
  <c r="E734" i="1" s="1"/>
  <c r="C735" i="1"/>
  <c r="D735" i="1" s="1"/>
  <c r="E735" i="1" s="1"/>
  <c r="C736" i="1"/>
  <c r="D736" i="1" s="1"/>
  <c r="E736" i="1" s="1"/>
  <c r="C737" i="1"/>
  <c r="D737" i="1" s="1"/>
  <c r="E737" i="1" s="1"/>
  <c r="C738" i="1"/>
  <c r="D738" i="1" s="1"/>
  <c r="E738" i="1" s="1"/>
  <c r="C739" i="1"/>
  <c r="D739" i="1" s="1"/>
  <c r="E739" i="1" s="1"/>
  <c r="C740" i="1"/>
  <c r="D740" i="1" s="1"/>
  <c r="E740" i="1" s="1"/>
  <c r="C741" i="1"/>
  <c r="D741" i="1" s="1"/>
  <c r="E741" i="1" s="1"/>
  <c r="C742" i="1"/>
  <c r="D742" i="1" s="1"/>
  <c r="E742" i="1" s="1"/>
  <c r="C743" i="1"/>
  <c r="D743" i="1" s="1"/>
  <c r="E743" i="1" s="1"/>
  <c r="C744" i="1"/>
  <c r="D744" i="1" s="1"/>
  <c r="E744" i="1" s="1"/>
  <c r="C745" i="1"/>
  <c r="D745" i="1" s="1"/>
  <c r="E745" i="1" s="1"/>
  <c r="C746" i="1"/>
  <c r="D746" i="1" s="1"/>
  <c r="E746" i="1" s="1"/>
  <c r="C747" i="1"/>
  <c r="D747" i="1" s="1"/>
  <c r="E747" i="1" s="1"/>
  <c r="C748" i="1"/>
  <c r="D748" i="1" s="1"/>
  <c r="E748" i="1" s="1"/>
  <c r="C749" i="1"/>
  <c r="D749" i="1" s="1"/>
  <c r="E749" i="1" s="1"/>
  <c r="C750" i="1"/>
  <c r="D750" i="1" s="1"/>
  <c r="E750" i="1" s="1"/>
  <c r="C751" i="1"/>
  <c r="D751" i="1" s="1"/>
  <c r="E751" i="1" s="1"/>
  <c r="C752" i="1"/>
  <c r="D752" i="1" s="1"/>
  <c r="E752" i="1" s="1"/>
  <c r="C753" i="1"/>
  <c r="D753" i="1" s="1"/>
  <c r="E753" i="1" s="1"/>
  <c r="C754" i="1"/>
  <c r="D754" i="1" s="1"/>
  <c r="E754" i="1" s="1"/>
  <c r="C755" i="1"/>
  <c r="D755" i="1" s="1"/>
  <c r="E755" i="1" s="1"/>
  <c r="C756" i="1"/>
  <c r="D756" i="1" s="1"/>
  <c r="E756" i="1" s="1"/>
  <c r="C757" i="1"/>
  <c r="D757" i="1" s="1"/>
  <c r="E757" i="1" s="1"/>
  <c r="C758" i="1"/>
  <c r="D758" i="1" s="1"/>
  <c r="E758" i="1" s="1"/>
  <c r="C759" i="1"/>
  <c r="D759" i="1" s="1"/>
  <c r="E759" i="1" s="1"/>
  <c r="C760" i="1"/>
  <c r="D760" i="1" s="1"/>
  <c r="E760" i="1" s="1"/>
  <c r="C761" i="1"/>
  <c r="D761" i="1" s="1"/>
  <c r="E761" i="1" s="1"/>
  <c r="C762" i="1"/>
  <c r="D762" i="1" s="1"/>
  <c r="E762" i="1" s="1"/>
  <c r="C763" i="1"/>
  <c r="D763" i="1" s="1"/>
  <c r="E763" i="1" s="1"/>
  <c r="C764" i="1"/>
  <c r="D764" i="1" s="1"/>
  <c r="E764" i="1" s="1"/>
  <c r="C765" i="1"/>
  <c r="D765" i="1" s="1"/>
  <c r="E765" i="1" s="1"/>
  <c r="C766" i="1"/>
  <c r="D766" i="1" s="1"/>
  <c r="E766" i="1" s="1"/>
  <c r="C767" i="1"/>
  <c r="D767" i="1" s="1"/>
  <c r="E767" i="1" s="1"/>
  <c r="C768" i="1"/>
  <c r="D768" i="1" s="1"/>
  <c r="E768" i="1" s="1"/>
  <c r="C769" i="1"/>
  <c r="D769" i="1" s="1"/>
  <c r="E769" i="1" s="1"/>
  <c r="C770" i="1"/>
  <c r="D770" i="1" s="1"/>
  <c r="E770" i="1" s="1"/>
  <c r="C771" i="1"/>
  <c r="D771" i="1" s="1"/>
  <c r="E771" i="1" s="1"/>
  <c r="C772" i="1"/>
  <c r="D772" i="1" s="1"/>
  <c r="E772" i="1" s="1"/>
  <c r="C773" i="1"/>
  <c r="D773" i="1" s="1"/>
  <c r="E773" i="1" s="1"/>
  <c r="C774" i="1"/>
  <c r="D774" i="1" s="1"/>
  <c r="E774" i="1" s="1"/>
  <c r="C775" i="1"/>
  <c r="D775" i="1" s="1"/>
  <c r="E775" i="1" s="1"/>
  <c r="C776" i="1"/>
  <c r="D776" i="1" s="1"/>
  <c r="E776" i="1" s="1"/>
  <c r="C777" i="1"/>
  <c r="D777" i="1" s="1"/>
  <c r="E777" i="1" s="1"/>
  <c r="C778" i="1"/>
  <c r="D778" i="1" s="1"/>
  <c r="E778" i="1" s="1"/>
  <c r="C779" i="1"/>
  <c r="D779" i="1" s="1"/>
  <c r="E779" i="1" s="1"/>
  <c r="C780" i="1"/>
  <c r="D780" i="1" s="1"/>
  <c r="E780" i="1" s="1"/>
  <c r="C781" i="1"/>
  <c r="D781" i="1" s="1"/>
  <c r="E781" i="1" s="1"/>
  <c r="C782" i="1"/>
  <c r="D782" i="1" s="1"/>
  <c r="E782" i="1" s="1"/>
  <c r="C783" i="1"/>
  <c r="D783" i="1" s="1"/>
  <c r="E783" i="1" s="1"/>
  <c r="C784" i="1"/>
  <c r="D784" i="1" s="1"/>
  <c r="E784" i="1" s="1"/>
  <c r="C785" i="1"/>
  <c r="D785" i="1" s="1"/>
  <c r="E785" i="1" s="1"/>
  <c r="C786" i="1"/>
  <c r="D786" i="1" s="1"/>
  <c r="E786" i="1" s="1"/>
  <c r="C787" i="1"/>
  <c r="D787" i="1" s="1"/>
  <c r="E787" i="1" s="1"/>
  <c r="C788" i="1"/>
  <c r="D788" i="1" s="1"/>
  <c r="E788" i="1" s="1"/>
  <c r="C789" i="1"/>
  <c r="D789" i="1" s="1"/>
  <c r="E789" i="1" s="1"/>
  <c r="C790" i="1"/>
  <c r="D790" i="1" s="1"/>
  <c r="E790" i="1" s="1"/>
  <c r="C791" i="1"/>
  <c r="D791" i="1" s="1"/>
  <c r="E791" i="1" s="1"/>
  <c r="C792" i="1"/>
  <c r="D792" i="1" s="1"/>
  <c r="E792" i="1" s="1"/>
  <c r="C793" i="1"/>
  <c r="D793" i="1" s="1"/>
  <c r="E793" i="1" s="1"/>
  <c r="C794" i="1"/>
  <c r="D794" i="1" s="1"/>
  <c r="E794" i="1" s="1"/>
  <c r="C795" i="1"/>
  <c r="D795" i="1" s="1"/>
  <c r="E795" i="1" s="1"/>
  <c r="C796" i="1"/>
  <c r="D796" i="1" s="1"/>
  <c r="E796" i="1" s="1"/>
  <c r="C797" i="1"/>
  <c r="D797" i="1" s="1"/>
  <c r="E797" i="1" s="1"/>
  <c r="C798" i="1"/>
  <c r="D798" i="1" s="1"/>
  <c r="E798" i="1" s="1"/>
  <c r="C799" i="1"/>
  <c r="D799" i="1" s="1"/>
  <c r="E799" i="1" s="1"/>
  <c r="C800" i="1"/>
  <c r="D800" i="1" s="1"/>
  <c r="E800" i="1" s="1"/>
  <c r="C801" i="1"/>
  <c r="D801" i="1" s="1"/>
  <c r="E801" i="1" s="1"/>
  <c r="C802" i="1"/>
  <c r="D802" i="1" s="1"/>
  <c r="E802" i="1" s="1"/>
  <c r="C803" i="1"/>
  <c r="D803" i="1" s="1"/>
  <c r="E803" i="1" s="1"/>
  <c r="C804" i="1"/>
  <c r="D804" i="1" s="1"/>
  <c r="E804" i="1" s="1"/>
  <c r="C805" i="1"/>
  <c r="D805" i="1" s="1"/>
  <c r="E805" i="1" s="1"/>
  <c r="C806" i="1"/>
  <c r="D806" i="1" s="1"/>
  <c r="E806" i="1" s="1"/>
  <c r="C807" i="1"/>
  <c r="D807" i="1" s="1"/>
  <c r="E807" i="1" s="1"/>
  <c r="C808" i="1"/>
  <c r="D808" i="1" s="1"/>
  <c r="E808" i="1" s="1"/>
  <c r="C809" i="1"/>
  <c r="D809" i="1" s="1"/>
  <c r="E809" i="1" s="1"/>
  <c r="C810" i="1"/>
  <c r="D810" i="1" s="1"/>
  <c r="E810" i="1" s="1"/>
  <c r="C811" i="1"/>
  <c r="D811" i="1" s="1"/>
  <c r="E811" i="1" s="1"/>
  <c r="C812" i="1"/>
  <c r="D812" i="1" s="1"/>
  <c r="E812" i="1" s="1"/>
  <c r="C813" i="1"/>
  <c r="D813" i="1" s="1"/>
  <c r="E813" i="1" s="1"/>
  <c r="C814" i="1"/>
  <c r="D814" i="1" s="1"/>
  <c r="E814" i="1" s="1"/>
  <c r="C815" i="1"/>
  <c r="D815" i="1" s="1"/>
  <c r="E815" i="1" s="1"/>
  <c r="C816" i="1"/>
  <c r="D816" i="1" s="1"/>
  <c r="E816" i="1" s="1"/>
  <c r="C817" i="1"/>
  <c r="D817" i="1" s="1"/>
  <c r="E817" i="1" s="1"/>
  <c r="C818" i="1"/>
  <c r="D818" i="1" s="1"/>
  <c r="E818" i="1" s="1"/>
  <c r="C819" i="1"/>
  <c r="D819" i="1" s="1"/>
  <c r="E819" i="1" s="1"/>
  <c r="C820" i="1"/>
  <c r="D820" i="1" s="1"/>
  <c r="E820" i="1" s="1"/>
  <c r="C821" i="1"/>
  <c r="D821" i="1" s="1"/>
  <c r="E821" i="1" s="1"/>
  <c r="C822" i="1"/>
  <c r="D822" i="1" s="1"/>
  <c r="E822" i="1" s="1"/>
  <c r="C823" i="1"/>
  <c r="D823" i="1" s="1"/>
  <c r="E823" i="1" s="1"/>
  <c r="C824" i="1"/>
  <c r="D824" i="1" s="1"/>
  <c r="E824" i="1" s="1"/>
  <c r="C825" i="1"/>
  <c r="D825" i="1" s="1"/>
  <c r="E825" i="1" s="1"/>
  <c r="C826" i="1"/>
  <c r="D826" i="1" s="1"/>
  <c r="E826" i="1" s="1"/>
  <c r="C827" i="1"/>
  <c r="D827" i="1" s="1"/>
  <c r="E827" i="1" s="1"/>
  <c r="C828" i="1"/>
  <c r="D828" i="1" s="1"/>
  <c r="E828" i="1" s="1"/>
  <c r="C829" i="1"/>
  <c r="D829" i="1" s="1"/>
  <c r="E829" i="1" s="1"/>
  <c r="C830" i="1"/>
  <c r="D830" i="1" s="1"/>
  <c r="E830" i="1" s="1"/>
  <c r="C831" i="1"/>
  <c r="D831" i="1" s="1"/>
  <c r="E831" i="1" s="1"/>
  <c r="C832" i="1"/>
  <c r="D832" i="1" s="1"/>
  <c r="E832" i="1" s="1"/>
  <c r="C833" i="1"/>
  <c r="D833" i="1" s="1"/>
  <c r="E833" i="1" s="1"/>
  <c r="C834" i="1"/>
  <c r="D834" i="1" s="1"/>
  <c r="E834" i="1" s="1"/>
  <c r="C835" i="1"/>
  <c r="D835" i="1" s="1"/>
  <c r="E835" i="1" s="1"/>
  <c r="C836" i="1"/>
  <c r="D836" i="1" s="1"/>
  <c r="E836" i="1" s="1"/>
  <c r="C837" i="1"/>
  <c r="D837" i="1" s="1"/>
  <c r="E837" i="1" s="1"/>
  <c r="C838" i="1"/>
  <c r="D838" i="1" s="1"/>
  <c r="E838" i="1" s="1"/>
  <c r="C839" i="1"/>
  <c r="D839" i="1" s="1"/>
  <c r="E839" i="1" s="1"/>
  <c r="C840" i="1"/>
  <c r="D840" i="1" s="1"/>
  <c r="E840" i="1" s="1"/>
  <c r="C841" i="1"/>
  <c r="D841" i="1" s="1"/>
  <c r="E841" i="1" s="1"/>
  <c r="C842" i="1"/>
  <c r="D842" i="1" s="1"/>
  <c r="E842" i="1" s="1"/>
  <c r="C843" i="1"/>
  <c r="D843" i="1" s="1"/>
  <c r="E843" i="1" s="1"/>
  <c r="C844" i="1"/>
  <c r="D844" i="1" s="1"/>
  <c r="E844" i="1" s="1"/>
  <c r="C845" i="1"/>
  <c r="D845" i="1" s="1"/>
  <c r="E845" i="1" s="1"/>
  <c r="C846" i="1"/>
  <c r="D846" i="1" s="1"/>
  <c r="E846" i="1" s="1"/>
  <c r="C847" i="1"/>
  <c r="D847" i="1" s="1"/>
  <c r="E847" i="1" s="1"/>
  <c r="C848" i="1"/>
  <c r="D848" i="1" s="1"/>
  <c r="E848" i="1" s="1"/>
  <c r="C849" i="1"/>
  <c r="D849" i="1" s="1"/>
  <c r="E849" i="1" s="1"/>
  <c r="C850" i="1"/>
  <c r="D850" i="1" s="1"/>
  <c r="E850" i="1" s="1"/>
  <c r="C851" i="1"/>
  <c r="D851" i="1" s="1"/>
  <c r="E851" i="1" s="1"/>
  <c r="C852" i="1"/>
  <c r="D852" i="1" s="1"/>
  <c r="E852" i="1" s="1"/>
  <c r="C853" i="1"/>
  <c r="D853" i="1" s="1"/>
  <c r="E853" i="1" s="1"/>
  <c r="C854" i="1"/>
  <c r="D854" i="1" s="1"/>
  <c r="E854" i="1" s="1"/>
  <c r="C855" i="1"/>
  <c r="D855" i="1" s="1"/>
  <c r="E855" i="1" s="1"/>
  <c r="C856" i="1"/>
  <c r="D856" i="1" s="1"/>
  <c r="E856" i="1" s="1"/>
  <c r="C857" i="1"/>
  <c r="D857" i="1" s="1"/>
  <c r="E857" i="1" s="1"/>
  <c r="C858" i="1"/>
  <c r="D858" i="1" s="1"/>
  <c r="E858" i="1" s="1"/>
  <c r="C859" i="1"/>
  <c r="D859" i="1" s="1"/>
  <c r="E859" i="1" s="1"/>
  <c r="C860" i="1"/>
  <c r="D860" i="1" s="1"/>
  <c r="E860" i="1" s="1"/>
  <c r="C861" i="1"/>
  <c r="D861" i="1" s="1"/>
  <c r="E861" i="1" s="1"/>
  <c r="C862" i="1"/>
  <c r="D862" i="1" s="1"/>
  <c r="E862" i="1" s="1"/>
  <c r="C863" i="1"/>
  <c r="D863" i="1" s="1"/>
  <c r="E863" i="1" s="1"/>
  <c r="C864" i="1"/>
  <c r="D864" i="1" s="1"/>
  <c r="E864" i="1" s="1"/>
  <c r="C865" i="1"/>
  <c r="D865" i="1" s="1"/>
  <c r="E865" i="1" s="1"/>
  <c r="C866" i="1"/>
  <c r="D866" i="1" s="1"/>
  <c r="E866" i="1" s="1"/>
  <c r="C867" i="1"/>
  <c r="D867" i="1" s="1"/>
  <c r="E867" i="1" s="1"/>
  <c r="C868" i="1"/>
  <c r="D868" i="1" s="1"/>
  <c r="E868" i="1" s="1"/>
  <c r="C869" i="1"/>
  <c r="D869" i="1" s="1"/>
  <c r="E869" i="1" s="1"/>
  <c r="C870" i="1"/>
  <c r="D870" i="1" s="1"/>
  <c r="E870" i="1" s="1"/>
  <c r="C871" i="1"/>
  <c r="D871" i="1" s="1"/>
  <c r="E871" i="1" s="1"/>
  <c r="C872" i="1"/>
  <c r="D872" i="1" s="1"/>
  <c r="E872" i="1" s="1"/>
  <c r="C873" i="1"/>
  <c r="D873" i="1" s="1"/>
  <c r="E873" i="1" s="1"/>
  <c r="C874" i="1"/>
  <c r="D874" i="1" s="1"/>
  <c r="E874" i="1" s="1"/>
  <c r="C875" i="1"/>
  <c r="D875" i="1" s="1"/>
  <c r="E875" i="1" s="1"/>
  <c r="C876" i="1"/>
  <c r="D876" i="1" s="1"/>
  <c r="E876" i="1" s="1"/>
  <c r="C877" i="1"/>
  <c r="D877" i="1" s="1"/>
  <c r="E877" i="1" s="1"/>
  <c r="C878" i="1"/>
  <c r="D878" i="1" s="1"/>
  <c r="E878" i="1" s="1"/>
  <c r="C879" i="1"/>
  <c r="D879" i="1" s="1"/>
  <c r="E879" i="1" s="1"/>
  <c r="C880" i="1"/>
  <c r="D880" i="1" s="1"/>
  <c r="E880" i="1" s="1"/>
  <c r="C881" i="1"/>
  <c r="D881" i="1" s="1"/>
  <c r="E881" i="1" s="1"/>
  <c r="C882" i="1"/>
  <c r="D882" i="1" s="1"/>
  <c r="E882" i="1" s="1"/>
  <c r="C883" i="1"/>
  <c r="D883" i="1" s="1"/>
  <c r="E883" i="1" s="1"/>
  <c r="C884" i="1"/>
  <c r="D884" i="1" s="1"/>
  <c r="E884" i="1" s="1"/>
  <c r="C885" i="1"/>
  <c r="D885" i="1" s="1"/>
  <c r="E885" i="1" s="1"/>
  <c r="C886" i="1"/>
  <c r="D886" i="1" s="1"/>
  <c r="E886" i="1" s="1"/>
  <c r="C887" i="1"/>
  <c r="D887" i="1" s="1"/>
  <c r="E887" i="1" s="1"/>
  <c r="C888" i="1"/>
  <c r="D888" i="1" s="1"/>
  <c r="E888" i="1" s="1"/>
  <c r="C889" i="1"/>
  <c r="D889" i="1" s="1"/>
  <c r="E889" i="1" s="1"/>
  <c r="C890" i="1"/>
  <c r="D890" i="1" s="1"/>
  <c r="E890" i="1" s="1"/>
  <c r="C891" i="1"/>
  <c r="D891" i="1" s="1"/>
  <c r="E891" i="1" s="1"/>
  <c r="C892" i="1"/>
  <c r="D892" i="1" s="1"/>
  <c r="E892" i="1" s="1"/>
  <c r="C893" i="1"/>
  <c r="D893" i="1" s="1"/>
  <c r="E893" i="1" s="1"/>
  <c r="C894" i="1"/>
  <c r="D894" i="1" s="1"/>
  <c r="E894" i="1" s="1"/>
  <c r="C895" i="1"/>
  <c r="D895" i="1" s="1"/>
  <c r="E895" i="1" s="1"/>
  <c r="C896" i="1"/>
  <c r="D896" i="1" s="1"/>
  <c r="E896" i="1" s="1"/>
  <c r="C897" i="1"/>
  <c r="D897" i="1" s="1"/>
  <c r="E897" i="1" s="1"/>
  <c r="C898" i="1"/>
  <c r="D898" i="1" s="1"/>
  <c r="E898" i="1" s="1"/>
  <c r="C899" i="1"/>
  <c r="D899" i="1" s="1"/>
  <c r="E899" i="1" s="1"/>
  <c r="C900" i="1"/>
  <c r="D900" i="1" s="1"/>
  <c r="E900" i="1" s="1"/>
  <c r="C901" i="1"/>
  <c r="D901" i="1" s="1"/>
  <c r="E901" i="1" s="1"/>
  <c r="C902" i="1"/>
  <c r="D902" i="1" s="1"/>
  <c r="E902" i="1" s="1"/>
  <c r="C903" i="1"/>
  <c r="D903" i="1" s="1"/>
  <c r="E903" i="1" s="1"/>
  <c r="C904" i="1"/>
  <c r="D904" i="1" s="1"/>
  <c r="E904" i="1" s="1"/>
  <c r="C905" i="1"/>
  <c r="D905" i="1" s="1"/>
  <c r="E905" i="1" s="1"/>
  <c r="C906" i="1"/>
  <c r="D906" i="1" s="1"/>
  <c r="E906" i="1" s="1"/>
  <c r="C907" i="1"/>
  <c r="D907" i="1" s="1"/>
  <c r="E907" i="1" s="1"/>
  <c r="C908" i="1"/>
  <c r="D908" i="1" s="1"/>
  <c r="E908" i="1" s="1"/>
  <c r="C909" i="1"/>
  <c r="D909" i="1" s="1"/>
  <c r="E909" i="1" s="1"/>
  <c r="C910" i="1"/>
  <c r="D910" i="1" s="1"/>
  <c r="E910" i="1" s="1"/>
  <c r="C911" i="1"/>
  <c r="D911" i="1" s="1"/>
  <c r="E911" i="1" s="1"/>
  <c r="C912" i="1"/>
  <c r="D912" i="1" s="1"/>
  <c r="E912" i="1" s="1"/>
  <c r="C913" i="1"/>
  <c r="D913" i="1" s="1"/>
  <c r="E913" i="1" s="1"/>
  <c r="C914" i="1"/>
  <c r="D914" i="1" s="1"/>
  <c r="E914" i="1" s="1"/>
  <c r="C915" i="1"/>
  <c r="D915" i="1" s="1"/>
  <c r="E915" i="1" s="1"/>
  <c r="C916" i="1"/>
  <c r="D916" i="1" s="1"/>
  <c r="E916" i="1" s="1"/>
  <c r="C917" i="1"/>
  <c r="D917" i="1" s="1"/>
  <c r="E917" i="1" s="1"/>
  <c r="C918" i="1"/>
  <c r="D918" i="1" s="1"/>
  <c r="E918" i="1" s="1"/>
  <c r="C919" i="1"/>
  <c r="D919" i="1" s="1"/>
  <c r="E919" i="1" s="1"/>
  <c r="C920" i="1"/>
  <c r="D920" i="1" s="1"/>
  <c r="E920" i="1" s="1"/>
  <c r="C921" i="1"/>
  <c r="D921" i="1" s="1"/>
  <c r="E921" i="1" s="1"/>
  <c r="C922" i="1"/>
  <c r="D922" i="1" s="1"/>
  <c r="E922" i="1" s="1"/>
  <c r="C923" i="1"/>
  <c r="D923" i="1" s="1"/>
  <c r="E923" i="1" s="1"/>
  <c r="C924" i="1"/>
  <c r="D924" i="1" s="1"/>
  <c r="E924" i="1" s="1"/>
  <c r="C925" i="1"/>
  <c r="D925" i="1" s="1"/>
  <c r="E925" i="1" s="1"/>
  <c r="C926" i="1"/>
  <c r="D926" i="1" s="1"/>
  <c r="E926" i="1" s="1"/>
  <c r="C927" i="1"/>
  <c r="D927" i="1" s="1"/>
  <c r="E927" i="1" s="1"/>
  <c r="C928" i="1"/>
  <c r="D928" i="1" s="1"/>
  <c r="E928" i="1" s="1"/>
  <c r="C929" i="1"/>
  <c r="D929" i="1" s="1"/>
  <c r="E929" i="1" s="1"/>
  <c r="C930" i="1"/>
  <c r="D930" i="1" s="1"/>
  <c r="E930" i="1" s="1"/>
  <c r="C931" i="1"/>
  <c r="D931" i="1" s="1"/>
  <c r="E931" i="1" s="1"/>
  <c r="C932" i="1"/>
  <c r="D932" i="1" s="1"/>
  <c r="E932" i="1" s="1"/>
  <c r="C933" i="1"/>
  <c r="D933" i="1" s="1"/>
  <c r="E933" i="1" s="1"/>
  <c r="C934" i="1"/>
  <c r="D934" i="1" s="1"/>
  <c r="E934" i="1" s="1"/>
  <c r="C935" i="1"/>
  <c r="D935" i="1" s="1"/>
  <c r="E935" i="1" s="1"/>
  <c r="C936" i="1"/>
  <c r="D936" i="1" s="1"/>
  <c r="E936" i="1" s="1"/>
  <c r="C937" i="1"/>
  <c r="D937" i="1" s="1"/>
  <c r="E937" i="1" s="1"/>
  <c r="C938" i="1"/>
  <c r="D938" i="1" s="1"/>
  <c r="E938" i="1" s="1"/>
  <c r="C939" i="1"/>
  <c r="D939" i="1" s="1"/>
  <c r="E939" i="1" s="1"/>
  <c r="C940" i="1"/>
  <c r="D940" i="1" s="1"/>
  <c r="E940" i="1" s="1"/>
  <c r="C941" i="1"/>
  <c r="D941" i="1" s="1"/>
  <c r="E941" i="1" s="1"/>
  <c r="C942" i="1"/>
  <c r="D942" i="1" s="1"/>
  <c r="E942" i="1" s="1"/>
  <c r="C943" i="1"/>
  <c r="D943" i="1" s="1"/>
  <c r="E943" i="1" s="1"/>
  <c r="C944" i="1"/>
  <c r="D944" i="1" s="1"/>
  <c r="E944" i="1" s="1"/>
  <c r="C945" i="1"/>
  <c r="D945" i="1" s="1"/>
  <c r="E945" i="1" s="1"/>
  <c r="C946" i="1"/>
  <c r="D946" i="1" s="1"/>
  <c r="E946" i="1" s="1"/>
  <c r="C947" i="1"/>
  <c r="D947" i="1" s="1"/>
  <c r="E947" i="1" s="1"/>
  <c r="C948" i="1"/>
  <c r="D948" i="1" s="1"/>
  <c r="E948" i="1" s="1"/>
  <c r="C949" i="1"/>
  <c r="D949" i="1" s="1"/>
  <c r="E949" i="1" s="1"/>
  <c r="C950" i="1"/>
  <c r="D950" i="1" s="1"/>
  <c r="E950" i="1" s="1"/>
  <c r="C951" i="1"/>
  <c r="D951" i="1" s="1"/>
  <c r="E951" i="1" s="1"/>
  <c r="C952" i="1"/>
  <c r="D952" i="1" s="1"/>
  <c r="E952" i="1" s="1"/>
  <c r="C953" i="1"/>
  <c r="D953" i="1" s="1"/>
  <c r="E953" i="1" s="1"/>
  <c r="C954" i="1"/>
  <c r="D954" i="1" s="1"/>
  <c r="E954" i="1" s="1"/>
  <c r="C955" i="1"/>
  <c r="D955" i="1" s="1"/>
  <c r="E955" i="1" s="1"/>
  <c r="C956" i="1"/>
  <c r="D956" i="1" s="1"/>
  <c r="E956" i="1" s="1"/>
  <c r="C957" i="1"/>
  <c r="D957" i="1" s="1"/>
  <c r="E957" i="1" s="1"/>
  <c r="C958" i="1"/>
  <c r="D958" i="1" s="1"/>
  <c r="E958" i="1" s="1"/>
  <c r="C959" i="1"/>
  <c r="D959" i="1" s="1"/>
  <c r="E959" i="1" s="1"/>
  <c r="C960" i="1"/>
  <c r="D960" i="1" s="1"/>
  <c r="E960" i="1" s="1"/>
  <c r="C961" i="1"/>
  <c r="D961" i="1" s="1"/>
  <c r="E961" i="1" s="1"/>
  <c r="C962" i="1"/>
  <c r="D962" i="1" s="1"/>
  <c r="E962" i="1" s="1"/>
  <c r="C963" i="1"/>
  <c r="D963" i="1" s="1"/>
  <c r="E963" i="1" s="1"/>
  <c r="C964" i="1"/>
  <c r="D964" i="1" s="1"/>
  <c r="E964" i="1" s="1"/>
  <c r="C965" i="1"/>
  <c r="D965" i="1" s="1"/>
  <c r="E965" i="1" s="1"/>
  <c r="C966" i="1"/>
  <c r="D966" i="1" s="1"/>
  <c r="E966" i="1" s="1"/>
  <c r="C967" i="1"/>
  <c r="D967" i="1" s="1"/>
  <c r="E967" i="1" s="1"/>
  <c r="C968" i="1"/>
  <c r="D968" i="1" s="1"/>
  <c r="E968" i="1" s="1"/>
  <c r="C969" i="1"/>
  <c r="D969" i="1" s="1"/>
  <c r="E969" i="1" s="1"/>
  <c r="C970" i="1"/>
  <c r="D970" i="1" s="1"/>
  <c r="E970" i="1" s="1"/>
  <c r="C971" i="1"/>
  <c r="D971" i="1" s="1"/>
  <c r="E971" i="1" s="1"/>
  <c r="C972" i="1"/>
  <c r="D972" i="1" s="1"/>
  <c r="E972" i="1" s="1"/>
  <c r="C973" i="1"/>
  <c r="D973" i="1" s="1"/>
  <c r="E973" i="1" s="1"/>
  <c r="C974" i="1"/>
  <c r="D974" i="1" s="1"/>
  <c r="E974" i="1" s="1"/>
  <c r="C975" i="1"/>
  <c r="D975" i="1" s="1"/>
  <c r="E975" i="1" s="1"/>
  <c r="C976" i="1"/>
  <c r="D976" i="1" s="1"/>
  <c r="E976" i="1" s="1"/>
  <c r="C977" i="1"/>
  <c r="D977" i="1" s="1"/>
  <c r="E977" i="1" s="1"/>
  <c r="C978" i="1"/>
  <c r="D978" i="1" s="1"/>
  <c r="E978" i="1" s="1"/>
  <c r="C979" i="1"/>
  <c r="D979" i="1" s="1"/>
  <c r="E979" i="1" s="1"/>
  <c r="C980" i="1"/>
  <c r="D980" i="1" s="1"/>
  <c r="E980" i="1" s="1"/>
  <c r="C981" i="1"/>
  <c r="D981" i="1" s="1"/>
  <c r="E981" i="1" s="1"/>
  <c r="C982" i="1"/>
  <c r="D982" i="1" s="1"/>
  <c r="E982" i="1" s="1"/>
  <c r="C983" i="1"/>
  <c r="D983" i="1" s="1"/>
  <c r="E983" i="1" s="1"/>
  <c r="C984" i="1"/>
  <c r="D984" i="1" s="1"/>
  <c r="E984" i="1" s="1"/>
  <c r="C985" i="1"/>
  <c r="D985" i="1" s="1"/>
  <c r="E985" i="1" s="1"/>
  <c r="C986" i="1"/>
  <c r="D986" i="1" s="1"/>
  <c r="E986" i="1" s="1"/>
  <c r="C987" i="1"/>
  <c r="D987" i="1" s="1"/>
  <c r="E987" i="1" s="1"/>
  <c r="C988" i="1"/>
  <c r="D988" i="1" s="1"/>
  <c r="E988" i="1" s="1"/>
  <c r="C989" i="1"/>
  <c r="D989" i="1" s="1"/>
  <c r="E989" i="1" s="1"/>
  <c r="C990" i="1"/>
  <c r="D990" i="1" s="1"/>
  <c r="E990" i="1" s="1"/>
  <c r="C991" i="1"/>
  <c r="D991" i="1" s="1"/>
  <c r="E991" i="1" s="1"/>
  <c r="C992" i="1"/>
  <c r="D992" i="1" s="1"/>
  <c r="E992" i="1" s="1"/>
  <c r="C993" i="1"/>
  <c r="D993" i="1" s="1"/>
  <c r="E993" i="1" s="1"/>
  <c r="C994" i="1"/>
  <c r="D994" i="1" s="1"/>
  <c r="E994" i="1" s="1"/>
  <c r="C995" i="1"/>
  <c r="D995" i="1" s="1"/>
  <c r="E995" i="1" s="1"/>
  <c r="C996" i="1"/>
  <c r="D996" i="1" s="1"/>
  <c r="E996" i="1" s="1"/>
  <c r="C997" i="1"/>
  <c r="D997" i="1" s="1"/>
  <c r="E997" i="1" s="1"/>
  <c r="C998" i="1"/>
  <c r="D998" i="1" s="1"/>
  <c r="E998" i="1" s="1"/>
  <c r="C999" i="1"/>
  <c r="D999" i="1" s="1"/>
  <c r="E999" i="1" s="1"/>
  <c r="C1000" i="1"/>
  <c r="D1000" i="1" s="1"/>
  <c r="E1000" i="1" s="1"/>
  <c r="C1001" i="1"/>
  <c r="D1001" i="1" s="1"/>
  <c r="E1001" i="1" s="1"/>
  <c r="C1002" i="1"/>
  <c r="D1002" i="1" s="1"/>
  <c r="E1002" i="1" s="1"/>
  <c r="C1003" i="1"/>
  <c r="D1003" i="1" s="1"/>
  <c r="E1003" i="1" s="1"/>
  <c r="C1004" i="1"/>
  <c r="D1004" i="1" s="1"/>
  <c r="E1004" i="1" s="1"/>
  <c r="C1005" i="1"/>
  <c r="D1005" i="1" s="1"/>
  <c r="E1005" i="1" s="1"/>
  <c r="C1006" i="1"/>
  <c r="D1006" i="1" s="1"/>
  <c r="E1006" i="1" s="1"/>
  <c r="C1007" i="1"/>
  <c r="D1007" i="1" s="1"/>
  <c r="E1007" i="1" s="1"/>
  <c r="C1008" i="1"/>
  <c r="D1008" i="1" s="1"/>
  <c r="E1008" i="1" s="1"/>
  <c r="C1009" i="1"/>
  <c r="D1009" i="1" s="1"/>
  <c r="E1009" i="1" s="1"/>
  <c r="C1010" i="1"/>
  <c r="D1010" i="1" s="1"/>
  <c r="E1010" i="1" s="1"/>
  <c r="C1011" i="1"/>
  <c r="D1011" i="1" s="1"/>
  <c r="E1011" i="1" s="1"/>
  <c r="C1012" i="1"/>
  <c r="D1012" i="1" s="1"/>
  <c r="E1012" i="1" s="1"/>
  <c r="C1013" i="1"/>
  <c r="D1013" i="1" s="1"/>
  <c r="E1013" i="1" s="1"/>
  <c r="C1014" i="1"/>
  <c r="D1014" i="1" s="1"/>
  <c r="E1014" i="1" s="1"/>
  <c r="C1015" i="1"/>
  <c r="D1015" i="1" s="1"/>
  <c r="E1015" i="1" s="1"/>
  <c r="C1016" i="1"/>
  <c r="D1016" i="1" s="1"/>
  <c r="E1016" i="1" s="1"/>
  <c r="C1017" i="1"/>
  <c r="D1017" i="1" s="1"/>
  <c r="E1017" i="1" s="1"/>
  <c r="C1018" i="1"/>
  <c r="D1018" i="1" s="1"/>
  <c r="E1018" i="1" s="1"/>
  <c r="C1019" i="1"/>
  <c r="D1019" i="1" s="1"/>
  <c r="E1019" i="1" s="1"/>
  <c r="C1020" i="1"/>
  <c r="D1020" i="1" s="1"/>
  <c r="E1020" i="1" s="1"/>
  <c r="C1021" i="1"/>
  <c r="D1021" i="1" s="1"/>
  <c r="E1021" i="1" s="1"/>
  <c r="C1022" i="1"/>
  <c r="D1022" i="1" s="1"/>
  <c r="E1022" i="1" s="1"/>
  <c r="C1023" i="1"/>
  <c r="D1023" i="1" s="1"/>
  <c r="E1023" i="1" s="1"/>
  <c r="C1024" i="1"/>
  <c r="D1024" i="1" s="1"/>
  <c r="E1024" i="1" s="1"/>
  <c r="C1025" i="1"/>
  <c r="D1025" i="1" s="1"/>
  <c r="E1025" i="1" s="1"/>
  <c r="C1026" i="1"/>
  <c r="D1026" i="1" s="1"/>
  <c r="E1026" i="1" s="1"/>
  <c r="C1027" i="1"/>
  <c r="D1027" i="1" s="1"/>
  <c r="E1027" i="1" s="1"/>
  <c r="C1028" i="1"/>
  <c r="D1028" i="1" s="1"/>
  <c r="E1028" i="1" s="1"/>
  <c r="C1029" i="1"/>
  <c r="D1029" i="1" s="1"/>
  <c r="E1029" i="1" s="1"/>
  <c r="C1030" i="1"/>
  <c r="D1030" i="1" s="1"/>
  <c r="E1030" i="1" s="1"/>
  <c r="C1031" i="1"/>
  <c r="D1031" i="1" s="1"/>
  <c r="E1031" i="1" s="1"/>
  <c r="C1032" i="1"/>
  <c r="D1032" i="1" s="1"/>
  <c r="E1032" i="1" s="1"/>
  <c r="C1033" i="1"/>
  <c r="D1033" i="1" s="1"/>
  <c r="E1033" i="1" s="1"/>
  <c r="C1034" i="1"/>
  <c r="D1034" i="1" s="1"/>
  <c r="E1034" i="1" s="1"/>
  <c r="C1035" i="1"/>
  <c r="D1035" i="1" s="1"/>
  <c r="E1035" i="1" s="1"/>
  <c r="C1036" i="1"/>
  <c r="D1036" i="1" s="1"/>
  <c r="E1036" i="1" s="1"/>
  <c r="C1037" i="1"/>
  <c r="D1037" i="1" s="1"/>
  <c r="E1037" i="1" s="1"/>
  <c r="C1038" i="1"/>
  <c r="D1038" i="1" s="1"/>
  <c r="E1038" i="1" s="1"/>
  <c r="C1039" i="1"/>
  <c r="D1039" i="1" s="1"/>
  <c r="E1039" i="1" s="1"/>
  <c r="C1040" i="1"/>
  <c r="D1040" i="1" s="1"/>
  <c r="E1040" i="1" s="1"/>
  <c r="C1041" i="1"/>
  <c r="D1041" i="1" s="1"/>
  <c r="E1041" i="1" s="1"/>
  <c r="C1042" i="1"/>
  <c r="D1042" i="1" s="1"/>
  <c r="E1042" i="1" s="1"/>
  <c r="C1043" i="1"/>
  <c r="D1043" i="1" s="1"/>
  <c r="E1043" i="1" s="1"/>
  <c r="C1044" i="1"/>
  <c r="D1044" i="1" s="1"/>
  <c r="E1044" i="1" s="1"/>
  <c r="C1045" i="1"/>
  <c r="D1045" i="1" s="1"/>
  <c r="E1045" i="1" s="1"/>
  <c r="C1046" i="1"/>
  <c r="D1046" i="1" s="1"/>
  <c r="E1046" i="1" s="1"/>
  <c r="C1047" i="1"/>
  <c r="D1047" i="1" s="1"/>
  <c r="E1047" i="1" s="1"/>
  <c r="C1048" i="1"/>
  <c r="D1048" i="1" s="1"/>
  <c r="E1048" i="1" s="1"/>
  <c r="C1049" i="1"/>
  <c r="D1049" i="1" s="1"/>
  <c r="E1049" i="1" s="1"/>
  <c r="C1050" i="1"/>
  <c r="D1050" i="1" s="1"/>
  <c r="E1050" i="1" s="1"/>
  <c r="C1051" i="1"/>
  <c r="D1051" i="1" s="1"/>
  <c r="E1051" i="1" s="1"/>
  <c r="C1052" i="1"/>
  <c r="D1052" i="1" s="1"/>
  <c r="E1052" i="1" s="1"/>
  <c r="C1053" i="1"/>
  <c r="D1053" i="1" s="1"/>
  <c r="E1053" i="1" s="1"/>
  <c r="C1054" i="1"/>
  <c r="D1054" i="1" s="1"/>
  <c r="E1054" i="1" s="1"/>
  <c r="C1055" i="1"/>
  <c r="D1055" i="1" s="1"/>
  <c r="E1055" i="1" s="1"/>
  <c r="C1056" i="1"/>
  <c r="D1056" i="1" s="1"/>
  <c r="E1056" i="1" s="1"/>
  <c r="C1057" i="1"/>
  <c r="D1057" i="1" s="1"/>
  <c r="E1057" i="1" s="1"/>
  <c r="C1058" i="1"/>
  <c r="D1058" i="1" s="1"/>
  <c r="E1058" i="1" s="1"/>
  <c r="C1059" i="1"/>
  <c r="D1059" i="1" s="1"/>
  <c r="E1059" i="1" s="1"/>
  <c r="C1060" i="1"/>
  <c r="D1060" i="1" s="1"/>
  <c r="E1060" i="1" s="1"/>
  <c r="C1061" i="1"/>
  <c r="D1061" i="1" s="1"/>
  <c r="E1061" i="1" s="1"/>
  <c r="C1062" i="1"/>
  <c r="D1062" i="1" s="1"/>
  <c r="E1062" i="1" s="1"/>
  <c r="C1063" i="1"/>
  <c r="D1063" i="1" s="1"/>
  <c r="E1063" i="1" s="1"/>
  <c r="C1064" i="1"/>
  <c r="D1064" i="1" s="1"/>
  <c r="E1064" i="1" s="1"/>
  <c r="C1065" i="1"/>
  <c r="D1065" i="1" s="1"/>
  <c r="E1065" i="1" s="1"/>
  <c r="C1066" i="1"/>
  <c r="D1066" i="1" s="1"/>
  <c r="E1066" i="1" s="1"/>
  <c r="C1067" i="1"/>
  <c r="D1067" i="1" s="1"/>
  <c r="E1067" i="1" s="1"/>
  <c r="C1068" i="1"/>
  <c r="D1068" i="1" s="1"/>
  <c r="E1068" i="1" s="1"/>
  <c r="C1069" i="1"/>
  <c r="D1069" i="1" s="1"/>
  <c r="E1069" i="1" s="1"/>
  <c r="C1070" i="1"/>
  <c r="D1070" i="1" s="1"/>
  <c r="E1070" i="1" s="1"/>
  <c r="C1071" i="1"/>
  <c r="D1071" i="1" s="1"/>
  <c r="E1071" i="1" s="1"/>
  <c r="C1072" i="1"/>
  <c r="D1072" i="1" s="1"/>
  <c r="E1072" i="1" s="1"/>
  <c r="C1073" i="1"/>
  <c r="D1073" i="1" s="1"/>
  <c r="E1073" i="1" s="1"/>
  <c r="C1074" i="1"/>
  <c r="D1074" i="1" s="1"/>
  <c r="E1074" i="1" s="1"/>
  <c r="C1075" i="1"/>
  <c r="D1075" i="1" s="1"/>
  <c r="E1075" i="1" s="1"/>
  <c r="C1076" i="1"/>
  <c r="D1076" i="1" s="1"/>
  <c r="E1076" i="1" s="1"/>
  <c r="C1077" i="1"/>
  <c r="D1077" i="1" s="1"/>
  <c r="E1077" i="1" s="1"/>
  <c r="C1078" i="1"/>
  <c r="D1078" i="1" s="1"/>
  <c r="E1078" i="1" s="1"/>
  <c r="C1079" i="1"/>
  <c r="D1079" i="1" s="1"/>
  <c r="E1079" i="1" s="1"/>
  <c r="C1080" i="1"/>
  <c r="D1080" i="1" s="1"/>
  <c r="E1080" i="1" s="1"/>
  <c r="C1081" i="1"/>
  <c r="D1081" i="1" s="1"/>
  <c r="E1081" i="1" s="1"/>
  <c r="C1082" i="1"/>
  <c r="D1082" i="1" s="1"/>
  <c r="E1082" i="1" s="1"/>
  <c r="C1083" i="1"/>
  <c r="D1083" i="1" s="1"/>
  <c r="E1083" i="1" s="1"/>
  <c r="C1084" i="1"/>
  <c r="D1084" i="1" s="1"/>
  <c r="E1084" i="1" s="1"/>
  <c r="C1085" i="1"/>
  <c r="D1085" i="1" s="1"/>
  <c r="E1085" i="1" s="1"/>
  <c r="C1086" i="1"/>
  <c r="D1086" i="1" s="1"/>
  <c r="E1086" i="1" s="1"/>
  <c r="C1087" i="1"/>
  <c r="D1087" i="1" s="1"/>
  <c r="E1087" i="1" s="1"/>
  <c r="C1088" i="1"/>
  <c r="D1088" i="1" s="1"/>
  <c r="E1088" i="1" s="1"/>
  <c r="C1089" i="1"/>
  <c r="D1089" i="1" s="1"/>
  <c r="E1089" i="1" s="1"/>
  <c r="C1090" i="1"/>
  <c r="D1090" i="1" s="1"/>
  <c r="E1090" i="1" s="1"/>
  <c r="C1091" i="1"/>
  <c r="D1091" i="1" s="1"/>
  <c r="E1091" i="1" s="1"/>
  <c r="C1092" i="1"/>
  <c r="D1092" i="1" s="1"/>
  <c r="E1092" i="1" s="1"/>
  <c r="C1093" i="1"/>
  <c r="D1093" i="1" s="1"/>
  <c r="E1093" i="1" s="1"/>
  <c r="C1094" i="1"/>
  <c r="D1094" i="1" s="1"/>
  <c r="E1094" i="1" s="1"/>
  <c r="C1095" i="1"/>
  <c r="D1095" i="1" s="1"/>
  <c r="E1095" i="1" s="1"/>
  <c r="C1096" i="1"/>
  <c r="D1096" i="1" s="1"/>
  <c r="E1096" i="1" s="1"/>
  <c r="C1097" i="1"/>
  <c r="D1097" i="1" s="1"/>
  <c r="E1097" i="1" s="1"/>
  <c r="C1098" i="1"/>
  <c r="D1098" i="1" s="1"/>
  <c r="E1098" i="1" s="1"/>
  <c r="C1099" i="1"/>
  <c r="D1099" i="1" s="1"/>
  <c r="E1099" i="1" s="1"/>
  <c r="C1100" i="1"/>
  <c r="D1100" i="1" s="1"/>
  <c r="E1100" i="1" s="1"/>
  <c r="C1101" i="1"/>
  <c r="D1101" i="1" s="1"/>
  <c r="E1101" i="1" s="1"/>
  <c r="C1102" i="1"/>
  <c r="D1102" i="1" s="1"/>
  <c r="E1102" i="1" s="1"/>
  <c r="C1103" i="1"/>
  <c r="D1103" i="1" s="1"/>
  <c r="E1103" i="1" s="1"/>
  <c r="C1104" i="1"/>
  <c r="D1104" i="1" s="1"/>
  <c r="E1104" i="1" s="1"/>
  <c r="C1105" i="1"/>
  <c r="D1105" i="1" s="1"/>
  <c r="E1105" i="1" s="1"/>
  <c r="C1106" i="1"/>
  <c r="D1106" i="1" s="1"/>
  <c r="E1106" i="1" s="1"/>
  <c r="C1107" i="1"/>
  <c r="D1107" i="1" s="1"/>
  <c r="E1107" i="1" s="1"/>
  <c r="C1108" i="1"/>
  <c r="D1108" i="1" s="1"/>
  <c r="E1108" i="1" s="1"/>
  <c r="C1109" i="1"/>
  <c r="D1109" i="1" s="1"/>
  <c r="E1109" i="1" s="1"/>
  <c r="C1110" i="1"/>
  <c r="D1110" i="1" s="1"/>
  <c r="E1110" i="1" s="1"/>
  <c r="C1111" i="1"/>
  <c r="D1111" i="1" s="1"/>
  <c r="E1111" i="1" s="1"/>
  <c r="C1112" i="1"/>
  <c r="D1112" i="1" s="1"/>
  <c r="E1112" i="1" s="1"/>
  <c r="C1113" i="1"/>
  <c r="D1113" i="1" s="1"/>
  <c r="E1113" i="1" s="1"/>
  <c r="C1114" i="1"/>
  <c r="D1114" i="1" s="1"/>
  <c r="E1114" i="1" s="1"/>
  <c r="C1115" i="1"/>
  <c r="D1115" i="1" s="1"/>
  <c r="E1115" i="1" s="1"/>
  <c r="C1116" i="1"/>
  <c r="D1116" i="1" s="1"/>
  <c r="E1116" i="1" s="1"/>
  <c r="C1117" i="1"/>
  <c r="D1117" i="1" s="1"/>
  <c r="E1117" i="1" s="1"/>
  <c r="C1118" i="1"/>
  <c r="D1118" i="1" s="1"/>
  <c r="E1118" i="1" s="1"/>
  <c r="C1119" i="1"/>
  <c r="D1119" i="1" s="1"/>
  <c r="E1119" i="1" s="1"/>
  <c r="C1120" i="1"/>
  <c r="D1120" i="1" s="1"/>
  <c r="E1120" i="1" s="1"/>
  <c r="C1121" i="1"/>
  <c r="D1121" i="1" s="1"/>
  <c r="E1121" i="1" s="1"/>
  <c r="C1122" i="1"/>
  <c r="D1122" i="1" s="1"/>
  <c r="E1122" i="1" s="1"/>
  <c r="C1123" i="1"/>
  <c r="D1123" i="1" s="1"/>
  <c r="E1123" i="1" s="1"/>
  <c r="C1124" i="1"/>
  <c r="D1124" i="1" s="1"/>
  <c r="E1124" i="1" s="1"/>
  <c r="C1125" i="1"/>
  <c r="D1125" i="1" s="1"/>
  <c r="E1125" i="1" s="1"/>
  <c r="C1126" i="1"/>
  <c r="D1126" i="1" s="1"/>
  <c r="E1126" i="1" s="1"/>
  <c r="C1127" i="1"/>
  <c r="D1127" i="1" s="1"/>
  <c r="E1127" i="1" s="1"/>
  <c r="C1128" i="1"/>
  <c r="D1128" i="1" s="1"/>
  <c r="E1128" i="1" s="1"/>
  <c r="C1129" i="1"/>
  <c r="D1129" i="1" s="1"/>
  <c r="E1129" i="1" s="1"/>
  <c r="C1130" i="1"/>
  <c r="D1130" i="1" s="1"/>
  <c r="E1130" i="1" s="1"/>
  <c r="C1131" i="1"/>
  <c r="D1131" i="1" s="1"/>
  <c r="E1131" i="1" s="1"/>
  <c r="C1132" i="1"/>
  <c r="D1132" i="1" s="1"/>
  <c r="E1132" i="1" s="1"/>
  <c r="C1133" i="1"/>
  <c r="D1133" i="1" s="1"/>
  <c r="E1133" i="1" s="1"/>
  <c r="C1134" i="1"/>
  <c r="D1134" i="1" s="1"/>
  <c r="E1134" i="1" s="1"/>
  <c r="C1135" i="1"/>
  <c r="D1135" i="1" s="1"/>
  <c r="E1135" i="1" s="1"/>
  <c r="C1136" i="1"/>
  <c r="D1136" i="1" s="1"/>
  <c r="E1136" i="1" s="1"/>
  <c r="C1137" i="1"/>
  <c r="D1137" i="1" s="1"/>
  <c r="E1137" i="1" s="1"/>
  <c r="C1138" i="1"/>
  <c r="D1138" i="1" s="1"/>
  <c r="E1138" i="1" s="1"/>
  <c r="C1139" i="1"/>
  <c r="D1139" i="1" s="1"/>
  <c r="E1139" i="1" s="1"/>
  <c r="C1140" i="1"/>
  <c r="D1140" i="1" s="1"/>
  <c r="E1140" i="1" s="1"/>
  <c r="C1141" i="1"/>
  <c r="D1141" i="1" s="1"/>
  <c r="E1141" i="1" s="1"/>
  <c r="C1142" i="1"/>
  <c r="D1142" i="1" s="1"/>
  <c r="E1142" i="1" s="1"/>
  <c r="C1143" i="1"/>
  <c r="D1143" i="1" s="1"/>
  <c r="E1143" i="1" s="1"/>
  <c r="C1144" i="1"/>
  <c r="D1144" i="1" s="1"/>
  <c r="E1144" i="1" s="1"/>
  <c r="C1145" i="1"/>
  <c r="D1145" i="1" s="1"/>
  <c r="E1145" i="1" s="1"/>
  <c r="C1146" i="1"/>
  <c r="D1146" i="1" s="1"/>
  <c r="E1146" i="1" s="1"/>
  <c r="C1147" i="1"/>
  <c r="D1147" i="1" s="1"/>
  <c r="E1147" i="1" s="1"/>
  <c r="C1148" i="1"/>
  <c r="D1148" i="1" s="1"/>
  <c r="E1148" i="1" s="1"/>
  <c r="C1149" i="1"/>
  <c r="D1149" i="1" s="1"/>
  <c r="E1149" i="1" s="1"/>
  <c r="C1150" i="1"/>
  <c r="D1150" i="1" s="1"/>
  <c r="E1150" i="1" s="1"/>
  <c r="C1151" i="1"/>
  <c r="D1151" i="1" s="1"/>
  <c r="E1151" i="1" s="1"/>
  <c r="C1152" i="1"/>
  <c r="D1152" i="1" s="1"/>
  <c r="E1152" i="1" s="1"/>
  <c r="C1153" i="1"/>
  <c r="D1153" i="1" s="1"/>
  <c r="E1153" i="1" s="1"/>
  <c r="C1154" i="1"/>
  <c r="D1154" i="1" s="1"/>
  <c r="E1154" i="1" s="1"/>
  <c r="C1155" i="1"/>
  <c r="D1155" i="1" s="1"/>
  <c r="E1155" i="1" s="1"/>
  <c r="C1156" i="1"/>
  <c r="D1156" i="1" s="1"/>
  <c r="E1156" i="1" s="1"/>
  <c r="C1157" i="1"/>
  <c r="D1157" i="1" s="1"/>
  <c r="E1157" i="1" s="1"/>
  <c r="C1158" i="1"/>
  <c r="D1158" i="1" s="1"/>
  <c r="E1158" i="1" s="1"/>
  <c r="C1159" i="1"/>
  <c r="D1159" i="1" s="1"/>
  <c r="E1159" i="1" s="1"/>
  <c r="C1160" i="1"/>
  <c r="D1160" i="1" s="1"/>
  <c r="E1160" i="1" s="1"/>
  <c r="C1161" i="1"/>
  <c r="D1161" i="1" s="1"/>
  <c r="E1161" i="1" s="1"/>
  <c r="C1162" i="1"/>
  <c r="D1162" i="1" s="1"/>
  <c r="E1162" i="1" s="1"/>
  <c r="C1163" i="1"/>
  <c r="D1163" i="1" s="1"/>
  <c r="E1163" i="1" s="1"/>
  <c r="C1164" i="1"/>
  <c r="D1164" i="1" s="1"/>
  <c r="E1164" i="1" s="1"/>
  <c r="C1165" i="1"/>
  <c r="D1165" i="1" s="1"/>
  <c r="E1165" i="1" s="1"/>
  <c r="C1166" i="1"/>
  <c r="D1166" i="1" s="1"/>
  <c r="E1166" i="1" s="1"/>
  <c r="C1167" i="1"/>
  <c r="D1167" i="1" s="1"/>
  <c r="E1167" i="1" s="1"/>
  <c r="C1168" i="1"/>
  <c r="D1168" i="1" s="1"/>
  <c r="E1168" i="1" s="1"/>
  <c r="C1169" i="1"/>
  <c r="D1169" i="1" s="1"/>
  <c r="E1169" i="1" s="1"/>
  <c r="C1170" i="1"/>
  <c r="D1170" i="1" s="1"/>
  <c r="E1170" i="1" s="1"/>
  <c r="C1171" i="1"/>
  <c r="D1171" i="1" s="1"/>
  <c r="E1171" i="1" s="1"/>
  <c r="C1172" i="1"/>
  <c r="D1172" i="1" s="1"/>
  <c r="E1172" i="1" s="1"/>
  <c r="C1173" i="1"/>
  <c r="D1173" i="1" s="1"/>
  <c r="E1173" i="1" s="1"/>
  <c r="C1174" i="1"/>
  <c r="D1174" i="1" s="1"/>
  <c r="E1174" i="1" s="1"/>
  <c r="C1175" i="1"/>
  <c r="D1175" i="1" s="1"/>
  <c r="E1175" i="1" s="1"/>
  <c r="C1176" i="1"/>
  <c r="D1176" i="1" s="1"/>
  <c r="E1176" i="1" s="1"/>
  <c r="C1177" i="1"/>
  <c r="D1177" i="1" s="1"/>
  <c r="E1177" i="1" s="1"/>
  <c r="C1178" i="1"/>
  <c r="D1178" i="1" s="1"/>
  <c r="E1178" i="1" s="1"/>
  <c r="C1179" i="1"/>
  <c r="D1179" i="1" s="1"/>
  <c r="E1179" i="1" s="1"/>
  <c r="C1180" i="1"/>
  <c r="D1180" i="1" s="1"/>
  <c r="E1180" i="1" s="1"/>
  <c r="C1181" i="1"/>
  <c r="D1181" i="1" s="1"/>
  <c r="E1181" i="1" s="1"/>
  <c r="C1182" i="1"/>
  <c r="D1182" i="1" s="1"/>
  <c r="E1182" i="1" s="1"/>
  <c r="C1183" i="1"/>
  <c r="D1183" i="1" s="1"/>
  <c r="E1183" i="1" s="1"/>
  <c r="C1184" i="1"/>
  <c r="D1184" i="1" s="1"/>
  <c r="E1184" i="1" s="1"/>
  <c r="C1185" i="1"/>
  <c r="D1185" i="1" s="1"/>
  <c r="E1185" i="1" s="1"/>
  <c r="C1186" i="1"/>
  <c r="D1186" i="1" s="1"/>
  <c r="E1186" i="1" s="1"/>
  <c r="C1187" i="1"/>
  <c r="D1187" i="1" s="1"/>
  <c r="E1187" i="1" s="1"/>
  <c r="C1188" i="1"/>
  <c r="D1188" i="1" s="1"/>
  <c r="E1188" i="1" s="1"/>
  <c r="C1189" i="1"/>
  <c r="D1189" i="1" s="1"/>
  <c r="E1189" i="1" s="1"/>
  <c r="C1190" i="1"/>
  <c r="D1190" i="1" s="1"/>
  <c r="E1190" i="1" s="1"/>
  <c r="C1191" i="1"/>
  <c r="D1191" i="1" s="1"/>
  <c r="E1191" i="1" s="1"/>
  <c r="C1192" i="1"/>
  <c r="D1192" i="1" s="1"/>
  <c r="E1192" i="1" s="1"/>
  <c r="C1193" i="1"/>
  <c r="D1193" i="1" s="1"/>
  <c r="E1193" i="1" s="1"/>
  <c r="C1194" i="1"/>
  <c r="D1194" i="1" s="1"/>
  <c r="E1194" i="1" s="1"/>
  <c r="C1195" i="1"/>
  <c r="D1195" i="1" s="1"/>
  <c r="E1195" i="1" s="1"/>
  <c r="C1196" i="1"/>
  <c r="D1196" i="1" s="1"/>
  <c r="E1196" i="1" s="1"/>
  <c r="C1197" i="1"/>
  <c r="D1197" i="1" s="1"/>
  <c r="E1197" i="1" s="1"/>
  <c r="C1198" i="1"/>
  <c r="D1198" i="1" s="1"/>
  <c r="E1198" i="1" s="1"/>
  <c r="C1199" i="1"/>
  <c r="D1199" i="1" s="1"/>
  <c r="E1199" i="1" s="1"/>
  <c r="C1200" i="1"/>
  <c r="D1200" i="1" s="1"/>
  <c r="E1200" i="1" s="1"/>
  <c r="C1201" i="1"/>
  <c r="D1201" i="1" s="1"/>
  <c r="E1201" i="1" s="1"/>
  <c r="C1202" i="1"/>
  <c r="D1202" i="1" s="1"/>
  <c r="E1202" i="1" s="1"/>
  <c r="C1203" i="1"/>
  <c r="D1203" i="1" s="1"/>
  <c r="E1203" i="1" s="1"/>
  <c r="C1204" i="1"/>
  <c r="D1204" i="1" s="1"/>
  <c r="E1204" i="1" s="1"/>
  <c r="C1205" i="1"/>
  <c r="D1205" i="1" s="1"/>
  <c r="E1205" i="1" s="1"/>
  <c r="C1206" i="1"/>
  <c r="D1206" i="1" s="1"/>
  <c r="E1206" i="1" s="1"/>
  <c r="C1207" i="1"/>
  <c r="D1207" i="1" s="1"/>
  <c r="E1207" i="1" s="1"/>
  <c r="C1208" i="1"/>
  <c r="D1208" i="1" s="1"/>
  <c r="E1208" i="1" s="1"/>
  <c r="C1209" i="1"/>
  <c r="D1209" i="1" s="1"/>
  <c r="E1209" i="1" s="1"/>
  <c r="C1210" i="1"/>
  <c r="D1210" i="1" s="1"/>
  <c r="E1210" i="1" s="1"/>
  <c r="C1211" i="1"/>
  <c r="D1211" i="1" s="1"/>
  <c r="E1211" i="1" s="1"/>
  <c r="C1212" i="1"/>
  <c r="D1212" i="1" s="1"/>
  <c r="E1212" i="1" s="1"/>
  <c r="C1213" i="1"/>
  <c r="D1213" i="1" s="1"/>
  <c r="E1213" i="1" s="1"/>
  <c r="C1214" i="1"/>
  <c r="D1214" i="1" s="1"/>
  <c r="E1214" i="1" s="1"/>
  <c r="C1215" i="1"/>
  <c r="D1215" i="1" s="1"/>
  <c r="E1215" i="1" s="1"/>
  <c r="C1216" i="1"/>
  <c r="D1216" i="1" s="1"/>
  <c r="E1216" i="1" s="1"/>
  <c r="C1217" i="1"/>
  <c r="D1217" i="1" s="1"/>
  <c r="E1217" i="1" s="1"/>
  <c r="C1218" i="1"/>
  <c r="D1218" i="1" s="1"/>
  <c r="E1218" i="1" s="1"/>
  <c r="C1219" i="1"/>
  <c r="D1219" i="1" s="1"/>
  <c r="E1219" i="1" s="1"/>
  <c r="C1220" i="1"/>
  <c r="D1220" i="1" s="1"/>
  <c r="E1220" i="1" s="1"/>
  <c r="C1221" i="1"/>
  <c r="D1221" i="1" s="1"/>
  <c r="E1221" i="1" s="1"/>
  <c r="C1222" i="1"/>
  <c r="D1222" i="1" s="1"/>
  <c r="E1222" i="1" s="1"/>
  <c r="C1223" i="1"/>
  <c r="D1223" i="1" s="1"/>
  <c r="E1223" i="1" s="1"/>
  <c r="C1224" i="1"/>
  <c r="D1224" i="1" s="1"/>
  <c r="E1224" i="1" s="1"/>
  <c r="C1225" i="1"/>
  <c r="D1225" i="1" s="1"/>
  <c r="E1225" i="1" s="1"/>
  <c r="C1226" i="1"/>
  <c r="D1226" i="1" s="1"/>
  <c r="E1226" i="1" s="1"/>
  <c r="C1227" i="1"/>
  <c r="D1227" i="1" s="1"/>
  <c r="E1227" i="1" s="1"/>
  <c r="C1228" i="1"/>
  <c r="D1228" i="1" s="1"/>
  <c r="E1228" i="1" s="1"/>
  <c r="C1229" i="1"/>
  <c r="D1229" i="1" s="1"/>
  <c r="E1229" i="1" s="1"/>
  <c r="C1230" i="1"/>
  <c r="D1230" i="1" s="1"/>
  <c r="E1230" i="1" s="1"/>
  <c r="C1231" i="1"/>
  <c r="D1231" i="1" s="1"/>
  <c r="E1231" i="1" s="1"/>
  <c r="C1232" i="1"/>
  <c r="D1232" i="1" s="1"/>
  <c r="E1232" i="1" s="1"/>
  <c r="C1233" i="1"/>
  <c r="D1233" i="1" s="1"/>
  <c r="E1233" i="1" s="1"/>
  <c r="C1234" i="1"/>
  <c r="D1234" i="1" s="1"/>
  <c r="E1234" i="1" s="1"/>
  <c r="C1235" i="1"/>
  <c r="D1235" i="1" s="1"/>
  <c r="E1235" i="1" s="1"/>
  <c r="C1236" i="1"/>
  <c r="D1236" i="1" s="1"/>
  <c r="E1236" i="1" s="1"/>
  <c r="C1237" i="1"/>
  <c r="D1237" i="1" s="1"/>
  <c r="E1237" i="1" s="1"/>
  <c r="C1238" i="1"/>
  <c r="D1238" i="1" s="1"/>
  <c r="E1238" i="1" s="1"/>
  <c r="C1239" i="1"/>
  <c r="D1239" i="1" s="1"/>
  <c r="E1239" i="1" s="1"/>
  <c r="C1240" i="1"/>
  <c r="D1240" i="1" s="1"/>
  <c r="E1240" i="1" s="1"/>
  <c r="C1241" i="1"/>
  <c r="D1241" i="1" s="1"/>
  <c r="E1241" i="1" s="1"/>
  <c r="C1242" i="1"/>
  <c r="D1242" i="1" s="1"/>
  <c r="E1242" i="1" s="1"/>
  <c r="C1243" i="1"/>
  <c r="D1243" i="1" s="1"/>
  <c r="E1243" i="1" s="1"/>
  <c r="C1244" i="1"/>
  <c r="D1244" i="1" s="1"/>
  <c r="E1244" i="1" s="1"/>
  <c r="C1245" i="1"/>
  <c r="D1245" i="1" s="1"/>
  <c r="E1245" i="1" s="1"/>
  <c r="C1246" i="1"/>
  <c r="D1246" i="1" s="1"/>
  <c r="E1246" i="1" s="1"/>
  <c r="C1247" i="1"/>
  <c r="D1247" i="1" s="1"/>
  <c r="E1247" i="1" s="1"/>
  <c r="C1248" i="1"/>
  <c r="D1248" i="1" s="1"/>
  <c r="E1248" i="1" s="1"/>
  <c r="C1249" i="1"/>
  <c r="D1249" i="1" s="1"/>
  <c r="E1249" i="1" s="1"/>
  <c r="C1250" i="1"/>
  <c r="D1250" i="1" s="1"/>
  <c r="E1250" i="1" s="1"/>
  <c r="C1251" i="1"/>
  <c r="D1251" i="1" s="1"/>
  <c r="E1251" i="1" s="1"/>
  <c r="C1252" i="1"/>
  <c r="D1252" i="1" s="1"/>
  <c r="E1252" i="1" s="1"/>
  <c r="C1253" i="1"/>
  <c r="D1253" i="1" s="1"/>
  <c r="E1253" i="1" s="1"/>
  <c r="C1254" i="1"/>
  <c r="D1254" i="1" s="1"/>
  <c r="E1254" i="1" s="1"/>
  <c r="C1255" i="1"/>
  <c r="D1255" i="1" s="1"/>
  <c r="E1255" i="1" s="1"/>
  <c r="C1256" i="1"/>
  <c r="D1256" i="1" s="1"/>
  <c r="E1256" i="1" s="1"/>
  <c r="C1257" i="1"/>
  <c r="D1257" i="1" s="1"/>
  <c r="E1257" i="1" s="1"/>
  <c r="C1258" i="1"/>
  <c r="D1258" i="1" s="1"/>
  <c r="E1258" i="1" s="1"/>
  <c r="C1259" i="1"/>
  <c r="D1259" i="1" s="1"/>
  <c r="E1259" i="1" s="1"/>
  <c r="C1260" i="1"/>
  <c r="D1260" i="1" s="1"/>
  <c r="E1260" i="1" s="1"/>
  <c r="C1261" i="1"/>
  <c r="D1261" i="1" s="1"/>
  <c r="E1261" i="1" s="1"/>
  <c r="C1262" i="1"/>
  <c r="D1262" i="1" s="1"/>
  <c r="E1262" i="1" s="1"/>
  <c r="C1263" i="1"/>
  <c r="D1263" i="1" s="1"/>
  <c r="E1263" i="1" s="1"/>
  <c r="C1264" i="1"/>
  <c r="D1264" i="1" s="1"/>
  <c r="E1264" i="1" s="1"/>
  <c r="C1265" i="1"/>
  <c r="D1265" i="1" s="1"/>
  <c r="E1265" i="1" s="1"/>
  <c r="C1266" i="1"/>
  <c r="D1266" i="1" s="1"/>
  <c r="E1266" i="1" s="1"/>
  <c r="C1267" i="1"/>
  <c r="D1267" i="1" s="1"/>
  <c r="E1267" i="1" s="1"/>
  <c r="C1268" i="1"/>
  <c r="D1268" i="1" s="1"/>
  <c r="E1268" i="1" s="1"/>
  <c r="C1269" i="1"/>
  <c r="D1269" i="1" s="1"/>
  <c r="E1269" i="1" s="1"/>
  <c r="C1270" i="1"/>
  <c r="D1270" i="1" s="1"/>
  <c r="E1270" i="1" s="1"/>
  <c r="C1271" i="1"/>
  <c r="D1271" i="1" s="1"/>
  <c r="E1271" i="1" s="1"/>
  <c r="C1272" i="1"/>
  <c r="D1272" i="1" s="1"/>
  <c r="E1272" i="1" s="1"/>
  <c r="C1273" i="1"/>
  <c r="D1273" i="1" s="1"/>
  <c r="E1273" i="1" s="1"/>
  <c r="C1274" i="1"/>
  <c r="D1274" i="1" s="1"/>
  <c r="E1274" i="1" s="1"/>
  <c r="C1275" i="1"/>
  <c r="D1275" i="1" s="1"/>
  <c r="E1275" i="1" s="1"/>
  <c r="C1276" i="1"/>
  <c r="D1276" i="1" s="1"/>
  <c r="E1276" i="1" s="1"/>
  <c r="C1277" i="1"/>
  <c r="D1277" i="1" s="1"/>
  <c r="E1277" i="1" s="1"/>
  <c r="C1278" i="1"/>
  <c r="D1278" i="1" s="1"/>
  <c r="E1278" i="1" s="1"/>
  <c r="C1279" i="1"/>
  <c r="D1279" i="1" s="1"/>
  <c r="E1279" i="1" s="1"/>
  <c r="C1280" i="1"/>
  <c r="D1280" i="1" s="1"/>
  <c r="E1280" i="1" s="1"/>
  <c r="C1281" i="1"/>
  <c r="D1281" i="1" s="1"/>
  <c r="E1281" i="1" s="1"/>
  <c r="C1282" i="1"/>
  <c r="D1282" i="1" s="1"/>
  <c r="E1282" i="1" s="1"/>
  <c r="C1283" i="1"/>
  <c r="D1283" i="1" s="1"/>
  <c r="E1283" i="1" s="1"/>
  <c r="C1284" i="1"/>
  <c r="D1284" i="1" s="1"/>
  <c r="E1284" i="1" s="1"/>
  <c r="C1285" i="1"/>
  <c r="D1285" i="1" s="1"/>
  <c r="E1285" i="1" s="1"/>
  <c r="C1286" i="1"/>
  <c r="D1286" i="1" s="1"/>
  <c r="E1286" i="1" s="1"/>
  <c r="C1287" i="1"/>
  <c r="D1287" i="1" s="1"/>
  <c r="E1287" i="1" s="1"/>
  <c r="C1288" i="1"/>
  <c r="D1288" i="1" s="1"/>
  <c r="E1288" i="1" s="1"/>
  <c r="C1289" i="1"/>
  <c r="D1289" i="1" s="1"/>
  <c r="E1289" i="1" s="1"/>
  <c r="C1290" i="1"/>
  <c r="D1290" i="1" s="1"/>
  <c r="E1290" i="1" s="1"/>
  <c r="C1291" i="1"/>
  <c r="D1291" i="1" s="1"/>
  <c r="E1291" i="1" s="1"/>
  <c r="C1292" i="1"/>
  <c r="D1292" i="1" s="1"/>
  <c r="E1292" i="1" s="1"/>
  <c r="C1293" i="1"/>
  <c r="D1293" i="1" s="1"/>
  <c r="E1293" i="1" s="1"/>
  <c r="C1294" i="1"/>
  <c r="D1294" i="1" s="1"/>
  <c r="E1294" i="1" s="1"/>
  <c r="C1295" i="1"/>
  <c r="D1295" i="1" s="1"/>
  <c r="E1295" i="1" s="1"/>
  <c r="C1296" i="1"/>
  <c r="D1296" i="1" s="1"/>
  <c r="E1296" i="1" s="1"/>
  <c r="C1297" i="1"/>
  <c r="D1297" i="1" s="1"/>
  <c r="E1297" i="1" s="1"/>
  <c r="C1298" i="1"/>
  <c r="D1298" i="1" s="1"/>
  <c r="E1298" i="1" s="1"/>
  <c r="C1299" i="1"/>
  <c r="D1299" i="1" s="1"/>
  <c r="E1299" i="1" s="1"/>
  <c r="C1300" i="1"/>
  <c r="D1300" i="1" s="1"/>
  <c r="E1300" i="1" s="1"/>
  <c r="C1301" i="1"/>
  <c r="D1301" i="1" s="1"/>
  <c r="E1301" i="1" s="1"/>
  <c r="C1302" i="1"/>
  <c r="D1302" i="1" s="1"/>
  <c r="E1302" i="1" s="1"/>
  <c r="C1303" i="1"/>
  <c r="D1303" i="1" s="1"/>
  <c r="E1303" i="1" s="1"/>
  <c r="C1304" i="1"/>
  <c r="D1304" i="1" s="1"/>
  <c r="E1304" i="1" s="1"/>
  <c r="C1305" i="1"/>
  <c r="D1305" i="1" s="1"/>
  <c r="E1305" i="1" s="1"/>
  <c r="C1306" i="1"/>
  <c r="D1306" i="1" s="1"/>
  <c r="E1306" i="1" s="1"/>
  <c r="C1307" i="1"/>
  <c r="D1307" i="1" s="1"/>
  <c r="E1307" i="1" s="1"/>
  <c r="C1308" i="1"/>
  <c r="D1308" i="1" s="1"/>
  <c r="E1308" i="1" s="1"/>
  <c r="C1309" i="1"/>
  <c r="D1309" i="1" s="1"/>
  <c r="E1309" i="1" s="1"/>
  <c r="C1310" i="1"/>
  <c r="D1310" i="1" s="1"/>
  <c r="E1310" i="1" s="1"/>
  <c r="C1311" i="1"/>
  <c r="D1311" i="1" s="1"/>
  <c r="E1311" i="1" s="1"/>
  <c r="C1312" i="1"/>
  <c r="D1312" i="1" s="1"/>
  <c r="E1312" i="1" s="1"/>
  <c r="C1313" i="1"/>
  <c r="D1313" i="1" s="1"/>
  <c r="E1313" i="1" s="1"/>
  <c r="C1314" i="1"/>
  <c r="D1314" i="1" s="1"/>
  <c r="E1314" i="1" s="1"/>
  <c r="C1315" i="1"/>
  <c r="D1315" i="1" s="1"/>
  <c r="E1315" i="1" s="1"/>
  <c r="C1316" i="1"/>
  <c r="D1316" i="1" s="1"/>
  <c r="E1316" i="1" s="1"/>
  <c r="C1317" i="1"/>
  <c r="D1317" i="1" s="1"/>
  <c r="E1317" i="1" s="1"/>
  <c r="C1318" i="1"/>
  <c r="D1318" i="1" s="1"/>
  <c r="E1318" i="1" s="1"/>
  <c r="C1319" i="1"/>
  <c r="D1319" i="1" s="1"/>
  <c r="E1319" i="1" s="1"/>
  <c r="C1320" i="1"/>
  <c r="D1320" i="1" s="1"/>
  <c r="E1320" i="1" s="1"/>
  <c r="C1321" i="1"/>
  <c r="D1321" i="1" s="1"/>
  <c r="E1321" i="1" s="1"/>
  <c r="C1322" i="1"/>
  <c r="D1322" i="1" s="1"/>
  <c r="E1322" i="1" s="1"/>
  <c r="C1323" i="1"/>
  <c r="D1323" i="1" s="1"/>
  <c r="E1323" i="1" s="1"/>
  <c r="C1324" i="1"/>
  <c r="D1324" i="1" s="1"/>
  <c r="E1324" i="1" s="1"/>
  <c r="C1325" i="1"/>
  <c r="D1325" i="1" s="1"/>
  <c r="E1325" i="1" s="1"/>
  <c r="C1326" i="1"/>
  <c r="D1326" i="1" s="1"/>
  <c r="E1326" i="1" s="1"/>
  <c r="C1327" i="1"/>
  <c r="D1327" i="1" s="1"/>
  <c r="E1327" i="1" s="1"/>
  <c r="C1328" i="1"/>
  <c r="D1328" i="1" s="1"/>
  <c r="E1328" i="1" s="1"/>
  <c r="C1329" i="1"/>
  <c r="D1329" i="1" s="1"/>
  <c r="E1329" i="1" s="1"/>
  <c r="C1330" i="1"/>
  <c r="D1330" i="1" s="1"/>
  <c r="E1330" i="1" s="1"/>
  <c r="C1331" i="1"/>
  <c r="D1331" i="1" s="1"/>
  <c r="E1331" i="1" s="1"/>
  <c r="C1332" i="1"/>
  <c r="D1332" i="1" s="1"/>
  <c r="E1332" i="1" s="1"/>
  <c r="C1333" i="1"/>
  <c r="D1333" i="1" s="1"/>
  <c r="E1333" i="1" s="1"/>
  <c r="C1334" i="1"/>
  <c r="D1334" i="1" s="1"/>
  <c r="E1334" i="1" s="1"/>
  <c r="C1335" i="1"/>
  <c r="D1335" i="1" s="1"/>
  <c r="E1335" i="1" s="1"/>
  <c r="C1336" i="1"/>
  <c r="D1336" i="1" s="1"/>
  <c r="E1336" i="1" s="1"/>
  <c r="C1337" i="1"/>
  <c r="D1337" i="1" s="1"/>
  <c r="E1337" i="1" s="1"/>
  <c r="C1338" i="1"/>
  <c r="D1338" i="1" s="1"/>
  <c r="E1338" i="1" s="1"/>
  <c r="C1339" i="1"/>
  <c r="D1339" i="1" s="1"/>
  <c r="E1339" i="1" s="1"/>
  <c r="C1340" i="1"/>
  <c r="D1340" i="1" s="1"/>
  <c r="E1340" i="1" s="1"/>
  <c r="C1341" i="1"/>
  <c r="D1341" i="1" s="1"/>
  <c r="E1341" i="1" s="1"/>
  <c r="C1342" i="1"/>
  <c r="D1342" i="1" s="1"/>
  <c r="E1342" i="1" s="1"/>
  <c r="C1343" i="1"/>
  <c r="D1343" i="1" s="1"/>
  <c r="E1343" i="1" s="1"/>
  <c r="C1344" i="1"/>
  <c r="D1344" i="1" s="1"/>
  <c r="E1344" i="1" s="1"/>
  <c r="C1345" i="1"/>
  <c r="D1345" i="1" s="1"/>
  <c r="E1345" i="1" s="1"/>
  <c r="C1346" i="1"/>
  <c r="D1346" i="1" s="1"/>
  <c r="E1346" i="1" s="1"/>
  <c r="C1347" i="1"/>
  <c r="D1347" i="1" s="1"/>
  <c r="E1347" i="1" s="1"/>
  <c r="C1348" i="1"/>
  <c r="D1348" i="1" s="1"/>
  <c r="E1348" i="1" s="1"/>
  <c r="C1349" i="1"/>
  <c r="D1349" i="1" s="1"/>
  <c r="E1349" i="1" s="1"/>
  <c r="C1350" i="1"/>
  <c r="D1350" i="1" s="1"/>
  <c r="E1350" i="1" s="1"/>
  <c r="C1351" i="1"/>
  <c r="D1351" i="1" s="1"/>
  <c r="E1351" i="1" s="1"/>
  <c r="C1352" i="1"/>
  <c r="D1352" i="1" s="1"/>
  <c r="E1352" i="1" s="1"/>
  <c r="C1353" i="1"/>
  <c r="D1353" i="1" s="1"/>
  <c r="E1353" i="1" s="1"/>
  <c r="C1354" i="1"/>
  <c r="D1354" i="1" s="1"/>
  <c r="E1354" i="1" s="1"/>
  <c r="C1355" i="1"/>
  <c r="D1355" i="1" s="1"/>
  <c r="E1355" i="1" s="1"/>
  <c r="C1356" i="1"/>
  <c r="D1356" i="1" s="1"/>
  <c r="E1356" i="1" s="1"/>
  <c r="C1357" i="1"/>
  <c r="D1357" i="1" s="1"/>
  <c r="E1357" i="1" s="1"/>
  <c r="C1358" i="1"/>
  <c r="D1358" i="1" s="1"/>
  <c r="E1358" i="1" s="1"/>
  <c r="C1359" i="1"/>
  <c r="D1359" i="1" s="1"/>
  <c r="E1359" i="1" s="1"/>
  <c r="C1360" i="1"/>
  <c r="D1360" i="1" s="1"/>
  <c r="E1360" i="1" s="1"/>
  <c r="C1361" i="1"/>
  <c r="D1361" i="1" s="1"/>
  <c r="E1361" i="1" s="1"/>
  <c r="C1362" i="1"/>
  <c r="D1362" i="1" s="1"/>
  <c r="E1362" i="1" s="1"/>
  <c r="C1363" i="1"/>
  <c r="D1363" i="1" s="1"/>
  <c r="E1363" i="1" s="1"/>
  <c r="C1364" i="1"/>
  <c r="D1364" i="1" s="1"/>
  <c r="E1364" i="1" s="1"/>
  <c r="C1365" i="1"/>
  <c r="D1365" i="1" s="1"/>
  <c r="E1365" i="1" s="1"/>
  <c r="C1366" i="1"/>
  <c r="D1366" i="1" s="1"/>
  <c r="E1366" i="1" s="1"/>
  <c r="C1367" i="1"/>
  <c r="D1367" i="1" s="1"/>
  <c r="E1367" i="1" s="1"/>
  <c r="C1368" i="1"/>
  <c r="D1368" i="1" s="1"/>
  <c r="E1368" i="1" s="1"/>
  <c r="C1369" i="1"/>
  <c r="D1369" i="1" s="1"/>
  <c r="E1369" i="1" s="1"/>
  <c r="C1370" i="1"/>
  <c r="D1370" i="1" s="1"/>
  <c r="E1370" i="1" s="1"/>
  <c r="C1371" i="1"/>
  <c r="D1371" i="1" s="1"/>
  <c r="E1371" i="1" s="1"/>
  <c r="C1372" i="1"/>
  <c r="D1372" i="1" s="1"/>
  <c r="E1372" i="1" s="1"/>
  <c r="C1373" i="1"/>
  <c r="D1373" i="1" s="1"/>
  <c r="E1373" i="1" s="1"/>
  <c r="C1374" i="1"/>
  <c r="D1374" i="1" s="1"/>
  <c r="E1374" i="1" s="1"/>
  <c r="C1375" i="1"/>
  <c r="D1375" i="1" s="1"/>
  <c r="E1375" i="1" s="1"/>
  <c r="C1376" i="1"/>
  <c r="D1376" i="1" s="1"/>
  <c r="E1376" i="1" s="1"/>
  <c r="C1377" i="1"/>
  <c r="D1377" i="1" s="1"/>
  <c r="E1377" i="1" s="1"/>
  <c r="C1378" i="1"/>
  <c r="D1378" i="1" s="1"/>
  <c r="E1378" i="1" s="1"/>
  <c r="C1379" i="1"/>
  <c r="D1379" i="1" s="1"/>
  <c r="E1379" i="1" s="1"/>
  <c r="C1380" i="1"/>
  <c r="D1380" i="1" s="1"/>
  <c r="E1380" i="1" s="1"/>
  <c r="C1381" i="1"/>
  <c r="D1381" i="1" s="1"/>
  <c r="E1381" i="1" s="1"/>
  <c r="C1382" i="1"/>
  <c r="D1382" i="1" s="1"/>
  <c r="E1382" i="1" s="1"/>
  <c r="C1383" i="1"/>
  <c r="D1383" i="1" s="1"/>
  <c r="E1383" i="1" s="1"/>
  <c r="C1384" i="1"/>
  <c r="D1384" i="1" s="1"/>
  <c r="E1384" i="1" s="1"/>
  <c r="C1385" i="1"/>
  <c r="D1385" i="1" s="1"/>
  <c r="E1385" i="1" s="1"/>
  <c r="C1386" i="1"/>
  <c r="D1386" i="1" s="1"/>
  <c r="E1386" i="1" s="1"/>
  <c r="C1387" i="1"/>
  <c r="D1387" i="1" s="1"/>
  <c r="E1387" i="1" s="1"/>
  <c r="C1388" i="1"/>
  <c r="D1388" i="1" s="1"/>
  <c r="E1388" i="1" s="1"/>
  <c r="C1389" i="1"/>
  <c r="D1389" i="1" s="1"/>
  <c r="E1389" i="1" s="1"/>
  <c r="C1390" i="1"/>
  <c r="D1390" i="1" s="1"/>
  <c r="E1390" i="1" s="1"/>
  <c r="C1391" i="1"/>
  <c r="D1391" i="1" s="1"/>
  <c r="E1391" i="1" s="1"/>
  <c r="C1392" i="1"/>
  <c r="D1392" i="1" s="1"/>
  <c r="E1392" i="1" s="1"/>
  <c r="C1393" i="1"/>
  <c r="D1393" i="1" s="1"/>
  <c r="E1393" i="1" s="1"/>
  <c r="C1394" i="1"/>
  <c r="D1394" i="1" s="1"/>
  <c r="E1394" i="1" s="1"/>
  <c r="C1395" i="1"/>
  <c r="D1395" i="1" s="1"/>
  <c r="E1395" i="1" s="1"/>
  <c r="C1396" i="1"/>
  <c r="D1396" i="1" s="1"/>
  <c r="E1396" i="1" s="1"/>
  <c r="C1397" i="1"/>
  <c r="D1397" i="1" s="1"/>
  <c r="E1397" i="1" s="1"/>
  <c r="C1398" i="1"/>
  <c r="D1398" i="1" s="1"/>
  <c r="E1398" i="1" s="1"/>
  <c r="C1399" i="1"/>
  <c r="D1399" i="1" s="1"/>
  <c r="E1399" i="1" s="1"/>
  <c r="C1400" i="1"/>
  <c r="D1400" i="1" s="1"/>
  <c r="E1400" i="1" s="1"/>
  <c r="C1401" i="1"/>
  <c r="D1401" i="1" s="1"/>
  <c r="E1401" i="1" s="1"/>
  <c r="C1402" i="1"/>
  <c r="D1402" i="1" s="1"/>
  <c r="E1402" i="1" s="1"/>
  <c r="C1403" i="1"/>
  <c r="D1403" i="1" s="1"/>
  <c r="E1403" i="1" s="1"/>
  <c r="C1404" i="1"/>
  <c r="D1404" i="1" s="1"/>
  <c r="E1404" i="1" s="1"/>
  <c r="C1405" i="1"/>
  <c r="D1405" i="1" s="1"/>
  <c r="E1405" i="1" s="1"/>
  <c r="C1406" i="1"/>
  <c r="D1406" i="1" s="1"/>
  <c r="E1406" i="1" s="1"/>
  <c r="C1407" i="1"/>
  <c r="D1407" i="1" s="1"/>
  <c r="E1407" i="1" s="1"/>
  <c r="C1408" i="1"/>
  <c r="D1408" i="1" s="1"/>
  <c r="E1408" i="1" s="1"/>
  <c r="C1409" i="1"/>
  <c r="D1409" i="1" s="1"/>
  <c r="E1409" i="1" s="1"/>
  <c r="C1410" i="1"/>
  <c r="D1410" i="1" s="1"/>
  <c r="E1410" i="1" s="1"/>
  <c r="C1411" i="1"/>
  <c r="D1411" i="1" s="1"/>
  <c r="E1411" i="1" s="1"/>
  <c r="C1412" i="1"/>
  <c r="D1412" i="1" s="1"/>
  <c r="E1412" i="1" s="1"/>
  <c r="C1413" i="1"/>
  <c r="D1413" i="1" s="1"/>
  <c r="E1413" i="1" s="1"/>
  <c r="C1414" i="1"/>
  <c r="D1414" i="1" s="1"/>
  <c r="E1414" i="1" s="1"/>
  <c r="C1415" i="1"/>
  <c r="D1415" i="1" s="1"/>
  <c r="E1415" i="1" s="1"/>
  <c r="C1416" i="1"/>
  <c r="D1416" i="1" s="1"/>
  <c r="E1416" i="1" s="1"/>
  <c r="C1417" i="1"/>
  <c r="D1417" i="1" s="1"/>
  <c r="E1417" i="1" s="1"/>
  <c r="C1418" i="1"/>
  <c r="D1418" i="1" s="1"/>
  <c r="E1418" i="1" s="1"/>
  <c r="C1419" i="1"/>
  <c r="D1419" i="1" s="1"/>
  <c r="E1419" i="1" s="1"/>
  <c r="C1420" i="1"/>
  <c r="D1420" i="1" s="1"/>
  <c r="E1420" i="1" s="1"/>
  <c r="C1421" i="1"/>
  <c r="D1421" i="1" s="1"/>
  <c r="E1421" i="1" s="1"/>
  <c r="C1422" i="1"/>
  <c r="D1422" i="1" s="1"/>
  <c r="E1422" i="1" s="1"/>
  <c r="C1423" i="1"/>
  <c r="D1423" i="1" s="1"/>
  <c r="E1423" i="1" s="1"/>
  <c r="C1424" i="1"/>
  <c r="D1424" i="1" s="1"/>
  <c r="E1424" i="1" s="1"/>
  <c r="C1425" i="1"/>
  <c r="D1425" i="1" s="1"/>
  <c r="E1425" i="1" s="1"/>
  <c r="C1426" i="1"/>
  <c r="D1426" i="1" s="1"/>
  <c r="E1426" i="1" s="1"/>
  <c r="C1427" i="1"/>
  <c r="D1427" i="1" s="1"/>
  <c r="E1427" i="1" s="1"/>
  <c r="C1428" i="1"/>
  <c r="D1428" i="1" s="1"/>
  <c r="E1428" i="1" s="1"/>
  <c r="C1429" i="1"/>
  <c r="D1429" i="1" s="1"/>
  <c r="E1429" i="1" s="1"/>
  <c r="C1430" i="1"/>
  <c r="D1430" i="1" s="1"/>
  <c r="E1430" i="1" s="1"/>
  <c r="C1431" i="1"/>
  <c r="D1431" i="1" s="1"/>
  <c r="E1431" i="1" s="1"/>
  <c r="C1432" i="1"/>
  <c r="D1432" i="1" s="1"/>
  <c r="E1432" i="1" s="1"/>
  <c r="C1433" i="1"/>
  <c r="D1433" i="1" s="1"/>
  <c r="E1433" i="1" s="1"/>
  <c r="C1434" i="1"/>
  <c r="D1434" i="1" s="1"/>
  <c r="E1434" i="1" s="1"/>
  <c r="C1435" i="1"/>
  <c r="D1435" i="1" s="1"/>
  <c r="E1435" i="1" s="1"/>
  <c r="C1436" i="1"/>
  <c r="D1436" i="1" s="1"/>
  <c r="E1436" i="1" s="1"/>
  <c r="C1437" i="1"/>
  <c r="D1437" i="1" s="1"/>
  <c r="E1437" i="1" s="1"/>
  <c r="C1438" i="1"/>
  <c r="D1438" i="1" s="1"/>
  <c r="E1438" i="1" s="1"/>
  <c r="C1439" i="1"/>
  <c r="D1439" i="1" s="1"/>
  <c r="E1439" i="1" s="1"/>
  <c r="C1440" i="1"/>
  <c r="D1440" i="1" s="1"/>
  <c r="E1440" i="1" s="1"/>
  <c r="C1441" i="1"/>
  <c r="D1441" i="1" s="1"/>
  <c r="E1441" i="1" s="1"/>
  <c r="C1442" i="1"/>
  <c r="D1442" i="1" s="1"/>
  <c r="E1442" i="1" s="1"/>
  <c r="C1443" i="1"/>
  <c r="D1443" i="1" s="1"/>
  <c r="E1443" i="1" s="1"/>
  <c r="C1444" i="1"/>
  <c r="D1444" i="1" s="1"/>
  <c r="E1444" i="1" s="1"/>
  <c r="C1445" i="1"/>
  <c r="D1445" i="1" s="1"/>
  <c r="E1445" i="1" s="1"/>
  <c r="C1446" i="1"/>
  <c r="D1446" i="1" s="1"/>
  <c r="E1446" i="1" s="1"/>
  <c r="C1447" i="1"/>
  <c r="D1447" i="1" s="1"/>
  <c r="E1447" i="1" s="1"/>
  <c r="C1448" i="1"/>
  <c r="D1448" i="1" s="1"/>
  <c r="E1448" i="1" s="1"/>
  <c r="C1449" i="1"/>
  <c r="D1449" i="1" s="1"/>
  <c r="E1449" i="1" s="1"/>
  <c r="C1450" i="1"/>
  <c r="D1450" i="1" s="1"/>
  <c r="E1450" i="1" s="1"/>
  <c r="C1451" i="1"/>
  <c r="D1451" i="1" s="1"/>
  <c r="E1451" i="1" s="1"/>
  <c r="C1452" i="1"/>
  <c r="D1452" i="1" s="1"/>
  <c r="E1452" i="1" s="1"/>
  <c r="C1453" i="1"/>
  <c r="D1453" i="1" s="1"/>
  <c r="E1453" i="1" s="1"/>
  <c r="C1454" i="1"/>
  <c r="D1454" i="1" s="1"/>
  <c r="E1454" i="1" s="1"/>
  <c r="C1455" i="1"/>
  <c r="D1455" i="1" s="1"/>
  <c r="E1455" i="1" s="1"/>
  <c r="C1456" i="1"/>
  <c r="D1456" i="1" s="1"/>
  <c r="E1456" i="1" s="1"/>
  <c r="C1457" i="1"/>
  <c r="D1457" i="1" s="1"/>
  <c r="E1457" i="1" s="1"/>
  <c r="C1458" i="1"/>
  <c r="D1458" i="1" s="1"/>
  <c r="E1458" i="1" s="1"/>
  <c r="C1459" i="1"/>
  <c r="D1459" i="1" s="1"/>
  <c r="E1459" i="1" s="1"/>
  <c r="C1460" i="1"/>
  <c r="D1460" i="1" s="1"/>
  <c r="E1460" i="1" s="1"/>
  <c r="C1461" i="1"/>
  <c r="D1461" i="1" s="1"/>
  <c r="E1461" i="1" s="1"/>
  <c r="C1462" i="1"/>
  <c r="D1462" i="1" s="1"/>
  <c r="E1462" i="1" s="1"/>
  <c r="C1463" i="1"/>
  <c r="D1463" i="1" s="1"/>
  <c r="E1463" i="1" s="1"/>
  <c r="C1464" i="1"/>
  <c r="D1464" i="1" s="1"/>
  <c r="E1464" i="1" s="1"/>
  <c r="C1465" i="1"/>
  <c r="D1465" i="1" s="1"/>
  <c r="E1465" i="1" s="1"/>
  <c r="C1466" i="1"/>
  <c r="D1466" i="1" s="1"/>
  <c r="E1466" i="1" s="1"/>
  <c r="C1467" i="1"/>
  <c r="D1467" i="1" s="1"/>
  <c r="E1467" i="1" s="1"/>
  <c r="C1468" i="1"/>
  <c r="D1468" i="1" s="1"/>
  <c r="E1468" i="1" s="1"/>
  <c r="C1469" i="1"/>
  <c r="D1469" i="1" s="1"/>
  <c r="E1469" i="1" s="1"/>
  <c r="C1470" i="1"/>
  <c r="D1470" i="1" s="1"/>
  <c r="E1470" i="1" s="1"/>
  <c r="C1471" i="1"/>
  <c r="D1471" i="1" s="1"/>
  <c r="E1471" i="1" s="1"/>
  <c r="C1472" i="1"/>
  <c r="D1472" i="1" s="1"/>
  <c r="E1472" i="1" s="1"/>
  <c r="C1473" i="1"/>
  <c r="D1473" i="1" s="1"/>
  <c r="E1473" i="1" s="1"/>
  <c r="C1474" i="1"/>
  <c r="D1474" i="1" s="1"/>
  <c r="E1474" i="1" s="1"/>
  <c r="C1475" i="1"/>
  <c r="D1475" i="1" s="1"/>
  <c r="E1475" i="1" s="1"/>
  <c r="C1476" i="1"/>
  <c r="D1476" i="1" s="1"/>
  <c r="E1476" i="1" s="1"/>
  <c r="C1477" i="1"/>
  <c r="D1477" i="1" s="1"/>
  <c r="E1477" i="1" s="1"/>
  <c r="C1478" i="1"/>
  <c r="D1478" i="1" s="1"/>
  <c r="E1478" i="1" s="1"/>
  <c r="C1479" i="1"/>
  <c r="D1479" i="1" s="1"/>
  <c r="E1479" i="1" s="1"/>
  <c r="C1480" i="1"/>
  <c r="D1480" i="1" s="1"/>
  <c r="E1480" i="1" s="1"/>
  <c r="C1481" i="1"/>
  <c r="D1481" i="1" s="1"/>
  <c r="E1481" i="1" s="1"/>
  <c r="C1482" i="1"/>
  <c r="D1482" i="1" s="1"/>
  <c r="E1482" i="1" s="1"/>
  <c r="C1483" i="1"/>
  <c r="D1483" i="1" s="1"/>
  <c r="E1483" i="1" s="1"/>
  <c r="C1484" i="1"/>
  <c r="D1484" i="1" s="1"/>
  <c r="E1484" i="1" s="1"/>
  <c r="C1485" i="1"/>
  <c r="D1485" i="1" s="1"/>
  <c r="E1485" i="1" s="1"/>
  <c r="C1486" i="1"/>
  <c r="D1486" i="1" s="1"/>
  <c r="E1486" i="1" s="1"/>
  <c r="C1487" i="1"/>
  <c r="D1487" i="1" s="1"/>
  <c r="E1487" i="1" s="1"/>
  <c r="C1488" i="1"/>
  <c r="D1488" i="1" s="1"/>
  <c r="E1488" i="1" s="1"/>
  <c r="C1489" i="1"/>
  <c r="D1489" i="1" s="1"/>
  <c r="E1489" i="1" s="1"/>
  <c r="C1490" i="1"/>
  <c r="D1490" i="1" s="1"/>
  <c r="E1490" i="1" s="1"/>
  <c r="C1491" i="1"/>
  <c r="D1491" i="1" s="1"/>
  <c r="E1491" i="1" s="1"/>
  <c r="C1492" i="1"/>
  <c r="D1492" i="1" s="1"/>
  <c r="E1492" i="1" s="1"/>
  <c r="C1493" i="1"/>
  <c r="D1493" i="1" s="1"/>
  <c r="E1493" i="1" s="1"/>
  <c r="C1494" i="1"/>
  <c r="D1494" i="1" s="1"/>
  <c r="E1494" i="1" s="1"/>
  <c r="C1495" i="1"/>
  <c r="D1495" i="1" s="1"/>
  <c r="E1495" i="1" s="1"/>
  <c r="C1496" i="1"/>
  <c r="D1496" i="1" s="1"/>
  <c r="E1496" i="1" s="1"/>
  <c r="C1497" i="1"/>
  <c r="D1497" i="1" s="1"/>
  <c r="E1497" i="1" s="1"/>
  <c r="C1498" i="1"/>
  <c r="D1498" i="1" s="1"/>
  <c r="E1498" i="1" s="1"/>
  <c r="C1499" i="1"/>
  <c r="D1499" i="1" s="1"/>
  <c r="E1499" i="1" s="1"/>
  <c r="C1500" i="1"/>
  <c r="D1500" i="1" s="1"/>
  <c r="E1500" i="1" s="1"/>
  <c r="C1501" i="1"/>
  <c r="D1501" i="1" s="1"/>
  <c r="E1501" i="1" s="1"/>
  <c r="C1502" i="1"/>
  <c r="D1502" i="1" s="1"/>
  <c r="E1502" i="1" s="1"/>
  <c r="C1503" i="1"/>
  <c r="D1503" i="1" s="1"/>
  <c r="E1503" i="1" s="1"/>
  <c r="C1504" i="1"/>
  <c r="D1504" i="1" s="1"/>
  <c r="E1504" i="1" s="1"/>
  <c r="C1505" i="1"/>
  <c r="D1505" i="1" s="1"/>
  <c r="E1505" i="1" s="1"/>
  <c r="C1506" i="1"/>
  <c r="D1506" i="1" s="1"/>
  <c r="E1506" i="1" s="1"/>
  <c r="C1507" i="1"/>
  <c r="D1507" i="1" s="1"/>
  <c r="E1507" i="1" s="1"/>
  <c r="C1508" i="1"/>
  <c r="D1508" i="1" s="1"/>
  <c r="E1508" i="1" s="1"/>
  <c r="C1509" i="1"/>
  <c r="D1509" i="1" s="1"/>
  <c r="E1509" i="1" s="1"/>
  <c r="C1510" i="1"/>
  <c r="D1510" i="1" s="1"/>
  <c r="E1510" i="1" s="1"/>
  <c r="C1511" i="1"/>
  <c r="D1511" i="1" s="1"/>
  <c r="E1511" i="1" s="1"/>
  <c r="C1512" i="1"/>
  <c r="D1512" i="1" s="1"/>
  <c r="E1512" i="1" s="1"/>
  <c r="C1513" i="1"/>
  <c r="D1513" i="1" s="1"/>
  <c r="E1513" i="1" s="1"/>
  <c r="C1514" i="1"/>
  <c r="D1514" i="1" s="1"/>
  <c r="E1514" i="1" s="1"/>
  <c r="C1515" i="1"/>
  <c r="D1515" i="1" s="1"/>
  <c r="E1515" i="1" s="1"/>
  <c r="C1516" i="1"/>
  <c r="D1516" i="1" s="1"/>
  <c r="E1516" i="1" s="1"/>
  <c r="C1517" i="1"/>
  <c r="D1517" i="1" s="1"/>
  <c r="E1517" i="1" s="1"/>
  <c r="C1518" i="1"/>
  <c r="D1518" i="1" s="1"/>
  <c r="E1518" i="1" s="1"/>
  <c r="C1519" i="1"/>
  <c r="D1519" i="1" s="1"/>
  <c r="E1519" i="1" s="1"/>
  <c r="C1520" i="1"/>
  <c r="D1520" i="1" s="1"/>
  <c r="E1520" i="1" s="1"/>
  <c r="C1521" i="1"/>
  <c r="D1521" i="1" s="1"/>
  <c r="E1521" i="1" s="1"/>
  <c r="C1522" i="1"/>
  <c r="D1522" i="1" s="1"/>
  <c r="E1522" i="1" s="1"/>
  <c r="C1523" i="1"/>
  <c r="D1523" i="1" s="1"/>
  <c r="E1523" i="1" s="1"/>
  <c r="C1524" i="1"/>
  <c r="D1524" i="1" s="1"/>
  <c r="E1524" i="1" s="1"/>
  <c r="C1525" i="1"/>
  <c r="D1525" i="1" s="1"/>
  <c r="E1525" i="1" s="1"/>
  <c r="C1526" i="1"/>
  <c r="D1526" i="1" s="1"/>
  <c r="E1526" i="1" s="1"/>
  <c r="C1527" i="1"/>
  <c r="D1527" i="1" s="1"/>
  <c r="E1527" i="1" s="1"/>
  <c r="C1528" i="1"/>
  <c r="D1528" i="1" s="1"/>
  <c r="E1528" i="1" s="1"/>
  <c r="C1529" i="1"/>
  <c r="D1529" i="1" s="1"/>
  <c r="E1529" i="1" s="1"/>
  <c r="C1530" i="1"/>
  <c r="D1530" i="1" s="1"/>
  <c r="E1530" i="1" s="1"/>
  <c r="C1531" i="1"/>
  <c r="D1531" i="1" s="1"/>
  <c r="E1531" i="1" s="1"/>
  <c r="C1532" i="1"/>
  <c r="D1532" i="1" s="1"/>
  <c r="E1532" i="1" s="1"/>
  <c r="C1533" i="1"/>
  <c r="D1533" i="1" s="1"/>
  <c r="E1533" i="1" s="1"/>
  <c r="C1534" i="1"/>
  <c r="D1534" i="1" s="1"/>
  <c r="E1534" i="1" s="1"/>
  <c r="C1535" i="1"/>
  <c r="D1535" i="1" s="1"/>
  <c r="E1535" i="1" s="1"/>
  <c r="C1536" i="1"/>
  <c r="D1536" i="1" s="1"/>
  <c r="E1536" i="1" s="1"/>
  <c r="C1537" i="1"/>
  <c r="D1537" i="1" s="1"/>
  <c r="E1537" i="1" s="1"/>
  <c r="C1538" i="1"/>
  <c r="D1538" i="1" s="1"/>
  <c r="E1538" i="1" s="1"/>
  <c r="C1539" i="1"/>
  <c r="D1539" i="1" s="1"/>
  <c r="E1539" i="1" s="1"/>
  <c r="C1540" i="1"/>
  <c r="D1540" i="1" s="1"/>
  <c r="E1540" i="1" s="1"/>
  <c r="C1541" i="1"/>
  <c r="D1541" i="1" s="1"/>
  <c r="E1541" i="1" s="1"/>
  <c r="C1542" i="1"/>
  <c r="D1542" i="1" s="1"/>
  <c r="E1542" i="1" s="1"/>
  <c r="C1543" i="1"/>
  <c r="D1543" i="1" s="1"/>
  <c r="E1543" i="1" s="1"/>
  <c r="C1544" i="1"/>
  <c r="D1544" i="1" s="1"/>
  <c r="E1544" i="1" s="1"/>
  <c r="C1545" i="1"/>
  <c r="D1545" i="1" s="1"/>
  <c r="E1545" i="1" s="1"/>
  <c r="C1546" i="1"/>
  <c r="D1546" i="1" s="1"/>
  <c r="E1546" i="1" s="1"/>
  <c r="C1547" i="1"/>
  <c r="D1547" i="1" s="1"/>
  <c r="E1547" i="1" s="1"/>
  <c r="C1548" i="1"/>
  <c r="D1548" i="1" s="1"/>
  <c r="E1548" i="1" s="1"/>
  <c r="C1549" i="1"/>
  <c r="D1549" i="1" s="1"/>
  <c r="E1549" i="1" s="1"/>
  <c r="C1550" i="1"/>
  <c r="D1550" i="1" s="1"/>
  <c r="E1550" i="1" s="1"/>
  <c r="C1551" i="1"/>
  <c r="D1551" i="1" s="1"/>
  <c r="E1551" i="1" s="1"/>
  <c r="C1552" i="1"/>
  <c r="D1552" i="1" s="1"/>
  <c r="E1552" i="1" s="1"/>
  <c r="C1553" i="1"/>
  <c r="D1553" i="1" s="1"/>
  <c r="E1553" i="1" s="1"/>
  <c r="C1554" i="1"/>
  <c r="D1554" i="1" s="1"/>
  <c r="E1554" i="1" s="1"/>
  <c r="C1555" i="1"/>
  <c r="D1555" i="1" s="1"/>
  <c r="E1555" i="1" s="1"/>
  <c r="C1556" i="1"/>
  <c r="D1556" i="1" s="1"/>
  <c r="E1556" i="1" s="1"/>
  <c r="C1557" i="1"/>
  <c r="D1557" i="1" s="1"/>
  <c r="E1557" i="1" s="1"/>
  <c r="C1558" i="1"/>
  <c r="D1558" i="1" s="1"/>
  <c r="E1558" i="1" s="1"/>
  <c r="C1559" i="1"/>
  <c r="D1559" i="1" s="1"/>
  <c r="E1559" i="1" s="1"/>
  <c r="C1560" i="1"/>
  <c r="D1560" i="1" s="1"/>
  <c r="E1560" i="1" s="1"/>
  <c r="C1561" i="1"/>
  <c r="D1561" i="1" s="1"/>
  <c r="E1561" i="1" s="1"/>
  <c r="C1562" i="1"/>
  <c r="D1562" i="1" s="1"/>
  <c r="E1562" i="1" s="1"/>
  <c r="C1563" i="1"/>
  <c r="D1563" i="1" s="1"/>
  <c r="E1563" i="1" s="1"/>
  <c r="C1564" i="1"/>
  <c r="D1564" i="1" s="1"/>
  <c r="E1564" i="1" s="1"/>
  <c r="C1565" i="1"/>
  <c r="D1565" i="1" s="1"/>
  <c r="E1565" i="1" s="1"/>
  <c r="C1566" i="1"/>
  <c r="D1566" i="1" s="1"/>
  <c r="E1566" i="1" s="1"/>
  <c r="C1567" i="1"/>
  <c r="D1567" i="1" s="1"/>
  <c r="E1567" i="1" s="1"/>
  <c r="C1568" i="1"/>
  <c r="D1568" i="1" s="1"/>
  <c r="E1568" i="1" s="1"/>
  <c r="C1569" i="1"/>
  <c r="D1569" i="1" s="1"/>
  <c r="E1569" i="1" s="1"/>
  <c r="C1570" i="1"/>
  <c r="D1570" i="1" s="1"/>
  <c r="E1570" i="1" s="1"/>
  <c r="C1571" i="1"/>
  <c r="D1571" i="1" s="1"/>
  <c r="E1571" i="1" s="1"/>
  <c r="C1572" i="1"/>
  <c r="D1572" i="1" s="1"/>
  <c r="E1572" i="1" s="1"/>
  <c r="C1573" i="1"/>
  <c r="D1573" i="1" s="1"/>
  <c r="E1573" i="1" s="1"/>
  <c r="C1574" i="1"/>
  <c r="D1574" i="1" s="1"/>
  <c r="E1574" i="1" s="1"/>
  <c r="C1575" i="1"/>
  <c r="D1575" i="1" s="1"/>
  <c r="E1575" i="1" s="1"/>
  <c r="C1576" i="1"/>
  <c r="D1576" i="1" s="1"/>
  <c r="E1576" i="1" s="1"/>
  <c r="C1577" i="1"/>
  <c r="D1577" i="1" s="1"/>
  <c r="E1577" i="1" s="1"/>
  <c r="C1578" i="1"/>
  <c r="D1578" i="1" s="1"/>
  <c r="E1578" i="1" s="1"/>
  <c r="C1579" i="1"/>
  <c r="D1579" i="1" s="1"/>
  <c r="E1579" i="1" s="1"/>
  <c r="C1580" i="1"/>
  <c r="D1580" i="1" s="1"/>
  <c r="E1580" i="1" s="1"/>
  <c r="C1581" i="1"/>
  <c r="D1581" i="1" s="1"/>
  <c r="E1581" i="1" s="1"/>
  <c r="C1582" i="1"/>
  <c r="D1582" i="1" s="1"/>
  <c r="E1582" i="1" s="1"/>
  <c r="C1583" i="1"/>
  <c r="D1583" i="1" s="1"/>
  <c r="E1583" i="1" s="1"/>
  <c r="C1584" i="1"/>
  <c r="D1584" i="1" s="1"/>
  <c r="E1584" i="1" s="1"/>
  <c r="C1585" i="1"/>
  <c r="D1585" i="1" s="1"/>
  <c r="E1585" i="1" s="1"/>
  <c r="C1586" i="1"/>
  <c r="D1586" i="1" s="1"/>
  <c r="E1586" i="1" s="1"/>
  <c r="C1587" i="1"/>
  <c r="D1587" i="1" s="1"/>
  <c r="E1587" i="1" s="1"/>
  <c r="C1588" i="1"/>
  <c r="D1588" i="1" s="1"/>
  <c r="E1588" i="1" s="1"/>
  <c r="C1589" i="1"/>
  <c r="D1589" i="1" s="1"/>
  <c r="E1589" i="1" s="1"/>
  <c r="C1590" i="1"/>
  <c r="D1590" i="1" s="1"/>
  <c r="E1590" i="1" s="1"/>
  <c r="C1591" i="1"/>
  <c r="D1591" i="1" s="1"/>
  <c r="E1591" i="1" s="1"/>
  <c r="C1592" i="1"/>
  <c r="D1592" i="1" s="1"/>
  <c r="E1592" i="1" s="1"/>
  <c r="C1593" i="1"/>
  <c r="D1593" i="1" s="1"/>
  <c r="E1593" i="1" s="1"/>
  <c r="C1594" i="1"/>
  <c r="D1594" i="1" s="1"/>
  <c r="E1594" i="1" s="1"/>
  <c r="C1595" i="1"/>
  <c r="D1595" i="1" s="1"/>
  <c r="E1595" i="1" s="1"/>
  <c r="C1596" i="1"/>
  <c r="D1596" i="1" s="1"/>
  <c r="E1596" i="1" s="1"/>
  <c r="C1597" i="1"/>
  <c r="D1597" i="1" s="1"/>
  <c r="E1597" i="1" s="1"/>
  <c r="C1598" i="1"/>
  <c r="D1598" i="1" s="1"/>
  <c r="E1598" i="1" s="1"/>
  <c r="C1599" i="1"/>
  <c r="D1599" i="1" s="1"/>
  <c r="E1599" i="1" s="1"/>
  <c r="C1600" i="1"/>
  <c r="D1600" i="1" s="1"/>
  <c r="E1600" i="1" s="1"/>
  <c r="C1601" i="1"/>
  <c r="D1601" i="1" s="1"/>
  <c r="E1601" i="1" s="1"/>
  <c r="C1602" i="1"/>
  <c r="D1602" i="1" s="1"/>
  <c r="E1602" i="1" s="1"/>
  <c r="C1603" i="1"/>
  <c r="D1603" i="1" s="1"/>
  <c r="E1603" i="1" s="1"/>
  <c r="C1604" i="1"/>
  <c r="D1604" i="1" s="1"/>
  <c r="E1604" i="1" s="1"/>
  <c r="C1605" i="1"/>
  <c r="D1605" i="1" s="1"/>
  <c r="E1605" i="1" s="1"/>
  <c r="C1606" i="1"/>
  <c r="D1606" i="1" s="1"/>
  <c r="E1606" i="1" s="1"/>
  <c r="C1607" i="1"/>
  <c r="D1607" i="1" s="1"/>
  <c r="E1607" i="1" s="1"/>
  <c r="C1608" i="1"/>
  <c r="D1608" i="1" s="1"/>
  <c r="E1608" i="1" s="1"/>
  <c r="C1609" i="1"/>
  <c r="D1609" i="1" s="1"/>
  <c r="E1609" i="1" s="1"/>
  <c r="C1610" i="1"/>
  <c r="D1610" i="1" s="1"/>
  <c r="E1610" i="1" s="1"/>
  <c r="C1611" i="1"/>
  <c r="D1611" i="1" s="1"/>
  <c r="E1611" i="1" s="1"/>
  <c r="C1612" i="1"/>
  <c r="D1612" i="1" s="1"/>
  <c r="E1612" i="1" s="1"/>
  <c r="C1613" i="1"/>
  <c r="D1613" i="1" s="1"/>
  <c r="E1613" i="1" s="1"/>
  <c r="C1614" i="1"/>
  <c r="D1614" i="1" s="1"/>
  <c r="E1614" i="1" s="1"/>
  <c r="C1615" i="1"/>
  <c r="D1615" i="1" s="1"/>
  <c r="E1615" i="1" s="1"/>
  <c r="C1616" i="1"/>
  <c r="D1616" i="1" s="1"/>
  <c r="E1616" i="1" s="1"/>
  <c r="C1617" i="1"/>
  <c r="D1617" i="1" s="1"/>
  <c r="E1617" i="1" s="1"/>
  <c r="C1618" i="1"/>
  <c r="D1618" i="1" s="1"/>
  <c r="E1618" i="1" s="1"/>
  <c r="C1619" i="1"/>
  <c r="D1619" i="1" s="1"/>
  <c r="E1619" i="1" s="1"/>
  <c r="C1620" i="1"/>
  <c r="D1620" i="1" s="1"/>
  <c r="E1620" i="1" s="1"/>
  <c r="C1621" i="1"/>
  <c r="D1621" i="1" s="1"/>
  <c r="E1621" i="1" s="1"/>
  <c r="C1622" i="1"/>
  <c r="D1622" i="1" s="1"/>
  <c r="E1622" i="1" s="1"/>
  <c r="C1623" i="1"/>
  <c r="D1623" i="1" s="1"/>
  <c r="E1623" i="1" s="1"/>
  <c r="C1624" i="1"/>
  <c r="D1624" i="1" s="1"/>
  <c r="E1624" i="1" s="1"/>
  <c r="C1625" i="1"/>
  <c r="D1625" i="1" s="1"/>
  <c r="E1625" i="1" s="1"/>
  <c r="C1626" i="1"/>
  <c r="D1626" i="1" s="1"/>
  <c r="E1626" i="1" s="1"/>
  <c r="C1627" i="1"/>
  <c r="D1627" i="1" s="1"/>
  <c r="E1627" i="1" s="1"/>
  <c r="C1628" i="1"/>
  <c r="D1628" i="1" s="1"/>
  <c r="E1628" i="1" s="1"/>
  <c r="C1629" i="1"/>
  <c r="D1629" i="1" s="1"/>
  <c r="E1629" i="1" s="1"/>
  <c r="C1630" i="1"/>
  <c r="D1630" i="1" s="1"/>
  <c r="E1630" i="1" s="1"/>
  <c r="C1631" i="1"/>
  <c r="D1631" i="1" s="1"/>
  <c r="E1631" i="1" s="1"/>
  <c r="C1632" i="1"/>
  <c r="D1632" i="1" s="1"/>
  <c r="E1632" i="1" s="1"/>
  <c r="C1633" i="1"/>
  <c r="D1633" i="1" s="1"/>
  <c r="E1633" i="1" s="1"/>
  <c r="C1634" i="1"/>
  <c r="D1634" i="1" s="1"/>
  <c r="E1634" i="1" s="1"/>
  <c r="C1635" i="1"/>
  <c r="D1635" i="1" s="1"/>
  <c r="E1635" i="1" s="1"/>
  <c r="C1636" i="1"/>
  <c r="D1636" i="1" s="1"/>
  <c r="E1636" i="1" s="1"/>
  <c r="C1637" i="1"/>
  <c r="D1637" i="1" s="1"/>
  <c r="E1637" i="1" s="1"/>
  <c r="C1638" i="1"/>
  <c r="D1638" i="1" s="1"/>
  <c r="E1638" i="1" s="1"/>
  <c r="C1639" i="1"/>
  <c r="D1639" i="1" s="1"/>
  <c r="E1639" i="1" s="1"/>
  <c r="C1640" i="1"/>
  <c r="D1640" i="1" s="1"/>
  <c r="E1640" i="1" s="1"/>
  <c r="C1641" i="1"/>
  <c r="D1641" i="1" s="1"/>
  <c r="E1641" i="1" s="1"/>
  <c r="C1642" i="1"/>
  <c r="D1642" i="1" s="1"/>
  <c r="E1642" i="1" s="1"/>
  <c r="C1643" i="1"/>
  <c r="D1643" i="1" s="1"/>
  <c r="E1643" i="1" s="1"/>
  <c r="C1644" i="1"/>
  <c r="D1644" i="1" s="1"/>
  <c r="E1644" i="1" s="1"/>
  <c r="C1645" i="1"/>
  <c r="D1645" i="1" s="1"/>
  <c r="E1645" i="1" s="1"/>
  <c r="C1646" i="1"/>
  <c r="D1646" i="1" s="1"/>
  <c r="E1646" i="1" s="1"/>
  <c r="C1647" i="1"/>
  <c r="D1647" i="1" s="1"/>
  <c r="E1647" i="1" s="1"/>
  <c r="C1648" i="1"/>
  <c r="D1648" i="1" s="1"/>
  <c r="E1648" i="1" s="1"/>
  <c r="C1649" i="1"/>
  <c r="D1649" i="1" s="1"/>
  <c r="E1649" i="1" s="1"/>
  <c r="C1650" i="1"/>
  <c r="D1650" i="1" s="1"/>
  <c r="E1650" i="1" s="1"/>
  <c r="C1651" i="1"/>
  <c r="D1651" i="1" s="1"/>
  <c r="E1651" i="1" s="1"/>
  <c r="C1652" i="1"/>
  <c r="D1652" i="1" s="1"/>
  <c r="E1652" i="1" s="1"/>
  <c r="C1653" i="1"/>
  <c r="D1653" i="1" s="1"/>
  <c r="E1653" i="1" s="1"/>
  <c r="C1654" i="1"/>
  <c r="D1654" i="1" s="1"/>
  <c r="E1654" i="1" s="1"/>
  <c r="C1655" i="1"/>
  <c r="D1655" i="1" s="1"/>
  <c r="E1655" i="1" s="1"/>
  <c r="C1656" i="1"/>
  <c r="D1656" i="1" s="1"/>
  <c r="E1656" i="1" s="1"/>
  <c r="C1657" i="1"/>
  <c r="D1657" i="1" s="1"/>
  <c r="E1657" i="1" s="1"/>
  <c r="C1658" i="1"/>
  <c r="D1658" i="1" s="1"/>
  <c r="E1658" i="1" s="1"/>
  <c r="C1659" i="1"/>
  <c r="D1659" i="1" s="1"/>
  <c r="E1659" i="1" s="1"/>
  <c r="C1660" i="1"/>
  <c r="D1660" i="1" s="1"/>
  <c r="E1660" i="1" s="1"/>
  <c r="C1661" i="1"/>
  <c r="D1661" i="1" s="1"/>
  <c r="E1661" i="1" s="1"/>
  <c r="C1662" i="1"/>
  <c r="D1662" i="1" s="1"/>
  <c r="E1662" i="1" s="1"/>
  <c r="C1663" i="1"/>
  <c r="D1663" i="1" s="1"/>
  <c r="E1663" i="1" s="1"/>
  <c r="C1664" i="1"/>
  <c r="D1664" i="1" s="1"/>
  <c r="E1664" i="1" s="1"/>
  <c r="C1665" i="1"/>
  <c r="D1665" i="1" s="1"/>
  <c r="E1665" i="1" s="1"/>
  <c r="C1666" i="1"/>
  <c r="D1666" i="1" s="1"/>
  <c r="E1666" i="1" s="1"/>
  <c r="C1667" i="1"/>
  <c r="D1667" i="1" s="1"/>
  <c r="E1667" i="1" s="1"/>
  <c r="C1668" i="1"/>
  <c r="D1668" i="1" s="1"/>
  <c r="E1668" i="1" s="1"/>
  <c r="C1669" i="1"/>
  <c r="D1669" i="1" s="1"/>
  <c r="E1669" i="1" s="1"/>
  <c r="C1670" i="1"/>
  <c r="D1670" i="1" s="1"/>
  <c r="E1670" i="1" s="1"/>
  <c r="C1671" i="1"/>
  <c r="D1671" i="1" s="1"/>
  <c r="E1671" i="1" s="1"/>
  <c r="C1672" i="1"/>
  <c r="D1672" i="1" s="1"/>
  <c r="E1672" i="1" s="1"/>
  <c r="C1673" i="1"/>
  <c r="D1673" i="1" s="1"/>
  <c r="E1673" i="1" s="1"/>
  <c r="C1674" i="1"/>
  <c r="D1674" i="1" s="1"/>
  <c r="E1674" i="1" s="1"/>
  <c r="C1675" i="1"/>
  <c r="D1675" i="1" s="1"/>
  <c r="E1675" i="1" s="1"/>
  <c r="C1676" i="1"/>
  <c r="D1676" i="1" s="1"/>
  <c r="E1676" i="1" s="1"/>
  <c r="C1677" i="1"/>
  <c r="D1677" i="1" s="1"/>
  <c r="E1677" i="1" s="1"/>
  <c r="C1678" i="1"/>
  <c r="D1678" i="1" s="1"/>
  <c r="E1678" i="1" s="1"/>
  <c r="C1679" i="1"/>
  <c r="D1679" i="1" s="1"/>
  <c r="E1679" i="1" s="1"/>
  <c r="C1680" i="1"/>
  <c r="D1680" i="1" s="1"/>
  <c r="E1680" i="1" s="1"/>
  <c r="C1681" i="1"/>
  <c r="D1681" i="1" s="1"/>
  <c r="E1681" i="1" s="1"/>
  <c r="C1682" i="1"/>
  <c r="D1682" i="1" s="1"/>
  <c r="E1682" i="1" s="1"/>
  <c r="C1683" i="1"/>
  <c r="D1683" i="1" s="1"/>
  <c r="E1683" i="1" s="1"/>
  <c r="C1684" i="1"/>
  <c r="D1684" i="1" s="1"/>
  <c r="E1684" i="1" s="1"/>
  <c r="C1685" i="1"/>
  <c r="D1685" i="1" s="1"/>
  <c r="E1685" i="1" s="1"/>
  <c r="C1686" i="1"/>
  <c r="D1686" i="1" s="1"/>
  <c r="E1686" i="1" s="1"/>
  <c r="C1687" i="1"/>
  <c r="D1687" i="1" s="1"/>
  <c r="E1687" i="1" s="1"/>
  <c r="C1688" i="1"/>
  <c r="D1688" i="1" s="1"/>
  <c r="E1688" i="1" s="1"/>
  <c r="C1689" i="1"/>
  <c r="D1689" i="1" s="1"/>
  <c r="E1689" i="1" s="1"/>
  <c r="C1690" i="1"/>
  <c r="D1690" i="1" s="1"/>
  <c r="E1690" i="1" s="1"/>
  <c r="C1691" i="1"/>
  <c r="D1691" i="1" s="1"/>
  <c r="E1691" i="1" s="1"/>
  <c r="C1692" i="1"/>
  <c r="D1692" i="1" s="1"/>
  <c r="E1692" i="1" s="1"/>
  <c r="C1693" i="1"/>
  <c r="D1693" i="1" s="1"/>
  <c r="E1693" i="1" s="1"/>
  <c r="C1694" i="1"/>
  <c r="D1694" i="1" s="1"/>
  <c r="E1694" i="1" s="1"/>
  <c r="C1695" i="1"/>
  <c r="D1695" i="1" s="1"/>
  <c r="E1695" i="1" s="1"/>
  <c r="C1696" i="1"/>
  <c r="D1696" i="1" s="1"/>
  <c r="E1696" i="1" s="1"/>
  <c r="C1697" i="1"/>
  <c r="D1697" i="1" s="1"/>
  <c r="E1697" i="1" s="1"/>
  <c r="C1698" i="1"/>
  <c r="D1698" i="1" s="1"/>
  <c r="E1698" i="1" s="1"/>
  <c r="C1699" i="1"/>
  <c r="D1699" i="1" s="1"/>
  <c r="E1699" i="1" s="1"/>
  <c r="C1700" i="1"/>
  <c r="D1700" i="1" s="1"/>
  <c r="E1700" i="1" s="1"/>
  <c r="C1701" i="1"/>
  <c r="D1701" i="1" s="1"/>
  <c r="E1701" i="1" s="1"/>
  <c r="C1702" i="1"/>
  <c r="D1702" i="1" s="1"/>
  <c r="E1702" i="1" s="1"/>
  <c r="C1703" i="1"/>
  <c r="D1703" i="1" s="1"/>
  <c r="E1703" i="1" s="1"/>
  <c r="C1704" i="1"/>
  <c r="D1704" i="1" s="1"/>
  <c r="E1704" i="1" s="1"/>
  <c r="C1705" i="1"/>
  <c r="D1705" i="1" s="1"/>
  <c r="E1705" i="1" s="1"/>
  <c r="C1706" i="1"/>
  <c r="D1706" i="1" s="1"/>
  <c r="E1706" i="1" s="1"/>
  <c r="C1707" i="1"/>
  <c r="D1707" i="1" s="1"/>
  <c r="E1707" i="1" s="1"/>
  <c r="C1708" i="1"/>
  <c r="D1708" i="1" s="1"/>
  <c r="E1708" i="1" s="1"/>
  <c r="C1709" i="1"/>
  <c r="D1709" i="1" s="1"/>
  <c r="E1709" i="1" s="1"/>
  <c r="C1710" i="1"/>
  <c r="D1710" i="1" s="1"/>
  <c r="E1710" i="1" s="1"/>
  <c r="C1711" i="1"/>
  <c r="D1711" i="1" s="1"/>
  <c r="E1711" i="1" s="1"/>
  <c r="C1712" i="1"/>
  <c r="D1712" i="1" s="1"/>
  <c r="E1712" i="1" s="1"/>
  <c r="C1713" i="1"/>
  <c r="D1713" i="1" s="1"/>
  <c r="E1713" i="1" s="1"/>
  <c r="C1714" i="1"/>
  <c r="D1714" i="1" s="1"/>
  <c r="E1714" i="1" s="1"/>
  <c r="C1715" i="1"/>
  <c r="D1715" i="1" s="1"/>
  <c r="E1715" i="1" s="1"/>
  <c r="C1716" i="1"/>
  <c r="D1716" i="1" s="1"/>
  <c r="E1716" i="1" s="1"/>
  <c r="C1717" i="1"/>
  <c r="D1717" i="1" s="1"/>
  <c r="E1717" i="1" s="1"/>
  <c r="C1718" i="1"/>
  <c r="D1718" i="1" s="1"/>
  <c r="E1718" i="1" s="1"/>
  <c r="C1719" i="1"/>
  <c r="D1719" i="1" s="1"/>
  <c r="E1719" i="1" s="1"/>
  <c r="C1720" i="1"/>
  <c r="D1720" i="1" s="1"/>
  <c r="E1720" i="1" s="1"/>
  <c r="C1721" i="1"/>
  <c r="D1721" i="1" s="1"/>
  <c r="E1721" i="1" s="1"/>
  <c r="C1722" i="1"/>
  <c r="D1722" i="1" s="1"/>
  <c r="E1722" i="1" s="1"/>
  <c r="C1723" i="1"/>
  <c r="D1723" i="1" s="1"/>
  <c r="E1723" i="1" s="1"/>
  <c r="C1724" i="1"/>
  <c r="D1724" i="1" s="1"/>
  <c r="E1724" i="1" s="1"/>
  <c r="C1725" i="1"/>
  <c r="D1725" i="1" s="1"/>
  <c r="E1725" i="1" s="1"/>
  <c r="C1726" i="1"/>
  <c r="D1726" i="1" s="1"/>
  <c r="E1726" i="1" s="1"/>
  <c r="C1727" i="1"/>
  <c r="D1727" i="1" s="1"/>
  <c r="E1727" i="1" s="1"/>
  <c r="C1728" i="1"/>
  <c r="D1728" i="1" s="1"/>
  <c r="E1728" i="1" s="1"/>
  <c r="C1729" i="1"/>
  <c r="D1729" i="1" s="1"/>
  <c r="E1729" i="1" s="1"/>
  <c r="C1730" i="1"/>
  <c r="D1730" i="1" s="1"/>
  <c r="E1730" i="1" s="1"/>
  <c r="C1731" i="1"/>
  <c r="D1731" i="1" s="1"/>
  <c r="E1731" i="1" s="1"/>
  <c r="C1732" i="1"/>
  <c r="D1732" i="1" s="1"/>
  <c r="E1732" i="1" s="1"/>
  <c r="C1733" i="1"/>
  <c r="D1733" i="1" s="1"/>
  <c r="E1733" i="1" s="1"/>
  <c r="C1734" i="1"/>
  <c r="D1734" i="1" s="1"/>
  <c r="E1734" i="1" s="1"/>
  <c r="C1735" i="1"/>
  <c r="D1735" i="1" s="1"/>
  <c r="E1735" i="1" s="1"/>
  <c r="C1736" i="1"/>
  <c r="D1736" i="1" s="1"/>
  <c r="E1736" i="1" s="1"/>
  <c r="C1737" i="1"/>
  <c r="D1737" i="1" s="1"/>
  <c r="E1737" i="1" s="1"/>
  <c r="C1738" i="1"/>
  <c r="D1738" i="1" s="1"/>
  <c r="E1738" i="1" s="1"/>
  <c r="C1739" i="1"/>
  <c r="D1739" i="1" s="1"/>
  <c r="E1739" i="1" s="1"/>
  <c r="C1740" i="1"/>
  <c r="D1740" i="1" s="1"/>
  <c r="E1740" i="1" s="1"/>
  <c r="C1741" i="1"/>
  <c r="D1741" i="1" s="1"/>
  <c r="E1741" i="1" s="1"/>
  <c r="C1742" i="1"/>
  <c r="D1742" i="1" s="1"/>
  <c r="E1742" i="1" s="1"/>
  <c r="C1743" i="1"/>
  <c r="D1743" i="1" s="1"/>
  <c r="E1743" i="1" s="1"/>
  <c r="C1744" i="1"/>
  <c r="D1744" i="1" s="1"/>
  <c r="E1744" i="1" s="1"/>
  <c r="C1745" i="1"/>
  <c r="D1745" i="1" s="1"/>
  <c r="E1745" i="1" s="1"/>
  <c r="C1746" i="1"/>
  <c r="D1746" i="1" s="1"/>
  <c r="E1746" i="1" s="1"/>
  <c r="C1747" i="1"/>
  <c r="D1747" i="1" s="1"/>
  <c r="E1747" i="1" s="1"/>
  <c r="C1748" i="1"/>
  <c r="D1748" i="1" s="1"/>
  <c r="E1748" i="1" s="1"/>
  <c r="C1749" i="1"/>
  <c r="D1749" i="1" s="1"/>
  <c r="E1749" i="1" s="1"/>
  <c r="C1750" i="1"/>
  <c r="D1750" i="1" s="1"/>
  <c r="E1750" i="1" s="1"/>
  <c r="C1751" i="1"/>
  <c r="D1751" i="1" s="1"/>
  <c r="E1751" i="1" s="1"/>
  <c r="C1752" i="1"/>
  <c r="D1752" i="1" s="1"/>
  <c r="E1752" i="1" s="1"/>
  <c r="C1753" i="1"/>
  <c r="D1753" i="1" s="1"/>
  <c r="E1753" i="1" s="1"/>
  <c r="C1754" i="1"/>
  <c r="D1754" i="1" s="1"/>
  <c r="E1754" i="1" s="1"/>
  <c r="C1755" i="1"/>
  <c r="D1755" i="1" s="1"/>
  <c r="E1755" i="1" s="1"/>
  <c r="C1756" i="1"/>
  <c r="D1756" i="1" s="1"/>
  <c r="E1756" i="1" s="1"/>
  <c r="C1757" i="1"/>
  <c r="D1757" i="1" s="1"/>
  <c r="E1757" i="1" s="1"/>
  <c r="C1758" i="1"/>
  <c r="D1758" i="1" s="1"/>
  <c r="E1758" i="1" s="1"/>
  <c r="C1759" i="1"/>
  <c r="D1759" i="1" s="1"/>
  <c r="E1759" i="1" s="1"/>
  <c r="C1760" i="1"/>
  <c r="D1760" i="1" s="1"/>
  <c r="E1760" i="1" s="1"/>
  <c r="C1761" i="1"/>
  <c r="D1761" i="1" s="1"/>
  <c r="E1761" i="1" s="1"/>
  <c r="C1762" i="1"/>
  <c r="D1762" i="1" s="1"/>
  <c r="E1762" i="1" s="1"/>
  <c r="C1763" i="1"/>
  <c r="D1763" i="1" s="1"/>
  <c r="E1763" i="1" s="1"/>
  <c r="C1764" i="1"/>
  <c r="D1764" i="1" s="1"/>
  <c r="E1764" i="1" s="1"/>
  <c r="C1765" i="1"/>
  <c r="D1765" i="1" s="1"/>
  <c r="E1765" i="1" s="1"/>
  <c r="C1766" i="1"/>
  <c r="D1766" i="1" s="1"/>
  <c r="E1766" i="1" s="1"/>
  <c r="C1767" i="1"/>
  <c r="D1767" i="1" s="1"/>
  <c r="E1767" i="1" s="1"/>
  <c r="C1768" i="1"/>
  <c r="D1768" i="1" s="1"/>
  <c r="E1768" i="1" s="1"/>
  <c r="C1769" i="1"/>
  <c r="D1769" i="1" s="1"/>
  <c r="E1769" i="1" s="1"/>
  <c r="C1770" i="1"/>
  <c r="D1770" i="1" s="1"/>
  <c r="E1770" i="1" s="1"/>
  <c r="C1771" i="1"/>
  <c r="D1771" i="1" s="1"/>
  <c r="E1771" i="1" s="1"/>
  <c r="C1772" i="1"/>
  <c r="D1772" i="1" s="1"/>
  <c r="E1772" i="1" s="1"/>
  <c r="C1773" i="1"/>
  <c r="D1773" i="1" s="1"/>
  <c r="E1773" i="1" s="1"/>
  <c r="C1774" i="1"/>
  <c r="D1774" i="1" s="1"/>
  <c r="E1774" i="1" s="1"/>
  <c r="C1775" i="1"/>
  <c r="D1775" i="1" s="1"/>
  <c r="E1775" i="1" s="1"/>
  <c r="C1776" i="1"/>
  <c r="D1776" i="1" s="1"/>
  <c r="E1776" i="1" s="1"/>
  <c r="C1777" i="1"/>
  <c r="D1777" i="1" s="1"/>
  <c r="E1777" i="1" s="1"/>
  <c r="C1778" i="1"/>
  <c r="D1778" i="1" s="1"/>
  <c r="E1778" i="1" s="1"/>
  <c r="C1779" i="1"/>
  <c r="D1779" i="1" s="1"/>
  <c r="E1779" i="1" s="1"/>
  <c r="C1780" i="1"/>
  <c r="D1780" i="1" s="1"/>
  <c r="E1780" i="1" s="1"/>
  <c r="C1781" i="1"/>
  <c r="D1781" i="1" s="1"/>
  <c r="E1781" i="1" s="1"/>
  <c r="C1782" i="1"/>
  <c r="D1782" i="1" s="1"/>
  <c r="E1782" i="1" s="1"/>
  <c r="C1783" i="1"/>
  <c r="D1783" i="1" s="1"/>
  <c r="E1783" i="1" s="1"/>
  <c r="C1784" i="1"/>
  <c r="D1784" i="1" s="1"/>
  <c r="E1784" i="1" s="1"/>
  <c r="C1785" i="1"/>
  <c r="D1785" i="1" s="1"/>
  <c r="E1785" i="1" s="1"/>
  <c r="C1786" i="1"/>
  <c r="D1786" i="1" s="1"/>
  <c r="E1786" i="1" s="1"/>
  <c r="C1787" i="1"/>
  <c r="D1787" i="1" s="1"/>
  <c r="E1787" i="1" s="1"/>
  <c r="C1788" i="1"/>
  <c r="D1788" i="1" s="1"/>
  <c r="E1788" i="1" s="1"/>
  <c r="C1789" i="1"/>
  <c r="D1789" i="1" s="1"/>
  <c r="E1789" i="1" s="1"/>
  <c r="C1790" i="1"/>
  <c r="D1790" i="1" s="1"/>
  <c r="E1790" i="1" s="1"/>
  <c r="C1791" i="1"/>
  <c r="D1791" i="1" s="1"/>
  <c r="E1791" i="1" s="1"/>
  <c r="C1792" i="1"/>
  <c r="D1792" i="1" s="1"/>
  <c r="E1792" i="1" s="1"/>
  <c r="C1793" i="1"/>
  <c r="D1793" i="1" s="1"/>
  <c r="E1793" i="1" s="1"/>
  <c r="C1794" i="1"/>
  <c r="D1794" i="1" s="1"/>
  <c r="E1794" i="1" s="1"/>
  <c r="C1795" i="1"/>
  <c r="D1795" i="1" s="1"/>
  <c r="E1795" i="1" s="1"/>
  <c r="C1796" i="1"/>
  <c r="D1796" i="1" s="1"/>
  <c r="E1796" i="1" s="1"/>
  <c r="C1797" i="1"/>
  <c r="D1797" i="1" s="1"/>
  <c r="E1797" i="1" s="1"/>
  <c r="C1798" i="1"/>
  <c r="D1798" i="1" s="1"/>
  <c r="E1798" i="1" s="1"/>
  <c r="C1799" i="1"/>
  <c r="D1799" i="1" s="1"/>
  <c r="E1799" i="1" s="1"/>
  <c r="C1800" i="1"/>
  <c r="D1800" i="1" s="1"/>
  <c r="E1800" i="1" s="1"/>
  <c r="C1801" i="1"/>
  <c r="D1801" i="1" s="1"/>
  <c r="E1801" i="1" s="1"/>
  <c r="C1802" i="1"/>
  <c r="D1802" i="1" s="1"/>
  <c r="E1802" i="1" s="1"/>
  <c r="C1803" i="1"/>
  <c r="D1803" i="1" s="1"/>
  <c r="E1803" i="1" s="1"/>
  <c r="C1804" i="1"/>
  <c r="D1804" i="1" s="1"/>
  <c r="E1804" i="1" s="1"/>
  <c r="C1805" i="1"/>
  <c r="D1805" i="1" s="1"/>
  <c r="E1805" i="1" s="1"/>
  <c r="C1806" i="1"/>
  <c r="D1806" i="1" s="1"/>
  <c r="E1806" i="1" s="1"/>
  <c r="C1807" i="1"/>
  <c r="D1807" i="1" s="1"/>
  <c r="E1807" i="1" s="1"/>
  <c r="C1808" i="1"/>
  <c r="D1808" i="1" s="1"/>
  <c r="E1808" i="1" s="1"/>
  <c r="C1809" i="1"/>
  <c r="D1809" i="1" s="1"/>
  <c r="E1809" i="1" s="1"/>
  <c r="C1810" i="1"/>
  <c r="D1810" i="1" s="1"/>
  <c r="E1810" i="1" s="1"/>
  <c r="C1811" i="1"/>
  <c r="D1811" i="1" s="1"/>
  <c r="E1811" i="1" s="1"/>
  <c r="C1812" i="1"/>
  <c r="D1812" i="1" s="1"/>
  <c r="E1812" i="1" s="1"/>
  <c r="C1813" i="1"/>
  <c r="D1813" i="1" s="1"/>
  <c r="E1813" i="1" s="1"/>
  <c r="C1814" i="1"/>
  <c r="D1814" i="1" s="1"/>
  <c r="E1814" i="1" s="1"/>
  <c r="C1815" i="1"/>
  <c r="D1815" i="1" s="1"/>
  <c r="E1815" i="1" s="1"/>
  <c r="C1816" i="1"/>
  <c r="D1816" i="1" s="1"/>
  <c r="E1816" i="1" s="1"/>
  <c r="C1817" i="1"/>
  <c r="D1817" i="1" s="1"/>
  <c r="E1817" i="1" s="1"/>
  <c r="C1818" i="1"/>
  <c r="D1818" i="1" s="1"/>
  <c r="E1818" i="1" s="1"/>
  <c r="C1819" i="1"/>
  <c r="D1819" i="1" s="1"/>
  <c r="E1819" i="1" s="1"/>
  <c r="C1820" i="1"/>
  <c r="D1820" i="1" s="1"/>
  <c r="E1820" i="1" s="1"/>
  <c r="C1821" i="1"/>
  <c r="D1821" i="1" s="1"/>
  <c r="E1821" i="1" s="1"/>
  <c r="C1822" i="1"/>
  <c r="D1822" i="1" s="1"/>
  <c r="E1822" i="1" s="1"/>
  <c r="C1823" i="1"/>
  <c r="D1823" i="1" s="1"/>
  <c r="E1823" i="1" s="1"/>
  <c r="C1824" i="1"/>
  <c r="D1824" i="1" s="1"/>
  <c r="E1824" i="1" s="1"/>
  <c r="C1825" i="1"/>
  <c r="D1825" i="1" s="1"/>
  <c r="E1825" i="1" s="1"/>
  <c r="C1826" i="1"/>
  <c r="D1826" i="1" s="1"/>
  <c r="E1826" i="1" s="1"/>
  <c r="C1827" i="1"/>
  <c r="D1827" i="1" s="1"/>
  <c r="E1827" i="1" s="1"/>
  <c r="C1828" i="1"/>
  <c r="D1828" i="1" s="1"/>
  <c r="E1828" i="1" s="1"/>
  <c r="C1829" i="1"/>
  <c r="D1829" i="1" s="1"/>
  <c r="E1829" i="1" s="1"/>
  <c r="C1830" i="1"/>
  <c r="D1830" i="1" s="1"/>
  <c r="E1830" i="1" s="1"/>
  <c r="C1831" i="1"/>
  <c r="D1831" i="1" s="1"/>
  <c r="E1831" i="1" s="1"/>
  <c r="C1832" i="1"/>
  <c r="D1832" i="1" s="1"/>
  <c r="E1832" i="1" s="1"/>
  <c r="C1833" i="1"/>
  <c r="D1833" i="1" s="1"/>
  <c r="E1833" i="1" s="1"/>
  <c r="C1834" i="1"/>
  <c r="D1834" i="1" s="1"/>
  <c r="E1834" i="1" s="1"/>
  <c r="C1835" i="1"/>
  <c r="D1835" i="1" s="1"/>
  <c r="E1835" i="1" s="1"/>
  <c r="C1836" i="1"/>
  <c r="D1836" i="1" s="1"/>
  <c r="E1836" i="1" s="1"/>
  <c r="C1837" i="1"/>
  <c r="D1837" i="1" s="1"/>
  <c r="E1837" i="1" s="1"/>
  <c r="C1838" i="1"/>
  <c r="D1838" i="1" s="1"/>
  <c r="E1838" i="1" s="1"/>
  <c r="C1839" i="1"/>
  <c r="D1839" i="1" s="1"/>
  <c r="E1839" i="1" s="1"/>
  <c r="C1840" i="1"/>
  <c r="D1840" i="1" s="1"/>
  <c r="E1840" i="1" s="1"/>
  <c r="C1841" i="1"/>
  <c r="D1841" i="1" s="1"/>
  <c r="E1841" i="1" s="1"/>
  <c r="C1842" i="1"/>
  <c r="D1842" i="1" s="1"/>
  <c r="E1842" i="1" s="1"/>
  <c r="C1843" i="1"/>
  <c r="D1843" i="1" s="1"/>
  <c r="E1843" i="1" s="1"/>
  <c r="C1844" i="1"/>
  <c r="D1844" i="1" s="1"/>
  <c r="E1844" i="1" s="1"/>
  <c r="C1845" i="1"/>
  <c r="D1845" i="1" s="1"/>
  <c r="E1845" i="1" s="1"/>
  <c r="C1846" i="1"/>
  <c r="D1846" i="1" s="1"/>
  <c r="E1846" i="1" s="1"/>
  <c r="C1847" i="1"/>
  <c r="D1847" i="1" s="1"/>
  <c r="E1847" i="1" s="1"/>
  <c r="C1848" i="1"/>
  <c r="D1848" i="1" s="1"/>
  <c r="E1848" i="1" s="1"/>
  <c r="C1849" i="1"/>
  <c r="D1849" i="1" s="1"/>
  <c r="E1849" i="1" s="1"/>
  <c r="C1850" i="1"/>
  <c r="D1850" i="1" s="1"/>
  <c r="E1850" i="1" s="1"/>
  <c r="C1851" i="1"/>
  <c r="D1851" i="1" s="1"/>
  <c r="E1851" i="1" s="1"/>
  <c r="C1852" i="1"/>
  <c r="D1852" i="1" s="1"/>
  <c r="E1852" i="1" s="1"/>
  <c r="C1853" i="1"/>
  <c r="D1853" i="1" s="1"/>
  <c r="E1853" i="1" s="1"/>
  <c r="C1854" i="1"/>
  <c r="D1854" i="1" s="1"/>
  <c r="E1854" i="1" s="1"/>
  <c r="C1855" i="1"/>
  <c r="D1855" i="1" s="1"/>
  <c r="E1855" i="1" s="1"/>
  <c r="C1856" i="1"/>
  <c r="D1856" i="1" s="1"/>
  <c r="E1856" i="1" s="1"/>
  <c r="C1857" i="1"/>
  <c r="D1857" i="1" s="1"/>
  <c r="E1857" i="1" s="1"/>
  <c r="C1858" i="1"/>
  <c r="D1858" i="1" s="1"/>
  <c r="E1858" i="1" s="1"/>
  <c r="C1859" i="1"/>
  <c r="D1859" i="1" s="1"/>
  <c r="E1859" i="1" s="1"/>
  <c r="C1860" i="1"/>
  <c r="D1860" i="1" s="1"/>
  <c r="E1860" i="1" s="1"/>
  <c r="C1861" i="1"/>
  <c r="D1861" i="1" s="1"/>
  <c r="E1861" i="1" s="1"/>
  <c r="C1862" i="1"/>
  <c r="D1862" i="1" s="1"/>
  <c r="E1862" i="1" s="1"/>
  <c r="C1863" i="1"/>
  <c r="D1863" i="1" s="1"/>
  <c r="E1863" i="1" s="1"/>
  <c r="C1864" i="1"/>
  <c r="D1864" i="1" s="1"/>
  <c r="E1864" i="1" s="1"/>
  <c r="C1865" i="1"/>
  <c r="D1865" i="1" s="1"/>
  <c r="E1865" i="1" s="1"/>
  <c r="C1866" i="1"/>
  <c r="D1866" i="1" s="1"/>
  <c r="E1866" i="1" s="1"/>
  <c r="C1867" i="1"/>
  <c r="D1867" i="1" s="1"/>
  <c r="E1867" i="1" s="1"/>
  <c r="C1868" i="1"/>
  <c r="D1868" i="1" s="1"/>
  <c r="E1868" i="1" s="1"/>
  <c r="C1869" i="1"/>
  <c r="D1869" i="1" s="1"/>
  <c r="E1869" i="1" s="1"/>
  <c r="C1870" i="1"/>
  <c r="D1870" i="1" s="1"/>
  <c r="E1870" i="1" s="1"/>
  <c r="C1871" i="1"/>
  <c r="D1871" i="1" s="1"/>
  <c r="E1871" i="1" s="1"/>
  <c r="C1872" i="1"/>
  <c r="D1872" i="1" s="1"/>
  <c r="E1872" i="1" s="1"/>
  <c r="C1873" i="1"/>
  <c r="D1873" i="1" s="1"/>
  <c r="E1873" i="1" s="1"/>
  <c r="C1874" i="1"/>
  <c r="D1874" i="1" s="1"/>
  <c r="E1874" i="1" s="1"/>
  <c r="C1875" i="1"/>
  <c r="D1875" i="1" s="1"/>
  <c r="E1875" i="1" s="1"/>
  <c r="C1876" i="1"/>
  <c r="D1876" i="1" s="1"/>
  <c r="E1876" i="1" s="1"/>
  <c r="C1877" i="1"/>
  <c r="D1877" i="1" s="1"/>
  <c r="E1877" i="1" s="1"/>
  <c r="C1878" i="1"/>
  <c r="D1878" i="1" s="1"/>
  <c r="E1878" i="1" s="1"/>
  <c r="C1879" i="1"/>
  <c r="D1879" i="1" s="1"/>
  <c r="E1879" i="1" s="1"/>
  <c r="C1880" i="1"/>
  <c r="D1880" i="1" s="1"/>
  <c r="E1880" i="1" s="1"/>
  <c r="C1881" i="1"/>
  <c r="D1881" i="1" s="1"/>
  <c r="E1881" i="1" s="1"/>
  <c r="C1882" i="1"/>
  <c r="D1882" i="1" s="1"/>
  <c r="E1882" i="1" s="1"/>
  <c r="C1883" i="1"/>
  <c r="D1883" i="1" s="1"/>
  <c r="E1883" i="1" s="1"/>
  <c r="C1884" i="1"/>
  <c r="D1884" i="1" s="1"/>
  <c r="E1884" i="1" s="1"/>
  <c r="C1885" i="1"/>
  <c r="D1885" i="1" s="1"/>
  <c r="E1885" i="1" s="1"/>
  <c r="C1886" i="1"/>
  <c r="D1886" i="1" s="1"/>
  <c r="E1886" i="1" s="1"/>
  <c r="C1887" i="1"/>
  <c r="D1887" i="1" s="1"/>
  <c r="E1887" i="1" s="1"/>
  <c r="C1888" i="1"/>
  <c r="D1888" i="1" s="1"/>
  <c r="E1888" i="1" s="1"/>
  <c r="C1889" i="1"/>
  <c r="D1889" i="1" s="1"/>
  <c r="E1889" i="1" s="1"/>
  <c r="C1890" i="1"/>
  <c r="D1890" i="1" s="1"/>
  <c r="E1890" i="1" s="1"/>
  <c r="C1891" i="1"/>
  <c r="D1891" i="1" s="1"/>
  <c r="E1891" i="1" s="1"/>
  <c r="C1892" i="1"/>
  <c r="D1892" i="1" s="1"/>
  <c r="E1892" i="1" s="1"/>
  <c r="C1893" i="1"/>
  <c r="D1893" i="1" s="1"/>
  <c r="E1893" i="1" s="1"/>
  <c r="C1894" i="1"/>
  <c r="D1894" i="1" s="1"/>
  <c r="E1894" i="1" s="1"/>
  <c r="C1895" i="1"/>
  <c r="D1895" i="1" s="1"/>
  <c r="E1895" i="1" s="1"/>
  <c r="C1896" i="1"/>
  <c r="D1896" i="1" s="1"/>
  <c r="E1896" i="1" s="1"/>
  <c r="C1897" i="1"/>
  <c r="D1897" i="1" s="1"/>
  <c r="E1897" i="1" s="1"/>
  <c r="C1898" i="1"/>
  <c r="D1898" i="1" s="1"/>
  <c r="E1898" i="1" s="1"/>
  <c r="C1899" i="1"/>
  <c r="D1899" i="1" s="1"/>
  <c r="E1899" i="1" s="1"/>
  <c r="C1900" i="1"/>
  <c r="D1900" i="1" s="1"/>
  <c r="E1900" i="1" s="1"/>
  <c r="C1901" i="1"/>
  <c r="D1901" i="1" s="1"/>
  <c r="E1901" i="1" s="1"/>
  <c r="C1902" i="1"/>
  <c r="D1902" i="1" s="1"/>
  <c r="E1902" i="1" s="1"/>
  <c r="C1903" i="1"/>
  <c r="D1903" i="1" s="1"/>
  <c r="E1903" i="1" s="1"/>
  <c r="C1904" i="1"/>
  <c r="D1904" i="1" s="1"/>
  <c r="E1904" i="1" s="1"/>
  <c r="C1905" i="1"/>
  <c r="D1905" i="1" s="1"/>
  <c r="E1905" i="1" s="1"/>
  <c r="C1906" i="1"/>
  <c r="D1906" i="1" s="1"/>
  <c r="E1906" i="1" s="1"/>
  <c r="C1907" i="1"/>
  <c r="D1907" i="1" s="1"/>
  <c r="E1907" i="1" s="1"/>
  <c r="C1908" i="1"/>
  <c r="D1908" i="1" s="1"/>
  <c r="E1908" i="1" s="1"/>
  <c r="C1909" i="1"/>
  <c r="D1909" i="1" s="1"/>
  <c r="E1909" i="1" s="1"/>
  <c r="C1910" i="1"/>
  <c r="D1910" i="1" s="1"/>
  <c r="E1910" i="1" s="1"/>
  <c r="C1911" i="1"/>
  <c r="D1911" i="1" s="1"/>
  <c r="E1911" i="1" s="1"/>
  <c r="C1912" i="1"/>
  <c r="D1912" i="1" s="1"/>
  <c r="E1912" i="1" s="1"/>
  <c r="C1913" i="1"/>
  <c r="D1913" i="1" s="1"/>
  <c r="E1913" i="1" s="1"/>
  <c r="C1914" i="1"/>
  <c r="D1914" i="1" s="1"/>
  <c r="E1914" i="1" s="1"/>
  <c r="C1915" i="1"/>
  <c r="D1915" i="1" s="1"/>
  <c r="E1915" i="1" s="1"/>
  <c r="C1916" i="1"/>
  <c r="D1916" i="1" s="1"/>
  <c r="E1916" i="1" s="1"/>
  <c r="C1917" i="1"/>
  <c r="D1917" i="1" s="1"/>
  <c r="E1917" i="1" s="1"/>
  <c r="C1918" i="1"/>
  <c r="D1918" i="1" s="1"/>
  <c r="E1918" i="1" s="1"/>
  <c r="C1919" i="1"/>
  <c r="D1919" i="1" s="1"/>
  <c r="E1919" i="1" s="1"/>
  <c r="C1920" i="1"/>
  <c r="D1920" i="1" s="1"/>
  <c r="E1920" i="1" s="1"/>
  <c r="C1921" i="1"/>
  <c r="D1921" i="1" s="1"/>
  <c r="E1921" i="1" s="1"/>
  <c r="C1922" i="1"/>
  <c r="D1922" i="1" s="1"/>
  <c r="E1922" i="1" s="1"/>
  <c r="C1923" i="1"/>
  <c r="D1923" i="1" s="1"/>
  <c r="E1923" i="1" s="1"/>
  <c r="C1924" i="1"/>
  <c r="D1924" i="1" s="1"/>
  <c r="E1924" i="1" s="1"/>
  <c r="C1925" i="1"/>
  <c r="D1925" i="1" s="1"/>
  <c r="E1925" i="1" s="1"/>
  <c r="C1926" i="1"/>
  <c r="D1926" i="1" s="1"/>
  <c r="E1926" i="1" s="1"/>
  <c r="C1927" i="1"/>
  <c r="D1927" i="1" s="1"/>
  <c r="E1927" i="1" s="1"/>
  <c r="C1928" i="1"/>
  <c r="D1928" i="1" s="1"/>
  <c r="E1928" i="1" s="1"/>
  <c r="C1929" i="1"/>
  <c r="D1929" i="1" s="1"/>
  <c r="E1929" i="1" s="1"/>
  <c r="C1930" i="1"/>
  <c r="D1930" i="1" s="1"/>
  <c r="E1930" i="1" s="1"/>
  <c r="C1931" i="1"/>
  <c r="D1931" i="1" s="1"/>
  <c r="E1931" i="1" s="1"/>
  <c r="C1932" i="1"/>
  <c r="D1932" i="1" s="1"/>
  <c r="E1932" i="1" s="1"/>
  <c r="C1933" i="1"/>
  <c r="D1933" i="1" s="1"/>
  <c r="E1933" i="1" s="1"/>
  <c r="C1934" i="1"/>
  <c r="D1934" i="1" s="1"/>
  <c r="E1934" i="1" s="1"/>
  <c r="C1935" i="1"/>
  <c r="D1935" i="1" s="1"/>
  <c r="E1935" i="1" s="1"/>
  <c r="C1936" i="1"/>
  <c r="D1936" i="1" s="1"/>
  <c r="E1936" i="1" s="1"/>
  <c r="C1937" i="1"/>
  <c r="D1937" i="1" s="1"/>
  <c r="E1937" i="1" s="1"/>
  <c r="C1938" i="1"/>
  <c r="D1938" i="1" s="1"/>
  <c r="E1938" i="1" s="1"/>
  <c r="C1939" i="1"/>
  <c r="D1939" i="1" s="1"/>
  <c r="E1939" i="1" s="1"/>
  <c r="C1940" i="1"/>
  <c r="D1940" i="1" s="1"/>
  <c r="E1940" i="1" s="1"/>
  <c r="C1941" i="1"/>
  <c r="D1941" i="1" s="1"/>
  <c r="E1941" i="1" s="1"/>
  <c r="C1942" i="1"/>
  <c r="D1942" i="1" s="1"/>
  <c r="E1942" i="1" s="1"/>
  <c r="C1943" i="1"/>
  <c r="D1943" i="1" s="1"/>
  <c r="E1943" i="1" s="1"/>
  <c r="C1944" i="1"/>
  <c r="D1944" i="1" s="1"/>
  <c r="E1944" i="1" s="1"/>
  <c r="C1945" i="1"/>
  <c r="D1945" i="1" s="1"/>
  <c r="E1945" i="1" s="1"/>
  <c r="C1946" i="1"/>
  <c r="D1946" i="1" s="1"/>
  <c r="E1946" i="1" s="1"/>
  <c r="C1947" i="1"/>
  <c r="D1947" i="1" s="1"/>
  <c r="E1947" i="1" s="1"/>
  <c r="C1948" i="1"/>
  <c r="D1948" i="1" s="1"/>
  <c r="E1948" i="1" s="1"/>
  <c r="C1949" i="1"/>
  <c r="D1949" i="1" s="1"/>
  <c r="E1949" i="1" s="1"/>
  <c r="C1950" i="1"/>
  <c r="D1950" i="1" s="1"/>
  <c r="E1950" i="1" s="1"/>
  <c r="C1951" i="1"/>
  <c r="D1951" i="1" s="1"/>
  <c r="E1951" i="1" s="1"/>
  <c r="C1952" i="1"/>
  <c r="D1952" i="1" s="1"/>
  <c r="E1952" i="1" s="1"/>
  <c r="C1953" i="1"/>
  <c r="D1953" i="1" s="1"/>
  <c r="E1953" i="1" s="1"/>
  <c r="C1954" i="1"/>
  <c r="D1954" i="1" s="1"/>
  <c r="E1954" i="1" s="1"/>
  <c r="C1955" i="1"/>
  <c r="D1955" i="1" s="1"/>
  <c r="E1955" i="1" s="1"/>
  <c r="C1956" i="1"/>
  <c r="D1956" i="1" s="1"/>
  <c r="E1956" i="1" s="1"/>
  <c r="C1957" i="1"/>
  <c r="D1957" i="1" s="1"/>
  <c r="E1957" i="1" s="1"/>
  <c r="C1958" i="1"/>
  <c r="D1958" i="1" s="1"/>
  <c r="E1958" i="1" s="1"/>
  <c r="C1959" i="1"/>
  <c r="D1959" i="1" s="1"/>
  <c r="E1959" i="1" s="1"/>
  <c r="C1960" i="1"/>
  <c r="D1960" i="1" s="1"/>
  <c r="E1960" i="1" s="1"/>
  <c r="C1961" i="1"/>
  <c r="D1961" i="1" s="1"/>
  <c r="E1961" i="1" s="1"/>
  <c r="C1962" i="1"/>
  <c r="D1962" i="1" s="1"/>
  <c r="E1962" i="1" s="1"/>
  <c r="C1963" i="1"/>
  <c r="D1963" i="1" s="1"/>
  <c r="E1963" i="1" s="1"/>
  <c r="C1964" i="1"/>
  <c r="D1964" i="1" s="1"/>
  <c r="E1964" i="1" s="1"/>
  <c r="C1965" i="1"/>
  <c r="D1965" i="1" s="1"/>
  <c r="E1965" i="1" s="1"/>
  <c r="C1966" i="1"/>
  <c r="D1966" i="1" s="1"/>
  <c r="E1966" i="1" s="1"/>
  <c r="C1967" i="1"/>
  <c r="D1967" i="1" s="1"/>
  <c r="E1967" i="1" s="1"/>
  <c r="C1968" i="1"/>
  <c r="D1968" i="1" s="1"/>
  <c r="E1968" i="1" s="1"/>
  <c r="C1969" i="1"/>
  <c r="D1969" i="1" s="1"/>
  <c r="E1969" i="1" s="1"/>
  <c r="C1970" i="1"/>
  <c r="D1970" i="1" s="1"/>
  <c r="E1970" i="1" s="1"/>
  <c r="C1971" i="1"/>
  <c r="D1971" i="1" s="1"/>
  <c r="E1971" i="1" s="1"/>
  <c r="C1972" i="1"/>
  <c r="D1972" i="1" s="1"/>
  <c r="E1972" i="1" s="1"/>
  <c r="C1973" i="1"/>
  <c r="D1973" i="1" s="1"/>
  <c r="E1973" i="1" s="1"/>
  <c r="C1974" i="1"/>
  <c r="D1974" i="1" s="1"/>
  <c r="E1974" i="1" s="1"/>
  <c r="C1975" i="1"/>
  <c r="D1975" i="1" s="1"/>
  <c r="E1975" i="1" s="1"/>
  <c r="C1976" i="1"/>
  <c r="D1976" i="1" s="1"/>
  <c r="E1976" i="1" s="1"/>
  <c r="C1977" i="1"/>
  <c r="D1977" i="1" s="1"/>
  <c r="E1977" i="1" s="1"/>
  <c r="C1978" i="1"/>
  <c r="D1978" i="1" s="1"/>
  <c r="E1978" i="1" s="1"/>
  <c r="C1979" i="1"/>
  <c r="D1979" i="1" s="1"/>
  <c r="E1979" i="1" s="1"/>
  <c r="C1980" i="1"/>
  <c r="D1980" i="1" s="1"/>
  <c r="E1980" i="1" s="1"/>
  <c r="C1981" i="1"/>
  <c r="D1981" i="1" s="1"/>
  <c r="E1981" i="1" s="1"/>
  <c r="C1982" i="1"/>
  <c r="D1982" i="1" s="1"/>
  <c r="E1982" i="1" s="1"/>
  <c r="C1983" i="1"/>
  <c r="D1983" i="1" s="1"/>
  <c r="E1983" i="1" s="1"/>
  <c r="C1984" i="1"/>
  <c r="D1984" i="1" s="1"/>
  <c r="E1984" i="1" s="1"/>
  <c r="C1985" i="1"/>
  <c r="D1985" i="1" s="1"/>
  <c r="E1985" i="1" s="1"/>
  <c r="C1986" i="1"/>
  <c r="D1986" i="1" s="1"/>
  <c r="E1986" i="1" s="1"/>
  <c r="C1987" i="1"/>
  <c r="D1987" i="1" s="1"/>
  <c r="E1987" i="1" s="1"/>
  <c r="C1988" i="1"/>
  <c r="D1988" i="1" s="1"/>
  <c r="E1988" i="1" s="1"/>
  <c r="C1989" i="1"/>
  <c r="D1989" i="1" s="1"/>
  <c r="E1989" i="1" s="1"/>
  <c r="C1990" i="1"/>
  <c r="D1990" i="1" s="1"/>
  <c r="E1990" i="1" s="1"/>
  <c r="C1991" i="1"/>
  <c r="D1991" i="1" s="1"/>
  <c r="E1991" i="1" s="1"/>
  <c r="C1992" i="1"/>
  <c r="D1992" i="1" s="1"/>
  <c r="E1992" i="1" s="1"/>
  <c r="C1993" i="1"/>
  <c r="D1993" i="1" s="1"/>
  <c r="E1993" i="1" s="1"/>
  <c r="C1994" i="1"/>
  <c r="D1994" i="1" s="1"/>
  <c r="E1994" i="1" s="1"/>
  <c r="C1995" i="1"/>
  <c r="D1995" i="1" s="1"/>
  <c r="E1995" i="1" s="1"/>
  <c r="C1996" i="1"/>
  <c r="D1996" i="1" s="1"/>
  <c r="E1996" i="1" s="1"/>
  <c r="C1997" i="1"/>
  <c r="D1997" i="1" s="1"/>
  <c r="E1997" i="1" s="1"/>
  <c r="C1998" i="1"/>
  <c r="D1998" i="1" s="1"/>
  <c r="E1998" i="1" s="1"/>
  <c r="C1999" i="1"/>
  <c r="D1999" i="1" s="1"/>
  <c r="E1999" i="1" s="1"/>
  <c r="C2000" i="1"/>
  <c r="D2000" i="1" s="1"/>
  <c r="E2000" i="1" s="1"/>
  <c r="C2001" i="1"/>
  <c r="D2001" i="1" s="1"/>
  <c r="E2001" i="1" s="1"/>
  <c r="C2002" i="1"/>
  <c r="D2002" i="1" s="1"/>
  <c r="E2002" i="1" s="1"/>
  <c r="C2003" i="1"/>
  <c r="D2003" i="1" s="1"/>
  <c r="E2003" i="1" s="1"/>
  <c r="C2004" i="1"/>
  <c r="D2004" i="1" s="1"/>
  <c r="E2004" i="1" s="1"/>
  <c r="C2005" i="1"/>
  <c r="D2005" i="1" s="1"/>
  <c r="E2005" i="1" s="1"/>
  <c r="C2006" i="1"/>
  <c r="D2006" i="1" s="1"/>
  <c r="E2006" i="1" s="1"/>
  <c r="C2007" i="1"/>
  <c r="D2007" i="1" s="1"/>
  <c r="E2007" i="1" s="1"/>
  <c r="C2008" i="1"/>
  <c r="D2008" i="1" s="1"/>
  <c r="E2008" i="1" s="1"/>
  <c r="C2009" i="1"/>
  <c r="D2009" i="1" s="1"/>
  <c r="E2009" i="1" s="1"/>
  <c r="C2010" i="1"/>
  <c r="D2010" i="1" s="1"/>
  <c r="E2010" i="1" s="1"/>
  <c r="C2011" i="1"/>
  <c r="D2011" i="1" s="1"/>
  <c r="E2011" i="1" s="1"/>
  <c r="C2012" i="1"/>
  <c r="D2012" i="1" s="1"/>
  <c r="E2012" i="1" s="1"/>
  <c r="C2013" i="1"/>
  <c r="D2013" i="1" s="1"/>
  <c r="E2013" i="1" s="1"/>
  <c r="C2014" i="1"/>
  <c r="D2014" i="1" s="1"/>
  <c r="E2014" i="1" s="1"/>
  <c r="C2015" i="1"/>
  <c r="D2015" i="1" s="1"/>
  <c r="E2015" i="1" s="1"/>
  <c r="C2016" i="1"/>
  <c r="D2016" i="1" s="1"/>
  <c r="E2016" i="1" s="1"/>
  <c r="C2017" i="1"/>
  <c r="D2017" i="1" s="1"/>
  <c r="E2017" i="1" s="1"/>
  <c r="C2018" i="1"/>
  <c r="D2018" i="1" s="1"/>
  <c r="E2018" i="1" s="1"/>
  <c r="C2019" i="1"/>
  <c r="D2019" i="1" s="1"/>
  <c r="E2019" i="1" s="1"/>
  <c r="C2020" i="1"/>
  <c r="D2020" i="1" s="1"/>
  <c r="E2020" i="1" s="1"/>
  <c r="C2021" i="1"/>
  <c r="D2021" i="1" s="1"/>
  <c r="E2021" i="1" s="1"/>
  <c r="C2022" i="1"/>
  <c r="D2022" i="1" s="1"/>
  <c r="E2022" i="1" s="1"/>
  <c r="C2023" i="1"/>
  <c r="D2023" i="1" s="1"/>
  <c r="E2023" i="1" s="1"/>
  <c r="C2024" i="1"/>
  <c r="D2024" i="1" s="1"/>
  <c r="E2024" i="1" s="1"/>
  <c r="C2025" i="1"/>
  <c r="D2025" i="1" s="1"/>
  <c r="E2025" i="1" s="1"/>
  <c r="C2026" i="1"/>
  <c r="D2026" i="1" s="1"/>
  <c r="E2026" i="1" s="1"/>
  <c r="C2027" i="1"/>
  <c r="D2027" i="1" s="1"/>
  <c r="E2027" i="1" s="1"/>
  <c r="C2028" i="1"/>
  <c r="D2028" i="1" s="1"/>
  <c r="E2028" i="1" s="1"/>
  <c r="C2029" i="1"/>
  <c r="D2029" i="1" s="1"/>
  <c r="E2029" i="1" s="1"/>
  <c r="C2030" i="1"/>
  <c r="D2030" i="1" s="1"/>
  <c r="E2030" i="1" s="1"/>
  <c r="C2031" i="1"/>
  <c r="D2031" i="1" s="1"/>
  <c r="E2031" i="1" s="1"/>
  <c r="C2032" i="1"/>
  <c r="D2032" i="1" s="1"/>
  <c r="E2032" i="1" s="1"/>
  <c r="C2033" i="1"/>
  <c r="D2033" i="1" s="1"/>
  <c r="E2033" i="1" s="1"/>
  <c r="C2034" i="1"/>
  <c r="D2034" i="1" s="1"/>
  <c r="E2034" i="1" s="1"/>
  <c r="C2035" i="1"/>
  <c r="D2035" i="1" s="1"/>
  <c r="E2035" i="1" s="1"/>
  <c r="C2036" i="1"/>
  <c r="D2036" i="1" s="1"/>
  <c r="E2036" i="1" s="1"/>
  <c r="C2037" i="1"/>
  <c r="D2037" i="1" s="1"/>
  <c r="E2037" i="1" s="1"/>
  <c r="C2038" i="1"/>
  <c r="D2038" i="1" s="1"/>
  <c r="E2038" i="1" s="1"/>
  <c r="C2039" i="1"/>
  <c r="D2039" i="1" s="1"/>
  <c r="E2039" i="1" s="1"/>
  <c r="C2040" i="1"/>
  <c r="D2040" i="1" s="1"/>
  <c r="E2040" i="1" s="1"/>
  <c r="C2041" i="1"/>
  <c r="D2041" i="1" s="1"/>
  <c r="E2041" i="1" s="1"/>
  <c r="C2042" i="1"/>
  <c r="D2042" i="1" s="1"/>
  <c r="E2042" i="1" s="1"/>
  <c r="C2043" i="1"/>
  <c r="D2043" i="1" s="1"/>
  <c r="E2043" i="1" s="1"/>
  <c r="C2044" i="1"/>
  <c r="D2044" i="1" s="1"/>
  <c r="E2044" i="1" s="1"/>
  <c r="C2045" i="1"/>
  <c r="D2045" i="1" s="1"/>
  <c r="E2045" i="1" s="1"/>
  <c r="C2046" i="1"/>
  <c r="D2046" i="1" s="1"/>
  <c r="E2046" i="1" s="1"/>
  <c r="C2047" i="1"/>
  <c r="D2047" i="1" s="1"/>
  <c r="E2047" i="1" s="1"/>
  <c r="C2048" i="1"/>
  <c r="D2048" i="1" s="1"/>
  <c r="E2048" i="1" s="1"/>
  <c r="C2049" i="1"/>
  <c r="D2049" i="1" s="1"/>
  <c r="E2049" i="1" s="1"/>
  <c r="C2050" i="1"/>
  <c r="D2050" i="1" s="1"/>
  <c r="E2050" i="1" s="1"/>
  <c r="C2051" i="1"/>
  <c r="D2051" i="1" s="1"/>
  <c r="E2051" i="1" s="1"/>
  <c r="C2052" i="1"/>
  <c r="D2052" i="1" s="1"/>
  <c r="E2052" i="1" s="1"/>
  <c r="C2053" i="1"/>
  <c r="D2053" i="1" s="1"/>
  <c r="E2053" i="1" s="1"/>
  <c r="C2054" i="1"/>
  <c r="D2054" i="1" s="1"/>
  <c r="E2054" i="1" s="1"/>
  <c r="C2055" i="1"/>
  <c r="D2055" i="1" s="1"/>
  <c r="E2055" i="1" s="1"/>
  <c r="C2056" i="1"/>
  <c r="D2056" i="1" s="1"/>
  <c r="E2056" i="1" s="1"/>
  <c r="C2057" i="1"/>
  <c r="D2057" i="1" s="1"/>
  <c r="E2057" i="1" s="1"/>
  <c r="C2058" i="1"/>
  <c r="D2058" i="1" s="1"/>
  <c r="E2058" i="1" s="1"/>
  <c r="C2059" i="1"/>
  <c r="D2059" i="1" s="1"/>
  <c r="E2059" i="1" s="1"/>
  <c r="C2060" i="1"/>
  <c r="D2060" i="1" s="1"/>
  <c r="E2060" i="1" s="1"/>
  <c r="C2061" i="1"/>
  <c r="D2061" i="1" s="1"/>
  <c r="E2061" i="1" s="1"/>
  <c r="C2062" i="1"/>
  <c r="D2062" i="1" s="1"/>
  <c r="E2062" i="1" s="1"/>
  <c r="C2063" i="1"/>
  <c r="D2063" i="1" s="1"/>
  <c r="E2063" i="1" s="1"/>
  <c r="C2064" i="1"/>
  <c r="D2064" i="1" s="1"/>
  <c r="E2064" i="1" s="1"/>
  <c r="C2065" i="1"/>
  <c r="D2065" i="1" s="1"/>
  <c r="E2065" i="1" s="1"/>
  <c r="C2066" i="1"/>
  <c r="D2066" i="1" s="1"/>
  <c r="E2066" i="1" s="1"/>
  <c r="C2067" i="1"/>
  <c r="D2067" i="1" s="1"/>
  <c r="E2067" i="1" s="1"/>
  <c r="C2068" i="1"/>
  <c r="D2068" i="1" s="1"/>
  <c r="E2068" i="1" s="1"/>
  <c r="C2069" i="1"/>
  <c r="D2069" i="1" s="1"/>
  <c r="E2069" i="1" s="1"/>
  <c r="C2070" i="1"/>
  <c r="D2070" i="1" s="1"/>
  <c r="E2070" i="1" s="1"/>
  <c r="C2071" i="1"/>
  <c r="D2071" i="1" s="1"/>
  <c r="E2071" i="1" s="1"/>
  <c r="C2072" i="1"/>
  <c r="D2072" i="1" s="1"/>
  <c r="E2072" i="1" s="1"/>
  <c r="C2073" i="1"/>
  <c r="D2073" i="1" s="1"/>
  <c r="E2073" i="1" s="1"/>
  <c r="C2074" i="1"/>
  <c r="D2074" i="1" s="1"/>
  <c r="E2074" i="1" s="1"/>
  <c r="C2075" i="1"/>
  <c r="D2075" i="1" s="1"/>
  <c r="E2075" i="1" s="1"/>
  <c r="C2076" i="1"/>
  <c r="D2076" i="1" s="1"/>
  <c r="E2076" i="1" s="1"/>
  <c r="C2077" i="1"/>
  <c r="D2077" i="1" s="1"/>
  <c r="E2077" i="1" s="1"/>
  <c r="C2078" i="1"/>
  <c r="D2078" i="1" s="1"/>
  <c r="E2078" i="1" s="1"/>
  <c r="C2079" i="1"/>
  <c r="D2079" i="1" s="1"/>
  <c r="E2079" i="1" s="1"/>
  <c r="C2080" i="1"/>
  <c r="D2080" i="1" s="1"/>
  <c r="E2080" i="1" s="1"/>
  <c r="C2081" i="1"/>
  <c r="D2081" i="1" s="1"/>
  <c r="E2081" i="1" s="1"/>
  <c r="C2082" i="1"/>
  <c r="D2082" i="1" s="1"/>
  <c r="E2082" i="1" s="1"/>
  <c r="C2083" i="1"/>
  <c r="D2083" i="1" s="1"/>
  <c r="E2083" i="1" s="1"/>
  <c r="C2084" i="1"/>
  <c r="D2084" i="1" s="1"/>
  <c r="E2084" i="1" s="1"/>
  <c r="C2085" i="1"/>
  <c r="D2085" i="1" s="1"/>
  <c r="E2085" i="1" s="1"/>
  <c r="C2086" i="1"/>
  <c r="D2086" i="1" s="1"/>
  <c r="E2086" i="1" s="1"/>
  <c r="C2087" i="1"/>
  <c r="D2087" i="1" s="1"/>
  <c r="E2087" i="1" s="1"/>
  <c r="C2088" i="1"/>
  <c r="D2088" i="1" s="1"/>
  <c r="E2088" i="1" s="1"/>
  <c r="C2089" i="1"/>
  <c r="D2089" i="1" s="1"/>
  <c r="E2089" i="1" s="1"/>
  <c r="C2090" i="1"/>
  <c r="D2090" i="1" s="1"/>
  <c r="E2090" i="1" s="1"/>
  <c r="C2091" i="1"/>
  <c r="D2091" i="1" s="1"/>
  <c r="E2091" i="1" s="1"/>
  <c r="C2092" i="1"/>
  <c r="D2092" i="1" s="1"/>
  <c r="E2092" i="1" s="1"/>
  <c r="C2093" i="1"/>
  <c r="D2093" i="1" s="1"/>
  <c r="E2093" i="1" s="1"/>
  <c r="C2094" i="1"/>
  <c r="D2094" i="1" s="1"/>
  <c r="E2094" i="1" s="1"/>
  <c r="C2095" i="1"/>
  <c r="D2095" i="1" s="1"/>
  <c r="E2095" i="1" s="1"/>
  <c r="C2096" i="1"/>
  <c r="D2096" i="1" s="1"/>
  <c r="E2096" i="1" s="1"/>
  <c r="C2097" i="1"/>
  <c r="D2097" i="1" s="1"/>
  <c r="E2097" i="1" s="1"/>
  <c r="C2098" i="1"/>
  <c r="D2098" i="1" s="1"/>
  <c r="E2098" i="1" s="1"/>
  <c r="C2099" i="1"/>
  <c r="D2099" i="1" s="1"/>
  <c r="E2099" i="1" s="1"/>
  <c r="C2100" i="1"/>
  <c r="D2100" i="1" s="1"/>
  <c r="E2100" i="1" s="1"/>
  <c r="C2101" i="1"/>
  <c r="D2101" i="1" s="1"/>
  <c r="E2101" i="1" s="1"/>
  <c r="C2102" i="1"/>
  <c r="D2102" i="1" s="1"/>
  <c r="E2102" i="1" s="1"/>
  <c r="C2103" i="1"/>
  <c r="D2103" i="1" s="1"/>
  <c r="E2103" i="1" s="1"/>
  <c r="C2104" i="1"/>
  <c r="D2104" i="1" s="1"/>
  <c r="E2104" i="1" s="1"/>
  <c r="C2105" i="1"/>
  <c r="D2105" i="1" s="1"/>
  <c r="E2105" i="1" s="1"/>
  <c r="C2106" i="1"/>
  <c r="D2106" i="1" s="1"/>
  <c r="E2106" i="1" s="1"/>
  <c r="C2107" i="1"/>
  <c r="D2107" i="1" s="1"/>
  <c r="E2107" i="1" s="1"/>
  <c r="C2108" i="1"/>
  <c r="D2108" i="1" s="1"/>
  <c r="E2108" i="1" s="1"/>
  <c r="C2109" i="1"/>
  <c r="D2109" i="1" s="1"/>
  <c r="E2109" i="1" s="1"/>
  <c r="C2110" i="1"/>
  <c r="D2110" i="1" s="1"/>
  <c r="E2110" i="1" s="1"/>
  <c r="C2111" i="1"/>
  <c r="D2111" i="1" s="1"/>
  <c r="E2111" i="1" s="1"/>
  <c r="C2112" i="1"/>
  <c r="D2112" i="1" s="1"/>
  <c r="E2112" i="1" s="1"/>
  <c r="C2113" i="1"/>
  <c r="D2113" i="1" s="1"/>
  <c r="E2113" i="1" s="1"/>
  <c r="C2114" i="1"/>
  <c r="D2114" i="1" s="1"/>
  <c r="E2114" i="1" s="1"/>
  <c r="C2115" i="1"/>
  <c r="D2115" i="1" s="1"/>
  <c r="E2115" i="1" s="1"/>
  <c r="C2116" i="1"/>
  <c r="D2116" i="1" s="1"/>
  <c r="E2116" i="1" s="1"/>
  <c r="C2117" i="1"/>
  <c r="D2117" i="1" s="1"/>
  <c r="E2117" i="1" s="1"/>
  <c r="C2118" i="1"/>
  <c r="D2118" i="1" s="1"/>
  <c r="E2118" i="1" s="1"/>
  <c r="C2119" i="1"/>
  <c r="D2119" i="1" s="1"/>
  <c r="E2119" i="1" s="1"/>
  <c r="C2120" i="1"/>
  <c r="D2120" i="1" s="1"/>
  <c r="E2120" i="1" s="1"/>
  <c r="C2121" i="1"/>
  <c r="D2121" i="1" s="1"/>
  <c r="E2121" i="1" s="1"/>
  <c r="C2122" i="1"/>
  <c r="D2122" i="1" s="1"/>
  <c r="E2122" i="1" s="1"/>
  <c r="C2123" i="1"/>
  <c r="D2123" i="1" s="1"/>
  <c r="E2123" i="1" s="1"/>
  <c r="C2124" i="1"/>
  <c r="D2124" i="1" s="1"/>
  <c r="E2124" i="1" s="1"/>
  <c r="C2125" i="1"/>
  <c r="D2125" i="1" s="1"/>
  <c r="E2125" i="1" s="1"/>
  <c r="C2126" i="1"/>
  <c r="D2126" i="1" s="1"/>
  <c r="E2126" i="1" s="1"/>
  <c r="C2127" i="1"/>
  <c r="D2127" i="1" s="1"/>
  <c r="E2127" i="1" s="1"/>
  <c r="C2128" i="1"/>
  <c r="D2128" i="1" s="1"/>
  <c r="E2128" i="1" s="1"/>
  <c r="C2129" i="1"/>
  <c r="D2129" i="1" s="1"/>
  <c r="E2129" i="1" s="1"/>
  <c r="C2130" i="1"/>
  <c r="D2130" i="1" s="1"/>
  <c r="E2130" i="1" s="1"/>
  <c r="C2131" i="1"/>
  <c r="D2131" i="1" s="1"/>
  <c r="E2131" i="1" s="1"/>
  <c r="C2132" i="1"/>
  <c r="D2132" i="1" s="1"/>
  <c r="E2132" i="1" s="1"/>
  <c r="C2133" i="1"/>
  <c r="D2133" i="1" s="1"/>
  <c r="E2133" i="1" s="1"/>
  <c r="C2134" i="1"/>
  <c r="D2134" i="1" s="1"/>
  <c r="E2134" i="1" s="1"/>
  <c r="C2135" i="1"/>
  <c r="D2135" i="1" s="1"/>
  <c r="E2135" i="1" s="1"/>
  <c r="C2136" i="1"/>
  <c r="D2136" i="1" s="1"/>
  <c r="E2136" i="1" s="1"/>
  <c r="C2137" i="1"/>
  <c r="D2137" i="1" s="1"/>
  <c r="E2137" i="1" s="1"/>
  <c r="C2138" i="1"/>
  <c r="D2138" i="1" s="1"/>
  <c r="E2138" i="1" s="1"/>
  <c r="C2139" i="1"/>
  <c r="D2139" i="1" s="1"/>
  <c r="E2139" i="1" s="1"/>
  <c r="C2140" i="1"/>
  <c r="D2140" i="1" s="1"/>
  <c r="E2140" i="1" s="1"/>
  <c r="C2141" i="1"/>
  <c r="D2141" i="1" s="1"/>
  <c r="E2141" i="1" s="1"/>
  <c r="C2142" i="1"/>
  <c r="D2142" i="1" s="1"/>
  <c r="E2142" i="1" s="1"/>
  <c r="C2143" i="1"/>
  <c r="D2143" i="1" s="1"/>
  <c r="E2143" i="1" s="1"/>
  <c r="C2144" i="1"/>
  <c r="D2144" i="1" s="1"/>
  <c r="E2144" i="1" s="1"/>
  <c r="C2145" i="1"/>
  <c r="D2145" i="1" s="1"/>
  <c r="E2145" i="1" s="1"/>
  <c r="C2146" i="1"/>
  <c r="D2146" i="1" s="1"/>
  <c r="E2146" i="1" s="1"/>
  <c r="C2147" i="1"/>
  <c r="D2147" i="1" s="1"/>
  <c r="E2147" i="1" s="1"/>
  <c r="C2148" i="1"/>
  <c r="D2148" i="1" s="1"/>
  <c r="E2148" i="1" s="1"/>
  <c r="C2149" i="1"/>
  <c r="D2149" i="1" s="1"/>
  <c r="E2149" i="1" s="1"/>
  <c r="C2150" i="1"/>
  <c r="D2150" i="1" s="1"/>
  <c r="E2150" i="1" s="1"/>
  <c r="C2151" i="1"/>
  <c r="D2151" i="1" s="1"/>
  <c r="E2151" i="1" s="1"/>
  <c r="C2152" i="1"/>
  <c r="D2152" i="1" s="1"/>
  <c r="E2152" i="1" s="1"/>
  <c r="C2153" i="1"/>
  <c r="D2153" i="1" s="1"/>
  <c r="E2153" i="1" s="1"/>
  <c r="C2154" i="1"/>
  <c r="D2154" i="1" s="1"/>
  <c r="E2154" i="1" s="1"/>
  <c r="C2155" i="1"/>
  <c r="D2155" i="1" s="1"/>
  <c r="E2155" i="1" s="1"/>
  <c r="C2156" i="1"/>
  <c r="D2156" i="1" s="1"/>
  <c r="E2156" i="1" s="1"/>
  <c r="C2" i="1"/>
  <c r="D2" i="1" s="1"/>
  <c r="E2" i="1" s="1"/>
  <c r="M1871" i="1" l="1"/>
  <c r="M1860" i="1"/>
  <c r="M1746" i="1"/>
  <c r="M1839" i="1"/>
  <c r="M1732" i="1"/>
  <c r="M1935" i="1"/>
  <c r="M1828" i="1"/>
  <c r="M1719" i="1"/>
  <c r="M1268" i="1"/>
  <c r="M1924" i="1"/>
  <c r="M1818" i="1"/>
  <c r="M1903" i="1"/>
  <c r="M1807" i="1"/>
  <c r="M1892" i="1"/>
  <c r="M1796" i="1"/>
  <c r="M1668" i="1"/>
  <c r="M1882" i="1"/>
  <c r="M1783" i="1"/>
  <c r="M1655" i="1"/>
  <c r="L2133" i="1"/>
  <c r="M2133" i="1"/>
  <c r="L2109" i="1"/>
  <c r="M2109" i="1"/>
  <c r="L2085" i="1"/>
  <c r="M2085" i="1"/>
  <c r="L2061" i="1"/>
  <c r="M2061" i="1"/>
  <c r="L2021" i="1"/>
  <c r="M2021" i="1"/>
  <c r="L1997" i="1"/>
  <c r="M1997" i="1"/>
  <c r="L1973" i="1"/>
  <c r="M1973" i="1"/>
  <c r="L1949" i="1"/>
  <c r="M1949" i="1"/>
  <c r="L1917" i="1"/>
  <c r="M1917" i="1"/>
  <c r="L1893" i="1"/>
  <c r="M1893" i="1"/>
  <c r="L1869" i="1"/>
  <c r="M1869" i="1"/>
  <c r="L1845" i="1"/>
  <c r="M1845" i="1"/>
  <c r="L1821" i="1"/>
  <c r="M1821" i="1"/>
  <c r="L1781" i="1"/>
  <c r="M1781" i="1"/>
  <c r="L1733" i="1"/>
  <c r="M1733" i="1"/>
  <c r="L1709" i="1"/>
  <c r="M1709" i="1"/>
  <c r="L1677" i="1"/>
  <c r="M1677" i="1"/>
  <c r="L1645" i="1"/>
  <c r="M1645" i="1"/>
  <c r="L1109" i="1"/>
  <c r="M1109" i="1"/>
  <c r="L1045" i="1"/>
  <c r="M1045" i="1"/>
  <c r="L853" i="1"/>
  <c r="M853" i="1"/>
  <c r="L5" i="1"/>
  <c r="M5" i="1"/>
  <c r="L2154" i="1"/>
  <c r="M2154" i="1"/>
  <c r="L2146" i="1"/>
  <c r="M2146" i="1"/>
  <c r="L2138" i="1"/>
  <c r="M2138" i="1"/>
  <c r="L2130" i="1"/>
  <c r="M2130" i="1"/>
  <c r="L2122" i="1"/>
  <c r="M2122" i="1"/>
  <c r="L2114" i="1"/>
  <c r="M2114" i="1"/>
  <c r="L2106" i="1"/>
  <c r="M2106" i="1"/>
  <c r="L2098" i="1"/>
  <c r="M2098" i="1"/>
  <c r="L2090" i="1"/>
  <c r="M2090" i="1"/>
  <c r="L2082" i="1"/>
  <c r="M2082" i="1"/>
  <c r="L2074" i="1"/>
  <c r="M2074" i="1"/>
  <c r="L2066" i="1"/>
  <c r="M2066" i="1"/>
  <c r="L2058" i="1"/>
  <c r="M2058" i="1"/>
  <c r="L2050" i="1"/>
  <c r="M2050" i="1"/>
  <c r="L2042" i="1"/>
  <c r="M2042" i="1"/>
  <c r="L2034" i="1"/>
  <c r="M2034" i="1"/>
  <c r="L2026" i="1"/>
  <c r="M2026" i="1"/>
  <c r="L2018" i="1"/>
  <c r="M2018" i="1"/>
  <c r="L2010" i="1"/>
  <c r="M2010" i="1"/>
  <c r="L2002" i="1"/>
  <c r="M2002" i="1"/>
  <c r="L1994" i="1"/>
  <c r="M1994" i="1"/>
  <c r="L1986" i="1"/>
  <c r="M1986" i="1"/>
  <c r="L1978" i="1"/>
  <c r="M1978" i="1"/>
  <c r="L1970" i="1"/>
  <c r="M1970" i="1"/>
  <c r="L1962" i="1"/>
  <c r="M1962" i="1"/>
  <c r="L1954" i="1"/>
  <c r="M1954" i="1"/>
  <c r="L1946" i="1"/>
  <c r="M1946" i="1"/>
  <c r="L1938" i="1"/>
  <c r="M1938" i="1"/>
  <c r="L1930" i="1"/>
  <c r="M1930" i="1"/>
  <c r="L1922" i="1"/>
  <c r="M1922" i="1"/>
  <c r="L1906" i="1"/>
  <c r="M1906" i="1"/>
  <c r="L1898" i="1"/>
  <c r="M1898" i="1"/>
  <c r="L1890" i="1"/>
  <c r="M1890" i="1"/>
  <c r="L1874" i="1"/>
  <c r="M1874" i="1"/>
  <c r="L1866" i="1"/>
  <c r="M1866" i="1"/>
  <c r="L1858" i="1"/>
  <c r="M1858" i="1"/>
  <c r="L1842" i="1"/>
  <c r="M1842" i="1"/>
  <c r="L1834" i="1"/>
  <c r="M1834" i="1"/>
  <c r="M1693" i="1"/>
  <c r="L2150" i="1"/>
  <c r="M2150" i="1"/>
  <c r="L2142" i="1"/>
  <c r="M2142" i="1"/>
  <c r="L2134" i="1"/>
  <c r="M2134" i="1"/>
  <c r="L2126" i="1"/>
  <c r="M2126" i="1"/>
  <c r="L2118" i="1"/>
  <c r="M2118" i="1"/>
  <c r="L2110" i="1"/>
  <c r="M2110" i="1"/>
  <c r="L2102" i="1"/>
  <c r="M2102" i="1"/>
  <c r="L2094" i="1"/>
  <c r="M2094" i="1"/>
  <c r="L2086" i="1"/>
  <c r="M2086" i="1"/>
  <c r="L2078" i="1"/>
  <c r="M2078" i="1"/>
  <c r="L2070" i="1"/>
  <c r="M2070" i="1"/>
  <c r="L2062" i="1"/>
  <c r="M2062" i="1"/>
  <c r="L2054" i="1"/>
  <c r="M2054" i="1"/>
  <c r="L2046" i="1"/>
  <c r="M2046" i="1"/>
  <c r="L2038" i="1"/>
  <c r="M2038" i="1"/>
  <c r="L2030" i="1"/>
  <c r="M2030" i="1"/>
  <c r="L2022" i="1"/>
  <c r="M2022" i="1"/>
  <c r="L2014" i="1"/>
  <c r="M2014" i="1"/>
  <c r="L2006" i="1"/>
  <c r="M2006" i="1"/>
  <c r="L1998" i="1"/>
  <c r="M1998" i="1"/>
  <c r="L1990" i="1"/>
  <c r="M1990" i="1"/>
  <c r="L1982" i="1"/>
  <c r="M1982" i="1"/>
  <c r="L1974" i="1"/>
  <c r="M1974" i="1"/>
  <c r="L1966" i="1"/>
  <c r="M1966" i="1"/>
  <c r="L1958" i="1"/>
  <c r="M1958" i="1"/>
  <c r="L1950" i="1"/>
  <c r="M1950" i="1"/>
  <c r="L1942" i="1"/>
  <c r="M1942" i="1"/>
  <c r="L1934" i="1"/>
  <c r="M1934" i="1"/>
  <c r="L1926" i="1"/>
  <c r="M1926" i="1"/>
  <c r="L1918" i="1"/>
  <c r="M1918" i="1"/>
  <c r="L1910" i="1"/>
  <c r="M1910" i="1"/>
  <c r="L1902" i="1"/>
  <c r="M1902" i="1"/>
  <c r="L1894" i="1"/>
  <c r="M1894" i="1"/>
  <c r="L1886" i="1"/>
  <c r="M1886" i="1"/>
  <c r="L1878" i="1"/>
  <c r="M1878" i="1"/>
  <c r="L1870" i="1"/>
  <c r="M1870" i="1"/>
  <c r="L1862" i="1"/>
  <c r="M1862" i="1"/>
  <c r="L1854" i="1"/>
  <c r="M1854" i="1"/>
  <c r="L1846" i="1"/>
  <c r="M1846" i="1"/>
  <c r="L1838" i="1"/>
  <c r="M1838" i="1"/>
  <c r="L1830" i="1"/>
  <c r="M1830" i="1"/>
  <c r="L1822" i="1"/>
  <c r="M1822" i="1"/>
  <c r="L1814" i="1"/>
  <c r="M1814" i="1"/>
  <c r="L1806" i="1"/>
  <c r="M1806" i="1"/>
  <c r="L1798" i="1"/>
  <c r="M1798" i="1"/>
  <c r="L1790" i="1"/>
  <c r="M1790" i="1"/>
  <c r="L1782" i="1"/>
  <c r="M1782" i="1"/>
  <c r="L1774" i="1"/>
  <c r="M1774" i="1"/>
  <c r="L1766" i="1"/>
  <c r="M1766" i="1"/>
  <c r="L1758" i="1"/>
  <c r="M1758" i="1"/>
  <c r="L1750" i="1"/>
  <c r="M1750" i="1"/>
  <c r="L1742" i="1"/>
  <c r="M1742" i="1"/>
  <c r="L1734" i="1"/>
  <c r="M1734" i="1"/>
  <c r="L1726" i="1"/>
  <c r="M1726" i="1"/>
  <c r="L1718" i="1"/>
  <c r="M1718" i="1"/>
  <c r="L1710" i="1"/>
  <c r="M1710" i="1"/>
  <c r="L1702" i="1"/>
  <c r="M1702" i="1"/>
  <c r="L1694" i="1"/>
  <c r="M1694" i="1"/>
  <c r="L1686" i="1"/>
  <c r="M1686" i="1"/>
  <c r="L1678" i="1"/>
  <c r="M1678" i="1"/>
  <c r="L1670" i="1"/>
  <c r="M1670" i="1"/>
  <c r="L1662" i="1"/>
  <c r="M1662" i="1"/>
  <c r="L1654" i="1"/>
  <c r="M1654" i="1"/>
  <c r="L1646" i="1"/>
  <c r="M1646" i="1"/>
  <c r="L1638" i="1"/>
  <c r="M1638" i="1"/>
  <c r="L1630" i="1"/>
  <c r="M1630" i="1"/>
  <c r="L1622" i="1"/>
  <c r="M1622" i="1"/>
  <c r="L1614" i="1"/>
  <c r="M1614" i="1"/>
  <c r="L1606" i="1"/>
  <c r="M1606" i="1"/>
  <c r="M1850" i="1"/>
  <c r="M1757" i="1"/>
  <c r="L2149" i="1"/>
  <c r="M2149" i="1"/>
  <c r="L2125" i="1"/>
  <c r="M2125" i="1"/>
  <c r="L2101" i="1"/>
  <c r="M2101" i="1"/>
  <c r="L2077" i="1"/>
  <c r="M2077" i="1"/>
  <c r="L2053" i="1"/>
  <c r="M2053" i="1"/>
  <c r="L2037" i="1"/>
  <c r="M2037" i="1"/>
  <c r="L2013" i="1"/>
  <c r="M2013" i="1"/>
  <c r="L1989" i="1"/>
  <c r="M1989" i="1"/>
  <c r="L1965" i="1"/>
  <c r="M1965" i="1"/>
  <c r="L1941" i="1"/>
  <c r="M1941" i="1"/>
  <c r="L1933" i="1"/>
  <c r="M1933" i="1"/>
  <c r="L1909" i="1"/>
  <c r="M1909" i="1"/>
  <c r="L1885" i="1"/>
  <c r="M1885" i="1"/>
  <c r="L1861" i="1"/>
  <c r="M1861" i="1"/>
  <c r="L1837" i="1"/>
  <c r="M1837" i="1"/>
  <c r="L1813" i="1"/>
  <c r="M1813" i="1"/>
  <c r="L1797" i="1"/>
  <c r="M1797" i="1"/>
  <c r="L1773" i="1"/>
  <c r="M1773" i="1"/>
  <c r="L1749" i="1"/>
  <c r="M1749" i="1"/>
  <c r="L1725" i="1"/>
  <c r="M1725" i="1"/>
  <c r="L1701" i="1"/>
  <c r="M1701" i="1"/>
  <c r="L1685" i="1"/>
  <c r="M1685" i="1"/>
  <c r="L1669" i="1"/>
  <c r="M1669" i="1"/>
  <c r="L1653" i="1"/>
  <c r="M1653" i="1"/>
  <c r="L1637" i="1"/>
  <c r="M1637" i="1"/>
  <c r="L1613" i="1"/>
  <c r="M1613" i="1"/>
  <c r="L1597" i="1"/>
  <c r="M1597" i="1"/>
  <c r="L1589" i="1"/>
  <c r="M1589" i="1"/>
  <c r="L1581" i="1"/>
  <c r="M1581" i="1"/>
  <c r="L1173" i="1"/>
  <c r="M1173" i="1"/>
  <c r="L981" i="1"/>
  <c r="M981" i="1"/>
  <c r="M1914" i="1"/>
  <c r="M1629" i="1"/>
  <c r="L2141" i="1"/>
  <c r="M2141" i="1"/>
  <c r="L2117" i="1"/>
  <c r="M2117" i="1"/>
  <c r="L2093" i="1"/>
  <c r="M2093" i="1"/>
  <c r="L2069" i="1"/>
  <c r="M2069" i="1"/>
  <c r="L2045" i="1"/>
  <c r="M2045" i="1"/>
  <c r="L2029" i="1"/>
  <c r="M2029" i="1"/>
  <c r="L2005" i="1"/>
  <c r="M2005" i="1"/>
  <c r="L1981" i="1"/>
  <c r="M1981" i="1"/>
  <c r="L1957" i="1"/>
  <c r="M1957" i="1"/>
  <c r="L1925" i="1"/>
  <c r="M1925" i="1"/>
  <c r="L1901" i="1"/>
  <c r="M1901" i="1"/>
  <c r="L1877" i="1"/>
  <c r="M1877" i="1"/>
  <c r="L1853" i="1"/>
  <c r="M1853" i="1"/>
  <c r="L1829" i="1"/>
  <c r="M1829" i="1"/>
  <c r="L1805" i="1"/>
  <c r="M1805" i="1"/>
  <c r="L1789" i="1"/>
  <c r="M1789" i="1"/>
  <c r="L1765" i="1"/>
  <c r="M1765" i="1"/>
  <c r="L1741" i="1"/>
  <c r="M1741" i="1"/>
  <c r="L1717" i="1"/>
  <c r="M1717" i="1"/>
  <c r="L1661" i="1"/>
  <c r="M1661" i="1"/>
  <c r="L1621" i="1"/>
  <c r="M1621" i="1"/>
  <c r="L1605" i="1"/>
  <c r="M1605" i="1"/>
  <c r="L917" i="1"/>
  <c r="M917" i="1"/>
  <c r="L1598" i="1"/>
  <c r="M1598" i="1"/>
  <c r="L1590" i="1"/>
  <c r="M1590" i="1"/>
  <c r="L1582" i="1"/>
  <c r="M1582" i="1"/>
  <c r="L1574" i="1"/>
  <c r="M1574" i="1"/>
  <c r="L1566" i="1"/>
  <c r="M1566" i="1"/>
  <c r="L1558" i="1"/>
  <c r="M1558" i="1"/>
  <c r="L1550" i="1"/>
  <c r="M1550" i="1"/>
  <c r="L1542" i="1"/>
  <c r="M1542" i="1"/>
  <c r="L1534" i="1"/>
  <c r="M1534" i="1"/>
  <c r="L1526" i="1"/>
  <c r="M1526" i="1"/>
  <c r="L1518" i="1"/>
  <c r="M1518" i="1"/>
  <c r="L1510" i="1"/>
  <c r="M1510" i="1"/>
  <c r="L1310" i="1"/>
  <c r="M1310" i="1"/>
  <c r="L1246" i="1"/>
  <c r="M1246" i="1"/>
  <c r="L382" i="1"/>
  <c r="M382" i="1"/>
  <c r="L302" i="1"/>
  <c r="M302" i="1"/>
  <c r="L174" i="1"/>
  <c r="M174" i="1"/>
  <c r="M1915" i="1"/>
  <c r="M1786" i="1"/>
  <c r="M1772" i="1"/>
  <c r="M1759" i="1"/>
  <c r="M1722" i="1"/>
  <c r="M1708" i="1"/>
  <c r="M1695" i="1"/>
  <c r="M1644" i="1"/>
  <c r="L1300" i="1"/>
  <c r="M1300" i="1"/>
  <c r="M2151" i="1"/>
  <c r="M2143" i="1"/>
  <c r="M2135" i="1"/>
  <c r="M2127" i="1"/>
  <c r="M2119" i="1"/>
  <c r="M2111" i="1"/>
  <c r="M2103" i="1"/>
  <c r="M2095" i="1"/>
  <c r="M2087" i="1"/>
  <c r="M2079" i="1"/>
  <c r="M2071" i="1"/>
  <c r="M2063" i="1"/>
  <c r="M2055" i="1"/>
  <c r="M2047" i="1"/>
  <c r="M2039" i="1"/>
  <c r="M2031" i="1"/>
  <c r="M2023" i="1"/>
  <c r="M2015" i="1"/>
  <c r="M2007" i="1"/>
  <c r="M1999" i="1"/>
  <c r="M1991" i="1"/>
  <c r="M1983" i="1"/>
  <c r="M1975" i="1"/>
  <c r="M1967" i="1"/>
  <c r="M1959" i="1"/>
  <c r="M1951" i="1"/>
  <c r="M1943" i="1"/>
  <c r="M1923" i="1"/>
  <c r="M1770" i="1"/>
  <c r="M1756" i="1"/>
  <c r="M1743" i="1"/>
  <c r="M1692" i="1"/>
  <c r="M1679" i="1"/>
  <c r="M1628" i="1"/>
  <c r="L1235" i="1"/>
  <c r="M1235" i="1"/>
  <c r="L1195" i="1"/>
  <c r="M1195" i="1"/>
  <c r="L1131" i="1"/>
  <c r="M1131" i="1"/>
  <c r="L1067" i="1"/>
  <c r="M1067" i="1"/>
  <c r="L1003" i="1"/>
  <c r="M1003" i="1"/>
  <c r="L939" i="1"/>
  <c r="M939" i="1"/>
  <c r="L875" i="1"/>
  <c r="M875" i="1"/>
  <c r="M1932" i="1"/>
  <c r="M1911" i="1"/>
  <c r="M1900" i="1"/>
  <c r="M1879" i="1"/>
  <c r="M1868" i="1"/>
  <c r="M1847" i="1"/>
  <c r="M1836" i="1"/>
  <c r="M1826" i="1"/>
  <c r="M1815" i="1"/>
  <c r="M1804" i="1"/>
  <c r="M1794" i="1"/>
  <c r="M1780" i="1"/>
  <c r="M1767" i="1"/>
  <c r="M1730" i="1"/>
  <c r="M1716" i="1"/>
  <c r="M1703" i="1"/>
  <c r="M1652" i="1"/>
  <c r="M1639" i="1"/>
  <c r="M1342" i="1"/>
  <c r="L1322" i="1"/>
  <c r="M1322" i="1"/>
  <c r="L1290" i="1"/>
  <c r="M1290" i="1"/>
  <c r="L1258" i="1"/>
  <c r="M1258" i="1"/>
  <c r="L1218" i="1"/>
  <c r="M1218" i="1"/>
  <c r="L1154" i="1"/>
  <c r="M1154" i="1"/>
  <c r="L1090" i="1"/>
  <c r="M1090" i="1"/>
  <c r="L1026" i="1"/>
  <c r="M1026" i="1"/>
  <c r="L962" i="1"/>
  <c r="M962" i="1"/>
  <c r="L898" i="1"/>
  <c r="M898" i="1"/>
  <c r="L834" i="1"/>
  <c r="M834" i="1"/>
  <c r="L802" i="1"/>
  <c r="M802" i="1"/>
  <c r="L770" i="1"/>
  <c r="M770" i="1"/>
  <c r="L738" i="1"/>
  <c r="M738" i="1"/>
  <c r="L706" i="1"/>
  <c r="M706" i="1"/>
  <c r="L674" i="1"/>
  <c r="M674" i="1"/>
  <c r="L642" i="1"/>
  <c r="M642" i="1"/>
  <c r="L610" i="1"/>
  <c r="M610" i="1"/>
  <c r="L578" i="1"/>
  <c r="M578" i="1"/>
  <c r="L546" i="1"/>
  <c r="M546" i="1"/>
  <c r="L514" i="1"/>
  <c r="M514" i="1"/>
  <c r="L482" i="1"/>
  <c r="M482" i="1"/>
  <c r="L450" i="1"/>
  <c r="M450" i="1"/>
  <c r="L418" i="1"/>
  <c r="M418" i="1"/>
  <c r="M1931" i="1"/>
  <c r="M1791" i="1"/>
  <c r="M1754" i="1"/>
  <c r="M1740" i="1"/>
  <c r="M1727" i="1"/>
  <c r="M1676" i="1"/>
  <c r="M1663" i="1"/>
  <c r="M2156" i="1"/>
  <c r="M2148" i="1"/>
  <c r="M2140" i="1"/>
  <c r="M2132" i="1"/>
  <c r="M2124" i="1"/>
  <c r="M2116" i="1"/>
  <c r="M2108" i="1"/>
  <c r="M2100" i="1"/>
  <c r="M2092" i="1"/>
  <c r="M2084" i="1"/>
  <c r="M2076" i="1"/>
  <c r="M2068" i="1"/>
  <c r="M2060" i="1"/>
  <c r="M2052" i="1"/>
  <c r="M2044" i="1"/>
  <c r="M2036" i="1"/>
  <c r="M2028" i="1"/>
  <c r="M2020" i="1"/>
  <c r="M2012" i="1"/>
  <c r="M2004" i="1"/>
  <c r="M1996" i="1"/>
  <c r="M1988" i="1"/>
  <c r="M1980" i="1"/>
  <c r="M1972" i="1"/>
  <c r="M1964" i="1"/>
  <c r="M1956" i="1"/>
  <c r="M1948" i="1"/>
  <c r="M1940" i="1"/>
  <c r="M1919" i="1"/>
  <c r="M1908" i="1"/>
  <c r="M1887" i="1"/>
  <c r="M1876" i="1"/>
  <c r="M1855" i="1"/>
  <c r="M1844" i="1"/>
  <c r="M1823" i="1"/>
  <c r="M1812" i="1"/>
  <c r="M1802" i="1"/>
  <c r="M1778" i="1"/>
  <c r="M1764" i="1"/>
  <c r="M1751" i="1"/>
  <c r="M1700" i="1"/>
  <c r="M1687" i="1"/>
  <c r="M1636" i="1"/>
  <c r="M1332" i="1"/>
  <c r="M2155" i="1"/>
  <c r="M2147" i="1"/>
  <c r="M2139" i="1"/>
  <c r="M2131" i="1"/>
  <c r="M2123" i="1"/>
  <c r="M2115" i="1"/>
  <c r="M2107" i="1"/>
  <c r="M2099" i="1"/>
  <c r="M2091" i="1"/>
  <c r="M2083" i="1"/>
  <c r="M2075" i="1"/>
  <c r="M2067" i="1"/>
  <c r="M2059" i="1"/>
  <c r="M2051" i="1"/>
  <c r="M2043" i="1"/>
  <c r="M2035" i="1"/>
  <c r="M2027" i="1"/>
  <c r="M2019" i="1"/>
  <c r="M2011" i="1"/>
  <c r="M2003" i="1"/>
  <c r="M1995" i="1"/>
  <c r="M1987" i="1"/>
  <c r="M1979" i="1"/>
  <c r="M1971" i="1"/>
  <c r="M1963" i="1"/>
  <c r="M1955" i="1"/>
  <c r="M1947" i="1"/>
  <c r="M1939" i="1"/>
  <c r="M1788" i="1"/>
  <c r="M1775" i="1"/>
  <c r="M1738" i="1"/>
  <c r="M1724" i="1"/>
  <c r="M1711" i="1"/>
  <c r="M1660" i="1"/>
  <c r="M1647" i="1"/>
  <c r="L255" i="1"/>
  <c r="M255" i="1"/>
  <c r="L87" i="1"/>
  <c r="M87" i="1"/>
  <c r="M1927" i="1"/>
  <c r="M1916" i="1"/>
  <c r="M1895" i="1"/>
  <c r="M1884" i="1"/>
  <c r="M1863" i="1"/>
  <c r="M1852" i="1"/>
  <c r="M1831" i="1"/>
  <c r="M1820" i="1"/>
  <c r="M1810" i="1"/>
  <c r="M1799" i="1"/>
  <c r="M1762" i="1"/>
  <c r="M1748" i="1"/>
  <c r="M1735" i="1"/>
  <c r="M1684" i="1"/>
  <c r="M1671" i="1"/>
  <c r="M1620" i="1"/>
  <c r="M1502" i="1"/>
  <c r="M1278" i="1"/>
  <c r="L2153" i="1"/>
  <c r="N2153" i="1"/>
  <c r="L2145" i="1"/>
  <c r="N2145" i="1"/>
  <c r="L2137" i="1"/>
  <c r="N2137" i="1"/>
  <c r="L2129" i="1"/>
  <c r="N2129" i="1"/>
  <c r="L2121" i="1"/>
  <c r="N2121" i="1"/>
  <c r="L2113" i="1"/>
  <c r="N2113" i="1"/>
  <c r="L2105" i="1"/>
  <c r="N2105" i="1"/>
  <c r="L2097" i="1"/>
  <c r="N2097" i="1"/>
  <c r="L2089" i="1"/>
  <c r="N2089" i="1"/>
  <c r="L2081" i="1"/>
  <c r="N2081" i="1"/>
  <c r="L2073" i="1"/>
  <c r="N2073" i="1"/>
  <c r="L2065" i="1"/>
  <c r="N2065" i="1"/>
  <c r="L2057" i="1"/>
  <c r="N2057" i="1"/>
  <c r="L2049" i="1"/>
  <c r="N2049" i="1"/>
  <c r="L2041" i="1"/>
  <c r="N2041" i="1"/>
  <c r="L2033" i="1"/>
  <c r="N2033" i="1"/>
  <c r="L2025" i="1"/>
  <c r="N2025" i="1"/>
  <c r="L2017" i="1"/>
  <c r="N2017" i="1"/>
  <c r="L2009" i="1"/>
  <c r="N2009" i="1"/>
  <c r="L2001" i="1"/>
  <c r="N2001" i="1"/>
  <c r="L1993" i="1"/>
  <c r="N1993" i="1"/>
  <c r="L1985" i="1"/>
  <c r="N1985" i="1"/>
  <c r="L1977" i="1"/>
  <c r="N1977" i="1"/>
  <c r="L1969" i="1"/>
  <c r="N1969" i="1"/>
  <c r="L1961" i="1"/>
  <c r="N1961" i="1"/>
  <c r="L1953" i="1"/>
  <c r="N1953" i="1"/>
  <c r="L1945" i="1"/>
  <c r="N1945" i="1"/>
  <c r="L1937" i="1"/>
  <c r="N1937" i="1"/>
  <c r="L1929" i="1"/>
  <c r="N1929" i="1"/>
  <c r="L1921" i="1"/>
  <c r="N1921" i="1"/>
  <c r="L1913" i="1"/>
  <c r="N1913" i="1"/>
  <c r="L1905" i="1"/>
  <c r="N1905" i="1"/>
  <c r="L1897" i="1"/>
  <c r="N1897" i="1"/>
  <c r="L1889" i="1"/>
  <c r="N1889" i="1"/>
  <c r="L1881" i="1"/>
  <c r="N1881" i="1"/>
  <c r="L1873" i="1"/>
  <c r="N1873" i="1"/>
  <c r="L1865" i="1"/>
  <c r="N1865" i="1"/>
  <c r="L1857" i="1"/>
  <c r="N1857" i="1"/>
  <c r="L1849" i="1"/>
  <c r="N1849" i="1"/>
  <c r="L1841" i="1"/>
  <c r="N1841" i="1"/>
  <c r="L1833" i="1"/>
  <c r="N1833" i="1"/>
  <c r="L1825" i="1"/>
  <c r="N1825" i="1"/>
  <c r="L1817" i="1"/>
  <c r="N1817" i="1"/>
  <c r="L1809" i="1"/>
  <c r="N1809" i="1"/>
  <c r="L1801" i="1"/>
  <c r="N1801" i="1"/>
  <c r="L1793" i="1"/>
  <c r="N1793" i="1"/>
  <c r="L1785" i="1"/>
  <c r="N1785" i="1"/>
  <c r="L1777" i="1"/>
  <c r="N1777" i="1"/>
  <c r="L1769" i="1"/>
  <c r="N1769" i="1"/>
  <c r="L1761" i="1"/>
  <c r="N1761" i="1"/>
  <c r="L1753" i="1"/>
  <c r="N1753" i="1"/>
  <c r="L1745" i="1"/>
  <c r="N1745" i="1"/>
  <c r="L1737" i="1"/>
  <c r="N1737" i="1"/>
  <c r="L1729" i="1"/>
  <c r="N1729" i="1"/>
  <c r="L1721" i="1"/>
  <c r="N1721" i="1"/>
  <c r="L1713" i="1"/>
  <c r="N1713" i="1"/>
  <c r="L1705" i="1"/>
  <c r="N1705" i="1"/>
  <c r="L1697" i="1"/>
  <c r="N1697" i="1"/>
  <c r="L1689" i="1"/>
  <c r="N1689" i="1"/>
  <c r="L1681" i="1"/>
  <c r="N1681" i="1"/>
  <c r="L1673" i="1"/>
  <c r="N1673" i="1"/>
  <c r="L1665" i="1"/>
  <c r="N1665" i="1"/>
  <c r="L1657" i="1"/>
  <c r="N1657" i="1"/>
  <c r="L1649" i="1"/>
  <c r="N1649" i="1"/>
  <c r="L1641" i="1"/>
  <c r="N1641" i="1"/>
  <c r="L1633" i="1"/>
  <c r="N1633" i="1"/>
  <c r="L1625" i="1"/>
  <c r="N1625" i="1"/>
  <c r="L1617" i="1"/>
  <c r="N1617" i="1"/>
  <c r="L1609" i="1"/>
  <c r="N1609" i="1"/>
  <c r="L1601" i="1"/>
  <c r="N1601" i="1"/>
  <c r="L1593" i="1"/>
  <c r="N1593" i="1"/>
  <c r="L1585" i="1"/>
  <c r="N1585" i="1"/>
  <c r="L1577" i="1"/>
  <c r="N1577" i="1"/>
  <c r="L1569" i="1"/>
  <c r="N1569" i="1"/>
  <c r="L1561" i="1"/>
  <c r="N1561" i="1"/>
  <c r="L1553" i="1"/>
  <c r="N1553" i="1"/>
  <c r="L1545" i="1"/>
  <c r="N1545" i="1"/>
  <c r="L1537" i="1"/>
  <c r="N1537" i="1"/>
  <c r="L1529" i="1"/>
  <c r="N1529" i="1"/>
  <c r="L1521" i="1"/>
  <c r="N1521" i="1"/>
  <c r="L1513" i="1"/>
  <c r="N1513" i="1"/>
  <c r="L1505" i="1"/>
  <c r="N1505" i="1"/>
  <c r="L1497" i="1"/>
  <c r="N1497" i="1"/>
  <c r="L1489" i="1"/>
  <c r="N1489" i="1"/>
  <c r="L1481" i="1"/>
  <c r="N1481" i="1"/>
  <c r="L1473" i="1"/>
  <c r="N1473" i="1"/>
  <c r="L1465" i="1"/>
  <c r="N1465" i="1"/>
  <c r="L1457" i="1"/>
  <c r="N1457" i="1"/>
  <c r="L1449" i="1"/>
  <c r="N1449" i="1"/>
  <c r="L1441" i="1"/>
  <c r="N1441" i="1"/>
  <c r="L1433" i="1"/>
  <c r="N1433" i="1"/>
  <c r="L1425" i="1"/>
  <c r="N1425" i="1"/>
  <c r="L1417" i="1"/>
  <c r="N1417" i="1"/>
  <c r="L1409" i="1"/>
  <c r="N1409" i="1"/>
  <c r="L1401" i="1"/>
  <c r="N1401" i="1"/>
  <c r="L1393" i="1"/>
  <c r="N1393" i="1"/>
  <c r="L1385" i="1"/>
  <c r="N1385" i="1"/>
  <c r="L1377" i="1"/>
  <c r="N1377" i="1"/>
  <c r="L1369" i="1"/>
  <c r="N1369" i="1"/>
  <c r="L1361" i="1"/>
  <c r="N1361" i="1"/>
  <c r="L1353" i="1"/>
  <c r="N1353" i="1"/>
  <c r="L1345" i="1"/>
  <c r="N1345" i="1"/>
  <c r="L1337" i="1"/>
  <c r="N1337" i="1"/>
  <c r="L1329" i="1"/>
  <c r="N1329" i="1"/>
  <c r="L1321" i="1"/>
  <c r="N1321" i="1"/>
  <c r="L1313" i="1"/>
  <c r="N1313" i="1"/>
  <c r="L1305" i="1"/>
  <c r="N1305" i="1"/>
  <c r="L1297" i="1"/>
  <c r="N1297" i="1"/>
  <c r="L1289" i="1"/>
  <c r="N1289" i="1"/>
  <c r="L1281" i="1"/>
  <c r="N1281" i="1"/>
  <c r="L1273" i="1"/>
  <c r="N1273" i="1"/>
  <c r="L1265" i="1"/>
  <c r="N1265" i="1"/>
  <c r="L1257" i="1"/>
  <c r="N1257" i="1"/>
  <c r="L1249" i="1"/>
  <c r="N1249" i="1"/>
  <c r="L1241" i="1"/>
  <c r="N1241" i="1"/>
  <c r="L1233" i="1"/>
  <c r="N1233" i="1"/>
  <c r="L1225" i="1"/>
  <c r="N1225" i="1"/>
  <c r="L1217" i="1"/>
  <c r="N1217" i="1"/>
  <c r="L1209" i="1"/>
  <c r="N1209" i="1"/>
  <c r="L1201" i="1"/>
  <c r="N1201" i="1"/>
  <c r="L1193" i="1"/>
  <c r="N1193" i="1"/>
  <c r="L1185" i="1"/>
  <c r="N1185" i="1"/>
  <c r="L1177" i="1"/>
  <c r="N1177" i="1"/>
  <c r="L1169" i="1"/>
  <c r="N1169" i="1"/>
  <c r="L1161" i="1"/>
  <c r="N1161" i="1"/>
  <c r="L1153" i="1"/>
  <c r="N1153" i="1"/>
  <c r="L1145" i="1"/>
  <c r="N1145" i="1"/>
  <c r="L1137" i="1"/>
  <c r="N1137" i="1"/>
  <c r="L1129" i="1"/>
  <c r="N1129" i="1"/>
  <c r="L1121" i="1"/>
  <c r="N1121" i="1"/>
  <c r="L1113" i="1"/>
  <c r="N1113" i="1"/>
  <c r="L1105" i="1"/>
  <c r="N1105" i="1"/>
  <c r="L1097" i="1"/>
  <c r="N1097" i="1"/>
  <c r="L1089" i="1"/>
  <c r="N1089" i="1"/>
  <c r="L1081" i="1"/>
  <c r="N1081" i="1"/>
  <c r="L1073" i="1"/>
  <c r="N1073" i="1"/>
  <c r="L1065" i="1"/>
  <c r="N1065" i="1"/>
  <c r="L1057" i="1"/>
  <c r="N1057" i="1"/>
  <c r="L1049" i="1"/>
  <c r="N1049" i="1"/>
  <c r="L1041" i="1"/>
  <c r="N1041" i="1"/>
  <c r="L1033" i="1"/>
  <c r="N1033" i="1"/>
  <c r="L1025" i="1"/>
  <c r="N1025" i="1"/>
  <c r="L1017" i="1"/>
  <c r="N1017" i="1"/>
  <c r="L1009" i="1"/>
  <c r="N1009" i="1"/>
  <c r="L1001" i="1"/>
  <c r="N1001" i="1"/>
  <c r="L993" i="1"/>
  <c r="N993" i="1"/>
  <c r="N985" i="1"/>
  <c r="L985" i="1"/>
  <c r="L977" i="1"/>
  <c r="N977" i="1"/>
  <c r="L969" i="1"/>
  <c r="N969" i="1"/>
  <c r="L961" i="1"/>
  <c r="N961" i="1"/>
  <c r="L953" i="1"/>
  <c r="N953" i="1"/>
  <c r="L945" i="1"/>
  <c r="N945" i="1"/>
  <c r="L937" i="1"/>
  <c r="N937" i="1"/>
  <c r="L929" i="1"/>
  <c r="N929" i="1"/>
  <c r="L921" i="1"/>
  <c r="N921" i="1"/>
  <c r="L913" i="1"/>
  <c r="N913" i="1"/>
  <c r="L905" i="1"/>
  <c r="N905" i="1"/>
  <c r="L897" i="1"/>
  <c r="N897" i="1"/>
  <c r="L889" i="1"/>
  <c r="N889" i="1"/>
  <c r="L881" i="1"/>
  <c r="N881" i="1"/>
  <c r="L873" i="1"/>
  <c r="N873" i="1"/>
  <c r="L865" i="1"/>
  <c r="N865" i="1"/>
  <c r="L857" i="1"/>
  <c r="N857" i="1"/>
  <c r="L849" i="1"/>
  <c r="N849" i="1"/>
  <c r="L841" i="1"/>
  <c r="N841" i="1"/>
  <c r="L833" i="1"/>
  <c r="N833" i="1"/>
  <c r="L825" i="1"/>
  <c r="N825" i="1"/>
  <c r="L817" i="1"/>
  <c r="N817" i="1"/>
  <c r="L809" i="1"/>
  <c r="N809" i="1"/>
  <c r="L801" i="1"/>
  <c r="N801" i="1"/>
  <c r="L793" i="1"/>
  <c r="N793" i="1"/>
  <c r="L785" i="1"/>
  <c r="N785" i="1"/>
  <c r="L777" i="1"/>
  <c r="N777" i="1"/>
  <c r="L769" i="1"/>
  <c r="N769" i="1"/>
  <c r="L761" i="1"/>
  <c r="N761" i="1"/>
  <c r="L753" i="1"/>
  <c r="N753" i="1"/>
  <c r="L745" i="1"/>
  <c r="N745" i="1"/>
  <c r="L737" i="1"/>
  <c r="N737" i="1"/>
  <c r="L729" i="1"/>
  <c r="N729" i="1"/>
  <c r="L721" i="1"/>
  <c r="N721" i="1"/>
  <c r="L713" i="1"/>
  <c r="N713" i="1"/>
  <c r="L705" i="1"/>
  <c r="N705" i="1"/>
  <c r="L697" i="1"/>
  <c r="N697" i="1"/>
  <c r="L689" i="1"/>
  <c r="N689" i="1"/>
  <c r="L681" i="1"/>
  <c r="N681" i="1"/>
  <c r="L673" i="1"/>
  <c r="N673" i="1"/>
  <c r="L665" i="1"/>
  <c r="N665" i="1"/>
  <c r="L657" i="1"/>
  <c r="N657" i="1"/>
  <c r="L649" i="1"/>
  <c r="N649" i="1"/>
  <c r="L641" i="1"/>
  <c r="N641" i="1"/>
  <c r="L633" i="1"/>
  <c r="N633" i="1"/>
  <c r="L625" i="1"/>
  <c r="N625" i="1"/>
  <c r="L617" i="1"/>
  <c r="N617" i="1"/>
  <c r="L609" i="1"/>
  <c r="N609" i="1"/>
  <c r="L601" i="1"/>
  <c r="N601" i="1"/>
  <c r="L593" i="1"/>
  <c r="N593" i="1"/>
  <c r="L585" i="1"/>
  <c r="N585" i="1"/>
  <c r="L577" i="1"/>
  <c r="N577" i="1"/>
  <c r="L569" i="1"/>
  <c r="N569" i="1"/>
  <c r="L561" i="1"/>
  <c r="N561" i="1"/>
  <c r="L553" i="1"/>
  <c r="N553" i="1"/>
  <c r="L545" i="1"/>
  <c r="N545" i="1"/>
  <c r="L537" i="1"/>
  <c r="N537" i="1"/>
  <c r="L529" i="1"/>
  <c r="N529" i="1"/>
  <c r="L521" i="1"/>
  <c r="N521" i="1"/>
  <c r="L513" i="1"/>
  <c r="N513" i="1"/>
  <c r="L505" i="1"/>
  <c r="N505" i="1"/>
  <c r="L497" i="1"/>
  <c r="N497" i="1"/>
  <c r="L489" i="1"/>
  <c r="N489" i="1"/>
  <c r="L481" i="1"/>
  <c r="N481" i="1"/>
  <c r="L473" i="1"/>
  <c r="N473" i="1"/>
  <c r="L465" i="1"/>
  <c r="N465" i="1"/>
  <c r="L457" i="1"/>
  <c r="N457" i="1"/>
  <c r="L449" i="1"/>
  <c r="N449" i="1"/>
  <c r="L441" i="1"/>
  <c r="N441" i="1"/>
  <c r="L433" i="1"/>
  <c r="N433" i="1"/>
  <c r="L425" i="1"/>
  <c r="N425" i="1"/>
  <c r="L417" i="1"/>
  <c r="N417" i="1"/>
  <c r="L409" i="1"/>
  <c r="N409" i="1"/>
  <c r="L401" i="1"/>
  <c r="N401" i="1"/>
  <c r="L393" i="1"/>
  <c r="N393" i="1"/>
  <c r="L385" i="1"/>
  <c r="N385" i="1"/>
  <c r="L377" i="1"/>
  <c r="N377" i="1"/>
  <c r="L369" i="1"/>
  <c r="N369" i="1"/>
  <c r="L361" i="1"/>
  <c r="N361" i="1"/>
  <c r="L353" i="1"/>
  <c r="N353" i="1"/>
  <c r="L345" i="1"/>
  <c r="N345" i="1"/>
  <c r="L337" i="1"/>
  <c r="N337" i="1"/>
  <c r="L329" i="1"/>
  <c r="N329" i="1"/>
  <c r="L321" i="1"/>
  <c r="N321" i="1"/>
  <c r="L313" i="1"/>
  <c r="N313" i="1"/>
  <c r="L305" i="1"/>
  <c r="N305" i="1"/>
  <c r="L297" i="1"/>
  <c r="N297" i="1"/>
  <c r="L289" i="1"/>
  <c r="N289" i="1"/>
  <c r="L281" i="1"/>
  <c r="N281" i="1"/>
  <c r="L273" i="1"/>
  <c r="N273" i="1"/>
  <c r="L265" i="1"/>
  <c r="N265" i="1"/>
  <c r="L257" i="1"/>
  <c r="N257" i="1"/>
  <c r="L249" i="1"/>
  <c r="N249" i="1"/>
  <c r="L241" i="1"/>
  <c r="N241" i="1"/>
  <c r="L233" i="1"/>
  <c r="N233" i="1"/>
  <c r="L225" i="1"/>
  <c r="N225" i="1"/>
  <c r="L217" i="1"/>
  <c r="N217" i="1"/>
  <c r="L209" i="1"/>
  <c r="N209" i="1"/>
  <c r="L201" i="1"/>
  <c r="N201" i="1"/>
  <c r="L193" i="1"/>
  <c r="N193" i="1"/>
  <c r="L185" i="1"/>
  <c r="N185" i="1"/>
  <c r="L177" i="1"/>
  <c r="N177" i="1"/>
  <c r="L169" i="1"/>
  <c r="N169" i="1"/>
  <c r="L161" i="1"/>
  <c r="N161" i="1"/>
  <c r="L153" i="1"/>
  <c r="N153" i="1"/>
  <c r="L145" i="1"/>
  <c r="N145" i="1"/>
  <c r="L137" i="1"/>
  <c r="N137" i="1"/>
  <c r="L129" i="1"/>
  <c r="N129" i="1"/>
  <c r="L121" i="1"/>
  <c r="N121" i="1"/>
  <c r="L113" i="1"/>
  <c r="N113" i="1"/>
  <c r="L105" i="1"/>
  <c r="N105" i="1"/>
  <c r="L97" i="1"/>
  <c r="N97" i="1"/>
  <c r="L89" i="1"/>
  <c r="N89" i="1"/>
  <c r="L81" i="1"/>
  <c r="N81" i="1"/>
  <c r="L73" i="1"/>
  <c r="N73" i="1"/>
  <c r="L65" i="1"/>
  <c r="N65" i="1"/>
  <c r="L57" i="1"/>
  <c r="N57" i="1"/>
  <c r="L49" i="1"/>
  <c r="N49" i="1"/>
  <c r="L41" i="1"/>
  <c r="N41" i="1"/>
  <c r="L33" i="1"/>
  <c r="N33" i="1"/>
  <c r="L25" i="1"/>
  <c r="N25" i="1"/>
  <c r="L17" i="1"/>
  <c r="N17" i="1"/>
  <c r="L9" i="1"/>
  <c r="N9" i="1"/>
  <c r="L1544" i="1"/>
  <c r="N1544" i="1"/>
  <c r="L1344" i="1"/>
  <c r="N1344" i="1"/>
  <c r="L1144" i="1"/>
  <c r="N1144" i="1"/>
  <c r="L984" i="1"/>
  <c r="N984" i="1"/>
  <c r="L840" i="1"/>
  <c r="N840" i="1"/>
  <c r="L712" i="1"/>
  <c r="N712" i="1"/>
  <c r="L608" i="1"/>
  <c r="N608" i="1"/>
  <c r="L512" i="1"/>
  <c r="N512" i="1"/>
  <c r="L440" i="1"/>
  <c r="N440" i="1"/>
  <c r="L416" i="1"/>
  <c r="N416" i="1"/>
  <c r="L408" i="1"/>
  <c r="N408" i="1"/>
  <c r="L400" i="1"/>
  <c r="N400" i="1"/>
  <c r="L392" i="1"/>
  <c r="N392" i="1"/>
  <c r="L368" i="1"/>
  <c r="N368" i="1"/>
  <c r="L352" i="1"/>
  <c r="N352" i="1"/>
  <c r="L344" i="1"/>
  <c r="N344" i="1"/>
  <c r="L336" i="1"/>
  <c r="N336" i="1"/>
  <c r="L328" i="1"/>
  <c r="N328" i="1"/>
  <c r="L320" i="1"/>
  <c r="N320" i="1"/>
  <c r="L312" i="1"/>
  <c r="N312" i="1"/>
  <c r="L304" i="1"/>
  <c r="N304" i="1"/>
  <c r="L296" i="1"/>
  <c r="N296" i="1"/>
  <c r="L288" i="1"/>
  <c r="N288" i="1"/>
  <c r="L280" i="1"/>
  <c r="N280" i="1"/>
  <c r="L272" i="1"/>
  <c r="N272" i="1"/>
  <c r="L264" i="1"/>
  <c r="N264" i="1"/>
  <c r="L256" i="1"/>
  <c r="N256" i="1"/>
  <c r="L248" i="1"/>
  <c r="N248" i="1"/>
  <c r="L240" i="1"/>
  <c r="N240" i="1"/>
  <c r="L2144" i="1"/>
  <c r="N2144" i="1"/>
  <c r="L2120" i="1"/>
  <c r="N2120" i="1"/>
  <c r="L2096" i="1"/>
  <c r="N2096" i="1"/>
  <c r="L2072" i="1"/>
  <c r="N2072" i="1"/>
  <c r="L2048" i="1"/>
  <c r="N2048" i="1"/>
  <c r="L2024" i="1"/>
  <c r="N2024" i="1"/>
  <c r="L2000" i="1"/>
  <c r="N2000" i="1"/>
  <c r="L1976" i="1"/>
  <c r="N1976" i="1"/>
  <c r="L1952" i="1"/>
  <c r="N1952" i="1"/>
  <c r="L1928" i="1"/>
  <c r="N1928" i="1"/>
  <c r="L1904" i="1"/>
  <c r="N1904" i="1"/>
  <c r="L1880" i="1"/>
  <c r="N1880" i="1"/>
  <c r="L1856" i="1"/>
  <c r="N1856" i="1"/>
  <c r="L1832" i="1"/>
  <c r="N1832" i="1"/>
  <c r="L1808" i="1"/>
  <c r="N1808" i="1"/>
  <c r="L1784" i="1"/>
  <c r="N1784" i="1"/>
  <c r="L1760" i="1"/>
  <c r="N1760" i="1"/>
  <c r="L1736" i="1"/>
  <c r="N1736" i="1"/>
  <c r="L1712" i="1"/>
  <c r="N1712" i="1"/>
  <c r="L1688" i="1"/>
  <c r="N1688" i="1"/>
  <c r="L1664" i="1"/>
  <c r="N1664" i="1"/>
  <c r="L1640" i="1"/>
  <c r="N1640" i="1"/>
  <c r="L1616" i="1"/>
  <c r="N1616" i="1"/>
  <c r="L1584" i="1"/>
  <c r="N1584" i="1"/>
  <c r="L1552" i="1"/>
  <c r="N1552" i="1"/>
  <c r="L1520" i="1"/>
  <c r="N1520" i="1"/>
  <c r="L1496" i="1"/>
  <c r="N1496" i="1"/>
  <c r="L1472" i="1"/>
  <c r="N1472" i="1"/>
  <c r="L1448" i="1"/>
  <c r="N1448" i="1"/>
  <c r="L1424" i="1"/>
  <c r="N1424" i="1"/>
  <c r="L1400" i="1"/>
  <c r="N1400" i="1"/>
  <c r="L1376" i="1"/>
  <c r="N1376" i="1"/>
  <c r="L1360" i="1"/>
  <c r="N1360" i="1"/>
  <c r="L1328" i="1"/>
  <c r="N1328" i="1"/>
  <c r="L1304" i="1"/>
  <c r="N1304" i="1"/>
  <c r="L1272" i="1"/>
  <c r="N1272" i="1"/>
  <c r="L1248" i="1"/>
  <c r="N1248" i="1"/>
  <c r="L1240" i="1"/>
  <c r="N1240" i="1"/>
  <c r="L1216" i="1"/>
  <c r="N1216" i="1"/>
  <c r="L1192" i="1"/>
  <c r="N1192" i="1"/>
  <c r="L1168" i="1"/>
  <c r="N1168" i="1"/>
  <c r="N1136" i="1"/>
  <c r="L1136" i="1"/>
  <c r="L1112" i="1"/>
  <c r="N1112" i="1"/>
  <c r="L1088" i="1"/>
  <c r="N1088" i="1"/>
  <c r="L1064" i="1"/>
  <c r="N1064" i="1"/>
  <c r="L1040" i="1"/>
  <c r="N1040" i="1"/>
  <c r="L1016" i="1"/>
  <c r="N1016" i="1"/>
  <c r="N992" i="1"/>
  <c r="L992" i="1"/>
  <c r="L960" i="1"/>
  <c r="N960" i="1"/>
  <c r="L936" i="1"/>
  <c r="N936" i="1"/>
  <c r="L912" i="1"/>
  <c r="N912" i="1"/>
  <c r="L888" i="1"/>
  <c r="N888" i="1"/>
  <c r="L864" i="1"/>
  <c r="N864" i="1"/>
  <c r="L832" i="1"/>
  <c r="N832" i="1"/>
  <c r="L808" i="1"/>
  <c r="N808" i="1"/>
  <c r="L792" i="1"/>
  <c r="N792" i="1"/>
  <c r="L768" i="1"/>
  <c r="N768" i="1"/>
  <c r="L744" i="1"/>
  <c r="N744" i="1"/>
  <c r="L720" i="1"/>
  <c r="N720" i="1"/>
  <c r="L688" i="1"/>
  <c r="N688" i="1"/>
  <c r="L664" i="1"/>
  <c r="N664" i="1"/>
  <c r="L640" i="1"/>
  <c r="N640" i="1"/>
  <c r="L616" i="1"/>
  <c r="N616" i="1"/>
  <c r="L584" i="1"/>
  <c r="N584" i="1"/>
  <c r="L560" i="1"/>
  <c r="N560" i="1"/>
  <c r="L536" i="1"/>
  <c r="N536" i="1"/>
  <c r="L504" i="1"/>
  <c r="N504" i="1"/>
  <c r="L472" i="1"/>
  <c r="N472" i="1"/>
  <c r="L360" i="1"/>
  <c r="N360" i="1"/>
  <c r="L2136" i="1"/>
  <c r="N2136" i="1"/>
  <c r="L2112" i="1"/>
  <c r="N2112" i="1"/>
  <c r="L2088" i="1"/>
  <c r="N2088" i="1"/>
  <c r="L2064" i="1"/>
  <c r="N2064" i="1"/>
  <c r="L2040" i="1"/>
  <c r="N2040" i="1"/>
  <c r="L2016" i="1"/>
  <c r="N2016" i="1"/>
  <c r="L1984" i="1"/>
  <c r="N1984" i="1"/>
  <c r="L1960" i="1"/>
  <c r="N1960" i="1"/>
  <c r="L1944" i="1"/>
  <c r="N1944" i="1"/>
  <c r="L1920" i="1"/>
  <c r="N1920" i="1"/>
  <c r="L1896" i="1"/>
  <c r="N1896" i="1"/>
  <c r="L1872" i="1"/>
  <c r="N1872" i="1"/>
  <c r="L1840" i="1"/>
  <c r="N1840" i="1"/>
  <c r="L1816" i="1"/>
  <c r="N1816" i="1"/>
  <c r="L1792" i="1"/>
  <c r="N1792" i="1"/>
  <c r="L1776" i="1"/>
  <c r="N1776" i="1"/>
  <c r="L1752" i="1"/>
  <c r="N1752" i="1"/>
  <c r="L1720" i="1"/>
  <c r="N1720" i="1"/>
  <c r="L1696" i="1"/>
  <c r="N1696" i="1"/>
  <c r="L1680" i="1"/>
  <c r="N1680" i="1"/>
  <c r="L1656" i="1"/>
  <c r="N1656" i="1"/>
  <c r="L1632" i="1"/>
  <c r="N1632" i="1"/>
  <c r="L1608" i="1"/>
  <c r="N1608" i="1"/>
  <c r="L1592" i="1"/>
  <c r="N1592" i="1"/>
  <c r="L1568" i="1"/>
  <c r="N1568" i="1"/>
  <c r="L1528" i="1"/>
  <c r="N1528" i="1"/>
  <c r="L1512" i="1"/>
  <c r="N1512" i="1"/>
  <c r="L1488" i="1"/>
  <c r="N1488" i="1"/>
  <c r="L1464" i="1"/>
  <c r="N1464" i="1"/>
  <c r="L1440" i="1"/>
  <c r="N1440" i="1"/>
  <c r="L1416" i="1"/>
  <c r="N1416" i="1"/>
  <c r="L1384" i="1"/>
  <c r="N1384" i="1"/>
  <c r="L1352" i="1"/>
  <c r="N1352" i="1"/>
  <c r="L1320" i="1"/>
  <c r="N1320" i="1"/>
  <c r="L1296" i="1"/>
  <c r="N1296" i="1"/>
  <c r="L1280" i="1"/>
  <c r="N1280" i="1"/>
  <c r="L1256" i="1"/>
  <c r="N1256" i="1"/>
  <c r="N1232" i="1"/>
  <c r="L1232" i="1"/>
  <c r="L1208" i="1"/>
  <c r="N1208" i="1"/>
  <c r="L1184" i="1"/>
  <c r="N1184" i="1"/>
  <c r="L1160" i="1"/>
  <c r="N1160" i="1"/>
  <c r="L1128" i="1"/>
  <c r="N1128" i="1"/>
  <c r="N1104" i="1"/>
  <c r="L1104" i="1"/>
  <c r="L1072" i="1"/>
  <c r="N1072" i="1"/>
  <c r="L1048" i="1"/>
  <c r="N1048" i="1"/>
  <c r="L1024" i="1"/>
  <c r="N1024" i="1"/>
  <c r="L1000" i="1"/>
  <c r="N1000" i="1"/>
  <c r="L976" i="1"/>
  <c r="N976" i="1"/>
  <c r="L944" i="1"/>
  <c r="N944" i="1"/>
  <c r="L928" i="1"/>
  <c r="N928" i="1"/>
  <c r="L896" i="1"/>
  <c r="N896" i="1"/>
  <c r="L872" i="1"/>
  <c r="N872" i="1"/>
  <c r="L848" i="1"/>
  <c r="N848" i="1"/>
  <c r="L816" i="1"/>
  <c r="N816" i="1"/>
  <c r="L784" i="1"/>
  <c r="N784" i="1"/>
  <c r="L760" i="1"/>
  <c r="N760" i="1"/>
  <c r="L736" i="1"/>
  <c r="N736" i="1"/>
  <c r="L704" i="1"/>
  <c r="N704" i="1"/>
  <c r="L680" i="1"/>
  <c r="N680" i="1"/>
  <c r="L656" i="1"/>
  <c r="N656" i="1"/>
  <c r="L632" i="1"/>
  <c r="N632" i="1"/>
  <c r="L600" i="1"/>
  <c r="N600" i="1"/>
  <c r="L568" i="1"/>
  <c r="N568" i="1"/>
  <c r="L544" i="1"/>
  <c r="N544" i="1"/>
  <c r="L528" i="1"/>
  <c r="N528" i="1"/>
  <c r="L496" i="1"/>
  <c r="N496" i="1"/>
  <c r="L480" i="1"/>
  <c r="N480" i="1"/>
  <c r="L456" i="1"/>
  <c r="N456" i="1"/>
  <c r="L432" i="1"/>
  <c r="N432" i="1"/>
  <c r="L384" i="1"/>
  <c r="N384" i="1"/>
  <c r="L2152" i="1"/>
  <c r="N2152" i="1"/>
  <c r="L2128" i="1"/>
  <c r="N2128" i="1"/>
  <c r="L2104" i="1"/>
  <c r="N2104" i="1"/>
  <c r="L2080" i="1"/>
  <c r="N2080" i="1"/>
  <c r="L2056" i="1"/>
  <c r="N2056" i="1"/>
  <c r="L2032" i="1"/>
  <c r="N2032" i="1"/>
  <c r="L2008" i="1"/>
  <c r="N2008" i="1"/>
  <c r="L1992" i="1"/>
  <c r="N1992" i="1"/>
  <c r="L1968" i="1"/>
  <c r="N1968" i="1"/>
  <c r="L1936" i="1"/>
  <c r="N1936" i="1"/>
  <c r="L1912" i="1"/>
  <c r="N1912" i="1"/>
  <c r="L1888" i="1"/>
  <c r="N1888" i="1"/>
  <c r="L1864" i="1"/>
  <c r="N1864" i="1"/>
  <c r="L1848" i="1"/>
  <c r="N1848" i="1"/>
  <c r="L1824" i="1"/>
  <c r="N1824" i="1"/>
  <c r="L1800" i="1"/>
  <c r="N1800" i="1"/>
  <c r="L1768" i="1"/>
  <c r="N1768" i="1"/>
  <c r="L1744" i="1"/>
  <c r="N1744" i="1"/>
  <c r="L1728" i="1"/>
  <c r="N1728" i="1"/>
  <c r="L1704" i="1"/>
  <c r="N1704" i="1"/>
  <c r="L1672" i="1"/>
  <c r="N1672" i="1"/>
  <c r="L1648" i="1"/>
  <c r="N1648" i="1"/>
  <c r="L1624" i="1"/>
  <c r="N1624" i="1"/>
  <c r="L1600" i="1"/>
  <c r="N1600" i="1"/>
  <c r="L1576" i="1"/>
  <c r="N1576" i="1"/>
  <c r="L1560" i="1"/>
  <c r="N1560" i="1"/>
  <c r="L1536" i="1"/>
  <c r="N1536" i="1"/>
  <c r="L1504" i="1"/>
  <c r="N1504" i="1"/>
  <c r="L1480" i="1"/>
  <c r="N1480" i="1"/>
  <c r="L1456" i="1"/>
  <c r="N1456" i="1"/>
  <c r="L1432" i="1"/>
  <c r="N1432" i="1"/>
  <c r="L1408" i="1"/>
  <c r="N1408" i="1"/>
  <c r="L1392" i="1"/>
  <c r="N1392" i="1"/>
  <c r="L1368" i="1"/>
  <c r="N1368" i="1"/>
  <c r="L1336" i="1"/>
  <c r="N1336" i="1"/>
  <c r="L1312" i="1"/>
  <c r="N1312" i="1"/>
  <c r="L1288" i="1"/>
  <c r="N1288" i="1"/>
  <c r="N1264" i="1"/>
  <c r="L1264" i="1"/>
  <c r="L1224" i="1"/>
  <c r="N1224" i="1"/>
  <c r="L1200" i="1"/>
  <c r="N1200" i="1"/>
  <c r="L1176" i="1"/>
  <c r="N1176" i="1"/>
  <c r="L1152" i="1"/>
  <c r="N1152" i="1"/>
  <c r="L1120" i="1"/>
  <c r="N1120" i="1"/>
  <c r="L1096" i="1"/>
  <c r="N1096" i="1"/>
  <c r="L1080" i="1"/>
  <c r="N1080" i="1"/>
  <c r="L1056" i="1"/>
  <c r="N1056" i="1"/>
  <c r="L1032" i="1"/>
  <c r="N1032" i="1"/>
  <c r="L1008" i="1"/>
  <c r="N1008" i="1"/>
  <c r="L968" i="1"/>
  <c r="N968" i="1"/>
  <c r="L952" i="1"/>
  <c r="N952" i="1"/>
  <c r="L920" i="1"/>
  <c r="N920" i="1"/>
  <c r="L904" i="1"/>
  <c r="N904" i="1"/>
  <c r="L880" i="1"/>
  <c r="N880" i="1"/>
  <c r="L856" i="1"/>
  <c r="N856" i="1"/>
  <c r="L824" i="1"/>
  <c r="N824" i="1"/>
  <c r="L800" i="1"/>
  <c r="N800" i="1"/>
  <c r="L776" i="1"/>
  <c r="N776" i="1"/>
  <c r="L752" i="1"/>
  <c r="N752" i="1"/>
  <c r="L728" i="1"/>
  <c r="N728" i="1"/>
  <c r="L696" i="1"/>
  <c r="N696" i="1"/>
  <c r="L672" i="1"/>
  <c r="N672" i="1"/>
  <c r="L648" i="1"/>
  <c r="N648" i="1"/>
  <c r="L624" i="1"/>
  <c r="N624" i="1"/>
  <c r="L592" i="1"/>
  <c r="N592" i="1"/>
  <c r="L576" i="1"/>
  <c r="N576" i="1"/>
  <c r="L552" i="1"/>
  <c r="N552" i="1"/>
  <c r="L520" i="1"/>
  <c r="N520" i="1"/>
  <c r="L488" i="1"/>
  <c r="N488" i="1"/>
  <c r="L464" i="1"/>
  <c r="N464" i="1"/>
  <c r="L448" i="1"/>
  <c r="N448" i="1"/>
  <c r="L424" i="1"/>
  <c r="N424" i="1"/>
  <c r="L376" i="1"/>
  <c r="N376" i="1"/>
  <c r="N2156" i="1"/>
  <c r="N2148" i="1"/>
  <c r="N2140" i="1"/>
  <c r="N2132" i="1"/>
  <c r="N2124" i="1"/>
  <c r="N2116" i="1"/>
  <c r="N2108" i="1"/>
  <c r="N2100" i="1"/>
  <c r="N2092" i="1"/>
  <c r="N2084" i="1"/>
  <c r="N2076" i="1"/>
  <c r="N2068" i="1"/>
  <c r="N2060" i="1"/>
  <c r="N2052" i="1"/>
  <c r="N2044" i="1"/>
  <c r="N2036" i="1"/>
  <c r="N2028" i="1"/>
  <c r="N2020" i="1"/>
  <c r="N2012" i="1"/>
  <c r="N2004" i="1"/>
  <c r="N1996" i="1"/>
  <c r="N1988" i="1"/>
  <c r="N1980" i="1"/>
  <c r="N1972" i="1"/>
  <c r="N1964" i="1"/>
  <c r="N1956" i="1"/>
  <c r="N1948" i="1"/>
  <c r="N1940" i="1"/>
  <c r="N1932" i="1"/>
  <c r="N1924" i="1"/>
  <c r="N1916" i="1"/>
  <c r="N1908" i="1"/>
  <c r="N1898" i="1"/>
  <c r="N1871" i="1"/>
  <c r="N1862" i="1"/>
  <c r="N1853" i="1"/>
  <c r="N1844" i="1"/>
  <c r="N1834" i="1"/>
  <c r="N1807" i="1"/>
  <c r="N1798" i="1"/>
  <c r="N1789" i="1"/>
  <c r="N1780" i="1"/>
  <c r="N1770" i="1"/>
  <c r="N1743" i="1"/>
  <c r="N1734" i="1"/>
  <c r="N1725" i="1"/>
  <c r="N1716" i="1"/>
  <c r="N1694" i="1"/>
  <c r="N1684" i="1"/>
  <c r="N1662" i="1"/>
  <c r="N1652" i="1"/>
  <c r="N1629" i="1"/>
  <c r="N1582" i="1"/>
  <c r="N1268" i="1"/>
  <c r="N1131" i="1"/>
  <c r="N962" i="1"/>
  <c r="N770" i="1"/>
  <c r="N514" i="1"/>
  <c r="N174" i="1"/>
  <c r="L232" i="1"/>
  <c r="N232" i="1"/>
  <c r="L224" i="1"/>
  <c r="N224" i="1"/>
  <c r="L216" i="1"/>
  <c r="N216" i="1"/>
  <c r="L208" i="1"/>
  <c r="N208" i="1"/>
  <c r="L200" i="1"/>
  <c r="N200" i="1"/>
  <c r="L192" i="1"/>
  <c r="N192" i="1"/>
  <c r="L184" i="1"/>
  <c r="N184" i="1"/>
  <c r="L176" i="1"/>
  <c r="N176" i="1"/>
  <c r="L168" i="1"/>
  <c r="N168" i="1"/>
  <c r="L160" i="1"/>
  <c r="N160" i="1"/>
  <c r="L152" i="1"/>
  <c r="N152" i="1"/>
  <c r="L144" i="1"/>
  <c r="N144" i="1"/>
  <c r="L136" i="1"/>
  <c r="N136" i="1"/>
  <c r="L128" i="1"/>
  <c r="N128" i="1"/>
  <c r="L120" i="1"/>
  <c r="N120" i="1"/>
  <c r="L112" i="1"/>
  <c r="N112" i="1"/>
  <c r="L104" i="1"/>
  <c r="N104" i="1"/>
  <c r="L96" i="1"/>
  <c r="N96" i="1"/>
  <c r="L88" i="1"/>
  <c r="N88" i="1"/>
  <c r="L80" i="1"/>
  <c r="N80" i="1"/>
  <c r="L72" i="1"/>
  <c r="N72" i="1"/>
  <c r="L64" i="1"/>
  <c r="N64" i="1"/>
  <c r="L56" i="1"/>
  <c r="N56" i="1"/>
  <c r="L48" i="1"/>
  <c r="N48" i="1"/>
  <c r="L40" i="1"/>
  <c r="N40" i="1"/>
  <c r="L32" i="1"/>
  <c r="N32" i="1"/>
  <c r="L24" i="1"/>
  <c r="N24" i="1"/>
  <c r="L16" i="1"/>
  <c r="N16" i="1"/>
  <c r="L8" i="1"/>
  <c r="N8" i="1"/>
  <c r="N2155" i="1"/>
  <c r="N2147" i="1"/>
  <c r="N2139" i="1"/>
  <c r="N2131" i="1"/>
  <c r="N2123" i="1"/>
  <c r="N2115" i="1"/>
  <c r="N2107" i="1"/>
  <c r="N2099" i="1"/>
  <c r="N2091" i="1"/>
  <c r="N2083" i="1"/>
  <c r="N2075" i="1"/>
  <c r="N2067" i="1"/>
  <c r="N2059" i="1"/>
  <c r="N2051" i="1"/>
  <c r="N2043" i="1"/>
  <c r="N2035" i="1"/>
  <c r="N2027" i="1"/>
  <c r="N2019" i="1"/>
  <c r="N2011" i="1"/>
  <c r="N2003" i="1"/>
  <c r="N1995" i="1"/>
  <c r="N1987" i="1"/>
  <c r="N1979" i="1"/>
  <c r="N1971" i="1"/>
  <c r="N1963" i="1"/>
  <c r="N1955" i="1"/>
  <c r="N1947" i="1"/>
  <c r="N1939" i="1"/>
  <c r="N1931" i="1"/>
  <c r="N1923" i="1"/>
  <c r="N1915" i="1"/>
  <c r="N1906" i="1"/>
  <c r="N1879" i="1"/>
  <c r="N1870" i="1"/>
  <c r="N1861" i="1"/>
  <c r="N1852" i="1"/>
  <c r="N1842" i="1"/>
  <c r="N1815" i="1"/>
  <c r="N1806" i="1"/>
  <c r="N1797" i="1"/>
  <c r="N1788" i="1"/>
  <c r="N1778" i="1"/>
  <c r="N1751" i="1"/>
  <c r="N1742" i="1"/>
  <c r="N1733" i="1"/>
  <c r="N1724" i="1"/>
  <c r="N1703" i="1"/>
  <c r="N1693" i="1"/>
  <c r="N1671" i="1"/>
  <c r="N1661" i="1"/>
  <c r="N1639" i="1"/>
  <c r="N1628" i="1"/>
  <c r="N1614" i="1"/>
  <c r="N1598" i="1"/>
  <c r="N1581" i="1"/>
  <c r="N1550" i="1"/>
  <c r="N1518" i="1"/>
  <c r="N1342" i="1"/>
  <c r="N1258" i="1"/>
  <c r="N1109" i="1"/>
  <c r="N939" i="1"/>
  <c r="N738" i="1"/>
  <c r="N482" i="1"/>
  <c r="N87" i="1"/>
  <c r="L1631" i="1"/>
  <c r="N1631" i="1"/>
  <c r="L1623" i="1"/>
  <c r="N1623" i="1"/>
  <c r="L1615" i="1"/>
  <c r="N1615" i="1"/>
  <c r="L1607" i="1"/>
  <c r="N1607" i="1"/>
  <c r="L1599" i="1"/>
  <c r="N1599" i="1"/>
  <c r="L1591" i="1"/>
  <c r="N1591" i="1"/>
  <c r="L1583" i="1"/>
  <c r="N1583" i="1"/>
  <c r="L1575" i="1"/>
  <c r="N1575" i="1"/>
  <c r="L1567" i="1"/>
  <c r="N1567" i="1"/>
  <c r="L1559" i="1"/>
  <c r="N1559" i="1"/>
  <c r="L1551" i="1"/>
  <c r="N1551" i="1"/>
  <c r="L1543" i="1"/>
  <c r="N1543" i="1"/>
  <c r="L1535" i="1"/>
  <c r="N1535" i="1"/>
  <c r="L1527" i="1"/>
  <c r="N1527" i="1"/>
  <c r="L1519" i="1"/>
  <c r="N1519" i="1"/>
  <c r="L1511" i="1"/>
  <c r="N1511" i="1"/>
  <c r="L1503" i="1"/>
  <c r="N1503" i="1"/>
  <c r="L1495" i="1"/>
  <c r="N1495" i="1"/>
  <c r="L1487" i="1"/>
  <c r="N1487" i="1"/>
  <c r="L1479" i="1"/>
  <c r="N1479" i="1"/>
  <c r="L1471" i="1"/>
  <c r="N1471" i="1"/>
  <c r="L1463" i="1"/>
  <c r="N1463" i="1"/>
  <c r="L1455" i="1"/>
  <c r="N1455" i="1"/>
  <c r="L1447" i="1"/>
  <c r="N1447" i="1"/>
  <c r="L1439" i="1"/>
  <c r="N1439" i="1"/>
  <c r="L1431" i="1"/>
  <c r="N1431" i="1"/>
  <c r="L1423" i="1"/>
  <c r="N1423" i="1"/>
  <c r="L1415" i="1"/>
  <c r="N1415" i="1"/>
  <c r="L1407" i="1"/>
  <c r="N1407" i="1"/>
  <c r="L1399" i="1"/>
  <c r="N1399" i="1"/>
  <c r="L1391" i="1"/>
  <c r="N1391" i="1"/>
  <c r="L1383" i="1"/>
  <c r="N1383" i="1"/>
  <c r="L1375" i="1"/>
  <c r="N1375" i="1"/>
  <c r="L1367" i="1"/>
  <c r="N1367" i="1"/>
  <c r="L1359" i="1"/>
  <c r="N1359" i="1"/>
  <c r="L1351" i="1"/>
  <c r="N1351" i="1"/>
  <c r="L1343" i="1"/>
  <c r="N1343" i="1"/>
  <c r="L1335" i="1"/>
  <c r="N1335" i="1"/>
  <c r="L1327" i="1"/>
  <c r="N1327" i="1"/>
  <c r="L1319" i="1"/>
  <c r="N1319" i="1"/>
  <c r="L1311" i="1"/>
  <c r="N1311" i="1"/>
  <c r="L1303" i="1"/>
  <c r="N1303" i="1"/>
  <c r="L1295" i="1"/>
  <c r="N1295" i="1"/>
  <c r="L1287" i="1"/>
  <c r="N1287" i="1"/>
  <c r="L1279" i="1"/>
  <c r="N1279" i="1"/>
  <c r="L1271" i="1"/>
  <c r="N1271" i="1"/>
  <c r="L1263" i="1"/>
  <c r="N1263" i="1"/>
  <c r="L1255" i="1"/>
  <c r="N1255" i="1"/>
  <c r="L1247" i="1"/>
  <c r="N1247" i="1"/>
  <c r="L1239" i="1"/>
  <c r="N1239" i="1"/>
  <c r="L1231" i="1"/>
  <c r="N1231" i="1"/>
  <c r="L1223" i="1"/>
  <c r="N1223" i="1"/>
  <c r="L1215" i="1"/>
  <c r="N1215" i="1"/>
  <c r="L1207" i="1"/>
  <c r="N1207" i="1"/>
  <c r="L1199" i="1"/>
  <c r="N1199" i="1"/>
  <c r="L1191" i="1"/>
  <c r="N1191" i="1"/>
  <c r="L1183" i="1"/>
  <c r="N1183" i="1"/>
  <c r="L1175" i="1"/>
  <c r="N1175" i="1"/>
  <c r="L1167" i="1"/>
  <c r="N1167" i="1"/>
  <c r="L1159" i="1"/>
  <c r="N1159" i="1"/>
  <c r="L1151" i="1"/>
  <c r="N1151" i="1"/>
  <c r="L1143" i="1"/>
  <c r="N1143" i="1"/>
  <c r="L1135" i="1"/>
  <c r="N1135" i="1"/>
  <c r="L1127" i="1"/>
  <c r="N1127" i="1"/>
  <c r="L1119" i="1"/>
  <c r="N1119" i="1"/>
  <c r="L1111" i="1"/>
  <c r="N1111" i="1"/>
  <c r="L1103" i="1"/>
  <c r="N1103" i="1"/>
  <c r="L1095" i="1"/>
  <c r="N1095" i="1"/>
  <c r="L1087" i="1"/>
  <c r="N1087" i="1"/>
  <c r="L1079" i="1"/>
  <c r="N1079" i="1"/>
  <c r="L1071" i="1"/>
  <c r="N1071" i="1"/>
  <c r="L1063" i="1"/>
  <c r="N1063" i="1"/>
  <c r="L1055" i="1"/>
  <c r="N1055" i="1"/>
  <c r="L1047" i="1"/>
  <c r="N1047" i="1"/>
  <c r="L1039" i="1"/>
  <c r="N1039" i="1"/>
  <c r="L1031" i="1"/>
  <c r="N1031" i="1"/>
  <c r="L1023" i="1"/>
  <c r="N1023" i="1"/>
  <c r="L1015" i="1"/>
  <c r="N1015" i="1"/>
  <c r="L1007" i="1"/>
  <c r="N1007" i="1"/>
  <c r="L999" i="1"/>
  <c r="N999" i="1"/>
  <c r="L991" i="1"/>
  <c r="N991" i="1"/>
  <c r="L983" i="1"/>
  <c r="N983" i="1"/>
  <c r="L975" i="1"/>
  <c r="N975" i="1"/>
  <c r="L967" i="1"/>
  <c r="N967" i="1"/>
  <c r="L959" i="1"/>
  <c r="N959" i="1"/>
  <c r="L951" i="1"/>
  <c r="N951" i="1"/>
  <c r="L943" i="1"/>
  <c r="N943" i="1"/>
  <c r="N935" i="1"/>
  <c r="L935" i="1"/>
  <c r="N927" i="1"/>
  <c r="L927" i="1"/>
  <c r="L919" i="1"/>
  <c r="N919" i="1"/>
  <c r="L911" i="1"/>
  <c r="N911" i="1"/>
  <c r="L903" i="1"/>
  <c r="N903" i="1"/>
  <c r="L895" i="1"/>
  <c r="N895" i="1"/>
  <c r="L887" i="1"/>
  <c r="N887" i="1"/>
  <c r="L879" i="1"/>
  <c r="N879" i="1"/>
  <c r="L871" i="1"/>
  <c r="N871" i="1"/>
  <c r="L863" i="1"/>
  <c r="N863" i="1"/>
  <c r="L855" i="1"/>
  <c r="N855" i="1"/>
  <c r="L847" i="1"/>
  <c r="N847" i="1"/>
  <c r="L839" i="1"/>
  <c r="N839" i="1"/>
  <c r="L831" i="1"/>
  <c r="N831" i="1"/>
  <c r="L823" i="1"/>
  <c r="N823" i="1"/>
  <c r="L815" i="1"/>
  <c r="N815" i="1"/>
  <c r="L807" i="1"/>
  <c r="N807" i="1"/>
  <c r="L799" i="1"/>
  <c r="N799" i="1"/>
  <c r="L791" i="1"/>
  <c r="N791" i="1"/>
  <c r="L783" i="1"/>
  <c r="N783" i="1"/>
  <c r="L775" i="1"/>
  <c r="N775" i="1"/>
  <c r="L767" i="1"/>
  <c r="N767" i="1"/>
  <c r="L759" i="1"/>
  <c r="N759" i="1"/>
  <c r="L751" i="1"/>
  <c r="N751" i="1"/>
  <c r="L743" i="1"/>
  <c r="N743" i="1"/>
  <c r="L735" i="1"/>
  <c r="N735" i="1"/>
  <c r="L727" i="1"/>
  <c r="N727" i="1"/>
  <c r="L719" i="1"/>
  <c r="N719" i="1"/>
  <c r="L711" i="1"/>
  <c r="N711" i="1"/>
  <c r="L703" i="1"/>
  <c r="N703" i="1"/>
  <c r="L695" i="1"/>
  <c r="N695" i="1"/>
  <c r="L687" i="1"/>
  <c r="N687" i="1"/>
  <c r="L679" i="1"/>
  <c r="N679" i="1"/>
  <c r="L671" i="1"/>
  <c r="N671" i="1"/>
  <c r="L663" i="1"/>
  <c r="N663" i="1"/>
  <c r="L655" i="1"/>
  <c r="N655" i="1"/>
  <c r="L647" i="1"/>
  <c r="N647" i="1"/>
  <c r="L639" i="1"/>
  <c r="N639" i="1"/>
  <c r="L631" i="1"/>
  <c r="N631" i="1"/>
  <c r="L623" i="1"/>
  <c r="N623" i="1"/>
  <c r="L615" i="1"/>
  <c r="N615" i="1"/>
  <c r="L607" i="1"/>
  <c r="N607" i="1"/>
  <c r="L599" i="1"/>
  <c r="N599" i="1"/>
  <c r="L591" i="1"/>
  <c r="N591" i="1"/>
  <c r="L583" i="1"/>
  <c r="N583" i="1"/>
  <c r="L575" i="1"/>
  <c r="N575" i="1"/>
  <c r="L567" i="1"/>
  <c r="N567" i="1"/>
  <c r="L559" i="1"/>
  <c r="N559" i="1"/>
  <c r="L551" i="1"/>
  <c r="N551" i="1"/>
  <c r="L543" i="1"/>
  <c r="N543" i="1"/>
  <c r="L535" i="1"/>
  <c r="N535" i="1"/>
  <c r="L527" i="1"/>
  <c r="N527" i="1"/>
  <c r="L519" i="1"/>
  <c r="N519" i="1"/>
  <c r="L511" i="1"/>
  <c r="N511" i="1"/>
  <c r="L503" i="1"/>
  <c r="N503" i="1"/>
  <c r="L495" i="1"/>
  <c r="N495" i="1"/>
  <c r="L487" i="1"/>
  <c r="N487" i="1"/>
  <c r="L479" i="1"/>
  <c r="N479" i="1"/>
  <c r="L471" i="1"/>
  <c r="N471" i="1"/>
  <c r="L463" i="1"/>
  <c r="N463" i="1"/>
  <c r="L455" i="1"/>
  <c r="N455" i="1"/>
  <c r="L447" i="1"/>
  <c r="N447" i="1"/>
  <c r="L439" i="1"/>
  <c r="N439" i="1"/>
  <c r="L431" i="1"/>
  <c r="N431" i="1"/>
  <c r="L423" i="1"/>
  <c r="N423" i="1"/>
  <c r="L415" i="1"/>
  <c r="N415" i="1"/>
  <c r="L407" i="1"/>
  <c r="N407" i="1"/>
  <c r="L399" i="1"/>
  <c r="N399" i="1"/>
  <c r="L391" i="1"/>
  <c r="N391" i="1"/>
  <c r="L383" i="1"/>
  <c r="N383" i="1"/>
  <c r="L375" i="1"/>
  <c r="N375" i="1"/>
  <c r="L367" i="1"/>
  <c r="N367" i="1"/>
  <c r="L359" i="1"/>
  <c r="N359" i="1"/>
  <c r="L351" i="1"/>
  <c r="N351" i="1"/>
  <c r="L343" i="1"/>
  <c r="N343" i="1"/>
  <c r="L335" i="1"/>
  <c r="N335" i="1"/>
  <c r="L327" i="1"/>
  <c r="N327" i="1"/>
  <c r="L319" i="1"/>
  <c r="N319" i="1"/>
  <c r="L311" i="1"/>
  <c r="N311" i="1"/>
  <c r="L303" i="1"/>
  <c r="N303" i="1"/>
  <c r="L295" i="1"/>
  <c r="N295" i="1"/>
  <c r="L287" i="1"/>
  <c r="N287" i="1"/>
  <c r="L279" i="1"/>
  <c r="N279" i="1"/>
  <c r="L271" i="1"/>
  <c r="N271" i="1"/>
  <c r="L263" i="1"/>
  <c r="N263" i="1"/>
  <c r="L247" i="1"/>
  <c r="N247" i="1"/>
  <c r="L239" i="1"/>
  <c r="N239" i="1"/>
  <c r="L231" i="1"/>
  <c r="N231" i="1"/>
  <c r="L223" i="1"/>
  <c r="N223" i="1"/>
  <c r="L215" i="1"/>
  <c r="N215" i="1"/>
  <c r="L207" i="1"/>
  <c r="N207" i="1"/>
  <c r="L199" i="1"/>
  <c r="N199" i="1"/>
  <c r="L191" i="1"/>
  <c r="N191" i="1"/>
  <c r="L183" i="1"/>
  <c r="N183" i="1"/>
  <c r="L175" i="1"/>
  <c r="N175" i="1"/>
  <c r="L167" i="1"/>
  <c r="N167" i="1"/>
  <c r="L159" i="1"/>
  <c r="N159" i="1"/>
  <c r="L151" i="1"/>
  <c r="N151" i="1"/>
  <c r="L143" i="1"/>
  <c r="N143" i="1"/>
  <c r="L135" i="1"/>
  <c r="N135" i="1"/>
  <c r="L127" i="1"/>
  <c r="N127" i="1"/>
  <c r="L119" i="1"/>
  <c r="N119" i="1"/>
  <c r="L111" i="1"/>
  <c r="N111" i="1"/>
  <c r="L103" i="1"/>
  <c r="N103" i="1"/>
  <c r="L95" i="1"/>
  <c r="N95" i="1"/>
  <c r="L79" i="1"/>
  <c r="N79" i="1"/>
  <c r="L71" i="1"/>
  <c r="N71" i="1"/>
  <c r="L63" i="1"/>
  <c r="N63" i="1"/>
  <c r="L55" i="1"/>
  <c r="N55" i="1"/>
  <c r="L47" i="1"/>
  <c r="N47" i="1"/>
  <c r="L39" i="1"/>
  <c r="N39" i="1"/>
  <c r="L31" i="1"/>
  <c r="N31" i="1"/>
  <c r="L23" i="1"/>
  <c r="N23" i="1"/>
  <c r="L15" i="1"/>
  <c r="N15" i="1"/>
  <c r="L7" i="1"/>
  <c r="N7" i="1"/>
  <c r="N2154" i="1"/>
  <c r="N2146" i="1"/>
  <c r="N2138" i="1"/>
  <c r="N2130" i="1"/>
  <c r="N2122" i="1"/>
  <c r="N2114" i="1"/>
  <c r="N2106" i="1"/>
  <c r="N2098" i="1"/>
  <c r="N2090" i="1"/>
  <c r="N2082" i="1"/>
  <c r="N2074" i="1"/>
  <c r="N2066" i="1"/>
  <c r="N2058" i="1"/>
  <c r="N2050" i="1"/>
  <c r="N2042" i="1"/>
  <c r="N2034" i="1"/>
  <c r="N2026" i="1"/>
  <c r="N2018" i="1"/>
  <c r="N2010" i="1"/>
  <c r="N2002" i="1"/>
  <c r="N1994" i="1"/>
  <c r="N1986" i="1"/>
  <c r="N1978" i="1"/>
  <c r="N1970" i="1"/>
  <c r="N1962" i="1"/>
  <c r="N1954" i="1"/>
  <c r="N1946" i="1"/>
  <c r="N1938" i="1"/>
  <c r="N1930" i="1"/>
  <c r="N1922" i="1"/>
  <c r="N1914" i="1"/>
  <c r="N1887" i="1"/>
  <c r="N1878" i="1"/>
  <c r="N1869" i="1"/>
  <c r="N1860" i="1"/>
  <c r="N1850" i="1"/>
  <c r="N1823" i="1"/>
  <c r="N1814" i="1"/>
  <c r="N1805" i="1"/>
  <c r="N1796" i="1"/>
  <c r="N1786" i="1"/>
  <c r="N1759" i="1"/>
  <c r="N1750" i="1"/>
  <c r="N1741" i="1"/>
  <c r="N1732" i="1"/>
  <c r="N1722" i="1"/>
  <c r="N1702" i="1"/>
  <c r="N1692" i="1"/>
  <c r="N1670" i="1"/>
  <c r="N1660" i="1"/>
  <c r="N1638" i="1"/>
  <c r="N1613" i="1"/>
  <c r="N1597" i="1"/>
  <c r="N1332" i="1"/>
  <c r="N1246" i="1"/>
  <c r="N1090" i="1"/>
  <c r="N917" i="1"/>
  <c r="N706" i="1"/>
  <c r="N450" i="1"/>
  <c r="N5" i="1"/>
  <c r="L1494" i="1"/>
  <c r="N1494" i="1"/>
  <c r="L1486" i="1"/>
  <c r="N1486" i="1"/>
  <c r="L1478" i="1"/>
  <c r="N1478" i="1"/>
  <c r="L1470" i="1"/>
  <c r="N1470" i="1"/>
  <c r="L1462" i="1"/>
  <c r="N1462" i="1"/>
  <c r="L1454" i="1"/>
  <c r="N1454" i="1"/>
  <c r="L1446" i="1"/>
  <c r="N1446" i="1"/>
  <c r="L1438" i="1"/>
  <c r="N1438" i="1"/>
  <c r="L1430" i="1"/>
  <c r="N1430" i="1"/>
  <c r="L1422" i="1"/>
  <c r="N1422" i="1"/>
  <c r="L1414" i="1"/>
  <c r="N1414" i="1"/>
  <c r="L1406" i="1"/>
  <c r="N1406" i="1"/>
  <c r="L1398" i="1"/>
  <c r="N1398" i="1"/>
  <c r="L1390" i="1"/>
  <c r="N1390" i="1"/>
  <c r="L1382" i="1"/>
  <c r="N1382" i="1"/>
  <c r="L1374" i="1"/>
  <c r="N1374" i="1"/>
  <c r="L1366" i="1"/>
  <c r="N1366" i="1"/>
  <c r="L1358" i="1"/>
  <c r="N1358" i="1"/>
  <c r="L1350" i="1"/>
  <c r="N1350" i="1"/>
  <c r="L1334" i="1"/>
  <c r="N1334" i="1"/>
  <c r="L1326" i="1"/>
  <c r="N1326" i="1"/>
  <c r="L1318" i="1"/>
  <c r="N1318" i="1"/>
  <c r="L1302" i="1"/>
  <c r="N1302" i="1"/>
  <c r="L1294" i="1"/>
  <c r="N1294" i="1"/>
  <c r="L1286" i="1"/>
  <c r="N1286" i="1"/>
  <c r="L1270" i="1"/>
  <c r="N1270" i="1"/>
  <c r="L1262" i="1"/>
  <c r="N1262" i="1"/>
  <c r="L1254" i="1"/>
  <c r="N1254" i="1"/>
  <c r="L1238" i="1"/>
  <c r="N1238" i="1"/>
  <c r="L1230" i="1"/>
  <c r="N1230" i="1"/>
  <c r="L1222" i="1"/>
  <c r="N1222" i="1"/>
  <c r="L1214" i="1"/>
  <c r="N1214" i="1"/>
  <c r="L1206" i="1"/>
  <c r="N1206" i="1"/>
  <c r="L1198" i="1"/>
  <c r="N1198" i="1"/>
  <c r="L1190" i="1"/>
  <c r="N1190" i="1"/>
  <c r="L1182" i="1"/>
  <c r="N1182" i="1"/>
  <c r="L1174" i="1"/>
  <c r="N1174" i="1"/>
  <c r="L1166" i="1"/>
  <c r="N1166" i="1"/>
  <c r="L1158" i="1"/>
  <c r="N1158" i="1"/>
  <c r="L1150" i="1"/>
  <c r="N1150" i="1"/>
  <c r="L1142" i="1"/>
  <c r="N1142" i="1"/>
  <c r="L1134" i="1"/>
  <c r="N1134" i="1"/>
  <c r="L1126" i="1"/>
  <c r="N1126" i="1"/>
  <c r="L1118" i="1"/>
  <c r="N1118" i="1"/>
  <c r="L1110" i="1"/>
  <c r="N1110" i="1"/>
  <c r="L1102" i="1"/>
  <c r="N1102" i="1"/>
  <c r="L1094" i="1"/>
  <c r="N1094" i="1"/>
  <c r="L1086" i="1"/>
  <c r="N1086" i="1"/>
  <c r="L1078" i="1"/>
  <c r="N1078" i="1"/>
  <c r="L1070" i="1"/>
  <c r="N1070" i="1"/>
  <c r="L1062" i="1"/>
  <c r="N1062" i="1"/>
  <c r="L1054" i="1"/>
  <c r="N1054" i="1"/>
  <c r="L1046" i="1"/>
  <c r="N1046" i="1"/>
  <c r="L1038" i="1"/>
  <c r="N1038" i="1"/>
  <c r="L1030" i="1"/>
  <c r="N1030" i="1"/>
  <c r="L1022" i="1"/>
  <c r="N1022" i="1"/>
  <c r="L1014" i="1"/>
  <c r="N1014" i="1"/>
  <c r="L1006" i="1"/>
  <c r="N1006" i="1"/>
  <c r="L998" i="1"/>
  <c r="N998" i="1"/>
  <c r="L990" i="1"/>
  <c r="N990" i="1"/>
  <c r="L982" i="1"/>
  <c r="N982" i="1"/>
  <c r="L974" i="1"/>
  <c r="N974" i="1"/>
  <c r="L966" i="1"/>
  <c r="N966" i="1"/>
  <c r="L958" i="1"/>
  <c r="N958" i="1"/>
  <c r="L950" i="1"/>
  <c r="N950" i="1"/>
  <c r="L942" i="1"/>
  <c r="N942" i="1"/>
  <c r="L934" i="1"/>
  <c r="N934" i="1"/>
  <c r="L926" i="1"/>
  <c r="N926" i="1"/>
  <c r="L918" i="1"/>
  <c r="N918" i="1"/>
  <c r="L910" i="1"/>
  <c r="N910" i="1"/>
  <c r="L902" i="1"/>
  <c r="N902" i="1"/>
  <c r="L894" i="1"/>
  <c r="N894" i="1"/>
  <c r="L886" i="1"/>
  <c r="N886" i="1"/>
  <c r="L878" i="1"/>
  <c r="N878" i="1"/>
  <c r="L870" i="1"/>
  <c r="N870" i="1"/>
  <c r="L862" i="1"/>
  <c r="N862" i="1"/>
  <c r="L854" i="1"/>
  <c r="N854" i="1"/>
  <c r="L846" i="1"/>
  <c r="N846" i="1"/>
  <c r="L838" i="1"/>
  <c r="N838" i="1"/>
  <c r="L830" i="1"/>
  <c r="N830" i="1"/>
  <c r="L822" i="1"/>
  <c r="N822" i="1"/>
  <c r="L814" i="1"/>
  <c r="N814" i="1"/>
  <c r="L806" i="1"/>
  <c r="N806" i="1"/>
  <c r="L798" i="1"/>
  <c r="N798" i="1"/>
  <c r="L790" i="1"/>
  <c r="N790" i="1"/>
  <c r="L782" i="1"/>
  <c r="N782" i="1"/>
  <c r="L774" i="1"/>
  <c r="N774" i="1"/>
  <c r="L766" i="1"/>
  <c r="N766" i="1"/>
  <c r="L758" i="1"/>
  <c r="N758" i="1"/>
  <c r="L750" i="1"/>
  <c r="N750" i="1"/>
  <c r="L742" i="1"/>
  <c r="N742" i="1"/>
  <c r="L734" i="1"/>
  <c r="N734" i="1"/>
  <c r="L726" i="1"/>
  <c r="N726" i="1"/>
  <c r="L718" i="1"/>
  <c r="N718" i="1"/>
  <c r="L710" i="1"/>
  <c r="N710" i="1"/>
  <c r="L702" i="1"/>
  <c r="N702" i="1"/>
  <c r="L694" i="1"/>
  <c r="N694" i="1"/>
  <c r="L686" i="1"/>
  <c r="N686" i="1"/>
  <c r="L678" i="1"/>
  <c r="N678" i="1"/>
  <c r="L670" i="1"/>
  <c r="N670" i="1"/>
  <c r="L662" i="1"/>
  <c r="N662" i="1"/>
  <c r="L654" i="1"/>
  <c r="N654" i="1"/>
  <c r="L646" i="1"/>
  <c r="N646" i="1"/>
  <c r="L638" i="1"/>
  <c r="N638" i="1"/>
  <c r="L630" i="1"/>
  <c r="N630" i="1"/>
  <c r="L622" i="1"/>
  <c r="N622" i="1"/>
  <c r="L614" i="1"/>
  <c r="N614" i="1"/>
  <c r="L606" i="1"/>
  <c r="N606" i="1"/>
  <c r="L598" i="1"/>
  <c r="N598" i="1"/>
  <c r="L590" i="1"/>
  <c r="N590" i="1"/>
  <c r="L582" i="1"/>
  <c r="N582" i="1"/>
  <c r="L574" i="1"/>
  <c r="N574" i="1"/>
  <c r="L566" i="1"/>
  <c r="N566" i="1"/>
  <c r="L558" i="1"/>
  <c r="N558" i="1"/>
  <c r="L550" i="1"/>
  <c r="N550" i="1"/>
  <c r="L542" i="1"/>
  <c r="N542" i="1"/>
  <c r="L534" i="1"/>
  <c r="N534" i="1"/>
  <c r="L526" i="1"/>
  <c r="N526" i="1"/>
  <c r="L518" i="1"/>
  <c r="N518" i="1"/>
  <c r="L510" i="1"/>
  <c r="N510" i="1"/>
  <c r="L502" i="1"/>
  <c r="N502" i="1"/>
  <c r="L494" i="1"/>
  <c r="N494" i="1"/>
  <c r="L486" i="1"/>
  <c r="N486" i="1"/>
  <c r="L478" i="1"/>
  <c r="N478" i="1"/>
  <c r="L470" i="1"/>
  <c r="N470" i="1"/>
  <c r="L462" i="1"/>
  <c r="N462" i="1"/>
  <c r="L454" i="1"/>
  <c r="N454" i="1"/>
  <c r="L446" i="1"/>
  <c r="N446" i="1"/>
  <c r="L438" i="1"/>
  <c r="N438" i="1"/>
  <c r="L430" i="1"/>
  <c r="N430" i="1"/>
  <c r="L422" i="1"/>
  <c r="N422" i="1"/>
  <c r="L414" i="1"/>
  <c r="N414" i="1"/>
  <c r="L406" i="1"/>
  <c r="N406" i="1"/>
  <c r="L398" i="1"/>
  <c r="N398" i="1"/>
  <c r="L390" i="1"/>
  <c r="N390" i="1"/>
  <c r="L374" i="1"/>
  <c r="N374" i="1"/>
  <c r="L366" i="1"/>
  <c r="N366" i="1"/>
  <c r="L358" i="1"/>
  <c r="N358" i="1"/>
  <c r="L350" i="1"/>
  <c r="N350" i="1"/>
  <c r="L342" i="1"/>
  <c r="N342" i="1"/>
  <c r="L334" i="1"/>
  <c r="N334" i="1"/>
  <c r="L326" i="1"/>
  <c r="N326" i="1"/>
  <c r="L318" i="1"/>
  <c r="N318" i="1"/>
  <c r="L310" i="1"/>
  <c r="N310" i="1"/>
  <c r="L294" i="1"/>
  <c r="N294" i="1"/>
  <c r="L286" i="1"/>
  <c r="N286" i="1"/>
  <c r="L278" i="1"/>
  <c r="N278" i="1"/>
  <c r="L270" i="1"/>
  <c r="N270" i="1"/>
  <c r="L262" i="1"/>
  <c r="N262" i="1"/>
  <c r="L254" i="1"/>
  <c r="N254" i="1"/>
  <c r="L246" i="1"/>
  <c r="N246" i="1"/>
  <c r="L238" i="1"/>
  <c r="N238" i="1"/>
  <c r="L230" i="1"/>
  <c r="N230" i="1"/>
  <c r="L222" i="1"/>
  <c r="N222" i="1"/>
  <c r="L214" i="1"/>
  <c r="N214" i="1"/>
  <c r="L206" i="1"/>
  <c r="N206" i="1"/>
  <c r="L198" i="1"/>
  <c r="N198" i="1"/>
  <c r="L190" i="1"/>
  <c r="N190" i="1"/>
  <c r="L182" i="1"/>
  <c r="N182" i="1"/>
  <c r="L166" i="1"/>
  <c r="N166" i="1"/>
  <c r="L158" i="1"/>
  <c r="N158" i="1"/>
  <c r="L150" i="1"/>
  <c r="N150" i="1"/>
  <c r="L142" i="1"/>
  <c r="N142" i="1"/>
  <c r="L134" i="1"/>
  <c r="N134" i="1"/>
  <c r="L126" i="1"/>
  <c r="N126" i="1"/>
  <c r="L118" i="1"/>
  <c r="N118" i="1"/>
  <c r="L110" i="1"/>
  <c r="N110" i="1"/>
  <c r="L102" i="1"/>
  <c r="N102" i="1"/>
  <c r="L94" i="1"/>
  <c r="N94" i="1"/>
  <c r="L86" i="1"/>
  <c r="N86" i="1"/>
  <c r="L78" i="1"/>
  <c r="N78" i="1"/>
  <c r="L70" i="1"/>
  <c r="N70" i="1"/>
  <c r="L62" i="1"/>
  <c r="N62" i="1"/>
  <c r="L54" i="1"/>
  <c r="N54" i="1"/>
  <c r="L46" i="1"/>
  <c r="N46" i="1"/>
  <c r="L38" i="1"/>
  <c r="N38" i="1"/>
  <c r="L30" i="1"/>
  <c r="N30" i="1"/>
  <c r="L22" i="1"/>
  <c r="N22" i="1"/>
  <c r="L14" i="1"/>
  <c r="N14" i="1"/>
  <c r="L6" i="1"/>
  <c r="N6" i="1"/>
  <c r="N1895" i="1"/>
  <c r="N1886" i="1"/>
  <c r="N1877" i="1"/>
  <c r="N1868" i="1"/>
  <c r="N1858" i="1"/>
  <c r="N1831" i="1"/>
  <c r="N1822" i="1"/>
  <c r="N1813" i="1"/>
  <c r="N1804" i="1"/>
  <c r="N1794" i="1"/>
  <c r="N1767" i="1"/>
  <c r="N1758" i="1"/>
  <c r="N1749" i="1"/>
  <c r="N1740" i="1"/>
  <c r="N1730" i="1"/>
  <c r="N1711" i="1"/>
  <c r="N1701" i="1"/>
  <c r="N1679" i="1"/>
  <c r="N1669" i="1"/>
  <c r="N1647" i="1"/>
  <c r="N1637" i="1"/>
  <c r="N1574" i="1"/>
  <c r="N1542" i="1"/>
  <c r="N1510" i="1"/>
  <c r="N1322" i="1"/>
  <c r="N1235" i="1"/>
  <c r="N1067" i="1"/>
  <c r="N898" i="1"/>
  <c r="N674" i="1"/>
  <c r="N418" i="1"/>
  <c r="L1573" i="1"/>
  <c r="N1573" i="1"/>
  <c r="L1565" i="1"/>
  <c r="N1565" i="1"/>
  <c r="L1557" i="1"/>
  <c r="N1557" i="1"/>
  <c r="L1549" i="1"/>
  <c r="N1549" i="1"/>
  <c r="L1541" i="1"/>
  <c r="N1541" i="1"/>
  <c r="L1533" i="1"/>
  <c r="N1533" i="1"/>
  <c r="L1525" i="1"/>
  <c r="N1525" i="1"/>
  <c r="L1517" i="1"/>
  <c r="N1517" i="1"/>
  <c r="L1509" i="1"/>
  <c r="N1509" i="1"/>
  <c r="L1501" i="1"/>
  <c r="N1501" i="1"/>
  <c r="L1493" i="1"/>
  <c r="N1493" i="1"/>
  <c r="L1485" i="1"/>
  <c r="N1485" i="1"/>
  <c r="L1477" i="1"/>
  <c r="N1477" i="1"/>
  <c r="L1469" i="1"/>
  <c r="N1469" i="1"/>
  <c r="L1461" i="1"/>
  <c r="N1461" i="1"/>
  <c r="L1453" i="1"/>
  <c r="N1453" i="1"/>
  <c r="L1445" i="1"/>
  <c r="N1445" i="1"/>
  <c r="L1437" i="1"/>
  <c r="N1437" i="1"/>
  <c r="L1429" i="1"/>
  <c r="N1429" i="1"/>
  <c r="L1421" i="1"/>
  <c r="N1421" i="1"/>
  <c r="L1413" i="1"/>
  <c r="N1413" i="1"/>
  <c r="L1405" i="1"/>
  <c r="N1405" i="1"/>
  <c r="L1397" i="1"/>
  <c r="N1397" i="1"/>
  <c r="L1389" i="1"/>
  <c r="N1389" i="1"/>
  <c r="L1381" i="1"/>
  <c r="N1381" i="1"/>
  <c r="L1373" i="1"/>
  <c r="N1373" i="1"/>
  <c r="L1365" i="1"/>
  <c r="N1365" i="1"/>
  <c r="L1357" i="1"/>
  <c r="N1357" i="1"/>
  <c r="L1349" i="1"/>
  <c r="N1349" i="1"/>
  <c r="L1341" i="1"/>
  <c r="N1341" i="1"/>
  <c r="L1333" i="1"/>
  <c r="N1333" i="1"/>
  <c r="L1325" i="1"/>
  <c r="N1325" i="1"/>
  <c r="L1317" i="1"/>
  <c r="N1317" i="1"/>
  <c r="L1309" i="1"/>
  <c r="N1309" i="1"/>
  <c r="L1301" i="1"/>
  <c r="N1301" i="1"/>
  <c r="L1293" i="1"/>
  <c r="N1293" i="1"/>
  <c r="L1285" i="1"/>
  <c r="N1285" i="1"/>
  <c r="L1277" i="1"/>
  <c r="N1277" i="1"/>
  <c r="L1269" i="1"/>
  <c r="N1269" i="1"/>
  <c r="L1261" i="1"/>
  <c r="N1261" i="1"/>
  <c r="L1253" i="1"/>
  <c r="N1253" i="1"/>
  <c r="L1245" i="1"/>
  <c r="N1245" i="1"/>
  <c r="L1237" i="1"/>
  <c r="N1237" i="1"/>
  <c r="L1229" i="1"/>
  <c r="N1229" i="1"/>
  <c r="L1221" i="1"/>
  <c r="N1221" i="1"/>
  <c r="L1213" i="1"/>
  <c r="N1213" i="1"/>
  <c r="L1205" i="1"/>
  <c r="N1205" i="1"/>
  <c r="L1197" i="1"/>
  <c r="N1197" i="1"/>
  <c r="L1189" i="1"/>
  <c r="N1189" i="1"/>
  <c r="L1181" i="1"/>
  <c r="N1181" i="1"/>
  <c r="L1165" i="1"/>
  <c r="N1165" i="1"/>
  <c r="L1157" i="1"/>
  <c r="N1157" i="1"/>
  <c r="L1149" i="1"/>
  <c r="N1149" i="1"/>
  <c r="L1141" i="1"/>
  <c r="N1141" i="1"/>
  <c r="L1133" i="1"/>
  <c r="N1133" i="1"/>
  <c r="L1125" i="1"/>
  <c r="N1125" i="1"/>
  <c r="L1117" i="1"/>
  <c r="N1117" i="1"/>
  <c r="L1101" i="1"/>
  <c r="N1101" i="1"/>
  <c r="L1093" i="1"/>
  <c r="N1093" i="1"/>
  <c r="L1085" i="1"/>
  <c r="N1085" i="1"/>
  <c r="L1077" i="1"/>
  <c r="N1077" i="1"/>
  <c r="L1069" i="1"/>
  <c r="N1069" i="1"/>
  <c r="L1061" i="1"/>
  <c r="N1061" i="1"/>
  <c r="L1053" i="1"/>
  <c r="N1053" i="1"/>
  <c r="L1037" i="1"/>
  <c r="N1037" i="1"/>
  <c r="L1029" i="1"/>
  <c r="N1029" i="1"/>
  <c r="L1021" i="1"/>
  <c r="N1021" i="1"/>
  <c r="L1013" i="1"/>
  <c r="N1013" i="1"/>
  <c r="L1005" i="1"/>
  <c r="N1005" i="1"/>
  <c r="L997" i="1"/>
  <c r="N997" i="1"/>
  <c r="L989" i="1"/>
  <c r="N989" i="1"/>
  <c r="L973" i="1"/>
  <c r="N973" i="1"/>
  <c r="L965" i="1"/>
  <c r="N965" i="1"/>
  <c r="L957" i="1"/>
  <c r="N957" i="1"/>
  <c r="L949" i="1"/>
  <c r="N949" i="1"/>
  <c r="L941" i="1"/>
  <c r="N941" i="1"/>
  <c r="L933" i="1"/>
  <c r="N933" i="1"/>
  <c r="L925" i="1"/>
  <c r="N925" i="1"/>
  <c r="L909" i="1"/>
  <c r="N909" i="1"/>
  <c r="L901" i="1"/>
  <c r="N901" i="1"/>
  <c r="L893" i="1"/>
  <c r="N893" i="1"/>
  <c r="L885" i="1"/>
  <c r="N885" i="1"/>
  <c r="L877" i="1"/>
  <c r="N877" i="1"/>
  <c r="L869" i="1"/>
  <c r="N869" i="1"/>
  <c r="L861" i="1"/>
  <c r="N861" i="1"/>
  <c r="L845" i="1"/>
  <c r="N845" i="1"/>
  <c r="L837" i="1"/>
  <c r="N837" i="1"/>
  <c r="L829" i="1"/>
  <c r="N829" i="1"/>
  <c r="L821" i="1"/>
  <c r="N821" i="1"/>
  <c r="L813" i="1"/>
  <c r="N813" i="1"/>
  <c r="L805" i="1"/>
  <c r="N805" i="1"/>
  <c r="L797" i="1"/>
  <c r="N797" i="1"/>
  <c r="L789" i="1"/>
  <c r="N789" i="1"/>
  <c r="L781" i="1"/>
  <c r="N781" i="1"/>
  <c r="L773" i="1"/>
  <c r="N773" i="1"/>
  <c r="L765" i="1"/>
  <c r="N765" i="1"/>
  <c r="L757" i="1"/>
  <c r="N757" i="1"/>
  <c r="L749" i="1"/>
  <c r="N749" i="1"/>
  <c r="L741" i="1"/>
  <c r="N741" i="1"/>
  <c r="L733" i="1"/>
  <c r="N733" i="1"/>
  <c r="L725" i="1"/>
  <c r="N725" i="1"/>
  <c r="L717" i="1"/>
  <c r="N717" i="1"/>
  <c r="L709" i="1"/>
  <c r="N709" i="1"/>
  <c r="L701" i="1"/>
  <c r="N701" i="1"/>
  <c r="L693" i="1"/>
  <c r="N693" i="1"/>
  <c r="L685" i="1"/>
  <c r="N685" i="1"/>
  <c r="L677" i="1"/>
  <c r="N677" i="1"/>
  <c r="L669" i="1"/>
  <c r="N669" i="1"/>
  <c r="L661" i="1"/>
  <c r="N661" i="1"/>
  <c r="L653" i="1"/>
  <c r="N653" i="1"/>
  <c r="L645" i="1"/>
  <c r="N645" i="1"/>
  <c r="L637" i="1"/>
  <c r="N637" i="1"/>
  <c r="L629" i="1"/>
  <c r="N629" i="1"/>
  <c r="L621" i="1"/>
  <c r="N621" i="1"/>
  <c r="L613" i="1"/>
  <c r="N613" i="1"/>
  <c r="L605" i="1"/>
  <c r="N605" i="1"/>
  <c r="L597" i="1"/>
  <c r="N597" i="1"/>
  <c r="L589" i="1"/>
  <c r="N589" i="1"/>
  <c r="L581" i="1"/>
  <c r="N581" i="1"/>
  <c r="L573" i="1"/>
  <c r="N573" i="1"/>
  <c r="L565" i="1"/>
  <c r="N565" i="1"/>
  <c r="L557" i="1"/>
  <c r="N557" i="1"/>
  <c r="L549" i="1"/>
  <c r="N549" i="1"/>
  <c r="L541" i="1"/>
  <c r="N541" i="1"/>
  <c r="L533" i="1"/>
  <c r="N533" i="1"/>
  <c r="L525" i="1"/>
  <c r="N525" i="1"/>
  <c r="L517" i="1"/>
  <c r="N517" i="1"/>
  <c r="L509" i="1"/>
  <c r="N509" i="1"/>
  <c r="L501" i="1"/>
  <c r="N501" i="1"/>
  <c r="L493" i="1"/>
  <c r="N493" i="1"/>
  <c r="L485" i="1"/>
  <c r="N485" i="1"/>
  <c r="L477" i="1"/>
  <c r="N477" i="1"/>
  <c r="L469" i="1"/>
  <c r="N469" i="1"/>
  <c r="L461" i="1"/>
  <c r="N461" i="1"/>
  <c r="L453" i="1"/>
  <c r="N453" i="1"/>
  <c r="L445" i="1"/>
  <c r="N445" i="1"/>
  <c r="L437" i="1"/>
  <c r="N437" i="1"/>
  <c r="L429" i="1"/>
  <c r="N429" i="1"/>
  <c r="L421" i="1"/>
  <c r="N421" i="1"/>
  <c r="L413" i="1"/>
  <c r="N413" i="1"/>
  <c r="L405" i="1"/>
  <c r="N405" i="1"/>
  <c r="L397" i="1"/>
  <c r="N397" i="1"/>
  <c r="L389" i="1"/>
  <c r="N389" i="1"/>
  <c r="L381" i="1"/>
  <c r="N381" i="1"/>
  <c r="L373" i="1"/>
  <c r="N373" i="1"/>
  <c r="L365" i="1"/>
  <c r="N365" i="1"/>
  <c r="L357" i="1"/>
  <c r="N357" i="1"/>
  <c r="L349" i="1"/>
  <c r="N349" i="1"/>
  <c r="L341" i="1"/>
  <c r="N341" i="1"/>
  <c r="L333" i="1"/>
  <c r="N333" i="1"/>
  <c r="L325" i="1"/>
  <c r="N325" i="1"/>
  <c r="L317" i="1"/>
  <c r="N317" i="1"/>
  <c r="L309" i="1"/>
  <c r="N309" i="1"/>
  <c r="L301" i="1"/>
  <c r="N301" i="1"/>
  <c r="L293" i="1"/>
  <c r="N293" i="1"/>
  <c r="L285" i="1"/>
  <c r="N285" i="1"/>
  <c r="L277" i="1"/>
  <c r="N277" i="1"/>
  <c r="L269" i="1"/>
  <c r="N269" i="1"/>
  <c r="L261" i="1"/>
  <c r="N261" i="1"/>
  <c r="L253" i="1"/>
  <c r="N253" i="1"/>
  <c r="L245" i="1"/>
  <c r="N245" i="1"/>
  <c r="L237" i="1"/>
  <c r="N237" i="1"/>
  <c r="L229" i="1"/>
  <c r="N229" i="1"/>
  <c r="L221" i="1"/>
  <c r="N221" i="1"/>
  <c r="L213" i="1"/>
  <c r="N213" i="1"/>
  <c r="L205" i="1"/>
  <c r="N205" i="1"/>
  <c r="L197" i="1"/>
  <c r="N197" i="1"/>
  <c r="L189" i="1"/>
  <c r="N189" i="1"/>
  <c r="L181" i="1"/>
  <c r="N181" i="1"/>
  <c r="L173" i="1"/>
  <c r="N173" i="1"/>
  <c r="L165" i="1"/>
  <c r="N165" i="1"/>
  <c r="L157" i="1"/>
  <c r="N157" i="1"/>
  <c r="L149" i="1"/>
  <c r="N149" i="1"/>
  <c r="L141" i="1"/>
  <c r="N141" i="1"/>
  <c r="L133" i="1"/>
  <c r="N133" i="1"/>
  <c r="L125" i="1"/>
  <c r="N125" i="1"/>
  <c r="L117" i="1"/>
  <c r="N117" i="1"/>
  <c r="L109" i="1"/>
  <c r="N109" i="1"/>
  <c r="L101" i="1"/>
  <c r="N101" i="1"/>
  <c r="L93" i="1"/>
  <c r="N93" i="1"/>
  <c r="L85" i="1"/>
  <c r="N85" i="1"/>
  <c r="L77" i="1"/>
  <c r="N77" i="1"/>
  <c r="L69" i="1"/>
  <c r="N69" i="1"/>
  <c r="L61" i="1"/>
  <c r="N61" i="1"/>
  <c r="L53" i="1"/>
  <c r="N53" i="1"/>
  <c r="L45" i="1"/>
  <c r="N45" i="1"/>
  <c r="L37" i="1"/>
  <c r="N37" i="1"/>
  <c r="L29" i="1"/>
  <c r="N29" i="1"/>
  <c r="L21" i="1"/>
  <c r="N21" i="1"/>
  <c r="L13" i="1"/>
  <c r="N13" i="1"/>
  <c r="N1903" i="1"/>
  <c r="N1894" i="1"/>
  <c r="N1885" i="1"/>
  <c r="N1876" i="1"/>
  <c r="N1866" i="1"/>
  <c r="N1839" i="1"/>
  <c r="N1830" i="1"/>
  <c r="N1821" i="1"/>
  <c r="N1812" i="1"/>
  <c r="N1802" i="1"/>
  <c r="N1775" i="1"/>
  <c r="N1766" i="1"/>
  <c r="N1757" i="1"/>
  <c r="N1748" i="1"/>
  <c r="N1738" i="1"/>
  <c r="N1710" i="1"/>
  <c r="N1700" i="1"/>
  <c r="N1678" i="1"/>
  <c r="N1668" i="1"/>
  <c r="N1646" i="1"/>
  <c r="N1636" i="1"/>
  <c r="N1622" i="1"/>
  <c r="N1310" i="1"/>
  <c r="N1218" i="1"/>
  <c r="N1045" i="1"/>
  <c r="N875" i="1"/>
  <c r="N642" i="1"/>
  <c r="N382" i="1"/>
  <c r="L1612" i="1"/>
  <c r="N1612" i="1"/>
  <c r="L1604" i="1"/>
  <c r="N1604" i="1"/>
  <c r="L1596" i="1"/>
  <c r="N1596" i="1"/>
  <c r="L1588" i="1"/>
  <c r="N1588" i="1"/>
  <c r="L1580" i="1"/>
  <c r="N1580" i="1"/>
  <c r="L1572" i="1"/>
  <c r="N1572" i="1"/>
  <c r="L1564" i="1"/>
  <c r="N1564" i="1"/>
  <c r="L1556" i="1"/>
  <c r="N1556" i="1"/>
  <c r="L1548" i="1"/>
  <c r="N1548" i="1"/>
  <c r="L1540" i="1"/>
  <c r="N1540" i="1"/>
  <c r="L1532" i="1"/>
  <c r="N1532" i="1"/>
  <c r="L1524" i="1"/>
  <c r="N1524" i="1"/>
  <c r="L1516" i="1"/>
  <c r="N1516" i="1"/>
  <c r="L1508" i="1"/>
  <c r="N1508" i="1"/>
  <c r="L1500" i="1"/>
  <c r="N1500" i="1"/>
  <c r="L1492" i="1"/>
  <c r="N1492" i="1"/>
  <c r="L1484" i="1"/>
  <c r="N1484" i="1"/>
  <c r="L1476" i="1"/>
  <c r="N1476" i="1"/>
  <c r="L1468" i="1"/>
  <c r="N1468" i="1"/>
  <c r="L1460" i="1"/>
  <c r="N1460" i="1"/>
  <c r="L1452" i="1"/>
  <c r="N1452" i="1"/>
  <c r="L1444" i="1"/>
  <c r="N1444" i="1"/>
  <c r="L1436" i="1"/>
  <c r="N1436" i="1"/>
  <c r="L1428" i="1"/>
  <c r="N1428" i="1"/>
  <c r="L1420" i="1"/>
  <c r="N1420" i="1"/>
  <c r="L1412" i="1"/>
  <c r="N1412" i="1"/>
  <c r="L1404" i="1"/>
  <c r="N1404" i="1"/>
  <c r="L1396" i="1"/>
  <c r="N1396" i="1"/>
  <c r="L1388" i="1"/>
  <c r="N1388" i="1"/>
  <c r="L1380" i="1"/>
  <c r="N1380" i="1"/>
  <c r="L1372" i="1"/>
  <c r="N1372" i="1"/>
  <c r="L1364" i="1"/>
  <c r="N1364" i="1"/>
  <c r="L1356" i="1"/>
  <c r="N1356" i="1"/>
  <c r="L1348" i="1"/>
  <c r="N1348" i="1"/>
  <c r="L1340" i="1"/>
  <c r="N1340" i="1"/>
  <c r="L1324" i="1"/>
  <c r="N1324" i="1"/>
  <c r="L1316" i="1"/>
  <c r="N1316" i="1"/>
  <c r="L1308" i="1"/>
  <c r="N1308" i="1"/>
  <c r="L1292" i="1"/>
  <c r="N1292" i="1"/>
  <c r="L1284" i="1"/>
  <c r="N1284" i="1"/>
  <c r="L1276" i="1"/>
  <c r="N1276" i="1"/>
  <c r="L1260" i="1"/>
  <c r="N1260" i="1"/>
  <c r="L1252" i="1"/>
  <c r="N1252" i="1"/>
  <c r="L1244" i="1"/>
  <c r="N1244" i="1"/>
  <c r="L1236" i="1"/>
  <c r="N1236" i="1"/>
  <c r="L1228" i="1"/>
  <c r="N1228" i="1"/>
  <c r="L1220" i="1"/>
  <c r="N1220" i="1"/>
  <c r="L1212" i="1"/>
  <c r="N1212" i="1"/>
  <c r="L1204" i="1"/>
  <c r="N1204" i="1"/>
  <c r="N1196" i="1"/>
  <c r="L1196" i="1"/>
  <c r="L1188" i="1"/>
  <c r="N1188" i="1"/>
  <c r="L1180" i="1"/>
  <c r="N1180" i="1"/>
  <c r="L1172" i="1"/>
  <c r="N1172" i="1"/>
  <c r="L1164" i="1"/>
  <c r="N1164" i="1"/>
  <c r="L1156" i="1"/>
  <c r="N1156" i="1"/>
  <c r="L1148" i="1"/>
  <c r="N1148" i="1"/>
  <c r="L1140" i="1"/>
  <c r="N1140" i="1"/>
  <c r="N1132" i="1"/>
  <c r="L1132" i="1"/>
  <c r="L1124" i="1"/>
  <c r="N1124" i="1"/>
  <c r="L1116" i="1"/>
  <c r="N1116" i="1"/>
  <c r="L1108" i="1"/>
  <c r="N1108" i="1"/>
  <c r="N1100" i="1"/>
  <c r="L1100" i="1"/>
  <c r="L1092" i="1"/>
  <c r="N1092" i="1"/>
  <c r="L1084" i="1"/>
  <c r="N1084" i="1"/>
  <c r="L1076" i="1"/>
  <c r="N1076" i="1"/>
  <c r="N1068" i="1"/>
  <c r="L1068" i="1"/>
  <c r="L1060" i="1"/>
  <c r="N1060" i="1"/>
  <c r="L1052" i="1"/>
  <c r="N1052" i="1"/>
  <c r="L1044" i="1"/>
  <c r="N1044" i="1"/>
  <c r="L1036" i="1"/>
  <c r="N1036" i="1"/>
  <c r="L1028" i="1"/>
  <c r="N1028" i="1"/>
  <c r="L1020" i="1"/>
  <c r="N1020" i="1"/>
  <c r="L1012" i="1"/>
  <c r="N1012" i="1"/>
  <c r="L1004" i="1"/>
  <c r="N1004" i="1"/>
  <c r="L996" i="1"/>
  <c r="N996" i="1"/>
  <c r="L988" i="1"/>
  <c r="N988" i="1"/>
  <c r="L980" i="1"/>
  <c r="N980" i="1"/>
  <c r="L972" i="1"/>
  <c r="N972" i="1"/>
  <c r="L964" i="1"/>
  <c r="N964" i="1"/>
  <c r="L956" i="1"/>
  <c r="N956" i="1"/>
  <c r="L948" i="1"/>
  <c r="N948" i="1"/>
  <c r="L940" i="1"/>
  <c r="N940" i="1"/>
  <c r="L932" i="1"/>
  <c r="N932" i="1"/>
  <c r="L924" i="1"/>
  <c r="N924" i="1"/>
  <c r="L916" i="1"/>
  <c r="N916" i="1"/>
  <c r="L908" i="1"/>
  <c r="N908" i="1"/>
  <c r="L900" i="1"/>
  <c r="N900" i="1"/>
  <c r="L892" i="1"/>
  <c r="N892" i="1"/>
  <c r="L884" i="1"/>
  <c r="N884" i="1"/>
  <c r="L876" i="1"/>
  <c r="N876" i="1"/>
  <c r="L868" i="1"/>
  <c r="N868" i="1"/>
  <c r="L860" i="1"/>
  <c r="N860" i="1"/>
  <c r="L852" i="1"/>
  <c r="N852" i="1"/>
  <c r="L844" i="1"/>
  <c r="N844" i="1"/>
  <c r="L836" i="1"/>
  <c r="N836" i="1"/>
  <c r="L828" i="1"/>
  <c r="N828" i="1"/>
  <c r="L820" i="1"/>
  <c r="N820" i="1"/>
  <c r="L812" i="1"/>
  <c r="N812" i="1"/>
  <c r="L804" i="1"/>
  <c r="N804" i="1"/>
  <c r="L796" i="1"/>
  <c r="N796" i="1"/>
  <c r="L788" i="1"/>
  <c r="N788" i="1"/>
  <c r="L780" i="1"/>
  <c r="N780" i="1"/>
  <c r="L772" i="1"/>
  <c r="N772" i="1"/>
  <c r="L764" i="1"/>
  <c r="N764" i="1"/>
  <c r="L756" i="1"/>
  <c r="N756" i="1"/>
  <c r="L748" i="1"/>
  <c r="N748" i="1"/>
  <c r="L740" i="1"/>
  <c r="N740" i="1"/>
  <c r="L732" i="1"/>
  <c r="N732" i="1"/>
  <c r="L724" i="1"/>
  <c r="N724" i="1"/>
  <c r="L716" i="1"/>
  <c r="N716" i="1"/>
  <c r="L708" i="1"/>
  <c r="N708" i="1"/>
  <c r="L700" i="1"/>
  <c r="N700" i="1"/>
  <c r="L692" i="1"/>
  <c r="N692" i="1"/>
  <c r="L684" i="1"/>
  <c r="N684" i="1"/>
  <c r="L676" i="1"/>
  <c r="N676" i="1"/>
  <c r="L668" i="1"/>
  <c r="N668" i="1"/>
  <c r="L660" i="1"/>
  <c r="N660" i="1"/>
  <c r="L652" i="1"/>
  <c r="N652" i="1"/>
  <c r="L644" i="1"/>
  <c r="N644" i="1"/>
  <c r="L636" i="1"/>
  <c r="N636" i="1"/>
  <c r="L628" i="1"/>
  <c r="N628" i="1"/>
  <c r="L620" i="1"/>
  <c r="N620" i="1"/>
  <c r="L612" i="1"/>
  <c r="N612" i="1"/>
  <c r="L604" i="1"/>
  <c r="N604" i="1"/>
  <c r="L596" i="1"/>
  <c r="N596" i="1"/>
  <c r="L588" i="1"/>
  <c r="N588" i="1"/>
  <c r="L580" i="1"/>
  <c r="N580" i="1"/>
  <c r="L572" i="1"/>
  <c r="N572" i="1"/>
  <c r="L564" i="1"/>
  <c r="N564" i="1"/>
  <c r="L556" i="1"/>
  <c r="N556" i="1"/>
  <c r="L548" i="1"/>
  <c r="N548" i="1"/>
  <c r="L540" i="1"/>
  <c r="N540" i="1"/>
  <c r="L532" i="1"/>
  <c r="N532" i="1"/>
  <c r="L524" i="1"/>
  <c r="N524" i="1"/>
  <c r="L516" i="1"/>
  <c r="N516" i="1"/>
  <c r="L508" i="1"/>
  <c r="N508" i="1"/>
  <c r="L500" i="1"/>
  <c r="N500" i="1"/>
  <c r="L492" i="1"/>
  <c r="N492" i="1"/>
  <c r="L484" i="1"/>
  <c r="N484" i="1"/>
  <c r="L476" i="1"/>
  <c r="N476" i="1"/>
  <c r="L468" i="1"/>
  <c r="N468" i="1"/>
  <c r="L460" i="1"/>
  <c r="N460" i="1"/>
  <c r="L452" i="1"/>
  <c r="N452" i="1"/>
  <c r="L444" i="1"/>
  <c r="N444" i="1"/>
  <c r="L436" i="1"/>
  <c r="N436" i="1"/>
  <c r="L428" i="1"/>
  <c r="N428" i="1"/>
  <c r="L420" i="1"/>
  <c r="N420" i="1"/>
  <c r="L412" i="1"/>
  <c r="N412" i="1"/>
  <c r="L404" i="1"/>
  <c r="N404" i="1"/>
  <c r="L396" i="1"/>
  <c r="N396" i="1"/>
  <c r="L388" i="1"/>
  <c r="N388" i="1"/>
  <c r="L380" i="1"/>
  <c r="N380" i="1"/>
  <c r="L372" i="1"/>
  <c r="N372" i="1"/>
  <c r="L364" i="1"/>
  <c r="N364" i="1"/>
  <c r="L356" i="1"/>
  <c r="N356" i="1"/>
  <c r="L348" i="1"/>
  <c r="N348" i="1"/>
  <c r="L340" i="1"/>
  <c r="N340" i="1"/>
  <c r="L332" i="1"/>
  <c r="N332" i="1"/>
  <c r="L324" i="1"/>
  <c r="N324" i="1"/>
  <c r="L316" i="1"/>
  <c r="N316" i="1"/>
  <c r="L308" i="1"/>
  <c r="N308" i="1"/>
  <c r="L300" i="1"/>
  <c r="N300" i="1"/>
  <c r="L292" i="1"/>
  <c r="N292" i="1"/>
  <c r="L284" i="1"/>
  <c r="N284" i="1"/>
  <c r="L276" i="1"/>
  <c r="N276" i="1"/>
  <c r="L268" i="1"/>
  <c r="N268" i="1"/>
  <c r="L260" i="1"/>
  <c r="N260" i="1"/>
  <c r="L252" i="1"/>
  <c r="N252" i="1"/>
  <c r="L244" i="1"/>
  <c r="N244" i="1"/>
  <c r="L236" i="1"/>
  <c r="N236" i="1"/>
  <c r="L228" i="1"/>
  <c r="N228" i="1"/>
  <c r="L220" i="1"/>
  <c r="N220" i="1"/>
  <c r="L212" i="1"/>
  <c r="N212" i="1"/>
  <c r="L204" i="1"/>
  <c r="N204" i="1"/>
  <c r="L196" i="1"/>
  <c r="N196" i="1"/>
  <c r="L188" i="1"/>
  <c r="N188" i="1"/>
  <c r="L180" i="1"/>
  <c r="N180" i="1"/>
  <c r="L172" i="1"/>
  <c r="N172" i="1"/>
  <c r="L164" i="1"/>
  <c r="N164" i="1"/>
  <c r="L156" i="1"/>
  <c r="N156" i="1"/>
  <c r="L148" i="1"/>
  <c r="N148" i="1"/>
  <c r="L140" i="1"/>
  <c r="N140" i="1"/>
  <c r="L132" i="1"/>
  <c r="N132" i="1"/>
  <c r="L124" i="1"/>
  <c r="N124" i="1"/>
  <c r="L116" i="1"/>
  <c r="N116" i="1"/>
  <c r="L108" i="1"/>
  <c r="N108" i="1"/>
  <c r="L100" i="1"/>
  <c r="N100" i="1"/>
  <c r="L92" i="1"/>
  <c r="N92" i="1"/>
  <c r="L84" i="1"/>
  <c r="N84" i="1"/>
  <c r="L76" i="1"/>
  <c r="N76" i="1"/>
  <c r="L68" i="1"/>
  <c r="N68" i="1"/>
  <c r="L60" i="1"/>
  <c r="N60" i="1"/>
  <c r="L52" i="1"/>
  <c r="N52" i="1"/>
  <c r="L44" i="1"/>
  <c r="N44" i="1"/>
  <c r="L36" i="1"/>
  <c r="N36" i="1"/>
  <c r="L28" i="1"/>
  <c r="N28" i="1"/>
  <c r="L20" i="1"/>
  <c r="N20" i="1"/>
  <c r="L12" i="1"/>
  <c r="N12" i="1"/>
  <c r="L4" i="1"/>
  <c r="N4" i="1"/>
  <c r="N2151" i="1"/>
  <c r="N2143" i="1"/>
  <c r="N2135" i="1"/>
  <c r="N2127" i="1"/>
  <c r="N2119" i="1"/>
  <c r="N2111" i="1"/>
  <c r="N2103" i="1"/>
  <c r="N2095" i="1"/>
  <c r="N2087" i="1"/>
  <c r="N2079" i="1"/>
  <c r="N2071" i="1"/>
  <c r="N2063" i="1"/>
  <c r="N2055" i="1"/>
  <c r="N2047" i="1"/>
  <c r="N2039" i="1"/>
  <c r="N2031" i="1"/>
  <c r="N2023" i="1"/>
  <c r="N2015" i="1"/>
  <c r="N2007" i="1"/>
  <c r="N1999" i="1"/>
  <c r="N1991" i="1"/>
  <c r="N1983" i="1"/>
  <c r="N1975" i="1"/>
  <c r="N1967" i="1"/>
  <c r="N1959" i="1"/>
  <c r="N1951" i="1"/>
  <c r="N1943" i="1"/>
  <c r="N1935" i="1"/>
  <c r="N1927" i="1"/>
  <c r="N1919" i="1"/>
  <c r="N1911" i="1"/>
  <c r="N1902" i="1"/>
  <c r="N1893" i="1"/>
  <c r="N1884" i="1"/>
  <c r="N1874" i="1"/>
  <c r="N1847" i="1"/>
  <c r="N1838" i="1"/>
  <c r="N1829" i="1"/>
  <c r="N1820" i="1"/>
  <c r="N1810" i="1"/>
  <c r="N1783" i="1"/>
  <c r="N1774" i="1"/>
  <c r="N1765" i="1"/>
  <c r="N1756" i="1"/>
  <c r="N1746" i="1"/>
  <c r="N1719" i="1"/>
  <c r="N1709" i="1"/>
  <c r="N1687" i="1"/>
  <c r="N1677" i="1"/>
  <c r="N1655" i="1"/>
  <c r="N1645" i="1"/>
  <c r="N1621" i="1"/>
  <c r="N1606" i="1"/>
  <c r="N1590" i="1"/>
  <c r="N1566" i="1"/>
  <c r="N1534" i="1"/>
  <c r="N1502" i="1"/>
  <c r="N1300" i="1"/>
  <c r="N1195" i="1"/>
  <c r="N1026" i="1"/>
  <c r="N853" i="1"/>
  <c r="N610" i="1"/>
  <c r="L1907" i="1"/>
  <c r="N1907" i="1"/>
  <c r="L1899" i="1"/>
  <c r="N1899" i="1"/>
  <c r="L1891" i="1"/>
  <c r="N1891" i="1"/>
  <c r="L1883" i="1"/>
  <c r="N1883" i="1"/>
  <c r="L1875" i="1"/>
  <c r="N1875" i="1"/>
  <c r="L1867" i="1"/>
  <c r="N1867" i="1"/>
  <c r="L1859" i="1"/>
  <c r="N1859" i="1"/>
  <c r="L1851" i="1"/>
  <c r="N1851" i="1"/>
  <c r="L1843" i="1"/>
  <c r="N1843" i="1"/>
  <c r="L1835" i="1"/>
  <c r="N1835" i="1"/>
  <c r="L1827" i="1"/>
  <c r="N1827" i="1"/>
  <c r="L1819" i="1"/>
  <c r="N1819" i="1"/>
  <c r="L1811" i="1"/>
  <c r="N1811" i="1"/>
  <c r="L1803" i="1"/>
  <c r="N1803" i="1"/>
  <c r="L1795" i="1"/>
  <c r="N1795" i="1"/>
  <c r="L1787" i="1"/>
  <c r="N1787" i="1"/>
  <c r="L1779" i="1"/>
  <c r="N1779" i="1"/>
  <c r="L1771" i="1"/>
  <c r="N1771" i="1"/>
  <c r="L1763" i="1"/>
  <c r="N1763" i="1"/>
  <c r="L1755" i="1"/>
  <c r="N1755" i="1"/>
  <c r="L1747" i="1"/>
  <c r="N1747" i="1"/>
  <c r="L1739" i="1"/>
  <c r="N1739" i="1"/>
  <c r="L1731" i="1"/>
  <c r="N1731" i="1"/>
  <c r="L1723" i="1"/>
  <c r="N1723" i="1"/>
  <c r="L1715" i="1"/>
  <c r="N1715" i="1"/>
  <c r="L1707" i="1"/>
  <c r="N1707" i="1"/>
  <c r="L1699" i="1"/>
  <c r="N1699" i="1"/>
  <c r="L1691" i="1"/>
  <c r="N1691" i="1"/>
  <c r="L1683" i="1"/>
  <c r="N1683" i="1"/>
  <c r="L1675" i="1"/>
  <c r="N1675" i="1"/>
  <c r="L1667" i="1"/>
  <c r="N1667" i="1"/>
  <c r="L1659" i="1"/>
  <c r="N1659" i="1"/>
  <c r="L1651" i="1"/>
  <c r="N1651" i="1"/>
  <c r="L1643" i="1"/>
  <c r="N1643" i="1"/>
  <c r="L1635" i="1"/>
  <c r="N1635" i="1"/>
  <c r="L1627" i="1"/>
  <c r="N1627" i="1"/>
  <c r="L1619" i="1"/>
  <c r="N1619" i="1"/>
  <c r="L1611" i="1"/>
  <c r="N1611" i="1"/>
  <c r="L1603" i="1"/>
  <c r="N1603" i="1"/>
  <c r="L1595" i="1"/>
  <c r="N1595" i="1"/>
  <c r="L1587" i="1"/>
  <c r="N1587" i="1"/>
  <c r="L1579" i="1"/>
  <c r="N1579" i="1"/>
  <c r="L1571" i="1"/>
  <c r="N1571" i="1"/>
  <c r="L1563" i="1"/>
  <c r="N1563" i="1"/>
  <c r="L1555" i="1"/>
  <c r="N1555" i="1"/>
  <c r="L1547" i="1"/>
  <c r="N1547" i="1"/>
  <c r="L1539" i="1"/>
  <c r="N1539" i="1"/>
  <c r="L1531" i="1"/>
  <c r="N1531" i="1"/>
  <c r="L1523" i="1"/>
  <c r="N1523" i="1"/>
  <c r="L1515" i="1"/>
  <c r="N1515" i="1"/>
  <c r="L1507" i="1"/>
  <c r="N1507" i="1"/>
  <c r="L1499" i="1"/>
  <c r="N1499" i="1"/>
  <c r="L1491" i="1"/>
  <c r="N1491" i="1"/>
  <c r="N1483" i="1"/>
  <c r="L1483" i="1"/>
  <c r="L1475" i="1"/>
  <c r="N1475" i="1"/>
  <c r="L1467" i="1"/>
  <c r="N1467" i="1"/>
  <c r="L1459" i="1"/>
  <c r="N1459" i="1"/>
  <c r="L1451" i="1"/>
  <c r="N1451" i="1"/>
  <c r="L1443" i="1"/>
  <c r="N1443" i="1"/>
  <c r="L1435" i="1"/>
  <c r="N1435" i="1"/>
  <c r="L1427" i="1"/>
  <c r="N1427" i="1"/>
  <c r="L1419" i="1"/>
  <c r="N1419" i="1"/>
  <c r="L1411" i="1"/>
  <c r="N1411" i="1"/>
  <c r="L1403" i="1"/>
  <c r="N1403" i="1"/>
  <c r="L1395" i="1"/>
  <c r="N1395" i="1"/>
  <c r="L1387" i="1"/>
  <c r="N1387" i="1"/>
  <c r="L1379" i="1"/>
  <c r="N1379" i="1"/>
  <c r="L1371" i="1"/>
  <c r="N1371" i="1"/>
  <c r="L1363" i="1"/>
  <c r="N1363" i="1"/>
  <c r="L1355" i="1"/>
  <c r="N1355" i="1"/>
  <c r="L1347" i="1"/>
  <c r="N1347" i="1"/>
  <c r="L1339" i="1"/>
  <c r="N1339" i="1"/>
  <c r="L1331" i="1"/>
  <c r="N1331" i="1"/>
  <c r="L1323" i="1"/>
  <c r="N1323" i="1"/>
  <c r="L1315" i="1"/>
  <c r="N1315" i="1"/>
  <c r="L1307" i="1"/>
  <c r="N1307" i="1"/>
  <c r="L1299" i="1"/>
  <c r="N1299" i="1"/>
  <c r="L1291" i="1"/>
  <c r="N1291" i="1"/>
  <c r="L1283" i="1"/>
  <c r="N1283" i="1"/>
  <c r="L1275" i="1"/>
  <c r="N1275" i="1"/>
  <c r="L1267" i="1"/>
  <c r="N1267" i="1"/>
  <c r="L1259" i="1"/>
  <c r="N1259" i="1"/>
  <c r="L1251" i="1"/>
  <c r="N1251" i="1"/>
  <c r="L1243" i="1"/>
  <c r="N1243" i="1"/>
  <c r="L1227" i="1"/>
  <c r="N1227" i="1"/>
  <c r="L1219" i="1"/>
  <c r="N1219" i="1"/>
  <c r="L1211" i="1"/>
  <c r="N1211" i="1"/>
  <c r="L1203" i="1"/>
  <c r="N1203" i="1"/>
  <c r="L1187" i="1"/>
  <c r="N1187" i="1"/>
  <c r="L1179" i="1"/>
  <c r="N1179" i="1"/>
  <c r="L1171" i="1"/>
  <c r="N1171" i="1"/>
  <c r="L1163" i="1"/>
  <c r="N1163" i="1"/>
  <c r="L1155" i="1"/>
  <c r="N1155" i="1"/>
  <c r="L1147" i="1"/>
  <c r="N1147" i="1"/>
  <c r="L1139" i="1"/>
  <c r="N1139" i="1"/>
  <c r="L1123" i="1"/>
  <c r="N1123" i="1"/>
  <c r="L1115" i="1"/>
  <c r="N1115" i="1"/>
  <c r="L1107" i="1"/>
  <c r="N1107" i="1"/>
  <c r="L1099" i="1"/>
  <c r="N1099" i="1"/>
  <c r="L1091" i="1"/>
  <c r="N1091" i="1"/>
  <c r="L1083" i="1"/>
  <c r="N1083" i="1"/>
  <c r="L1075" i="1"/>
  <c r="N1075" i="1"/>
  <c r="L1059" i="1"/>
  <c r="N1059" i="1"/>
  <c r="L1051" i="1"/>
  <c r="N1051" i="1"/>
  <c r="L1043" i="1"/>
  <c r="N1043" i="1"/>
  <c r="L1035" i="1"/>
  <c r="N1035" i="1"/>
  <c r="L1027" i="1"/>
  <c r="N1027" i="1"/>
  <c r="L1019" i="1"/>
  <c r="N1019" i="1"/>
  <c r="L1011" i="1"/>
  <c r="N1011" i="1"/>
  <c r="L995" i="1"/>
  <c r="N995" i="1"/>
  <c r="L987" i="1"/>
  <c r="N987" i="1"/>
  <c r="L979" i="1"/>
  <c r="N979" i="1"/>
  <c r="L971" i="1"/>
  <c r="N971" i="1"/>
  <c r="L963" i="1"/>
  <c r="N963" i="1"/>
  <c r="L955" i="1"/>
  <c r="N955" i="1"/>
  <c r="L947" i="1"/>
  <c r="N947" i="1"/>
  <c r="L931" i="1"/>
  <c r="N931" i="1"/>
  <c r="L923" i="1"/>
  <c r="N923" i="1"/>
  <c r="L915" i="1"/>
  <c r="N915" i="1"/>
  <c r="L907" i="1"/>
  <c r="N907" i="1"/>
  <c r="L899" i="1"/>
  <c r="N899" i="1"/>
  <c r="L891" i="1"/>
  <c r="N891" i="1"/>
  <c r="L883" i="1"/>
  <c r="N883" i="1"/>
  <c r="L867" i="1"/>
  <c r="N867" i="1"/>
  <c r="L859" i="1"/>
  <c r="N859" i="1"/>
  <c r="L851" i="1"/>
  <c r="N851" i="1"/>
  <c r="L843" i="1"/>
  <c r="N843" i="1"/>
  <c r="L835" i="1"/>
  <c r="N835" i="1"/>
  <c r="L827" i="1"/>
  <c r="N827" i="1"/>
  <c r="L819" i="1"/>
  <c r="N819" i="1"/>
  <c r="L811" i="1"/>
  <c r="N811" i="1"/>
  <c r="L803" i="1"/>
  <c r="N803" i="1"/>
  <c r="L795" i="1"/>
  <c r="N795" i="1"/>
  <c r="L787" i="1"/>
  <c r="N787" i="1"/>
  <c r="L779" i="1"/>
  <c r="N779" i="1"/>
  <c r="L771" i="1"/>
  <c r="N771" i="1"/>
  <c r="L763" i="1"/>
  <c r="N763" i="1"/>
  <c r="L755" i="1"/>
  <c r="N755" i="1"/>
  <c r="L747" i="1"/>
  <c r="N747" i="1"/>
  <c r="L739" i="1"/>
  <c r="N739" i="1"/>
  <c r="L731" i="1"/>
  <c r="N731" i="1"/>
  <c r="L723" i="1"/>
  <c r="N723" i="1"/>
  <c r="L715" i="1"/>
  <c r="N715" i="1"/>
  <c r="L707" i="1"/>
  <c r="N707" i="1"/>
  <c r="L699" i="1"/>
  <c r="N699" i="1"/>
  <c r="L691" i="1"/>
  <c r="N691" i="1"/>
  <c r="L683" i="1"/>
  <c r="N683" i="1"/>
  <c r="L675" i="1"/>
  <c r="N675" i="1"/>
  <c r="L667" i="1"/>
  <c r="N667" i="1"/>
  <c r="L659" i="1"/>
  <c r="N659" i="1"/>
  <c r="L651" i="1"/>
  <c r="N651" i="1"/>
  <c r="L643" i="1"/>
  <c r="N643" i="1"/>
  <c r="L635" i="1"/>
  <c r="N635" i="1"/>
  <c r="L627" i="1"/>
  <c r="N627" i="1"/>
  <c r="L619" i="1"/>
  <c r="N619" i="1"/>
  <c r="L611" i="1"/>
  <c r="N611" i="1"/>
  <c r="L603" i="1"/>
  <c r="N603" i="1"/>
  <c r="L595" i="1"/>
  <c r="N595" i="1"/>
  <c r="L587" i="1"/>
  <c r="N587" i="1"/>
  <c r="L579" i="1"/>
  <c r="N579" i="1"/>
  <c r="L571" i="1"/>
  <c r="N571" i="1"/>
  <c r="L563" i="1"/>
  <c r="N563" i="1"/>
  <c r="L555" i="1"/>
  <c r="N555" i="1"/>
  <c r="L547" i="1"/>
  <c r="N547" i="1"/>
  <c r="L539" i="1"/>
  <c r="N539" i="1"/>
  <c r="L531" i="1"/>
  <c r="N531" i="1"/>
  <c r="L523" i="1"/>
  <c r="N523" i="1"/>
  <c r="L515" i="1"/>
  <c r="N515" i="1"/>
  <c r="L507" i="1"/>
  <c r="N507" i="1"/>
  <c r="L499" i="1"/>
  <c r="N499" i="1"/>
  <c r="L491" i="1"/>
  <c r="N491" i="1"/>
  <c r="L483" i="1"/>
  <c r="N483" i="1"/>
  <c r="L475" i="1"/>
  <c r="N475" i="1"/>
  <c r="L467" i="1"/>
  <c r="N467" i="1"/>
  <c r="L459" i="1"/>
  <c r="N459" i="1"/>
  <c r="L451" i="1"/>
  <c r="N451" i="1"/>
  <c r="L443" i="1"/>
  <c r="N443" i="1"/>
  <c r="L435" i="1"/>
  <c r="N435" i="1"/>
  <c r="L427" i="1"/>
  <c r="N427" i="1"/>
  <c r="L419" i="1"/>
  <c r="N419" i="1"/>
  <c r="L411" i="1"/>
  <c r="N411" i="1"/>
  <c r="L403" i="1"/>
  <c r="N403" i="1"/>
  <c r="L395" i="1"/>
  <c r="N395" i="1"/>
  <c r="L387" i="1"/>
  <c r="N387" i="1"/>
  <c r="L379" i="1"/>
  <c r="N379" i="1"/>
  <c r="L371" i="1"/>
  <c r="N371" i="1"/>
  <c r="L363" i="1"/>
  <c r="N363" i="1"/>
  <c r="L355" i="1"/>
  <c r="N355" i="1"/>
  <c r="L347" i="1"/>
  <c r="N347" i="1"/>
  <c r="L339" i="1"/>
  <c r="N339" i="1"/>
  <c r="L331" i="1"/>
  <c r="N331" i="1"/>
  <c r="L323" i="1"/>
  <c r="N323" i="1"/>
  <c r="L315" i="1"/>
  <c r="N315" i="1"/>
  <c r="L307" i="1"/>
  <c r="N307" i="1"/>
  <c r="L299" i="1"/>
  <c r="N299" i="1"/>
  <c r="L291" i="1"/>
  <c r="N291" i="1"/>
  <c r="L283" i="1"/>
  <c r="N283" i="1"/>
  <c r="L275" i="1"/>
  <c r="N275" i="1"/>
  <c r="L267" i="1"/>
  <c r="N267" i="1"/>
  <c r="L259" i="1"/>
  <c r="N259" i="1"/>
  <c r="L251" i="1"/>
  <c r="N251" i="1"/>
  <c r="L243" i="1"/>
  <c r="N243" i="1"/>
  <c r="L235" i="1"/>
  <c r="N235" i="1"/>
  <c r="L227" i="1"/>
  <c r="N227" i="1"/>
  <c r="L219" i="1"/>
  <c r="N219" i="1"/>
  <c r="L211" i="1"/>
  <c r="N211" i="1"/>
  <c r="L203" i="1"/>
  <c r="N203" i="1"/>
  <c r="L195" i="1"/>
  <c r="N195" i="1"/>
  <c r="L187" i="1"/>
  <c r="N187" i="1"/>
  <c r="L179" i="1"/>
  <c r="N179" i="1"/>
  <c r="L171" i="1"/>
  <c r="N171" i="1"/>
  <c r="L163" i="1"/>
  <c r="N163" i="1"/>
  <c r="L155" i="1"/>
  <c r="N155" i="1"/>
  <c r="L147" i="1"/>
  <c r="N147" i="1"/>
  <c r="L139" i="1"/>
  <c r="N139" i="1"/>
  <c r="L131" i="1"/>
  <c r="N131" i="1"/>
  <c r="L123" i="1"/>
  <c r="N123" i="1"/>
  <c r="L115" i="1"/>
  <c r="N115" i="1"/>
  <c r="L107" i="1"/>
  <c r="N107" i="1"/>
  <c r="L99" i="1"/>
  <c r="N99" i="1"/>
  <c r="L91" i="1"/>
  <c r="N91" i="1"/>
  <c r="L83" i="1"/>
  <c r="N83" i="1"/>
  <c r="L75" i="1"/>
  <c r="N75" i="1"/>
  <c r="L67" i="1"/>
  <c r="N67" i="1"/>
  <c r="L59" i="1"/>
  <c r="N59" i="1"/>
  <c r="L51" i="1"/>
  <c r="N51" i="1"/>
  <c r="L43" i="1"/>
  <c r="N43" i="1"/>
  <c r="L35" i="1"/>
  <c r="N35" i="1"/>
  <c r="L27" i="1"/>
  <c r="N27" i="1"/>
  <c r="L19" i="1"/>
  <c r="N19" i="1"/>
  <c r="L11" i="1"/>
  <c r="N11" i="1"/>
  <c r="L3" i="1"/>
  <c r="N3" i="1"/>
  <c r="N2150" i="1"/>
  <c r="N2142" i="1"/>
  <c r="N2134" i="1"/>
  <c r="N2126" i="1"/>
  <c r="N2118" i="1"/>
  <c r="N2110" i="1"/>
  <c r="N2102" i="1"/>
  <c r="N2094" i="1"/>
  <c r="N2086" i="1"/>
  <c r="N2078" i="1"/>
  <c r="N2070" i="1"/>
  <c r="N2062" i="1"/>
  <c r="N2054" i="1"/>
  <c r="N2046" i="1"/>
  <c r="N2038" i="1"/>
  <c r="N2030" i="1"/>
  <c r="N2022" i="1"/>
  <c r="N2014" i="1"/>
  <c r="N2006" i="1"/>
  <c r="N1998" i="1"/>
  <c r="N1990" i="1"/>
  <c r="N1982" i="1"/>
  <c r="N1974" i="1"/>
  <c r="N1966" i="1"/>
  <c r="N1958" i="1"/>
  <c r="N1950" i="1"/>
  <c r="N1942" i="1"/>
  <c r="N1934" i="1"/>
  <c r="N1926" i="1"/>
  <c r="N1918" i="1"/>
  <c r="N1910" i="1"/>
  <c r="N1901" i="1"/>
  <c r="N1892" i="1"/>
  <c r="N1882" i="1"/>
  <c r="N1855" i="1"/>
  <c r="N1846" i="1"/>
  <c r="N1837" i="1"/>
  <c r="N1828" i="1"/>
  <c r="N1818" i="1"/>
  <c r="N1791" i="1"/>
  <c r="N1782" i="1"/>
  <c r="N1773" i="1"/>
  <c r="N1764" i="1"/>
  <c r="N1754" i="1"/>
  <c r="N1727" i="1"/>
  <c r="N1718" i="1"/>
  <c r="N1708" i="1"/>
  <c r="N1686" i="1"/>
  <c r="N1676" i="1"/>
  <c r="N1654" i="1"/>
  <c r="N1644" i="1"/>
  <c r="N1620" i="1"/>
  <c r="N1605" i="1"/>
  <c r="N1589" i="1"/>
  <c r="N1290" i="1"/>
  <c r="N1173" i="1"/>
  <c r="N1003" i="1"/>
  <c r="N834" i="1"/>
  <c r="N578" i="1"/>
  <c r="N302" i="1"/>
  <c r="L1714" i="1"/>
  <c r="N1714" i="1"/>
  <c r="L1706" i="1"/>
  <c r="N1706" i="1"/>
  <c r="N1698" i="1"/>
  <c r="L1698" i="1"/>
  <c r="L1690" i="1"/>
  <c r="N1690" i="1"/>
  <c r="L1682" i="1"/>
  <c r="N1682" i="1"/>
  <c r="L1674" i="1"/>
  <c r="N1674" i="1"/>
  <c r="N1666" i="1"/>
  <c r="L1666" i="1"/>
  <c r="L1658" i="1"/>
  <c r="N1658" i="1"/>
  <c r="L1650" i="1"/>
  <c r="N1650" i="1"/>
  <c r="L1642" i="1"/>
  <c r="N1642" i="1"/>
  <c r="N1634" i="1"/>
  <c r="L1634" i="1"/>
  <c r="L1626" i="1"/>
  <c r="N1626" i="1"/>
  <c r="L1618" i="1"/>
  <c r="N1618" i="1"/>
  <c r="L1610" i="1"/>
  <c r="N1610" i="1"/>
  <c r="L1602" i="1"/>
  <c r="N1602" i="1"/>
  <c r="L1594" i="1"/>
  <c r="N1594" i="1"/>
  <c r="L1586" i="1"/>
  <c r="N1586" i="1"/>
  <c r="L1578" i="1"/>
  <c r="N1578" i="1"/>
  <c r="L1570" i="1"/>
  <c r="N1570" i="1"/>
  <c r="L1562" i="1"/>
  <c r="N1562" i="1"/>
  <c r="L1554" i="1"/>
  <c r="N1554" i="1"/>
  <c r="L1546" i="1"/>
  <c r="N1546" i="1"/>
  <c r="L1538" i="1"/>
  <c r="N1538" i="1"/>
  <c r="L1530" i="1"/>
  <c r="N1530" i="1"/>
  <c r="L1522" i="1"/>
  <c r="N1522" i="1"/>
  <c r="L1514" i="1"/>
  <c r="N1514" i="1"/>
  <c r="L1506" i="1"/>
  <c r="N1506" i="1"/>
  <c r="L1498" i="1"/>
  <c r="N1498" i="1"/>
  <c r="L1490" i="1"/>
  <c r="N1490" i="1"/>
  <c r="L1482" i="1"/>
  <c r="N1482" i="1"/>
  <c r="L1474" i="1"/>
  <c r="N1474" i="1"/>
  <c r="L1466" i="1"/>
  <c r="N1466" i="1"/>
  <c r="L1458" i="1"/>
  <c r="N1458" i="1"/>
  <c r="L1450" i="1"/>
  <c r="N1450" i="1"/>
  <c r="L1442" i="1"/>
  <c r="N1442" i="1"/>
  <c r="L1434" i="1"/>
  <c r="N1434" i="1"/>
  <c r="L1426" i="1"/>
  <c r="N1426" i="1"/>
  <c r="L1418" i="1"/>
  <c r="N1418" i="1"/>
  <c r="L1410" i="1"/>
  <c r="N1410" i="1"/>
  <c r="L1402" i="1"/>
  <c r="N1402" i="1"/>
  <c r="L1394" i="1"/>
  <c r="N1394" i="1"/>
  <c r="L1386" i="1"/>
  <c r="N1386" i="1"/>
  <c r="L1378" i="1"/>
  <c r="N1378" i="1"/>
  <c r="L1370" i="1"/>
  <c r="N1370" i="1"/>
  <c r="L1362" i="1"/>
  <c r="N1362" i="1"/>
  <c r="L1354" i="1"/>
  <c r="N1354" i="1"/>
  <c r="L1346" i="1"/>
  <c r="N1346" i="1"/>
  <c r="L1338" i="1"/>
  <c r="N1338" i="1"/>
  <c r="L1330" i="1"/>
  <c r="N1330" i="1"/>
  <c r="L1314" i="1"/>
  <c r="N1314" i="1"/>
  <c r="L1306" i="1"/>
  <c r="N1306" i="1"/>
  <c r="L1298" i="1"/>
  <c r="N1298" i="1"/>
  <c r="L1282" i="1"/>
  <c r="N1282" i="1"/>
  <c r="L1274" i="1"/>
  <c r="N1274" i="1"/>
  <c r="L1266" i="1"/>
  <c r="N1266" i="1"/>
  <c r="L1250" i="1"/>
  <c r="N1250" i="1"/>
  <c r="L1242" i="1"/>
  <c r="N1242" i="1"/>
  <c r="L1234" i="1"/>
  <c r="N1234" i="1"/>
  <c r="L1226" i="1"/>
  <c r="N1226" i="1"/>
  <c r="L1210" i="1"/>
  <c r="N1210" i="1"/>
  <c r="L1202" i="1"/>
  <c r="N1202" i="1"/>
  <c r="L1194" i="1"/>
  <c r="N1194" i="1"/>
  <c r="L1186" i="1"/>
  <c r="N1186" i="1"/>
  <c r="L1178" i="1"/>
  <c r="N1178" i="1"/>
  <c r="L1170" i="1"/>
  <c r="N1170" i="1"/>
  <c r="L1162" i="1"/>
  <c r="N1162" i="1"/>
  <c r="L1146" i="1"/>
  <c r="N1146" i="1"/>
  <c r="L1138" i="1"/>
  <c r="N1138" i="1"/>
  <c r="L1130" i="1"/>
  <c r="N1130" i="1"/>
  <c r="L1122" i="1"/>
  <c r="N1122" i="1"/>
  <c r="L1114" i="1"/>
  <c r="N1114" i="1"/>
  <c r="L1106" i="1"/>
  <c r="N1106" i="1"/>
  <c r="L1098" i="1"/>
  <c r="N1098" i="1"/>
  <c r="L1082" i="1"/>
  <c r="N1082" i="1"/>
  <c r="L1074" i="1"/>
  <c r="N1074" i="1"/>
  <c r="L1066" i="1"/>
  <c r="N1066" i="1"/>
  <c r="L1058" i="1"/>
  <c r="N1058" i="1"/>
  <c r="L1050" i="1"/>
  <c r="N1050" i="1"/>
  <c r="L1042" i="1"/>
  <c r="N1042" i="1"/>
  <c r="L1034" i="1"/>
  <c r="N1034" i="1"/>
  <c r="L1018" i="1"/>
  <c r="N1018" i="1"/>
  <c r="L1010" i="1"/>
  <c r="N1010" i="1"/>
  <c r="L1002" i="1"/>
  <c r="N1002" i="1"/>
  <c r="L994" i="1"/>
  <c r="N994" i="1"/>
  <c r="L986" i="1"/>
  <c r="N986" i="1"/>
  <c r="L978" i="1"/>
  <c r="N978" i="1"/>
  <c r="L970" i="1"/>
  <c r="N970" i="1"/>
  <c r="L954" i="1"/>
  <c r="N954" i="1"/>
  <c r="L946" i="1"/>
  <c r="N946" i="1"/>
  <c r="L938" i="1"/>
  <c r="N938" i="1"/>
  <c r="L930" i="1"/>
  <c r="N930" i="1"/>
  <c r="L922" i="1"/>
  <c r="N922" i="1"/>
  <c r="L914" i="1"/>
  <c r="N914" i="1"/>
  <c r="L906" i="1"/>
  <c r="N906" i="1"/>
  <c r="L890" i="1"/>
  <c r="N890" i="1"/>
  <c r="L882" i="1"/>
  <c r="N882" i="1"/>
  <c r="L874" i="1"/>
  <c r="N874" i="1"/>
  <c r="L866" i="1"/>
  <c r="N866" i="1"/>
  <c r="L858" i="1"/>
  <c r="N858" i="1"/>
  <c r="L850" i="1"/>
  <c r="N850" i="1"/>
  <c r="L842" i="1"/>
  <c r="N842" i="1"/>
  <c r="L826" i="1"/>
  <c r="N826" i="1"/>
  <c r="L818" i="1"/>
  <c r="N818" i="1"/>
  <c r="L810" i="1"/>
  <c r="N810" i="1"/>
  <c r="L794" i="1"/>
  <c r="N794" i="1"/>
  <c r="L786" i="1"/>
  <c r="N786" i="1"/>
  <c r="L778" i="1"/>
  <c r="N778" i="1"/>
  <c r="L762" i="1"/>
  <c r="N762" i="1"/>
  <c r="L754" i="1"/>
  <c r="N754" i="1"/>
  <c r="L746" i="1"/>
  <c r="N746" i="1"/>
  <c r="L730" i="1"/>
  <c r="N730" i="1"/>
  <c r="L722" i="1"/>
  <c r="N722" i="1"/>
  <c r="L714" i="1"/>
  <c r="N714" i="1"/>
  <c r="L698" i="1"/>
  <c r="N698" i="1"/>
  <c r="L690" i="1"/>
  <c r="N690" i="1"/>
  <c r="L682" i="1"/>
  <c r="N682" i="1"/>
  <c r="L666" i="1"/>
  <c r="N666" i="1"/>
  <c r="L658" i="1"/>
  <c r="N658" i="1"/>
  <c r="L650" i="1"/>
  <c r="N650" i="1"/>
  <c r="L634" i="1"/>
  <c r="N634" i="1"/>
  <c r="L626" i="1"/>
  <c r="N626" i="1"/>
  <c r="L618" i="1"/>
  <c r="N618" i="1"/>
  <c r="L602" i="1"/>
  <c r="N602" i="1"/>
  <c r="L594" i="1"/>
  <c r="N594" i="1"/>
  <c r="L586" i="1"/>
  <c r="N586" i="1"/>
  <c r="L570" i="1"/>
  <c r="N570" i="1"/>
  <c r="L562" i="1"/>
  <c r="N562" i="1"/>
  <c r="L554" i="1"/>
  <c r="N554" i="1"/>
  <c r="L538" i="1"/>
  <c r="N538" i="1"/>
  <c r="L530" i="1"/>
  <c r="N530" i="1"/>
  <c r="L522" i="1"/>
  <c r="N522" i="1"/>
  <c r="L506" i="1"/>
  <c r="N506" i="1"/>
  <c r="L498" i="1"/>
  <c r="N498" i="1"/>
  <c r="L490" i="1"/>
  <c r="N490" i="1"/>
  <c r="L474" i="1"/>
  <c r="N474" i="1"/>
  <c r="L466" i="1"/>
  <c r="N466" i="1"/>
  <c r="L458" i="1"/>
  <c r="N458" i="1"/>
  <c r="L442" i="1"/>
  <c r="N442" i="1"/>
  <c r="L434" i="1"/>
  <c r="N434" i="1"/>
  <c r="L426" i="1"/>
  <c r="N426" i="1"/>
  <c r="L410" i="1"/>
  <c r="N410" i="1"/>
  <c r="L402" i="1"/>
  <c r="N402" i="1"/>
  <c r="L394" i="1"/>
  <c r="N394" i="1"/>
  <c r="L386" i="1"/>
  <c r="N386" i="1"/>
  <c r="L378" i="1"/>
  <c r="N378" i="1"/>
  <c r="L370" i="1"/>
  <c r="N370" i="1"/>
  <c r="L362" i="1"/>
  <c r="N362" i="1"/>
  <c r="L354" i="1"/>
  <c r="N354" i="1"/>
  <c r="L346" i="1"/>
  <c r="N346" i="1"/>
  <c r="L338" i="1"/>
  <c r="N338" i="1"/>
  <c r="L330" i="1"/>
  <c r="N330" i="1"/>
  <c r="L322" i="1"/>
  <c r="N322" i="1"/>
  <c r="L314" i="1"/>
  <c r="N314" i="1"/>
  <c r="L306" i="1"/>
  <c r="N306" i="1"/>
  <c r="L298" i="1"/>
  <c r="N298" i="1"/>
  <c r="L290" i="1"/>
  <c r="N290" i="1"/>
  <c r="L282" i="1"/>
  <c r="N282" i="1"/>
  <c r="L274" i="1"/>
  <c r="N274" i="1"/>
  <c r="L266" i="1"/>
  <c r="N266" i="1"/>
  <c r="L258" i="1"/>
  <c r="N258" i="1"/>
  <c r="L250" i="1"/>
  <c r="N250" i="1"/>
  <c r="L242" i="1"/>
  <c r="N242" i="1"/>
  <c r="L234" i="1"/>
  <c r="N234" i="1"/>
  <c r="L226" i="1"/>
  <c r="N226" i="1"/>
  <c r="L218" i="1"/>
  <c r="N218" i="1"/>
  <c r="L210" i="1"/>
  <c r="N210" i="1"/>
  <c r="L202" i="1"/>
  <c r="N202" i="1"/>
  <c r="L194" i="1"/>
  <c r="N194" i="1"/>
  <c r="L186" i="1"/>
  <c r="N186" i="1"/>
  <c r="L178" i="1"/>
  <c r="N178" i="1"/>
  <c r="L170" i="1"/>
  <c r="N170" i="1"/>
  <c r="L162" i="1"/>
  <c r="N162" i="1"/>
  <c r="L154" i="1"/>
  <c r="N154" i="1"/>
  <c r="L146" i="1"/>
  <c r="N146" i="1"/>
  <c r="L138" i="1"/>
  <c r="N138" i="1"/>
  <c r="L130" i="1"/>
  <c r="N130" i="1"/>
  <c r="L122" i="1"/>
  <c r="N122" i="1"/>
  <c r="L114" i="1"/>
  <c r="N114" i="1"/>
  <c r="L106" i="1"/>
  <c r="N106" i="1"/>
  <c r="L98" i="1"/>
  <c r="N98" i="1"/>
  <c r="L90" i="1"/>
  <c r="N90" i="1"/>
  <c r="L82" i="1"/>
  <c r="N82" i="1"/>
  <c r="L74" i="1"/>
  <c r="N74" i="1"/>
  <c r="L66" i="1"/>
  <c r="N66" i="1"/>
  <c r="L58" i="1"/>
  <c r="N58" i="1"/>
  <c r="L50" i="1"/>
  <c r="N50" i="1"/>
  <c r="L42" i="1"/>
  <c r="N42" i="1"/>
  <c r="L34" i="1"/>
  <c r="N34" i="1"/>
  <c r="L26" i="1"/>
  <c r="N26" i="1"/>
  <c r="L18" i="1"/>
  <c r="N18" i="1"/>
  <c r="L10" i="1"/>
  <c r="N10" i="1"/>
  <c r="L2" i="1"/>
  <c r="N2" i="1"/>
  <c r="N2149" i="1"/>
  <c r="N2141" i="1"/>
  <c r="N2133" i="1"/>
  <c r="N2125" i="1"/>
  <c r="N2117" i="1"/>
  <c r="N2109" i="1"/>
  <c r="N2101" i="1"/>
  <c r="N2093" i="1"/>
  <c r="N2085" i="1"/>
  <c r="N2077" i="1"/>
  <c r="N2069" i="1"/>
  <c r="N2061" i="1"/>
  <c r="N2053" i="1"/>
  <c r="N2045" i="1"/>
  <c r="N2037" i="1"/>
  <c r="N2029" i="1"/>
  <c r="N2021" i="1"/>
  <c r="N2013" i="1"/>
  <c r="N2005" i="1"/>
  <c r="N1997" i="1"/>
  <c r="N1989" i="1"/>
  <c r="N1981" i="1"/>
  <c r="N1973" i="1"/>
  <c r="N1965" i="1"/>
  <c r="N1957" i="1"/>
  <c r="N1949" i="1"/>
  <c r="N1941" i="1"/>
  <c r="N1933" i="1"/>
  <c r="N1925" i="1"/>
  <c r="N1917" i="1"/>
  <c r="N1909" i="1"/>
  <c r="N1900" i="1"/>
  <c r="N1890" i="1"/>
  <c r="N1863" i="1"/>
  <c r="N1854" i="1"/>
  <c r="N1845" i="1"/>
  <c r="N1836" i="1"/>
  <c r="N1826" i="1"/>
  <c r="N1799" i="1"/>
  <c r="N1790" i="1"/>
  <c r="N1781" i="1"/>
  <c r="N1772" i="1"/>
  <c r="N1762" i="1"/>
  <c r="N1735" i="1"/>
  <c r="N1726" i="1"/>
  <c r="N1717" i="1"/>
  <c r="N1695" i="1"/>
  <c r="N1685" i="1"/>
  <c r="N1663" i="1"/>
  <c r="N1653" i="1"/>
  <c r="N1630" i="1"/>
  <c r="N1558" i="1"/>
  <c r="N1526" i="1"/>
  <c r="N1278" i="1"/>
  <c r="N1154" i="1"/>
  <c r="N981" i="1"/>
  <c r="N802" i="1"/>
  <c r="N546" i="1"/>
  <c r="N25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D70638-56E5-48C1-A240-4168FE280BDD}" keepAlive="1" name="Query - categories" description="Connection to the 'categories' query in the workbook." type="5" refreshedVersion="8" background="1" saveData="1">
    <dbPr connection="Provider=Microsoft.Mashup.OleDb.1;Data Source=$Workbook$;Location=categories;Extended Properties=&quot;&quot;" command="SELECT * FROM [categories]"/>
  </connection>
  <connection id="2" xr16:uid="{23F5DDE7-84C6-45A2-AFEF-6977C4895A4B}" keepAlive="1" name="Query - customers" description="Connection to the 'customers' query in the workbook." type="5" refreshedVersion="0" background="1">
    <dbPr connection="Provider=Microsoft.Mashup.OleDb.1;Data Source=$Workbook$;Location=customers;Extended Properties=&quot;&quot;" command="SELECT * FROM [customers]"/>
  </connection>
  <connection id="3" xr16:uid="{CA4510A7-B087-417E-A5B2-2C4807DE0F4A}" keepAlive="1" name="Query - customers (2)" description="Connection to the 'customers (2)' query in the workbook." type="5" refreshedVersion="8" background="1" saveData="1">
    <dbPr connection="Provider=Microsoft.Mashup.OleDb.1;Data Source=$Workbook$;Location=&quot;customers (2)&quot;;Extended Properties=&quot;&quot;" command="SELECT * FROM [customers (2)]"/>
  </connection>
  <connection id="4" xr16:uid="{6F97F942-4690-447C-A309-EF276D6F4F10}"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5" xr16:uid="{8373B11A-9C91-4609-8B9B-54597AD4B52B}" keepAlive="1" name="Query - order_details" description="Connection to the 'order_details' query in the workbook." type="5" refreshedVersion="8" background="1" saveData="1">
    <dbPr connection="Provider=Microsoft.Mashup.OleDb.1;Data Source=$Workbook$;Location=order_details;Extended Properties=&quot;&quot;" command="SELECT * FROM [order_details]"/>
  </connection>
  <connection id="6" xr16:uid="{A6979876-F275-456A-BF1B-C9AA65CEAD6E}"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7" xr16:uid="{B5DE3CD7-C893-4479-B6D1-6854835B02E8}"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8" xr16:uid="{395C230F-BD15-4D69-94EC-F664E6095AF3}" keepAlive="1" name="Query - shippers" description="Connection to the 'shippers' query in the workbook." type="5" refreshedVersion="8" background="1" saveData="1">
    <dbPr connection="Provider=Microsoft.Mashup.OleDb.1;Data Source=$Workbook$;Location=shippers;Extended Properties=&quot;&quot;" command="SELECT * FROM [shippers]"/>
  </connection>
  <connection id="9" xr16:uid="{074F8A1B-B7F8-46EC-BABE-77A8C91BEDA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AEE30678-CC34-4AE6-8995-43CD95E93F1C}" name="WorksheetConnection_Porto1.xlsx!order_details" type="102" refreshedVersion="8" minRefreshableVersion="5">
    <extLst>
      <ext xmlns:x15="http://schemas.microsoft.com/office/spreadsheetml/2010/11/main" uri="{DE250136-89BD-433C-8126-D09CA5730AF9}">
        <x15:connection id="order_details">
          <x15:rangePr sourceName="_xlcn.WorksheetConnection_Porto1.xlsxorder_details1"/>
        </x15:connection>
      </ext>
    </extLst>
  </connection>
  <connection id="11" xr16:uid="{CDA02BCD-8506-46A2-90F7-39838F14F5DE}" name="WorksheetConnection_Porto1.xlsx!orders" type="102" refreshedVersion="8" minRefreshableVersion="5">
    <extLst>
      <ext xmlns:x15="http://schemas.microsoft.com/office/spreadsheetml/2010/11/main" uri="{DE250136-89BD-433C-8126-D09CA5730AF9}">
        <x15:connection id="orders">
          <x15:rangePr sourceName="_xlcn.WorksheetConnection_Porto1.xlsxorders1"/>
        </x15:connection>
      </ext>
    </extLst>
  </connection>
</connections>
</file>

<file path=xl/sharedStrings.xml><?xml version="1.0" encoding="utf-8"?>
<sst xmlns="http://schemas.openxmlformats.org/spreadsheetml/2006/main" count="1747" uniqueCount="628">
  <si>
    <t>categoryID</t>
  </si>
  <si>
    <t>categoryName</t>
  </si>
  <si>
    <t>description</t>
  </si>
  <si>
    <t>Beverages</t>
  </si>
  <si>
    <t>Soft drinks, coffees, teas, beers, and ales</t>
  </si>
  <si>
    <t>Condiments</t>
  </si>
  <si>
    <t>Sweet and savory sauces, relishes, spreads, and seasonings</t>
  </si>
  <si>
    <t>Confections</t>
  </si>
  <si>
    <t>Desserts, candies, and sweet breads</t>
  </si>
  <si>
    <t>Dairy Products</t>
  </si>
  <si>
    <t>Cheeses</t>
  </si>
  <si>
    <t>Grains &amp; Cereals</t>
  </si>
  <si>
    <t>Breads, crackers, pasta, and cereal</t>
  </si>
  <si>
    <t>Meat &amp; Poultry</t>
  </si>
  <si>
    <t>Prepared meats</t>
  </si>
  <si>
    <t>Produce</t>
  </si>
  <si>
    <t>Dried fruit and bean curd</t>
  </si>
  <si>
    <t>Seafood</t>
  </si>
  <si>
    <t>Seaweed and fish</t>
  </si>
  <si>
    <t>customerID</t>
  </si>
  <si>
    <t>companyName</t>
  </si>
  <si>
    <t>contactName</t>
  </si>
  <si>
    <t>contactTitle</t>
  </si>
  <si>
    <t>city</t>
  </si>
  <si>
    <t>country</t>
  </si>
  <si>
    <t>ALFKI</t>
  </si>
  <si>
    <t>Alfreds Futterkiste</t>
  </si>
  <si>
    <t>Maria Anders</t>
  </si>
  <si>
    <t>Sales Representative</t>
  </si>
  <si>
    <t>Berlin</t>
  </si>
  <si>
    <t>Germany</t>
  </si>
  <si>
    <t>ANATR</t>
  </si>
  <si>
    <t>Ana Trujillo Emparedados y helados</t>
  </si>
  <si>
    <t>Ana Trujillo</t>
  </si>
  <si>
    <t>Owner</t>
  </si>
  <si>
    <t>Mexico City</t>
  </si>
  <si>
    <t>Mexico</t>
  </si>
  <si>
    <t>ANTON</t>
  </si>
  <si>
    <t>Antonio Moreno Taquería</t>
  </si>
  <si>
    <t>Antonio Moreno</t>
  </si>
  <si>
    <t>AROUT</t>
  </si>
  <si>
    <t>Around the Horn</t>
  </si>
  <si>
    <t>Thomas Hardy</t>
  </si>
  <si>
    <t>London</t>
  </si>
  <si>
    <t>UK</t>
  </si>
  <si>
    <t>BERGS</t>
  </si>
  <si>
    <t>Berglunds snabbköp</t>
  </si>
  <si>
    <t>Christina Berglund</t>
  </si>
  <si>
    <t>Order Administrator</t>
  </si>
  <si>
    <t>Luleå</t>
  </si>
  <si>
    <t>Sweden</t>
  </si>
  <si>
    <t>BLAUS</t>
  </si>
  <si>
    <t>Blauer See Delikatessen</t>
  </si>
  <si>
    <t>Hanna Moos</t>
  </si>
  <si>
    <t>Mannheim</t>
  </si>
  <si>
    <t>BLONP</t>
  </si>
  <si>
    <t>Blondesddsl père et fils</t>
  </si>
  <si>
    <t>Frédérique Citeaux</t>
  </si>
  <si>
    <t>Marketing Manager</t>
  </si>
  <si>
    <t>Strasbourg</t>
  </si>
  <si>
    <t>France</t>
  </si>
  <si>
    <t>BOLID</t>
  </si>
  <si>
    <t>Bólido Comidas preparadas</t>
  </si>
  <si>
    <t>Martín Sommer</t>
  </si>
  <si>
    <t>Madrid</t>
  </si>
  <si>
    <t>Spain</t>
  </si>
  <si>
    <t>BONAP</t>
  </si>
  <si>
    <t>Bon app'</t>
  </si>
  <si>
    <t>Laurence Lebihan</t>
  </si>
  <si>
    <t>Marseille</t>
  </si>
  <si>
    <t>BOTTM</t>
  </si>
  <si>
    <t>Bottom-Dollar Markets</t>
  </si>
  <si>
    <t>Elizabeth Lincoln</t>
  </si>
  <si>
    <t>Accounting Manager</t>
  </si>
  <si>
    <t>Tsawassen</t>
  </si>
  <si>
    <t>Canada</t>
  </si>
  <si>
    <t>BSBEV</t>
  </si>
  <si>
    <t>B's Beverages</t>
  </si>
  <si>
    <t>Victoria Ashworth</t>
  </si>
  <si>
    <t>CACTU</t>
  </si>
  <si>
    <t>Cactus Comidas para llevar</t>
  </si>
  <si>
    <t>Patricio Simpson</t>
  </si>
  <si>
    <t>Sales Agent</t>
  </si>
  <si>
    <t>Buenos Aires</t>
  </si>
  <si>
    <t>Argentina</t>
  </si>
  <si>
    <t>CENTC</t>
  </si>
  <si>
    <t>Centro comercial Moctezuma</t>
  </si>
  <si>
    <t>Francisco Chang</t>
  </si>
  <si>
    <t>CHOPS</t>
  </si>
  <si>
    <t>Chop-suey Chinese</t>
  </si>
  <si>
    <t>Yang Wang</t>
  </si>
  <si>
    <t>Bern</t>
  </si>
  <si>
    <t>Switzerland</t>
  </si>
  <si>
    <t>COMMI</t>
  </si>
  <si>
    <t>Comércio Mineiro</t>
  </si>
  <si>
    <t>Pedro Afonso</t>
  </si>
  <si>
    <t>Sales Associate</t>
  </si>
  <si>
    <t>Sao Paulo</t>
  </si>
  <si>
    <t>Brazil</t>
  </si>
  <si>
    <t>CONSH</t>
  </si>
  <si>
    <t>Consolidated Holdings</t>
  </si>
  <si>
    <t>Elizabeth Brown</t>
  </si>
  <si>
    <t>DRACD</t>
  </si>
  <si>
    <t>Drachenblut Delikatessen</t>
  </si>
  <si>
    <t>Sven Ottlieb</t>
  </si>
  <si>
    <t>Aachen</t>
  </si>
  <si>
    <t>DUMON</t>
  </si>
  <si>
    <t>Du monde entier</t>
  </si>
  <si>
    <t>Janine Labrune</t>
  </si>
  <si>
    <t>Nantes</t>
  </si>
  <si>
    <t>EASTC</t>
  </si>
  <si>
    <t>Eastern Connection</t>
  </si>
  <si>
    <t>Ann Devon</t>
  </si>
  <si>
    <t>ERNSH</t>
  </si>
  <si>
    <t>Ernst Handel</t>
  </si>
  <si>
    <t>Roland Mendel</t>
  </si>
  <si>
    <t>Sales Manager</t>
  </si>
  <si>
    <t>Graz</t>
  </si>
  <si>
    <t>Austria</t>
  </si>
  <si>
    <t>FAMIA</t>
  </si>
  <si>
    <t>Familia Arquibaldo</t>
  </si>
  <si>
    <t>Aria Cruz</t>
  </si>
  <si>
    <t>Marketing Assistant</t>
  </si>
  <si>
    <t>FISSA</t>
  </si>
  <si>
    <t>FISSA Fabrica Inter. Salchichas S.A.</t>
  </si>
  <si>
    <t>Diego Roel</t>
  </si>
  <si>
    <t>FOLIG</t>
  </si>
  <si>
    <t>Folies gourmandes</t>
  </si>
  <si>
    <t>Martine Rancé</t>
  </si>
  <si>
    <t>Assistant Sales Agent</t>
  </si>
  <si>
    <t>Lille</t>
  </si>
  <si>
    <t>FOLKO</t>
  </si>
  <si>
    <t>Folk och fä HB</t>
  </si>
  <si>
    <t>Maria Larsson</t>
  </si>
  <si>
    <t>Bräcke</t>
  </si>
  <si>
    <t>FRANK</t>
  </si>
  <si>
    <t>Frankenversand</t>
  </si>
  <si>
    <t>Peter Franken</t>
  </si>
  <si>
    <t>München</t>
  </si>
  <si>
    <t>FRANR</t>
  </si>
  <si>
    <t>France restauration</t>
  </si>
  <si>
    <t>Carine Schmitt</t>
  </si>
  <si>
    <t>FRANS</t>
  </si>
  <si>
    <t>Franchi S.p.A.</t>
  </si>
  <si>
    <t>Paolo Accorti</t>
  </si>
  <si>
    <t>Torino</t>
  </si>
  <si>
    <t>Italy</t>
  </si>
  <si>
    <t>FURIB</t>
  </si>
  <si>
    <t>Furia Bacalhau e Frutos do Mar</t>
  </si>
  <si>
    <t>Lino Rodriguez</t>
  </si>
  <si>
    <t>Lisboa</t>
  </si>
  <si>
    <t>Portugal</t>
  </si>
  <si>
    <t>GALED</t>
  </si>
  <si>
    <t>Galería del gastrónomo</t>
  </si>
  <si>
    <t>Eduardo Saavedra</t>
  </si>
  <si>
    <t>Barcelona</t>
  </si>
  <si>
    <t>GODOS</t>
  </si>
  <si>
    <t>Godos Cocina Típica</t>
  </si>
  <si>
    <t>José Pedro Freyre</t>
  </si>
  <si>
    <t>Sevilla</t>
  </si>
  <si>
    <t>GOURL</t>
  </si>
  <si>
    <t>Gourmet Lanchonetes</t>
  </si>
  <si>
    <t>André Fonseca</t>
  </si>
  <si>
    <t>Campinas</t>
  </si>
  <si>
    <t>GREAL</t>
  </si>
  <si>
    <t>Great Lakes Food Market</t>
  </si>
  <si>
    <t>Howard Snyder</t>
  </si>
  <si>
    <t>Eugene</t>
  </si>
  <si>
    <t>USA</t>
  </si>
  <si>
    <t>GROSR</t>
  </si>
  <si>
    <t>GROSELLA-Restaurante</t>
  </si>
  <si>
    <t>Manuel Pereira</t>
  </si>
  <si>
    <t>Caracas</t>
  </si>
  <si>
    <t>Venezuela</t>
  </si>
  <si>
    <t>HANAR</t>
  </si>
  <si>
    <t>Hanari Carnes</t>
  </si>
  <si>
    <t>Mario Pontes</t>
  </si>
  <si>
    <t>Rio de Janeiro</t>
  </si>
  <si>
    <t>HILAA</t>
  </si>
  <si>
    <t>HILARION-Abastos</t>
  </si>
  <si>
    <t>Carlos Hernández</t>
  </si>
  <si>
    <t>San Cristóbal</t>
  </si>
  <si>
    <t>HUNGC</t>
  </si>
  <si>
    <t>Hungry Coyote Import Store</t>
  </si>
  <si>
    <t>Yoshi Latimer</t>
  </si>
  <si>
    <t>Elgin</t>
  </si>
  <si>
    <t>HUNGO</t>
  </si>
  <si>
    <t>Hungry Owl All-Night Grocers</t>
  </si>
  <si>
    <t>Patricia McKenna</t>
  </si>
  <si>
    <t>Cork</t>
  </si>
  <si>
    <t>Ireland</t>
  </si>
  <si>
    <t>ISLAT</t>
  </si>
  <si>
    <t>Island Trading</t>
  </si>
  <si>
    <t>Helen Bennett</t>
  </si>
  <si>
    <t>Cowes</t>
  </si>
  <si>
    <t>KOENE</t>
  </si>
  <si>
    <t>Königlich Essen</t>
  </si>
  <si>
    <t>Philip Cramer</t>
  </si>
  <si>
    <t>Brandenburg</t>
  </si>
  <si>
    <t>LACOR</t>
  </si>
  <si>
    <t>La corne d'abondance</t>
  </si>
  <si>
    <t>Daniel Tonini</t>
  </si>
  <si>
    <t>Versailles</t>
  </si>
  <si>
    <t>LAMAI</t>
  </si>
  <si>
    <t>La maison d'Asie</t>
  </si>
  <si>
    <t>Annette Roulet</t>
  </si>
  <si>
    <t>Toulouse</t>
  </si>
  <si>
    <t>LAUGB</t>
  </si>
  <si>
    <t>Laughing Bacchus Wine Cellars</t>
  </si>
  <si>
    <t>Yoshi Tannamuri</t>
  </si>
  <si>
    <t>Vancouver</t>
  </si>
  <si>
    <t>LAZYK</t>
  </si>
  <si>
    <t>Lazy K Kountry Store</t>
  </si>
  <si>
    <t>John Steel</t>
  </si>
  <si>
    <t>Walla Walla</t>
  </si>
  <si>
    <t>LEHMS</t>
  </si>
  <si>
    <t>Lehmanns Marktstand</t>
  </si>
  <si>
    <t>Renate Messner</t>
  </si>
  <si>
    <t>Frankfurt a.M.</t>
  </si>
  <si>
    <t>LETSS</t>
  </si>
  <si>
    <t>Let's Stop N Shop</t>
  </si>
  <si>
    <t>Jaime Yorres</t>
  </si>
  <si>
    <t>San Francisco</t>
  </si>
  <si>
    <t>LILAS</t>
  </si>
  <si>
    <t>LILA-Supermercado</t>
  </si>
  <si>
    <t>Carlos González</t>
  </si>
  <si>
    <t>Barquisimeto</t>
  </si>
  <si>
    <t>LINOD</t>
  </si>
  <si>
    <t>LINO-Delicateses</t>
  </si>
  <si>
    <t>Felipe Izquierdo</t>
  </si>
  <si>
    <t>I. de Margarita</t>
  </si>
  <si>
    <t>LONEP</t>
  </si>
  <si>
    <t>Lonesome Pine Restaurant</t>
  </si>
  <si>
    <t>Fran Wilson</t>
  </si>
  <si>
    <t>Portland</t>
  </si>
  <si>
    <t>MAGAA</t>
  </si>
  <si>
    <t>Magazzini Alimentari Riuniti</t>
  </si>
  <si>
    <t>Giovanni Rovelli</t>
  </si>
  <si>
    <t>Bergamo</t>
  </si>
  <si>
    <t>MAISD</t>
  </si>
  <si>
    <t>Maison Dewey</t>
  </si>
  <si>
    <t>Catherine Dewey</t>
  </si>
  <si>
    <t>Bruxelles</t>
  </si>
  <si>
    <t>Belgium</t>
  </si>
  <si>
    <t>MEREP</t>
  </si>
  <si>
    <t>Mère Paillarde</t>
  </si>
  <si>
    <t>Jean Fresnière</t>
  </si>
  <si>
    <t>Montréal</t>
  </si>
  <si>
    <t>MORGK</t>
  </si>
  <si>
    <t>Morgenstern Gesundkost</t>
  </si>
  <si>
    <t>Alexander Feuer</t>
  </si>
  <si>
    <t>Leipzig</t>
  </si>
  <si>
    <t>NORTS</t>
  </si>
  <si>
    <t>North/South</t>
  </si>
  <si>
    <t>Simon Crowther</t>
  </si>
  <si>
    <t>OCEAN</t>
  </si>
  <si>
    <t>Océano Atlántico Ltda.</t>
  </si>
  <si>
    <t>Yvonne Moncada</t>
  </si>
  <si>
    <t>OLDWO</t>
  </si>
  <si>
    <t>Old World Delicatessen</t>
  </si>
  <si>
    <t>Rene Phillips</t>
  </si>
  <si>
    <t>Anchorage</t>
  </si>
  <si>
    <t>OTTIK</t>
  </si>
  <si>
    <t>Ottilies Käseladen</t>
  </si>
  <si>
    <t>Henriette Pfalzheim</t>
  </si>
  <si>
    <t>Köln</t>
  </si>
  <si>
    <t>PARIS</t>
  </si>
  <si>
    <t>Paris spécialités</t>
  </si>
  <si>
    <t>Marie Bertrand</t>
  </si>
  <si>
    <t>Paris</t>
  </si>
  <si>
    <t>PERIC</t>
  </si>
  <si>
    <t>Pericles Comidas clásicas</t>
  </si>
  <si>
    <t>Guillermo Fernández</t>
  </si>
  <si>
    <t>PICCO</t>
  </si>
  <si>
    <t>Piccolo und mehr</t>
  </si>
  <si>
    <t>Georg Pipps</t>
  </si>
  <si>
    <t>Salzburg</t>
  </si>
  <si>
    <t>PRINI</t>
  </si>
  <si>
    <t>Princesa Isabel Vinhos</t>
  </si>
  <si>
    <t>Isabel de Castro</t>
  </si>
  <si>
    <t>QUEDE</t>
  </si>
  <si>
    <t>Que Delícia</t>
  </si>
  <si>
    <t>Bernardo Batista</t>
  </si>
  <si>
    <t>QUEEN</t>
  </si>
  <si>
    <t>Queen Cozinha</t>
  </si>
  <si>
    <t>Lúcia Carvalho</t>
  </si>
  <si>
    <t>QUICK</t>
  </si>
  <si>
    <t>QUICK-Stop</t>
  </si>
  <si>
    <t>Horst Kloss</t>
  </si>
  <si>
    <t>Cunewalde</t>
  </si>
  <si>
    <t>RANCH</t>
  </si>
  <si>
    <t>Rancho grande</t>
  </si>
  <si>
    <t>Sergio Gutiérrez</t>
  </si>
  <si>
    <t>RATTC</t>
  </si>
  <si>
    <t>Rattlesnake Canyon Grocery</t>
  </si>
  <si>
    <t>Paula Wilson</t>
  </si>
  <si>
    <t>Assistant Sales Representative</t>
  </si>
  <si>
    <t>Albuquerque</t>
  </si>
  <si>
    <t>REGGC</t>
  </si>
  <si>
    <t>Reggiani Caseifici</t>
  </si>
  <si>
    <t>Maurizio Moroni</t>
  </si>
  <si>
    <t>Reggio Emilia</t>
  </si>
  <si>
    <t>RICAR</t>
  </si>
  <si>
    <t>Ricardo Adocicados</t>
  </si>
  <si>
    <t>Janete Limeira</t>
  </si>
  <si>
    <t>RICSU</t>
  </si>
  <si>
    <t>Richter Supermarkt</t>
  </si>
  <si>
    <t>Michael Holz</t>
  </si>
  <si>
    <t>Genève</t>
  </si>
  <si>
    <t>ROMEY</t>
  </si>
  <si>
    <t>Romero y tomillo</t>
  </si>
  <si>
    <t>Alejandra Camino</t>
  </si>
  <si>
    <t>SANTG</t>
  </si>
  <si>
    <t>Santé Gourmet</t>
  </si>
  <si>
    <t>Jonas Bergulfsen</t>
  </si>
  <si>
    <t>Stavern</t>
  </si>
  <si>
    <t>Norway</t>
  </si>
  <si>
    <t>SAVEA</t>
  </si>
  <si>
    <t>Save-a-lot Markets</t>
  </si>
  <si>
    <t>Jose Pavarotti</t>
  </si>
  <si>
    <t>Boise</t>
  </si>
  <si>
    <t>SEVES</t>
  </si>
  <si>
    <t>Seven Seas Imports</t>
  </si>
  <si>
    <t>Hari Kumar</t>
  </si>
  <si>
    <t>SIMOB</t>
  </si>
  <si>
    <t>Simons bistro</t>
  </si>
  <si>
    <t>Jytte Petersen</t>
  </si>
  <si>
    <t>Kobenhavn</t>
  </si>
  <si>
    <t>Denmark</t>
  </si>
  <si>
    <t>SPECD</t>
  </si>
  <si>
    <t>Spécialités du monde</t>
  </si>
  <si>
    <t>Dominique Perrier</t>
  </si>
  <si>
    <t>SPLIR</t>
  </si>
  <si>
    <t>Split Rail Beer &amp; Ale</t>
  </si>
  <si>
    <t>Art Braunschweiger</t>
  </si>
  <si>
    <t>Lander</t>
  </si>
  <si>
    <t>SUPRD</t>
  </si>
  <si>
    <t>Suprêmes délices</t>
  </si>
  <si>
    <t>Pascale Cartrain</t>
  </si>
  <si>
    <t>Charleroi</t>
  </si>
  <si>
    <t>THEBI</t>
  </si>
  <si>
    <t>The Big Cheese</t>
  </si>
  <si>
    <t>Liz Nixon</t>
  </si>
  <si>
    <t>THECR</t>
  </si>
  <si>
    <t>The Cracker Box</t>
  </si>
  <si>
    <t>Liu Wong</t>
  </si>
  <si>
    <t>Butte</t>
  </si>
  <si>
    <t>TOMSP</t>
  </si>
  <si>
    <t>Toms Spezialitäten</t>
  </si>
  <si>
    <t>Karin Josephs</t>
  </si>
  <si>
    <t>Münster</t>
  </si>
  <si>
    <t>TORTU</t>
  </si>
  <si>
    <t>Tortuga Restaurante</t>
  </si>
  <si>
    <t>Miguel Angel Paolino</t>
  </si>
  <si>
    <t>TRADH</t>
  </si>
  <si>
    <t>Tradição Hipermercados</t>
  </si>
  <si>
    <t>Anabela Domingues</t>
  </si>
  <si>
    <t>TRAIH</t>
  </si>
  <si>
    <t>Trail's Head Gourmet Provisioners</t>
  </si>
  <si>
    <t>Helvetius Nagy</t>
  </si>
  <si>
    <t>Kirkland</t>
  </si>
  <si>
    <t>VAFFE</t>
  </si>
  <si>
    <t>Vaffeljernet</t>
  </si>
  <si>
    <t>Palle Ibsen</t>
  </si>
  <si>
    <t>Århus</t>
  </si>
  <si>
    <t>VICTE</t>
  </si>
  <si>
    <t>Victuailles en stock</t>
  </si>
  <si>
    <t>Mary Saveley</t>
  </si>
  <si>
    <t>Lyon</t>
  </si>
  <si>
    <t>VINET</t>
  </si>
  <si>
    <t>Vins et alcools Chevalier</t>
  </si>
  <si>
    <t>Paul Henriot</t>
  </si>
  <si>
    <t>Reims</t>
  </si>
  <si>
    <t>WANDK</t>
  </si>
  <si>
    <t>Die Wandernde Kuh</t>
  </si>
  <si>
    <t>Rita Müller</t>
  </si>
  <si>
    <t>Stuttgart</t>
  </si>
  <si>
    <t>WARTH</t>
  </si>
  <si>
    <t>Wartian Herkku</t>
  </si>
  <si>
    <t>Pirkko Koskitalo</t>
  </si>
  <si>
    <t>Oulu</t>
  </si>
  <si>
    <t>Finland</t>
  </si>
  <si>
    <t>WELLI</t>
  </si>
  <si>
    <t>Wellington Importadora</t>
  </si>
  <si>
    <t>Paula Parente</t>
  </si>
  <si>
    <t>Resende</t>
  </si>
  <si>
    <t>WHITC</t>
  </si>
  <si>
    <t>White Clover Markets</t>
  </si>
  <si>
    <t>Karl Jablonski</t>
  </si>
  <si>
    <t>Seattle</t>
  </si>
  <si>
    <t>WILMK</t>
  </si>
  <si>
    <t>Wilman Kala</t>
  </si>
  <si>
    <t>Matti Karttunen</t>
  </si>
  <si>
    <t>Owner/Marketing Assistant</t>
  </si>
  <si>
    <t>Helsinki</t>
  </si>
  <si>
    <t>WOLZA</t>
  </si>
  <si>
    <t>Wolski  Zajazd</t>
  </si>
  <si>
    <t>Zbyszek Piestrzeniewicz</t>
  </si>
  <si>
    <t>Warszawa</t>
  </si>
  <si>
    <t>Poland</t>
  </si>
  <si>
    <t>employeeID</t>
  </si>
  <si>
    <t>employeeName</t>
  </si>
  <si>
    <t>title</t>
  </si>
  <si>
    <t>reportsTo</t>
  </si>
  <si>
    <t>Nancy Davolio</t>
  </si>
  <si>
    <t>New York</t>
  </si>
  <si>
    <t>Andrew Fuller</t>
  </si>
  <si>
    <t>Vice President Sales</t>
  </si>
  <si>
    <t>Janet Leverling</t>
  </si>
  <si>
    <t>Margaret Peacock</t>
  </si>
  <si>
    <t>Steven Buchanan</t>
  </si>
  <si>
    <t>Michael Suyama</t>
  </si>
  <si>
    <t>Robert King</t>
  </si>
  <si>
    <t>Laura Callahan</t>
  </si>
  <si>
    <t>Anne Dodsworth</t>
  </si>
  <si>
    <t>orderID</t>
  </si>
  <si>
    <t>productID</t>
  </si>
  <si>
    <t>unitPrice</t>
  </si>
  <si>
    <t>quantity</t>
  </si>
  <si>
    <t>discount</t>
  </si>
  <si>
    <t>orderDate</t>
  </si>
  <si>
    <t>requiredDate</t>
  </si>
  <si>
    <t>shippedDate</t>
  </si>
  <si>
    <t>shipperID</t>
  </si>
  <si>
    <t>freight</t>
  </si>
  <si>
    <t>productName</t>
  </si>
  <si>
    <t>quantityPerUnit</t>
  </si>
  <si>
    <t>discontinued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</si>
  <si>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</si>
  <si>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</si>
  <si>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</si>
  <si>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</si>
  <si>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</si>
  <si>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</si>
  <si>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</si>
  <si>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</si>
  <si>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</si>
  <si>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</si>
  <si>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</si>
  <si>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</si>
  <si>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</si>
  <si>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</si>
  <si>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</si>
  <si>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</si>
  <si>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</si>
  <si>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</si>
  <si>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</si>
  <si>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</si>
  <si>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</si>
  <si>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</si>
  <si>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</si>
  <si>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</si>
  <si>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</si>
  <si>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</si>
  <si>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</si>
  <si>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</si>
  <si>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</si>
  <si>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</si>
  <si>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</si>
  <si>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</si>
  <si>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</si>
  <si>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</si>
  <si>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</si>
  <si>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</si>
  <si>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</si>
  <si>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</si>
  <si>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</si>
  <si>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</si>
  <si>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</si>
  <si>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</si>
  <si>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Knackebröd</t>
  </si>
  <si>
    <t>24 - 500 g pkgs.</t>
  </si>
  <si>
    <t>Tunnbröd</t>
  </si>
  <si>
    <t>12 - 250 g pkgs.</t>
  </si>
  <si>
    <t>Guarana Fantastica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</si>
  <si>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</si>
  <si>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</si>
  <si>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</si>
  <si>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</si>
  <si>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</si>
  <si>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</si>
  <si>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</si>
  <si>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</si>
  <si>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</si>
  <si>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</si>
  <si>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</si>
  <si>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</si>
  <si>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</si>
  <si>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</si>
  <si>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</si>
  <si>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</si>
  <si>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</si>
  <si>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</si>
  <si>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</si>
  <si>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</si>
  <si>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</si>
  <si>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</si>
  <si>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</si>
  <si>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</si>
  <si>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</si>
  <si>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</si>
  <si>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</si>
  <si>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</si>
  <si>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</si>
  <si>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</si>
  <si>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</si>
  <si>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</si>
  <si>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</si>
  <si>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</si>
  <si>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</si>
  <si>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</si>
  <si>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</si>
  <si>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</si>
  <si>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</si>
  <si>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Rogede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</si>
  <si>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</si>
  <si>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</si>
  <si>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</si>
  <si>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</si>
  <si>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</si>
  <si>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</si>
  <si>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</si>
  <si>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</si>
  <si>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</si>
  <si>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</si>
  <si>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</si>
  <si>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</si>
  <si>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</si>
  <si>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</si>
  <si>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</si>
  <si>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</si>
  <si>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</si>
  <si>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</si>
  <si>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</si>
  <si>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</si>
  <si>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</si>
  <si>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</si>
  <si>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</si>
  <si>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</si>
  <si>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</si>
  <si>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</si>
  <si>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</si>
  <si>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</si>
  <si>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</si>
  <si>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</si>
  <si>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</si>
  <si>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</si>
  <si>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</si>
  <si>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</si>
  <si>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</si>
  <si>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</si>
  <si>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</si>
  <si>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</si>
  <si>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</si>
  <si>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</si>
  <si>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</si>
  <si>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</si>
  <si>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</si>
  <si>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</si>
  <si>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</si>
  <si>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</si>
  <si>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</si>
  <si>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</si>
  <si>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</si>
  <si>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Flotemysost</t>
  </si>
  <si>
    <t>Mozzarella di Giovanni</t>
  </si>
  <si>
    <t>Röd Kaviar</t>
  </si>
  <si>
    <t>24 - 150 g jars</t>
  </si>
  <si>
    <t>Longlife Tofu</t>
  </si>
  <si>
    <t>Rhönbräu Klosterbier</t>
  </si>
  <si>
    <t>24 - 0.5 l bottles</t>
  </si>
  <si>
    <t>Lakkaliköri</t>
  </si>
  <si>
    <t>500 ml</t>
  </si>
  <si>
    <t>Original Frankfurter Grüne Soße</t>
  </si>
  <si>
    <t>12 boxes</t>
  </si>
  <si>
    <t>Speedy Express</t>
  </si>
  <si>
    <t>United Package</t>
  </si>
  <si>
    <t>Federal Shipping</t>
  </si>
  <si>
    <t xml:space="preserve">OrderDate </t>
  </si>
  <si>
    <t xml:space="preserve">ProductName </t>
  </si>
  <si>
    <t xml:space="preserve">Category </t>
  </si>
  <si>
    <t xml:space="preserve">TotalSales </t>
  </si>
  <si>
    <t>Grand Total</t>
  </si>
  <si>
    <t xml:space="preserve">Sum of TotalSales </t>
  </si>
  <si>
    <t>Month</t>
  </si>
  <si>
    <t>Year</t>
  </si>
  <si>
    <t>Month Name</t>
  </si>
  <si>
    <t>Jan</t>
  </si>
  <si>
    <t>Feb</t>
  </si>
  <si>
    <t>Mar</t>
  </si>
  <si>
    <t>Apr</t>
  </si>
  <si>
    <t>May</t>
  </si>
  <si>
    <t>Jun</t>
  </si>
  <si>
    <t>Jul</t>
  </si>
  <si>
    <t>Aug</t>
  </si>
  <si>
    <t>Sep</t>
  </si>
  <si>
    <t>Oct</t>
  </si>
  <si>
    <t>Nov</t>
  </si>
  <si>
    <t>Dec</t>
  </si>
  <si>
    <t>Company Name</t>
  </si>
  <si>
    <t>Count of orderID</t>
  </si>
  <si>
    <t xml:space="preserve">Total Sales </t>
  </si>
  <si>
    <t>Total Order</t>
  </si>
  <si>
    <t>CostumerCountry</t>
  </si>
  <si>
    <t>Top 10 Costumer</t>
  </si>
  <si>
    <t xml:space="preserve">Sales </t>
  </si>
  <si>
    <t>## Key Insights</t>
  </si>
  <si>
    <t>### Sales Performance</t>
  </si>
  <si>
    <t>- **Peak Month:** significant upward trend starting in early 2014. Sales reached an all-time high in February 2015, peaking at $3,185,921.</t>
  </si>
  <si>
    <t>- **Seasonal Pattern:** Strong Q4 performance, indicating holiday season impact</t>
  </si>
  <si>
    <t>- **Growth Trend:** Fluctuating monthly sales with overall upward trajectory</t>
  </si>
  <si>
    <t>### Product Analysis</t>
  </si>
  <si>
    <t>- **Top Product:** Chang (156 Sold)</t>
  </si>
  <si>
    <t>- **Best Category:** Beverages (23% of total sales)</t>
  </si>
  <si>
    <t>- **Product Mix:** 77 products across 8 categories</t>
  </si>
  <si>
    <t>### Customer Insights</t>
  </si>
  <si>
    <t>- **Top Customer:** Hungry Owl All-Night Grocers ($2,447,261)</t>
  </si>
  <si>
    <t>- **Customer Base:** 91 active customers across 21 countries</t>
  </si>
  <si>
    <t>### Operational Metrics</t>
  </si>
  <si>
    <t>- **Core Markets: ** Based on the Sales by Country pie chart, Austria, Germany, and France appear to be the most dominant markets in terms of sales volume</t>
  </si>
  <si>
    <t>- **Order Volume:** 2,155 orders over 3 years</t>
  </si>
  <si>
    <t>---</t>
  </si>
  <si>
    <t>## Business Recommendations</t>
  </si>
  <si>
    <t>Based on the analysis, here are key recommendations:</t>
  </si>
  <si>
    <t>1. **Capitalize on Q4 Performance:** Increase inventory and marketing spend in Q4 to maximize holiday season sales</t>
  </si>
  <si>
    <t>2. **Inventory Optimization::** Ensure that high-demand products like "Chang" and "Chai" are always in stock to avoid missing out on easy sales volume</t>
  </si>
  <si>
    <t>3. **Customer Retention:** Implement loyalty program for top 4 customers who account for significant revenue</t>
  </si>
  <si>
    <t>4. **Category Strategy:** Invest more in Beverages and (Meat &amp; Poultry) categories given their strong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</si>
</sst>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C09]#,##0.00"/>
    <numFmt numFmtId="165" formatCode="dd/mmm/yyyy"/>
    <numFmt numFmtId="166" formatCode="[$$-1009]#,##0"/>
    <numFmt numFmtId="167" formatCode="[$$-C09]#,##0"/>
  </numFmts>
  <fonts count="3" x14ac:knownFonts="1">
    <font>
      <sz val="11"/>
      <color theme="1"/>
      <name val="Calibri"/>
      <family val="2"/>
      <scheme val="minor"/>
    </font>
    <font>
      <b/>
      <sz val="11"/>
      <color theme="4" tint="-0.499984740745262"/>
      <name val="Arial"/>
      <family val="2"/>
    </font>
    <font>
      <sz val="11"/>
      <color theme="4" tint="-0.499984740745262"/>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166" fontId="0" fillId="0" borderId="0" xfId="0" applyNumberFormat="1"/>
    <xf numFmtId="0" fontId="0" fillId="0" borderId="1" xfId="0" applyBorder="1" applyAlignment="1">
      <alignment horizontal="center"/>
    </xf>
    <xf numFmtId="167" fontId="0" fillId="0" borderId="0" xfId="0" applyNumberFormat="1"/>
    <xf numFmtId="0" fontId="0" fillId="0" borderId="1" xfId="0" applyNumberFormat="1" applyBorder="1" applyAlignment="1">
      <alignment horizontal="center"/>
    </xf>
    <xf numFmtId="166" fontId="0" fillId="0" borderId="1" xfId="0" applyNumberFormat="1" applyBorder="1" applyAlignment="1">
      <alignment horizontal="center"/>
    </xf>
    <xf numFmtId="0" fontId="1" fillId="0" borderId="0" xfId="0" applyFont="1"/>
    <xf numFmtId="0" fontId="2" fillId="0" borderId="0" xfId="0" applyFont="1"/>
  </cellXfs>
  <cellStyles count="1">
    <cellStyle name="Normal" xfId="0" builtinId="0"/>
  </cellStyles>
  <dxfs count="40">
    <dxf>
      <numFmt numFmtId="19" formatCode="dd/mm/yyyy"/>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[Porto1_Northwind Traders.xlsx]Pi!PivotTable1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diamond"/>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diamond"/>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diamond"/>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Pi!$C$3</c:f>
              <c:strCache>
                <c:ptCount val="1"/>
                <c:pt idx="0">
                  <c:v>Total</c:v>
                </c:pt>
              </c:strCache>
            </c:strRef>
          </c:tx>
          <c:spPr>
            <a:ln w="28575" cap="rnd">
              <a:solidFill>
                <a:schemeClr val="accent1"/>
              </a:solidFill>
              <a:round/>
            </a:ln>
            <a:effectLst/>
          </c:spPr>
          <c:marker>
            <c:symbol val="diamond"/>
            <c:size val="5"/>
            <c:spPr>
              <a:solidFill>
                <a:schemeClr val="accent1"/>
              </a:solidFill>
              <a:ln w="9525">
                <a:solidFill>
                  <a:schemeClr val="accent1"/>
                </a:solidFill>
              </a:ln>
              <a:effectLst/>
            </c:spPr>
          </c:marker>
          <c:cat>
            <c:multiLvlStrRef>
              <c:f>Pi!$A$4:$B$27</c:f>
              <c:multiLvlStrCache>
                <c:ptCount val="2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lvl>
                <c:lvl>
                  <c:pt idx="0">
                    <c:v>2013</c:v>
                  </c:pt>
                  <c:pt idx="6">
                    <c:v>2014</c:v>
                  </c:pt>
                  <c:pt idx="18">
                    <c:v>2015</c:v>
                  </c:pt>
                </c:lvl>
              </c:multiLvlStrCache>
            </c:multiLvlStrRef>
          </c:cat>
          <c:val>
            <c:numRef>
              <c:f>Pi!$C$4:$C$27</c:f>
              <c:numCache>
                <c:formatCode>[$$-1009]#,##0</c:formatCode>
                <c:ptCount val="23"/>
                <c:pt idx="0">
                  <c:v>203479.75</c:v>
                </c:pt>
                <c:pt idx="1">
                  <c:v>216368.92999999996</c:v>
                </c:pt>
                <c:pt idx="2">
                  <c:v>205641.15000000002</c:v>
                </c:pt>
                <c:pt idx="3">
                  <c:v>335118.95</c:v>
                </c:pt>
                <c:pt idx="4">
                  <c:v>394417.32</c:v>
                </c:pt>
                <c:pt idx="5">
                  <c:v>382548.55999999994</c:v>
                </c:pt>
                <c:pt idx="6">
                  <c:v>547760.89999999991</c:v>
                </c:pt>
                <c:pt idx="7">
                  <c:v>344426.52999999997</c:v>
                </c:pt>
                <c:pt idx="8">
                  <c:v>264913.96000000002</c:v>
                </c:pt>
                <c:pt idx="9">
                  <c:v>1304576.9800000002</c:v>
                </c:pt>
                <c:pt idx="10">
                  <c:v>828871.10000000021</c:v>
                </c:pt>
                <c:pt idx="11">
                  <c:v>857632.4</c:v>
                </c:pt>
                <c:pt idx="12">
                  <c:v>444238.44000000006</c:v>
                </c:pt>
                <c:pt idx="13">
                  <c:v>961035.53</c:v>
                </c:pt>
                <c:pt idx="14">
                  <c:v>1697286.82</c:v>
                </c:pt>
                <c:pt idx="15">
                  <c:v>1584527.46</c:v>
                </c:pt>
                <c:pt idx="16">
                  <c:v>845679.14</c:v>
                </c:pt>
                <c:pt idx="17">
                  <c:v>1841103.1100000003</c:v>
                </c:pt>
                <c:pt idx="18">
                  <c:v>1689260.2999999998</c:v>
                </c:pt>
                <c:pt idx="19">
                  <c:v>3185921.3</c:v>
                </c:pt>
                <c:pt idx="20">
                  <c:v>1490387.91</c:v>
                </c:pt>
                <c:pt idx="21">
                  <c:v>2469743.2499999995</c:v>
                </c:pt>
                <c:pt idx="22">
                  <c:v>707210.6</c:v>
                </c:pt>
              </c:numCache>
            </c:numRef>
          </c:val>
          <c:smooth val="0"/>
          <c:extLst>
            <c:ext xmlns:c16="http://schemas.microsoft.com/office/drawing/2014/chart" uri="{C3380CC4-5D6E-409C-BE32-E72D297353CC}">
              <c16:uniqueId val="{00000000-97AA-422D-ABA4-1B9ED285B8E8}"/>
            </c:ext>
          </c:extLst>
        </c:ser>
        <c:dLbls>
          <c:showLegendKey val="0"/>
          <c:showVal val="0"/>
          <c:showCatName val="0"/>
          <c:showSerName val="0"/>
          <c:showPercent val="0"/>
          <c:showBubbleSize val="0"/>
        </c:dLbls>
        <c:marker val="1"/>
        <c:smooth val="0"/>
        <c:axId val="1571180367"/>
        <c:axId val="1571181327"/>
      </c:lineChart>
      <c:catAx>
        <c:axId val="157118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181327"/>
        <c:crosses val="autoZero"/>
        <c:auto val="1"/>
        <c:lblAlgn val="ctr"/>
        <c:lblOffset val="100"/>
        <c:noMultiLvlLbl val="0"/>
      </c:catAx>
      <c:valAx>
        <c:axId val="1571181327"/>
        <c:scaling>
          <c:orientation val="minMax"/>
        </c:scaling>
        <c:delete val="0"/>
        <c:axPos val="l"/>
        <c:majorGridlines>
          <c:spPr>
            <a:ln w="9525" cap="flat" cmpd="sng" algn="ctr">
              <a:solidFill>
                <a:schemeClr val="tx1">
                  <a:lumMod val="15000"/>
                  <a:lumOff val="85000"/>
                </a:schemeClr>
              </a:solidFill>
              <a:round/>
            </a:ln>
            <a:effectLst/>
          </c:spPr>
        </c:majorGridlines>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180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[Porto1_Northwind Traders.xlsx]Pi!PivotTable2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Pi!$E$4:$E$14</c:f>
              <c:strCache>
                <c:ptCount val="10"/>
                <c:pt idx="0">
                  <c:v>Chang</c:v>
                </c:pt>
                <c:pt idx="1">
                  <c:v>Chai</c:v>
                </c:pt>
                <c:pt idx="2">
                  <c:v>Queso Cabrales</c:v>
                </c:pt>
                <c:pt idx="3">
                  <c:v>Pavlova</c:v>
                </c:pt>
                <c:pt idx="4">
                  <c:v>Ikura</c:v>
                </c:pt>
                <c:pt idx="5">
                  <c:v>Teatime Chocolate Biscuits</c:v>
                </c:pt>
                <c:pt idx="6">
                  <c:v>Guarana Fantastica</c:v>
                </c:pt>
                <c:pt idx="7">
                  <c:v>Alice Mutton</c:v>
                </c:pt>
                <c:pt idx="8">
                  <c:v>Konbu</c:v>
                </c:pt>
                <c:pt idx="9">
                  <c:v>Uncle Bob's Organic Dried Pears</c:v>
                </c:pt>
              </c:strCache>
            </c:strRef>
          </c:cat>
          <c:val>
            <c:numRef>
              <c:f>Pi!$F$4:$F$14</c:f>
              <c:numCache>
                <c:formatCode>General</c:formatCode>
                <c:ptCount val="10"/>
                <c:pt idx="0">
                  <c:v>156</c:v>
                </c:pt>
                <c:pt idx="1">
                  <c:v>113</c:v>
                </c:pt>
                <c:pt idx="2">
                  <c:v>90</c:v>
                </c:pt>
                <c:pt idx="3">
                  <c:v>89</c:v>
                </c:pt>
                <c:pt idx="4">
                  <c:v>79</c:v>
                </c:pt>
                <c:pt idx="5">
                  <c:v>78</c:v>
                </c:pt>
                <c:pt idx="6">
                  <c:v>77</c:v>
                </c:pt>
                <c:pt idx="7">
                  <c:v>76</c:v>
                </c:pt>
                <c:pt idx="8">
                  <c:v>70</c:v>
                </c:pt>
                <c:pt idx="9">
                  <c:v>69</c:v>
                </c:pt>
              </c:numCache>
            </c:numRef>
          </c:val>
          <c:extLst>
            <c:ext xmlns:c16="http://schemas.microsoft.com/office/drawing/2014/chart" uri="{C3380CC4-5D6E-409C-BE32-E72D297353CC}">
              <c16:uniqueId val="{00000003-CB29-4F1C-BB39-14B15C4FCA16}"/>
            </c:ext>
          </c:extLst>
        </c:ser>
        <c:dLbls>
          <c:showLegendKey val="0"/>
          <c:showVal val="0"/>
          <c:showCatName val="0"/>
          <c:showSerName val="0"/>
          <c:showPercent val="0"/>
          <c:showBubbleSize val="0"/>
        </c:dLbls>
        <c:gapWidth val="182"/>
        <c:axId val="928574863"/>
        <c:axId val="928575343"/>
      </c:barChart>
      <c:catAx>
        <c:axId val="9285748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28575343"/>
        <c:crosses val="autoZero"/>
        <c:auto val="1"/>
        <c:lblAlgn val="ctr"/>
        <c:lblOffset val="100"/>
        <c:noMultiLvlLbl val="0"/>
      </c:catAx>
      <c:valAx>
        <c:axId val="928575343"/>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28574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[Porto1_Northwind Traders.xlsx]Pi!PivotTable8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AC-4C13-976B-61B6EE3AFF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AC-4C13-976B-61B6EE3AFF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AC-4C13-976B-61B6EE3AFF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2AC-4C13-976B-61B6EE3AFF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2AC-4C13-976B-61B6EE3AFF9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2AC-4C13-976B-61B6EE3AFF9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2AC-4C13-976B-61B6EE3AFF9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2AC-4C13-976B-61B6EE3AFF97}"/>
              </c:ext>
            </c:extLst>
          </c:dPt>
          <c:cat>
            <c:strRef>
              <c:f>Pi!$I$4:$I$12</c:f>
              <c:strCache>
                <c:ptCount val="8"/>
                <c:pt idx="0">
                  <c:v>Beverages</c:v>
                </c:pt>
                <c:pt idx="1">
                  <c:v>Condiments</c:v>
                </c:pt>
                <c:pt idx="2">
                  <c:v>Confections</c:v>
                </c:pt>
                <c:pt idx="3">
                  <c:v>Dairy Products</c:v>
                </c:pt>
                <c:pt idx="4">
                  <c:v>Grains &amp; Cereals</c:v>
                </c:pt>
                <c:pt idx="5">
                  <c:v>Meat &amp; Poultry</c:v>
                </c:pt>
                <c:pt idx="6">
                  <c:v>Produce</c:v>
                </c:pt>
                <c:pt idx="7">
                  <c:v>Seafood</c:v>
                </c:pt>
              </c:strCache>
            </c:strRef>
          </c:cat>
          <c:val>
            <c:numRef>
              <c:f>Pi!$J$4:$J$12</c:f>
              <c:numCache>
                <c:formatCode>[$$-1009]#,##0</c:formatCode>
                <c:ptCount val="8"/>
                <c:pt idx="0">
                  <c:v>5183274.6700000009</c:v>
                </c:pt>
                <c:pt idx="1">
                  <c:v>2156806.8200000003</c:v>
                </c:pt>
                <c:pt idx="2">
                  <c:v>3772781.5999999996</c:v>
                </c:pt>
                <c:pt idx="3">
                  <c:v>2255252.77</c:v>
                </c:pt>
                <c:pt idx="4">
                  <c:v>764022.03000000014</c:v>
                </c:pt>
                <c:pt idx="5">
                  <c:v>4720229.87</c:v>
                </c:pt>
                <c:pt idx="6">
                  <c:v>1331686.99</c:v>
                </c:pt>
                <c:pt idx="7">
                  <c:v>2618095.64</c:v>
                </c:pt>
              </c:numCache>
            </c:numRef>
          </c:val>
          <c:extLst>
            <c:ext xmlns:c16="http://schemas.microsoft.com/office/drawing/2014/chart" uri="{C3380CC4-5D6E-409C-BE32-E72D297353CC}">
              <c16:uniqueId val="{00000010-22AC-4C13-976B-61B6EE3AFF9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[Porto1_Northwind Traders.xlsx]Pi!PivotTable9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Sales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s>
    <c:plotArea>
      <c:layout/>
      <c:pieChart>
        <c:varyColors val="1"/>
        <c:ser>
          <c:idx val="0"/>
          <c:order val="0"/>
          <c:tx>
            <c:strRef>
              <c:f>Pi!$M$3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68-4F74-8FD6-8FB4B44B44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68-4F74-8FD6-8FB4B44B44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68-4F74-8FD6-8FB4B44B44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C68-4F74-8FD6-8FB4B44B445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C68-4F74-8FD6-8FB4B44B445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C68-4F74-8FD6-8FB4B44B445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C68-4F74-8FD6-8FB4B44B445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C68-4F74-8FD6-8FB4B44B445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C68-4F74-8FD6-8FB4B44B445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C68-4F74-8FD6-8FB4B44B445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C68-4F74-8FD6-8FB4B44B445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C68-4F74-8FD6-8FB4B44B445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C68-4F74-8FD6-8FB4B44B445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C68-4F74-8FD6-8FB4B44B445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EC68-4F74-8FD6-8FB4B44B445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EC68-4F74-8FD6-8FB4B44B445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EC68-4F74-8FD6-8FB4B44B445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EC68-4F74-8FD6-8FB4B44B445B}"/>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EC68-4F74-8FD6-8FB4B44B445B}"/>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EC68-4F74-8FD6-8FB4B44B445B}"/>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EC68-4F74-8FD6-8FB4B44B445B}"/>
              </c:ext>
            </c:extLst>
          </c:dPt>
          <c:cat>
            <c:strRef>
              <c:f>Pi!$L$4:$L$25</c:f>
              <c:strCache>
                <c:ptCount val="21"/>
                <c:pt idx="0">
                  <c:v>Argentina</c:v>
                </c:pt>
                <c:pt idx="1">
                  <c:v>Austria</c:v>
                </c:pt>
                <c:pt idx="2">
                  <c:v>Belgium</c:v>
                </c:pt>
                <c:pt idx="3">
                  <c:v>Brazil</c:v>
                </c:pt>
                <c:pt idx="4">
                  <c:v>Canada</c:v>
                </c:pt>
                <c:pt idx="5">
                  <c:v>Denmark</c:v>
                </c:pt>
                <c:pt idx="6">
                  <c:v>Finland</c:v>
                </c:pt>
                <c:pt idx="7">
                  <c:v>France</c:v>
                </c:pt>
                <c:pt idx="8">
                  <c:v>Germany</c:v>
                </c:pt>
                <c:pt idx="9">
                  <c:v>Ireland</c:v>
                </c:pt>
                <c:pt idx="10">
                  <c:v>Italy</c:v>
                </c:pt>
                <c:pt idx="11">
                  <c:v>Mexico</c:v>
                </c:pt>
                <c:pt idx="12">
                  <c:v>Norway</c:v>
                </c:pt>
                <c:pt idx="13">
                  <c:v>Poland</c:v>
                </c:pt>
                <c:pt idx="14">
                  <c:v>Portugal</c:v>
                </c:pt>
                <c:pt idx="15">
                  <c:v>Spain</c:v>
                </c:pt>
                <c:pt idx="16">
                  <c:v>Sweden</c:v>
                </c:pt>
                <c:pt idx="17">
                  <c:v>Switzerland</c:v>
                </c:pt>
                <c:pt idx="18">
                  <c:v>UK</c:v>
                </c:pt>
                <c:pt idx="19">
                  <c:v>USA</c:v>
                </c:pt>
                <c:pt idx="20">
                  <c:v>Venezuela</c:v>
                </c:pt>
              </c:strCache>
            </c:strRef>
          </c:cat>
          <c:val>
            <c:numRef>
              <c:f>Pi!$M$4:$M$25</c:f>
              <c:numCache>
                <c:formatCode>[$$-C09]#,##0</c:formatCode>
                <c:ptCount val="21"/>
                <c:pt idx="0">
                  <c:v>108335</c:v>
                </c:pt>
                <c:pt idx="1">
                  <c:v>2060471.2700000005</c:v>
                </c:pt>
                <c:pt idx="2">
                  <c:v>267851.90000000002</c:v>
                </c:pt>
                <c:pt idx="3">
                  <c:v>1491590.1899999997</c:v>
                </c:pt>
                <c:pt idx="4">
                  <c:v>439446.47</c:v>
                </c:pt>
                <c:pt idx="5">
                  <c:v>365653.80000000005</c:v>
                </c:pt>
                <c:pt idx="6">
                  <c:v>289686.90000000002</c:v>
                </c:pt>
                <c:pt idx="7">
                  <c:v>1296350.56</c:v>
                </c:pt>
                <c:pt idx="8">
                  <c:v>4756640.58</c:v>
                </c:pt>
                <c:pt idx="9">
                  <c:v>2447261.3499999996</c:v>
                </c:pt>
                <c:pt idx="10">
                  <c:v>145933.69000000003</c:v>
                </c:pt>
                <c:pt idx="11">
                  <c:v>349474.35</c:v>
                </c:pt>
                <c:pt idx="12">
                  <c:v>105083</c:v>
                </c:pt>
                <c:pt idx="13">
                  <c:v>43334</c:v>
                </c:pt>
                <c:pt idx="14">
                  <c:v>350355.1</c:v>
                </c:pt>
                <c:pt idx="15">
                  <c:v>628456.9800000001</c:v>
                </c:pt>
                <c:pt idx="16">
                  <c:v>1170700.6099999999</c:v>
                </c:pt>
                <c:pt idx="17">
                  <c:v>872498.92999999993</c:v>
                </c:pt>
                <c:pt idx="18">
                  <c:v>535274.17000000004</c:v>
                </c:pt>
                <c:pt idx="19">
                  <c:v>4113714.1900000004</c:v>
                </c:pt>
                <c:pt idx="20">
                  <c:v>964037.35000000009</c:v>
                </c:pt>
              </c:numCache>
            </c:numRef>
          </c:val>
          <c:extLst>
            <c:ext xmlns:c16="http://schemas.microsoft.com/office/drawing/2014/chart" uri="{C3380CC4-5D6E-409C-BE32-E72D297353CC}">
              <c16:uniqueId val="{0000002A-EC68-4F74-8FD6-8FB4B44B445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324970</xdr:colOff>
      <xdr:row>11</xdr:row>
      <xdr:rowOff>0</xdr:rowOff>
    </xdr:from>
    <xdr:to>
      <xdr:col>21</xdr:col>
      <xdr:colOff>0</xdr:colOff>
      <xdr:row>25</xdr:row>
      <xdr:rowOff>141317</xdr:rowOff>
    </xdr:to>
    <xdr:graphicFrame macro="">
      <xdr:nvGraphicFramePr>
        <xdr:cNvPr id="2" name="Chart 1">
          <a:extLst>
            <a:ext uri="{FF2B5EF4-FFF2-40B4-BE49-F238E27FC236}">
              <a16:creationId xmlns:a16="http://schemas.microsoft.com/office/drawing/2014/main" id="{98826422-915E-4AB2-8229-4DB20772A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7345</xdr:colOff>
      <xdr:row>26</xdr:row>
      <xdr:rowOff>151067</xdr:rowOff>
    </xdr:from>
    <xdr:to>
      <xdr:col>18</xdr:col>
      <xdr:colOff>0</xdr:colOff>
      <xdr:row>38</xdr:row>
      <xdr:rowOff>0</xdr:rowOff>
    </xdr:to>
    <xdr:graphicFrame macro="">
      <xdr:nvGraphicFramePr>
        <xdr:cNvPr id="3" name="Chart 2">
          <a:extLst>
            <a:ext uri="{FF2B5EF4-FFF2-40B4-BE49-F238E27FC236}">
              <a16:creationId xmlns:a16="http://schemas.microsoft.com/office/drawing/2014/main" id="{EEBBBD81-3242-41BF-9973-5C5AA7C78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1245</xdr:colOff>
      <xdr:row>7</xdr:row>
      <xdr:rowOff>53789</xdr:rowOff>
    </xdr:from>
    <xdr:to>
      <xdr:col>21</xdr:col>
      <xdr:colOff>0</xdr:colOff>
      <xdr:row>10</xdr:row>
      <xdr:rowOff>107577</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88A74249-70E9-4A6C-9F48-667ED361AC3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797390" y="1314553"/>
              <a:ext cx="6801337" cy="59411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2</xdr:row>
      <xdr:rowOff>0</xdr:rowOff>
    </xdr:from>
    <xdr:to>
      <xdr:col>21</xdr:col>
      <xdr:colOff>0</xdr:colOff>
      <xdr:row>6</xdr:row>
      <xdr:rowOff>0</xdr:rowOff>
    </xdr:to>
    <xdr:sp macro="" textlink="">
      <xdr:nvSpPr>
        <xdr:cNvPr id="7" name="Rectangle 6">
          <a:extLst>
            <a:ext uri="{FF2B5EF4-FFF2-40B4-BE49-F238E27FC236}">
              <a16:creationId xmlns:a16="http://schemas.microsoft.com/office/drawing/2014/main" id="{9A3DC690-5F47-BA04-4EF0-A8428D131E11}"/>
            </a:ext>
          </a:extLst>
        </xdr:cNvPr>
        <xdr:cNvSpPr/>
      </xdr:nvSpPr>
      <xdr:spPr>
        <a:xfrm>
          <a:off x="1264227" y="363682"/>
          <a:ext cx="9507682" cy="72736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3200"/>
            <a:t>Dashboard Northwind Traders</a:t>
          </a:r>
        </a:p>
      </xdr:txBody>
    </xdr:sp>
    <xdr:clientData/>
  </xdr:twoCellAnchor>
  <xdr:twoCellAnchor>
    <xdr:from>
      <xdr:col>3</xdr:col>
      <xdr:colOff>21771</xdr:colOff>
      <xdr:row>39</xdr:row>
      <xdr:rowOff>43542</xdr:rowOff>
    </xdr:from>
    <xdr:to>
      <xdr:col>13</xdr:col>
      <xdr:colOff>0</xdr:colOff>
      <xdr:row>54</xdr:row>
      <xdr:rowOff>10885</xdr:rowOff>
    </xdr:to>
    <xdr:graphicFrame macro="">
      <xdr:nvGraphicFramePr>
        <xdr:cNvPr id="10" name="Chart 9">
          <a:extLst>
            <a:ext uri="{FF2B5EF4-FFF2-40B4-BE49-F238E27FC236}">
              <a16:creationId xmlns:a16="http://schemas.microsoft.com/office/drawing/2014/main" id="{F3D71F78-9FC8-439E-96D6-C9D76AAE9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163286</xdr:colOff>
      <xdr:row>39</xdr:row>
      <xdr:rowOff>32657</xdr:rowOff>
    </xdr:from>
    <xdr:to>
      <xdr:col>21</xdr:col>
      <xdr:colOff>108858</xdr:colOff>
      <xdr:row>54</xdr:row>
      <xdr:rowOff>0</xdr:rowOff>
    </xdr:to>
    <xdr:graphicFrame macro="">
      <xdr:nvGraphicFramePr>
        <xdr:cNvPr id="11" name="Chart 10">
          <a:extLst>
            <a:ext uri="{FF2B5EF4-FFF2-40B4-BE49-F238E27FC236}">
              <a16:creationId xmlns:a16="http://schemas.microsoft.com/office/drawing/2014/main" id="{850E42AF-31BF-4967-8592-7BFC38805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grah Seputra" refreshedDate="46042.860515277775" createdVersion="8" refreshedVersion="8" minRefreshableVersion="3" recordCount="2155" xr:uid="{B668512B-9BB2-4F3E-844C-72E8D0B3198C}">
  <cacheSource type="worksheet">
    <worksheetSource name="Table9"/>
  </cacheSource>
  <cacheFields count="14">
    <cacheField name="orderID" numFmtId="0">
      <sharedItems containsSemiMixedTypes="0" containsString="0" containsNumber="1" containsInteger="1" minValue="10248" maxValue="11077"/>
    </cacheField>
    <cacheField name="OrderDate " numFmtId="165">
      <sharedItems containsSemiMixedTypes="0" containsNonDate="0" containsDate="1" containsString="0" minDate="2013-07-04T00:00:00" maxDate="2015-05-07T00:00:00" count="480">
        <d v="2013-07-04T00:00:00"/>
        <d v="2013-07-05T00:00:00"/>
        <d v="2013-07-08T00:00:00"/>
        <d v="2013-07-09T00:00:00"/>
        <d v="2013-07-10T00:00:00"/>
        <d v="2013-07-11T00:00:00"/>
        <d v="2013-07-12T00:00:00"/>
        <d v="2013-07-15T00:00:00"/>
        <d v="2013-07-16T00:00:00"/>
        <d v="2013-07-17T00:00:00"/>
        <d v="2013-07-18T00:00:00"/>
        <d v="2013-07-19T00:00:00"/>
        <d v="2013-07-22T00:00:00"/>
        <d v="2013-07-23T00:00:00"/>
        <d v="2013-07-24T00:00:00"/>
        <d v="2013-07-25T00:00:00"/>
        <d v="2013-07-26T00:00:00"/>
        <d v="2013-07-29T00:00:00"/>
        <d v="2013-07-30T00:00:00"/>
        <d v="2013-07-31T00:00:00"/>
        <d v="2013-08-01T00:00:00"/>
        <d v="2013-08-02T00:00:00"/>
        <d v="2013-08-05T00:00:00"/>
        <d v="2013-08-06T00:00:00"/>
        <d v="2013-08-07T00:00:00"/>
        <d v="2013-08-08T00:00:00"/>
        <d v="2013-08-09T00:00:00"/>
        <d v="2013-08-12T00:00:00"/>
        <d v="2013-08-13T00:00:00"/>
        <d v="2013-08-14T00:00:00"/>
        <d v="2013-08-15T00:00:00"/>
        <d v="2013-08-16T00:00:00"/>
        <d v="2013-08-19T00:00:00"/>
        <d v="2013-08-20T00:00:00"/>
        <d v="2013-08-21T00:00:00"/>
        <d v="2013-08-22T00:00:00"/>
        <d v="2013-08-23T00:00:00"/>
        <d v="2013-08-26T00:00:00"/>
        <d v="2013-08-27T00:00:00"/>
        <d v="2013-08-28T00:00:00"/>
        <d v="2013-08-29T00:00:00"/>
        <d v="2013-08-30T00:00:00"/>
        <d v="2013-09-02T00:00:00"/>
        <d v="2013-09-03T00:00:00"/>
        <d v="2013-09-04T00:00:00"/>
        <d v="2013-09-05T00:00:00"/>
        <d v="2013-09-06T00:00:00"/>
        <d v="2013-09-09T00:00:00"/>
        <d v="2013-09-10T00:00:00"/>
        <d v="2013-09-11T00:00:00"/>
        <d v="2013-09-12T00:00:00"/>
        <d v="2013-09-13T00:00:00"/>
        <d v="2013-09-16T00:00:00"/>
        <d v="2013-09-17T00:00:00"/>
        <d v="2013-09-18T00:00:00"/>
        <d v="2013-09-19T00:00:00"/>
        <d v="2013-09-20T00:00:00"/>
        <d v="2013-09-23T00:00:00"/>
        <d v="2013-09-24T00:00:00"/>
        <d v="2013-09-25T00:00:00"/>
        <d v="2013-09-26T00:00:00"/>
        <d v="2013-09-27T00:00:00"/>
        <d v="2013-09-30T00:00:00"/>
        <d v="2013-10-01T00:00:00"/>
        <d v="2013-10-02T00:00:00"/>
        <d v="2013-10-03T00:00:00"/>
        <d v="2013-10-04T00:00:00"/>
        <d v="2013-10-07T00:00:00"/>
        <d v="2013-10-08T00:00:00"/>
        <d v="2013-10-09T00:00:00"/>
        <d v="2013-10-10T00:00:00"/>
        <d v="2013-10-11T00:00:00"/>
        <d v="2013-10-14T00:00:00"/>
        <d v="2013-10-15T00:00:00"/>
        <d v="2013-10-16T00:00:00"/>
        <d v="2013-10-17T00:00:00"/>
        <d v="2013-10-18T00:00:00"/>
        <d v="2013-10-21T00:00:00"/>
        <d v="2013-10-22T00:00:00"/>
        <d v="2013-10-23T00:00:00"/>
        <d v="2013-10-24T00:00:00"/>
        <d v="2013-10-25T00:00:00"/>
        <d v="2013-10-28T00:00:00"/>
        <d v="2013-10-29T00:00:00"/>
        <d v="2013-10-30T00:00:00"/>
        <d v="2013-10-31T00:00:00"/>
        <d v="2013-11-01T00:00:00"/>
        <d v="2013-11-04T00:00:00"/>
        <d v="2013-11-05T00:00:00"/>
        <d v="2013-11-06T00:00:00"/>
        <d v="2013-11-07T00:00:00"/>
        <d v="2013-11-08T00:00:00"/>
        <d v="2013-11-11T00:00:00"/>
        <d v="2013-11-12T00:00:00"/>
        <d v="2013-11-13T00:00:00"/>
        <d v="2013-11-14T00:00:00"/>
        <d v="2013-11-15T00:00:00"/>
        <d v="2013-11-18T00:00:00"/>
        <d v="2013-11-19T00:00:00"/>
        <d v="2013-11-20T00:00:00"/>
        <d v="2013-11-21T00:00:00"/>
        <d v="2013-11-22T00:00:00"/>
        <d v="2013-11-25T00:00:00"/>
        <d v="2013-11-26T00:00:00"/>
        <d v="2013-11-27T00:00:00"/>
        <d v="2013-11-28T00:00:00"/>
        <d v="2013-11-29T00:00:00"/>
        <d v="2013-12-02T00:00:00"/>
        <d v="2013-12-03T00:00:00"/>
        <d v="2013-12-04T00:00:00"/>
        <d v="2013-12-05T00:00:00"/>
        <d v="2013-12-06T00:00:00"/>
        <d v="2013-12-09T00:00:00"/>
        <d v="2013-12-10T00:00:00"/>
        <d v="2013-12-11T00:00:00"/>
        <d v="2013-12-12T00:00:00"/>
        <d v="2013-12-13T00:00:00"/>
        <d v="2013-12-16T00:00:00"/>
        <d v="2013-12-17T00:00:00"/>
        <d v="2013-12-18T00:00:00"/>
        <d v="2013-12-19T00:00:00"/>
        <d v="2013-12-20T00:00:00"/>
        <d v="2013-12-23T00:00:00"/>
        <d v="2013-12-24T00:00:00"/>
        <d v="2013-12-25T00:00:00"/>
        <d v="2013-12-26T00:00:00"/>
        <d v="2013-12-27T00:00:00"/>
        <d v="2013-12-30T00:00:00"/>
        <d v="2013-12-31T00:00:00"/>
        <d v="2014-01-01T00:00:00"/>
        <d v="2014-01-02T00:00:00"/>
        <d v="2014-01-03T00:00:00"/>
        <d v="2014-01-06T00:00:00"/>
        <d v="2014-01-07T00:00:00"/>
        <d v="2014-01-08T00:00:00"/>
        <d v="2014-01-09T00:00:00"/>
        <d v="2014-01-10T00:00:00"/>
        <d v="2014-01-13T00:00:00"/>
        <d v="2014-01-14T00:00:00"/>
        <d v="2014-01-15T00:00:00"/>
        <d v="2014-01-16T00:00:00"/>
        <d v="2014-01-17T00:00:00"/>
        <d v="2014-01-20T00:00:00"/>
        <d v="2014-01-21T00:00:00"/>
        <d v="2014-01-22T00:00:00"/>
        <d v="2014-01-23T00:00:00"/>
        <d v="2014-01-24T00:00:00"/>
        <d v="2014-01-27T00:00:00"/>
        <d v="2014-01-28T00:00:00"/>
        <d v="2014-01-29T00:00:00"/>
        <d v="2014-01-30T00:00:00"/>
        <d v="2014-01-31T00:00:00"/>
        <d v="2014-02-03T00:00:00"/>
        <d v="2014-02-04T00:00:00"/>
        <d v="2014-02-05T00:00:00"/>
        <d v="2014-02-06T00:00:00"/>
        <d v="2014-02-07T00:00:00"/>
        <d v="2014-02-10T00:00:00"/>
        <d v="2014-02-11T00:00:00"/>
        <d v="2014-02-12T00:00:00"/>
        <d v="2014-02-13T00:00:00"/>
        <d v="2014-02-14T00:00:00"/>
        <d v="2014-02-17T00:00:00"/>
        <d v="2014-02-18T00:00:00"/>
        <d v="2014-02-19T00:00:00"/>
        <d v="2014-02-20T00:00:00"/>
        <d v="2014-02-21T00:00:00"/>
        <d v="2014-02-24T00:00:00"/>
        <d v="2014-02-25T00:00:00"/>
        <d v="2014-02-26T00:00:00"/>
        <d v="2014-02-27T00:00:00"/>
        <d v="2014-02-28T00:00:00"/>
        <d v="2014-03-03T00:00:00"/>
        <d v="2014-03-04T00:00:00"/>
        <d v="2014-03-05T00:00:00"/>
        <d v="2014-03-06T00:00:00"/>
        <d v="2014-03-07T00:00:00"/>
        <d v="2014-03-10T00:00:00"/>
        <d v="2014-03-11T00:00:00"/>
        <d v="2014-03-12T00:00:00"/>
        <d v="2014-03-13T00:00:00"/>
        <d v="2014-03-14T00:00:00"/>
        <d v="2014-03-17T00:00:00"/>
        <d v="2014-03-18T00:00:00"/>
        <d v="2014-03-19T00:00:00"/>
        <d v="2014-03-20T00:00:00"/>
        <d v="2014-03-21T00:00:00"/>
        <d v="2014-03-24T00:00:00"/>
        <d v="2014-03-25T00:00:00"/>
        <d v="2014-03-26T00:00:00"/>
        <d v="2014-03-27T00:00:00"/>
        <d v="2014-03-28T00:00:00"/>
        <d v="2014-03-31T00:00:00"/>
        <d v="2014-04-01T00:00:00"/>
        <d v="2014-04-02T00:00:00"/>
        <d v="2014-04-03T00:00:00"/>
        <d v="2014-04-04T00:00:00"/>
        <d v="2014-04-07T00:00:00"/>
        <d v="2014-04-08T00:00:00"/>
        <d v="2014-04-09T00:00:00"/>
        <d v="2014-04-10T00:00:00"/>
        <d v="2014-04-11T00:00:00"/>
        <d v="2014-04-14T00:00:00"/>
        <d v="2014-04-15T00:00:00"/>
        <d v="2014-04-16T00:00:00"/>
        <d v="2014-04-17T00:00:00"/>
        <d v="2014-04-18T00:00:00"/>
        <d v="2014-04-21T00:00:00"/>
        <d v="2014-04-22T00:00:00"/>
        <d v="2014-04-23T00:00:00"/>
        <d v="2014-04-24T00:00:00"/>
        <d v="2014-04-25T00:00:00"/>
        <d v="2014-04-28T00:00:00"/>
        <d v="2014-04-29T00:00:00"/>
        <d v="2014-04-30T00:00:00"/>
        <d v="2014-05-01T00:00:00"/>
        <d v="2014-05-02T00:00:00"/>
        <d v="2014-05-05T00:00:00"/>
        <d v="2014-05-06T00:00:00"/>
        <d v="2014-05-07T00:00:00"/>
        <d v="2014-05-08T00:00:00"/>
        <d v="2014-05-09T00:00:00"/>
        <d v="2014-05-12T00:00:00"/>
        <d v="2014-05-13T00:00:00"/>
        <d v="2014-05-14T00:00:00"/>
        <d v="2014-05-15T00:00:00"/>
        <d v="2014-05-16T00:00:00"/>
        <d v="2014-05-19T00:00:00"/>
        <d v="2014-05-20T00:00:00"/>
        <d v="2014-05-21T00:00:00"/>
        <d v="2014-05-22T00:00:00"/>
        <d v="2014-05-23T00:00:00"/>
        <d v="2014-05-26T00:00:00"/>
        <d v="2014-05-27T00:00:00"/>
        <d v="2014-05-28T00:00:00"/>
        <d v="2014-05-29T00:00:00"/>
        <d v="2014-05-30T00:00:00"/>
        <d v="2014-06-02T00:00:00"/>
        <d v="2014-06-03T00:00:00"/>
        <d v="2014-06-04T00:00:00"/>
        <d v="2014-06-05T00:00:00"/>
        <d v="2014-06-06T00:00:00"/>
        <d v="2014-06-09T00:00:00"/>
        <d v="2014-06-10T00:00:00"/>
        <d v="2014-06-11T00:00:00"/>
        <d v="2014-06-12T00:00:00"/>
        <d v="2014-06-13T00:00:00"/>
        <d v="2014-06-16T00:00:00"/>
        <d v="2014-06-17T00:00:00"/>
        <d v="2014-06-18T00:00:00"/>
        <d v="2014-06-19T00:00:00"/>
        <d v="2014-06-20T00:00:00"/>
        <d v="2014-06-23T00:00:00"/>
        <d v="2014-06-24T00:00:00"/>
        <d v="2014-06-25T00:00:00"/>
        <d v="2014-06-26T00:00:00"/>
        <d v="2014-06-27T00:00:00"/>
        <d v="2014-06-30T00:00:00"/>
        <d v="2014-07-01T00:00:00"/>
        <d v="2014-07-02T00:00:00"/>
        <d v="2014-07-03T00:00:00"/>
        <d v="2014-07-04T00:00:00"/>
        <d v="2014-07-07T00:00:00"/>
        <d v="2014-07-08T00:00:00"/>
        <d v="2014-07-09T00:00:00"/>
        <d v="2014-07-10T00:00:00"/>
        <d v="2014-07-11T00:00:00"/>
        <d v="2014-07-14T00:00:00"/>
        <d v="2014-07-15T00:00:00"/>
        <d v="2014-07-16T00:00:00"/>
        <d v="2014-07-17T00:00:00"/>
        <d v="2014-07-18T00:00:00"/>
        <d v="2014-07-21T00:00:00"/>
        <d v="2014-07-22T00:00:00"/>
        <d v="2014-07-23T00:00:00"/>
        <d v="2014-07-24T00:00:00"/>
        <d v="2014-07-25T00:00:00"/>
        <d v="2014-07-28T00:00:00"/>
        <d v="2014-07-29T00:00:00"/>
        <d v="2014-07-30T00:00:00"/>
        <d v="2014-07-31T00:00:00"/>
        <d v="2014-08-01T00:00:00"/>
        <d v="2014-08-04T00:00:00"/>
        <d v="2014-08-05T00:00:00"/>
        <d v="2014-08-06T00:00:00"/>
        <d v="2014-08-07T00:00:00"/>
        <d v="2014-08-08T00:00:00"/>
        <d v="2014-08-11T00:00:00"/>
        <d v="2014-08-12T00:00:00"/>
        <d v="2014-08-13T00:00:00"/>
        <d v="2014-08-14T00:00:00"/>
        <d v="2014-08-15T00:00:00"/>
        <d v="2014-08-18T00:00:00"/>
        <d v="2014-08-19T00:00:00"/>
        <d v="2014-08-20T00:00:00"/>
        <d v="2014-08-21T00:00:00"/>
        <d v="2014-08-22T00:00:00"/>
        <d v="2014-08-25T00:00:00"/>
        <d v="2014-08-26T00:00:00"/>
        <d v="2014-08-27T00:00:00"/>
        <d v="2014-08-28T00:00:00"/>
        <d v="2014-08-29T00:00:00"/>
        <d v="2014-09-01T00:00:00"/>
        <d v="2014-09-02T00:00:00"/>
        <d v="2014-09-03T00:00:00"/>
        <d v="2014-09-04T00:00:00"/>
        <d v="2014-09-05T00:00:00"/>
        <d v="2014-09-08T00:00:00"/>
        <d v="2014-09-09T00:00:00"/>
        <d v="2014-09-10T00:00:00"/>
        <d v="2014-09-11T00:00:00"/>
        <d v="2014-09-12T00:00:00"/>
        <d v="2014-09-15T00:00:00"/>
        <d v="2014-09-16T00:00:00"/>
        <d v="2014-09-17T00:00:00"/>
        <d v="2014-09-18T00:00:00"/>
        <d v="2014-09-19T00:00:00"/>
        <d v="2014-09-22T00:00:00"/>
        <d v="2014-09-23T00:00:00"/>
        <d v="2014-09-24T00:00:00"/>
        <d v="2014-09-25T00:00:00"/>
        <d v="2014-09-26T00:00:00"/>
        <d v="2014-09-29T00:00:00"/>
        <d v="2014-09-30T00:00:00"/>
        <d v="2014-10-01T00:00:00"/>
        <d v="2014-10-02T00:00:00"/>
        <d v="2014-10-03T00:00:00"/>
        <d v="2014-10-06T00:00:00"/>
        <d v="2014-10-07T00:00:00"/>
        <d v="2014-10-08T00:00:00"/>
        <d v="2014-10-09T00:00:00"/>
        <d v="2014-10-10T00:00:00"/>
        <d v="2014-10-13T00:00:00"/>
        <d v="2014-10-14T00:00:00"/>
        <d v="2014-10-15T00:00:00"/>
        <d v="2014-10-16T00:00:00"/>
        <d v="2014-10-17T00:00:00"/>
        <d v="2014-10-20T00:00:00"/>
        <d v="2014-10-21T00:00:00"/>
        <d v="2014-10-22T00:00:00"/>
        <d v="2014-10-23T00:00:00"/>
        <d v="2014-10-24T00:00:00"/>
        <d v="2014-10-27T00:00:00"/>
        <d v="2014-10-28T00:00:00"/>
        <d v="2014-10-29T00:00:00"/>
        <d v="2014-10-30T00:00:00"/>
        <d v="2014-10-31T00:00:00"/>
        <d v="2014-11-03T00:00:00"/>
        <d v="2014-11-04T00:00:00"/>
        <d v="2014-11-05T00:00:00"/>
        <d v="2014-11-06T00:00:00"/>
        <d v="2014-11-07T00:00:00"/>
        <d v="2014-11-10T00:00:00"/>
        <d v="2014-11-11T00:00:00"/>
        <d v="2014-11-12T00:00:00"/>
        <d v="2014-11-13T00:00:00"/>
        <d v="2014-11-14T00:00:00"/>
        <d v="2014-11-17T00:00:00"/>
        <d v="2014-11-18T00:00:00"/>
        <d v="2014-11-19T00:00:00"/>
        <d v="2014-11-20T00:00:00"/>
        <d v="2014-11-21T00:00:00"/>
        <d v="2014-11-24T00:00:00"/>
        <d v="2014-11-25T00:00:00"/>
        <d v="2014-11-26T00:00:00"/>
        <d v="2014-11-27T00:00:00"/>
        <d v="2014-11-28T00:00:00"/>
        <d v="2014-12-01T00:00:00"/>
        <d v="2014-12-02T00:00:00"/>
        <d v="2014-12-03T00:00:00"/>
        <d v="2014-12-04T00:00:00"/>
        <d v="2014-12-05T00:00:00"/>
        <d v="2014-12-08T00:00:00"/>
        <d v="2014-12-09T00:00:00"/>
        <d v="2014-12-10T00:00:00"/>
        <d v="2014-12-11T00:00:00"/>
        <d v="2014-12-12T00:00:00"/>
        <d v="2014-12-15T00:00:00"/>
        <d v="2014-12-16T00:00:00"/>
        <d v="2014-12-17T00:00:00"/>
        <d v="2014-12-18T00:00:00"/>
        <d v="2014-12-19T00:00:00"/>
        <d v="2014-12-22T00:00:00"/>
        <d v="2014-12-23T00:00:00"/>
        <d v="2014-12-24T00:00:00"/>
        <d v="2014-12-25T00:00:00"/>
        <d v="2014-12-26T00:00:00"/>
        <d v="2014-12-29T00:00:00"/>
        <d v="2014-12-30T00:00:00"/>
        <d v="2014-12-31T00:00:00"/>
        <d v="2015-01-01T00:00:00"/>
        <d v="2015-01-02T00:00:00"/>
        <d v="2015-01-05T00:00:00"/>
        <d v="2015-01-06T00:00:00"/>
        <d v="2015-01-07T00:00:00"/>
        <d v="2015-01-08T00:00:00"/>
        <d v="2015-01-09T00:00:00"/>
        <d v="2015-01-12T00:00:00"/>
        <d v="2015-01-13T00:00:00"/>
        <d v="2015-01-14T00:00:00"/>
        <d v="2015-01-15T00:00:00"/>
        <d v="2015-01-16T00:00:00"/>
        <d v="2015-01-19T00:00:00"/>
        <d v="2015-01-20T00:00:00"/>
        <d v="2015-01-21T00:00:00"/>
        <d v="2015-01-22T00:00:00"/>
        <d v="2015-01-23T00:00:00"/>
        <d v="2015-01-26T00:00:00"/>
        <d v="2015-01-27T00:00:00"/>
        <d v="2015-01-28T00:00:00"/>
        <d v="2015-01-29T00:00:00"/>
        <d v="2015-01-30T00:00:00"/>
        <d v="2015-02-02T00:00:00"/>
        <d v="2015-02-03T00:00:00"/>
        <d v="2015-02-04T00:00:00"/>
        <d v="2015-02-05T00:00:00"/>
        <d v="2015-02-06T00:00:00"/>
        <d v="2015-02-09T00:00:00"/>
        <d v="2015-02-10T00:00:00"/>
        <d v="2015-02-11T00:00:00"/>
        <d v="2015-02-12T00:00:00"/>
        <d v="2015-02-13T00:00:00"/>
        <d v="2015-02-16T00:00:00"/>
        <d v="2015-02-17T00:00:00"/>
        <d v="2015-02-18T00:00:00"/>
        <d v="2015-02-19T00:00:00"/>
        <d v="2015-02-20T00:00:00"/>
        <d v="2015-02-23T00:00:00"/>
        <d v="2015-02-24T00:00:00"/>
        <d v="2015-02-25T00:00:00"/>
        <d v="2015-02-26T00:00:00"/>
        <d v="2015-02-27T00:00:00"/>
        <d v="2015-03-02T00:00:00"/>
        <d v="2015-03-03T00:00:00"/>
        <d v="2015-03-04T00:00:00"/>
        <d v="2015-03-05T00:00:00"/>
        <d v="2015-03-06T00:00:00"/>
        <d v="2015-03-09T00:00:00"/>
        <d v="2015-03-10T00:00:00"/>
        <d v="2015-03-11T00:00:00"/>
        <d v="2015-03-12T00:00:00"/>
        <d v="2015-03-13T00:00:00"/>
        <d v="2015-03-16T00:00:00"/>
        <d v="2015-03-17T00:00:00"/>
        <d v="2015-03-18T00:00:00"/>
        <d v="2015-03-19T00:00:00"/>
        <d v="2015-03-20T00:00:00"/>
        <d v="2015-03-23T00:00:00"/>
        <d v="2015-03-24T00:00:00"/>
        <d v="2015-03-25T00:00:00"/>
        <d v="2015-03-26T00:00:00"/>
        <d v="2015-03-27T00:00:00"/>
        <d v="2015-03-30T00:00:00"/>
        <d v="2015-03-31T00:00:00"/>
        <d v="2015-04-01T00:00:00"/>
        <d v="2015-04-02T00:00:00"/>
        <d v="2015-04-03T00:00:00"/>
        <d v="2015-04-06T00:00:00"/>
        <d v="2015-04-07T00:00:00"/>
        <d v="2015-04-08T00:00:00"/>
        <d v="2015-04-09T00:00:00"/>
        <d v="2015-04-10T00:00:00"/>
        <d v="2015-04-13T00:00:00"/>
        <d v="2015-04-14T00:00:00"/>
        <d v="2015-04-15T00:00:00"/>
        <d v="2015-04-16T00:00:00"/>
        <d v="2015-04-17T00:00:00"/>
        <d v="2015-04-20T00:00:00"/>
        <d v="2015-04-21T00:00:00"/>
        <d v="2015-04-22T00:00:00"/>
        <d v="2015-04-23T00:00:00"/>
        <d v="2015-04-24T00:00:00"/>
        <d v="2015-04-27T00:00:00"/>
        <d v="2015-04-28T00:00:00"/>
        <d v="2015-04-29T00:00:00"/>
        <d v="2015-04-30T00:00:00"/>
        <d v="2015-05-01T00:00:00"/>
        <d v="2015-05-04T00:00:00"/>
        <d v="2015-05-05T00:00:00"/>
        <d v="2015-05-06T00:00:00"/>
      </sharedItems>
    </cacheField>
    <cacheField name="productID" numFmtId="0">
      <sharedItems containsSemiMixedTypes="0" containsString="0" containsNumber="1" containsInteger="1" minValue="1" maxValue="77"/>
    </cacheField>
    <cacheField name="ProductName " numFmtId="0">
      <sharedItems count="76">
        <s v="Queso Cabrales"/>
        <s v="Tofu"/>
        <s v="Jack's New England Clam Chowder"/>
        <s v="Gustaf's Knackebröd"/>
        <s v="Sir Rodney's Marmalade"/>
        <s v="Gorgonzola Telino"/>
        <s v="Guarana Fantastica"/>
        <s v="Chang"/>
        <s v="Perth Pasties"/>
        <s v="Schoggi Schokolade"/>
        <s v="Sir Rodney's Scones"/>
        <s v="Chef Anton's Gumbo Mix"/>
        <s v="Pavlova"/>
        <s v="Alice Mutton"/>
        <s v="Queso Manchego La Pastora"/>
        <s v="Boston Crab Meat"/>
        <s v="Thüringer Rostbratwurst"/>
        <s v="Geitost"/>
        <s v="Inlagd Sill"/>
        <s v="Ikura"/>
        <s v="Flotemysost"/>
        <s v="Rössle Sauerkraut"/>
        <s v="Gula Malacca"/>
        <s v="Teatime Chocolate Biscuits"/>
        <s v="Nord-Ost Matjeshering"/>
        <s v="Genen Shouyu"/>
        <s v="Chai"/>
        <s v="Steeleye Stout"/>
        <s v="Tourtière"/>
        <s v="Aniseed Syrup"/>
        <s v="Konbu"/>
        <s v="Carnarvon Tigers"/>
        <s v="Gnocchi di nonna Alice"/>
        <s v="Chartreuse verte"/>
        <s v="Louisiana Hot Spiced Okra"/>
        <s v="Maxilaku"/>
        <s v="Tarte au sucre"/>
        <s v="Gudbrandsdalsost"/>
        <s v="Chef Anton's Cajun Seasoning"/>
        <s v="Singaporean Hokkien Fried Mee"/>
        <s v="Mascarpone Fabioli"/>
        <s v="Sasquatch Ale"/>
        <s v="Filo Mix"/>
        <s v="Grandma's Boysenberry Spread"/>
        <s v="Raclette Courdavault"/>
        <s v="Gumbär Gummibärchen"/>
        <s v="Tunnbröd"/>
        <s v="Wimmers gute Semmelknödel"/>
        <s v="Northwoods Cranberry Sauce"/>
        <s v="NuNuCa Nuß-Nougat-Creme"/>
        <s v="Valkoinen suklaa"/>
        <s v="Côte de Blaye"/>
        <s v="Louisiana Fiery Hot Pepper Sauce"/>
        <s v="Escargots de Bourgogne"/>
        <s v="Longlife Tofu"/>
        <s v="Uncle Bob's Organic Dried Pears"/>
        <s v="Rogede sild"/>
        <s v="Spegesild"/>
        <s v="Scottish Longbreads"/>
        <s v="Gravad lax"/>
        <s v="Camembert Pierrot"/>
        <s v="Mishi Kobe Niku"/>
        <s v="Pâté chinois"/>
        <s v="Chocolade"/>
        <s v="Zaanse koeken"/>
        <s v="Ipoh Coffee"/>
        <s v="Outback Lager"/>
        <s v="Mozzarella di Giovanni"/>
        <s v="Rhönbräu Klosterbier"/>
        <s v="Ravioli Angelo"/>
        <s v="Original Frankfurter Grüne Soße"/>
        <s v="Manjimup Dried Apples"/>
        <s v="Vegie-spread"/>
        <s v="Lakkaliköri"/>
        <s v="Sirop d'érable"/>
        <s v="Röd Kaviar"/>
      </sharedItems>
    </cacheField>
    <cacheField name="Category " numFmtId="0">
      <sharedItems count="8">
        <s v="Dairy Products"/>
        <s v="Produce"/>
        <s v="Seafood"/>
        <s v="Grains &amp; Cereals"/>
        <s v="Confections"/>
        <s v="Beverages"/>
        <s v="Meat &amp; Poultry"/>
        <s v="Condiments"/>
      </sharedItems>
    </cacheField>
    <cacheField name="quantity" numFmtId="0">
      <sharedItems containsSemiMixedTypes="0" containsString="0" containsNumber="1" containsInteger="1" minValue="1" maxValue="130"/>
    </cacheField>
    <cacheField name="unitPrice" numFmtId="0">
      <sharedItems containsSemiMixedTypes="0" containsString="0" containsNumber="1" containsInteger="1" minValue="2" maxValue="12379"/>
    </cacheField>
    <cacheField name="discount" numFmtId="0">
      <sharedItems containsSemiMixedTypes="0" containsString="0" containsNumber="1" containsInteger="1" minValue="0" maxValue="25"/>
    </cacheField>
    <cacheField name="TotalSales " numFmtId="0">
      <sharedItems containsSemiMixedTypes="0" containsString="0" containsNumber="1" minValue="14" maxValue="990320"/>
    </cacheField>
    <cacheField name="Company Name" numFmtId="0">
      <sharedItems count="89">
        <s v="Vins et alcools Chevalier"/>
        <s v="Toms Spezialitäten"/>
        <s v="Hanari Carnes"/>
        <s v="Victuailles en stock"/>
        <s v="Suprêmes délices"/>
        <s v="Chop-suey Chinese"/>
        <s v="Richter Supermarkt"/>
        <s v="Wellington Importadora"/>
        <s v="HILARION-Abastos"/>
        <s v="Ernst Handel"/>
        <s v="Centro comercial Moctezuma"/>
        <s v="Ottilies Käseladen"/>
        <s v="Que Delícia"/>
        <s v="Rattlesnake Canyon Grocery"/>
        <s v="Folk och fä HB"/>
        <s v="Blondesddsl père et fils"/>
        <s v="Wartian Herkku"/>
        <s v="Frankenversand"/>
        <s v="GROSELLA-Restaurante"/>
        <s v="White Clover Markets"/>
        <s v="Split Rail Beer &amp; Ale"/>
        <s v="QUICK-Stop"/>
        <s v="Magazzini Alimentari Riuniti"/>
        <s v="Tortuga Restaurante"/>
        <s v="Morgenstern Gesundkost"/>
        <s v="Berglunds snabbköp"/>
        <s v="Lehmanns Marktstand"/>
        <s v="Romero y tomillo"/>
        <s v="LILA-Supermercado"/>
        <s v="Ricardo Adocicados"/>
        <s v="Reggiani Caseifici"/>
        <s v="B's Beverages"/>
        <s v="Comércio Mineiro"/>
        <s v="Tradição Hipermercados"/>
        <s v="Hungry Owl All-Night Grocers"/>
        <s v="Die Wandernde Kuh"/>
        <s v="Godos Cocina Típica"/>
        <s v="Old World Delicatessen"/>
        <s v="Lonesome Pine Restaurant"/>
        <s v="Ana Trujillo Emparedados y helados"/>
        <s v="The Big Cheese"/>
        <s v="Du monde entier"/>
        <s v="Island Trading"/>
        <s v="Pericles Comidas clásicas"/>
        <s v="Königlich Essen"/>
        <s v="Save-a-lot Markets"/>
        <s v="Bólido Comidas preparadas"/>
        <s v="Furia Bacalhau e Frutos do Mar"/>
        <s v="Bon app'"/>
        <s v="Mère Paillarde"/>
        <s v="Princesa Isabel Vinhos"/>
        <s v="Simons bistro"/>
        <s v="Familia Arquibaldo"/>
        <s v="La maison d'Asie"/>
        <s v="Piccolo und mehr"/>
        <s v="Around the Horn"/>
        <s v="Seven Seas Imports"/>
        <s v="Drachenblut Delikatessen"/>
        <s v="Eastern Connection"/>
        <s v="Antonio Moreno Taquería"/>
        <s v="Galería del gastrónomo"/>
        <s v="Vaffeljernet"/>
        <s v="Queen Cozinha"/>
        <s v="Wolski  Zajazd"/>
        <s v="Hungry Coyote Import Store"/>
        <s v="Santé Gourmet"/>
        <s v="Bottom-Dollar Markets"/>
        <s v="LINO-Delicateses"/>
        <s v="Folies gourmandes"/>
        <s v="Océano Atlántico Ltda."/>
        <s v="Franchi S.p.A."/>
        <s v="Gourmet Lanchonetes"/>
        <s v="Consolidated Holdings"/>
        <s v="Rancho grande"/>
        <s v="Lazy K Kountry Store"/>
        <s v="Laughing Bacchus Wine Cellars"/>
        <s v="Blauer See Delikatessen"/>
        <s v="North/South"/>
        <s v="Cactus Comidas para llevar"/>
        <s v="Great Lakes Food Market"/>
        <s v="Maison Dewey"/>
        <s v="Trail's Head Gourmet Provisioners"/>
        <s v="Let's Stop N Shop"/>
        <s v="Wilman Kala"/>
        <s v="The Cracker Box"/>
        <s v="Alfreds Futterkiste"/>
        <s v="France restauration"/>
        <s v="Spécialités du monde"/>
        <s v="La corne d'abondance"/>
      </sharedItems>
    </cacheField>
    <cacheField name="CostumerCountry" numFmtId="0">
      <sharedItems count="21">
        <s v="France"/>
        <s v="Germany"/>
        <s v="Brazil"/>
        <s v="Belgium"/>
        <s v="Switzerland"/>
        <s v="Venezuela"/>
        <s v="Austria"/>
        <s v="Mexico"/>
        <s v="USA"/>
        <s v="Sweden"/>
        <s v="Finland"/>
        <s v="Italy"/>
        <s v="Spain"/>
        <s v="UK"/>
        <s v="Ireland"/>
        <s v="Portugal"/>
        <s v="Canada"/>
        <s v="Denmark"/>
        <s v="Poland"/>
        <s v="Norway"/>
        <s v="Argentina"/>
      </sharedItems>
    </cacheField>
    <cacheField name="Month" numFmtId="0">
      <sharedItems containsSemiMixedTypes="0" containsString="0" containsNumber="1" containsInteger="1" minValue="1" maxValue="12"/>
    </cacheField>
    <cacheField name="Month Name" numFmtId="0">
      <sharedItems count="12">
        <s v="Jul"/>
        <s v="Aug"/>
        <s v="Sep"/>
        <s v="Oct"/>
        <s v="Nov"/>
        <s v="Dec"/>
        <s v="Jan"/>
        <s v="Feb"/>
        <s v="Mar"/>
        <s v="Apr"/>
        <s v="May"/>
        <s v="Jun"/>
      </sharedItems>
    </cacheField>
    <cacheField name="Year" numFmtId="0">
      <sharedItems containsSemiMixedTypes="0" containsString="0" containsNumber="1" containsInteger="1" minValue="2013" maxValue="2015" count="3">
        <n v="2013"/>
        <n v="2014"/>
        <n v="2015"/>
      </sharedItems>
    </cacheField>
  </cacheFields>
  <extLst>
    <ext xmlns:x14="http://schemas.microsoft.com/office/spreadsheetml/2009/9/main" uri="{725AE2AE-9491-48be-B2B4-4EB974FC3084}">
      <x14:pivotCacheDefinition pivotCacheId="9066463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5">
  <r>
    <n v="10248"/>
    <x v="0"/>
    <n v="11"/>
    <x v="0"/>
    <x v="0"/>
    <n v="12"/>
    <n v="14"/>
    <n v="0"/>
    <n v="168"/>
    <x v="0"/>
    <x v="0"/>
    <n v="7"/>
    <x v="0"/>
    <x v="0"/>
  </r>
  <r>
    <n v="10248"/>
    <x v="0"/>
    <n v="11"/>
    <x v="0"/>
    <x v="0"/>
    <n v="10"/>
    <n v="98"/>
    <n v="0"/>
    <n v="980"/>
    <x v="0"/>
    <x v="0"/>
    <n v="7"/>
    <x v="0"/>
    <x v="0"/>
  </r>
  <r>
    <n v="10248"/>
    <x v="0"/>
    <n v="11"/>
    <x v="0"/>
    <x v="0"/>
    <n v="5"/>
    <n v="348"/>
    <n v="0"/>
    <n v="1740"/>
    <x v="0"/>
    <x v="0"/>
    <n v="7"/>
    <x v="0"/>
    <x v="0"/>
  </r>
  <r>
    <n v="10249"/>
    <x v="1"/>
    <n v="14"/>
    <x v="1"/>
    <x v="1"/>
    <n v="9"/>
    <n v="186"/>
    <n v="0"/>
    <n v="1674"/>
    <x v="1"/>
    <x v="1"/>
    <n v="7"/>
    <x v="0"/>
    <x v="0"/>
  </r>
  <r>
    <n v="10249"/>
    <x v="1"/>
    <n v="14"/>
    <x v="1"/>
    <x v="1"/>
    <n v="40"/>
    <n v="424"/>
    <n v="0"/>
    <n v="16960"/>
    <x v="1"/>
    <x v="1"/>
    <n v="7"/>
    <x v="0"/>
    <x v="0"/>
  </r>
  <r>
    <n v="10250"/>
    <x v="2"/>
    <n v="41"/>
    <x v="2"/>
    <x v="2"/>
    <n v="10"/>
    <n v="77"/>
    <n v="0"/>
    <n v="770"/>
    <x v="2"/>
    <x v="2"/>
    <n v="7"/>
    <x v="0"/>
    <x v="0"/>
  </r>
  <r>
    <n v="10250"/>
    <x v="2"/>
    <n v="41"/>
    <x v="2"/>
    <x v="2"/>
    <n v="35"/>
    <n v="424"/>
    <n v="15"/>
    <n v="12614"/>
    <x v="2"/>
    <x v="2"/>
    <n v="7"/>
    <x v="0"/>
    <x v="0"/>
  </r>
  <r>
    <n v="10250"/>
    <x v="2"/>
    <n v="41"/>
    <x v="2"/>
    <x v="2"/>
    <n v="15"/>
    <n v="168"/>
    <n v="15"/>
    <n v="2142"/>
    <x v="2"/>
    <x v="2"/>
    <n v="7"/>
    <x v="0"/>
    <x v="0"/>
  </r>
  <r>
    <n v="10251"/>
    <x v="2"/>
    <n v="22"/>
    <x v="3"/>
    <x v="3"/>
    <n v="6"/>
    <n v="168"/>
    <n v="5"/>
    <n v="957.59999999999991"/>
    <x v="3"/>
    <x v="0"/>
    <n v="7"/>
    <x v="0"/>
    <x v="0"/>
  </r>
  <r>
    <n v="10251"/>
    <x v="2"/>
    <n v="22"/>
    <x v="3"/>
    <x v="3"/>
    <n v="15"/>
    <n v="156"/>
    <n v="5"/>
    <n v="2223"/>
    <x v="3"/>
    <x v="0"/>
    <n v="7"/>
    <x v="0"/>
    <x v="0"/>
  </r>
  <r>
    <n v="10251"/>
    <x v="2"/>
    <n v="22"/>
    <x v="3"/>
    <x v="3"/>
    <n v="20"/>
    <n v="168"/>
    <n v="0"/>
    <n v="3360"/>
    <x v="3"/>
    <x v="0"/>
    <n v="7"/>
    <x v="0"/>
    <x v="0"/>
  </r>
  <r>
    <n v="10252"/>
    <x v="3"/>
    <n v="20"/>
    <x v="4"/>
    <x v="4"/>
    <n v="40"/>
    <n v="648"/>
    <n v="5"/>
    <n v="24624"/>
    <x v="4"/>
    <x v="3"/>
    <n v="7"/>
    <x v="0"/>
    <x v="0"/>
  </r>
  <r>
    <n v="10252"/>
    <x v="3"/>
    <n v="20"/>
    <x v="4"/>
    <x v="4"/>
    <n v="25"/>
    <n v="2"/>
    <n v="5"/>
    <n v="47.5"/>
    <x v="4"/>
    <x v="3"/>
    <n v="7"/>
    <x v="0"/>
    <x v="0"/>
  </r>
  <r>
    <n v="10252"/>
    <x v="3"/>
    <n v="20"/>
    <x v="4"/>
    <x v="4"/>
    <n v="40"/>
    <n v="272"/>
    <n v="0"/>
    <n v="10880"/>
    <x v="4"/>
    <x v="3"/>
    <n v="7"/>
    <x v="0"/>
    <x v="0"/>
  </r>
  <r>
    <n v="10253"/>
    <x v="4"/>
    <n v="31"/>
    <x v="5"/>
    <x v="0"/>
    <n v="20"/>
    <n v="10"/>
    <n v="0"/>
    <n v="200"/>
    <x v="2"/>
    <x v="2"/>
    <n v="7"/>
    <x v="0"/>
    <x v="0"/>
  </r>
  <r>
    <n v="10253"/>
    <x v="4"/>
    <n v="31"/>
    <x v="5"/>
    <x v="0"/>
    <n v="42"/>
    <n v="144"/>
    <n v="0"/>
    <n v="6048"/>
    <x v="2"/>
    <x v="2"/>
    <n v="7"/>
    <x v="0"/>
    <x v="0"/>
  </r>
  <r>
    <n v="10253"/>
    <x v="4"/>
    <n v="31"/>
    <x v="5"/>
    <x v="0"/>
    <n v="40"/>
    <n v="16"/>
    <n v="0"/>
    <n v="640"/>
    <x v="2"/>
    <x v="2"/>
    <n v="7"/>
    <x v="0"/>
    <x v="0"/>
  </r>
  <r>
    <n v="10254"/>
    <x v="5"/>
    <n v="24"/>
    <x v="6"/>
    <x v="5"/>
    <n v="15"/>
    <n v="36"/>
    <n v="15"/>
    <n v="459"/>
    <x v="5"/>
    <x v="4"/>
    <n v="7"/>
    <x v="0"/>
    <x v="0"/>
  </r>
  <r>
    <n v="10254"/>
    <x v="5"/>
    <n v="24"/>
    <x v="6"/>
    <x v="5"/>
    <n v="21"/>
    <n v="192"/>
    <n v="15"/>
    <n v="3427.2"/>
    <x v="5"/>
    <x v="4"/>
    <n v="7"/>
    <x v="0"/>
    <x v="0"/>
  </r>
  <r>
    <n v="10254"/>
    <x v="5"/>
    <n v="24"/>
    <x v="6"/>
    <x v="5"/>
    <n v="21"/>
    <n v="8"/>
    <n v="0"/>
    <n v="168"/>
    <x v="5"/>
    <x v="4"/>
    <n v="7"/>
    <x v="0"/>
    <x v="0"/>
  </r>
  <r>
    <n v="10255"/>
    <x v="6"/>
    <n v="2"/>
    <x v="7"/>
    <x v="5"/>
    <n v="20"/>
    <n v="152"/>
    <n v="0"/>
    <n v="3040"/>
    <x v="6"/>
    <x v="4"/>
    <n v="7"/>
    <x v="0"/>
    <x v="0"/>
  </r>
  <r>
    <n v="10255"/>
    <x v="6"/>
    <n v="2"/>
    <x v="7"/>
    <x v="5"/>
    <n v="35"/>
    <n v="139"/>
    <n v="0"/>
    <n v="4865"/>
    <x v="6"/>
    <x v="4"/>
    <n v="7"/>
    <x v="0"/>
    <x v="0"/>
  </r>
  <r>
    <n v="10255"/>
    <x v="6"/>
    <n v="2"/>
    <x v="7"/>
    <x v="5"/>
    <n v="25"/>
    <n v="152"/>
    <n v="0"/>
    <n v="3800"/>
    <x v="6"/>
    <x v="4"/>
    <n v="7"/>
    <x v="0"/>
    <x v="0"/>
  </r>
  <r>
    <n v="10255"/>
    <x v="6"/>
    <n v="2"/>
    <x v="7"/>
    <x v="5"/>
    <n v="30"/>
    <n v="44"/>
    <n v="0"/>
    <n v="1320"/>
    <x v="6"/>
    <x v="4"/>
    <n v="7"/>
    <x v="0"/>
    <x v="0"/>
  </r>
  <r>
    <n v="10256"/>
    <x v="7"/>
    <n v="53"/>
    <x v="8"/>
    <x v="6"/>
    <n v="15"/>
    <n v="262"/>
    <n v="0"/>
    <n v="3930"/>
    <x v="7"/>
    <x v="2"/>
    <n v="7"/>
    <x v="0"/>
    <x v="0"/>
  </r>
  <r>
    <n v="10256"/>
    <x v="7"/>
    <n v="53"/>
    <x v="8"/>
    <x v="6"/>
    <n v="12"/>
    <n v="104"/>
    <n v="0"/>
    <n v="1248"/>
    <x v="7"/>
    <x v="2"/>
    <n v="7"/>
    <x v="0"/>
    <x v="0"/>
  </r>
  <r>
    <n v="10257"/>
    <x v="8"/>
    <n v="27"/>
    <x v="9"/>
    <x v="4"/>
    <n v="25"/>
    <n v="351"/>
    <n v="0"/>
    <n v="8775"/>
    <x v="8"/>
    <x v="5"/>
    <n v="7"/>
    <x v="0"/>
    <x v="0"/>
  </r>
  <r>
    <n v="10257"/>
    <x v="8"/>
    <n v="27"/>
    <x v="9"/>
    <x v="4"/>
    <n v="6"/>
    <n v="144"/>
    <n v="0"/>
    <n v="864"/>
    <x v="8"/>
    <x v="5"/>
    <n v="7"/>
    <x v="0"/>
    <x v="0"/>
  </r>
  <r>
    <n v="10257"/>
    <x v="8"/>
    <n v="27"/>
    <x v="9"/>
    <x v="4"/>
    <n v="15"/>
    <n v="104"/>
    <n v="0"/>
    <n v="1560"/>
    <x v="8"/>
    <x v="5"/>
    <n v="7"/>
    <x v="0"/>
    <x v="0"/>
  </r>
  <r>
    <n v="10258"/>
    <x v="9"/>
    <n v="2"/>
    <x v="7"/>
    <x v="5"/>
    <n v="50"/>
    <n v="152"/>
    <n v="2"/>
    <n v="7448"/>
    <x v="9"/>
    <x v="6"/>
    <n v="7"/>
    <x v="0"/>
    <x v="0"/>
  </r>
  <r>
    <n v="10258"/>
    <x v="9"/>
    <n v="2"/>
    <x v="7"/>
    <x v="5"/>
    <n v="65"/>
    <n v="17"/>
    <n v="2"/>
    <n v="1082.9000000000001"/>
    <x v="9"/>
    <x v="6"/>
    <n v="7"/>
    <x v="0"/>
    <x v="0"/>
  </r>
  <r>
    <n v="10258"/>
    <x v="9"/>
    <n v="2"/>
    <x v="7"/>
    <x v="5"/>
    <n v="6"/>
    <n v="256"/>
    <n v="2"/>
    <n v="1505.28"/>
    <x v="9"/>
    <x v="6"/>
    <n v="7"/>
    <x v="0"/>
    <x v="0"/>
  </r>
  <r>
    <n v="10259"/>
    <x v="10"/>
    <n v="21"/>
    <x v="10"/>
    <x v="4"/>
    <n v="10"/>
    <n v="8"/>
    <n v="0"/>
    <n v="80"/>
    <x v="10"/>
    <x v="7"/>
    <n v="7"/>
    <x v="0"/>
    <x v="0"/>
  </r>
  <r>
    <n v="10259"/>
    <x v="10"/>
    <n v="21"/>
    <x v="10"/>
    <x v="4"/>
    <n v="1"/>
    <n v="208"/>
    <n v="0"/>
    <n v="208"/>
    <x v="10"/>
    <x v="7"/>
    <n v="7"/>
    <x v="0"/>
    <x v="0"/>
  </r>
  <r>
    <n v="10260"/>
    <x v="11"/>
    <n v="41"/>
    <x v="2"/>
    <x v="2"/>
    <n v="16"/>
    <n v="77"/>
    <n v="25"/>
    <n v="924"/>
    <x v="11"/>
    <x v="1"/>
    <n v="7"/>
    <x v="0"/>
    <x v="0"/>
  </r>
  <r>
    <n v="10260"/>
    <x v="11"/>
    <n v="41"/>
    <x v="2"/>
    <x v="2"/>
    <n v="50"/>
    <n v="156"/>
    <n v="0"/>
    <n v="7800"/>
    <x v="11"/>
    <x v="1"/>
    <n v="7"/>
    <x v="0"/>
    <x v="0"/>
  </r>
  <r>
    <n v="10260"/>
    <x v="11"/>
    <n v="41"/>
    <x v="2"/>
    <x v="2"/>
    <n v="15"/>
    <n v="394"/>
    <n v="25"/>
    <n v="4432.5"/>
    <x v="11"/>
    <x v="1"/>
    <n v="7"/>
    <x v="0"/>
    <x v="0"/>
  </r>
  <r>
    <n v="10260"/>
    <x v="11"/>
    <n v="41"/>
    <x v="2"/>
    <x v="2"/>
    <n v="21"/>
    <n v="12"/>
    <n v="25"/>
    <n v="189"/>
    <x v="11"/>
    <x v="1"/>
    <n v="7"/>
    <x v="0"/>
    <x v="0"/>
  </r>
  <r>
    <n v="10261"/>
    <x v="11"/>
    <n v="21"/>
    <x v="10"/>
    <x v="4"/>
    <n v="20"/>
    <n v="8"/>
    <n v="0"/>
    <n v="160"/>
    <x v="12"/>
    <x v="2"/>
    <n v="7"/>
    <x v="0"/>
    <x v="0"/>
  </r>
  <r>
    <n v="10261"/>
    <x v="11"/>
    <n v="21"/>
    <x v="10"/>
    <x v="4"/>
    <n v="20"/>
    <n v="144"/>
    <n v="0"/>
    <n v="2880"/>
    <x v="12"/>
    <x v="2"/>
    <n v="7"/>
    <x v="0"/>
    <x v="0"/>
  </r>
  <r>
    <n v="10262"/>
    <x v="12"/>
    <n v="5"/>
    <x v="11"/>
    <x v="7"/>
    <n v="12"/>
    <n v="17"/>
    <n v="2"/>
    <n v="199.92"/>
    <x v="13"/>
    <x v="8"/>
    <n v="7"/>
    <x v="0"/>
    <x v="0"/>
  </r>
  <r>
    <n v="10262"/>
    <x v="12"/>
    <n v="5"/>
    <x v="11"/>
    <x v="7"/>
    <n v="15"/>
    <n v="24"/>
    <n v="0"/>
    <n v="360"/>
    <x v="13"/>
    <x v="8"/>
    <n v="7"/>
    <x v="0"/>
    <x v="0"/>
  </r>
  <r>
    <n v="10262"/>
    <x v="12"/>
    <n v="5"/>
    <x v="11"/>
    <x v="7"/>
    <n v="2"/>
    <n v="304"/>
    <n v="0"/>
    <n v="608"/>
    <x v="13"/>
    <x v="8"/>
    <n v="7"/>
    <x v="0"/>
    <x v="0"/>
  </r>
  <r>
    <n v="10263"/>
    <x v="13"/>
    <n v="16"/>
    <x v="12"/>
    <x v="4"/>
    <n v="60"/>
    <n v="139"/>
    <n v="25"/>
    <n v="6255"/>
    <x v="9"/>
    <x v="6"/>
    <n v="7"/>
    <x v="0"/>
    <x v="0"/>
  </r>
  <r>
    <n v="10263"/>
    <x v="13"/>
    <n v="16"/>
    <x v="12"/>
    <x v="4"/>
    <n v="28"/>
    <n v="36"/>
    <n v="0"/>
    <n v="1008"/>
    <x v="9"/>
    <x v="6"/>
    <n v="7"/>
    <x v="0"/>
    <x v="0"/>
  </r>
  <r>
    <n v="10263"/>
    <x v="13"/>
    <n v="16"/>
    <x v="12"/>
    <x v="4"/>
    <n v="60"/>
    <n v="207"/>
    <n v="25"/>
    <n v="9315"/>
    <x v="9"/>
    <x v="6"/>
    <n v="7"/>
    <x v="0"/>
    <x v="0"/>
  </r>
  <r>
    <n v="10263"/>
    <x v="13"/>
    <n v="16"/>
    <x v="12"/>
    <x v="4"/>
    <n v="36"/>
    <n v="8"/>
    <n v="25"/>
    <n v="216"/>
    <x v="9"/>
    <x v="6"/>
    <n v="7"/>
    <x v="0"/>
    <x v="0"/>
  </r>
  <r>
    <n v="10264"/>
    <x v="14"/>
    <n v="2"/>
    <x v="7"/>
    <x v="5"/>
    <n v="35"/>
    <n v="152"/>
    <n v="0"/>
    <n v="5320"/>
    <x v="14"/>
    <x v="9"/>
    <n v="7"/>
    <x v="0"/>
    <x v="0"/>
  </r>
  <r>
    <n v="10264"/>
    <x v="14"/>
    <n v="2"/>
    <x v="7"/>
    <x v="5"/>
    <n v="25"/>
    <n v="77"/>
    <n v="15"/>
    <n v="1636.25"/>
    <x v="14"/>
    <x v="9"/>
    <n v="7"/>
    <x v="0"/>
    <x v="0"/>
  </r>
  <r>
    <n v="10265"/>
    <x v="15"/>
    <n v="17"/>
    <x v="13"/>
    <x v="6"/>
    <n v="30"/>
    <n v="312"/>
    <n v="0"/>
    <n v="9360"/>
    <x v="15"/>
    <x v="0"/>
    <n v="7"/>
    <x v="0"/>
    <x v="0"/>
  </r>
  <r>
    <n v="10265"/>
    <x v="15"/>
    <n v="17"/>
    <x v="13"/>
    <x v="6"/>
    <n v="20"/>
    <n v="12"/>
    <n v="0"/>
    <n v="240"/>
    <x v="15"/>
    <x v="0"/>
    <n v="7"/>
    <x v="0"/>
    <x v="0"/>
  </r>
  <r>
    <n v="10266"/>
    <x v="16"/>
    <n v="12"/>
    <x v="14"/>
    <x v="0"/>
    <n v="12"/>
    <n v="304"/>
    <n v="5"/>
    <n v="3465.6"/>
    <x v="16"/>
    <x v="10"/>
    <n v="7"/>
    <x v="0"/>
    <x v="0"/>
  </r>
  <r>
    <n v="10267"/>
    <x v="17"/>
    <n v="40"/>
    <x v="15"/>
    <x v="2"/>
    <n v="50"/>
    <n v="147"/>
    <n v="0"/>
    <n v="7350"/>
    <x v="17"/>
    <x v="1"/>
    <n v="7"/>
    <x v="0"/>
    <x v="0"/>
  </r>
  <r>
    <n v="10267"/>
    <x v="17"/>
    <n v="40"/>
    <x v="15"/>
    <x v="2"/>
    <n v="70"/>
    <n v="44"/>
    <n v="15"/>
    <n v="2618"/>
    <x v="17"/>
    <x v="1"/>
    <n v="7"/>
    <x v="0"/>
    <x v="0"/>
  </r>
  <r>
    <n v="10267"/>
    <x v="17"/>
    <n v="40"/>
    <x v="15"/>
    <x v="2"/>
    <n v="15"/>
    <n v="144"/>
    <n v="15"/>
    <n v="1836"/>
    <x v="17"/>
    <x v="1"/>
    <n v="7"/>
    <x v="0"/>
    <x v="0"/>
  </r>
  <r>
    <n v="10268"/>
    <x v="18"/>
    <n v="29"/>
    <x v="16"/>
    <x v="6"/>
    <n v="10"/>
    <n v="99"/>
    <n v="0"/>
    <n v="990"/>
    <x v="18"/>
    <x v="5"/>
    <n v="7"/>
    <x v="0"/>
    <x v="0"/>
  </r>
  <r>
    <n v="10268"/>
    <x v="18"/>
    <n v="29"/>
    <x v="16"/>
    <x v="6"/>
    <n v="4"/>
    <n v="278"/>
    <n v="0"/>
    <n v="1112"/>
    <x v="18"/>
    <x v="5"/>
    <n v="7"/>
    <x v="0"/>
    <x v="0"/>
  </r>
  <r>
    <n v="10269"/>
    <x v="19"/>
    <n v="33"/>
    <x v="17"/>
    <x v="0"/>
    <n v="60"/>
    <n v="2"/>
    <n v="5"/>
    <n v="114"/>
    <x v="19"/>
    <x v="8"/>
    <n v="7"/>
    <x v="0"/>
    <x v="0"/>
  </r>
  <r>
    <n v="10269"/>
    <x v="19"/>
    <n v="33"/>
    <x v="17"/>
    <x v="0"/>
    <n v="20"/>
    <n v="278"/>
    <n v="5"/>
    <n v="5282"/>
    <x v="19"/>
    <x v="8"/>
    <n v="7"/>
    <x v="0"/>
    <x v="0"/>
  </r>
  <r>
    <n v="10270"/>
    <x v="20"/>
    <n v="36"/>
    <x v="18"/>
    <x v="2"/>
    <n v="30"/>
    <n v="152"/>
    <n v="0"/>
    <n v="4560"/>
    <x v="16"/>
    <x v="10"/>
    <n v="8"/>
    <x v="1"/>
    <x v="0"/>
  </r>
  <r>
    <n v="10270"/>
    <x v="20"/>
    <n v="36"/>
    <x v="18"/>
    <x v="2"/>
    <n v="25"/>
    <n v="368"/>
    <n v="0"/>
    <n v="9200"/>
    <x v="16"/>
    <x v="10"/>
    <n v="8"/>
    <x v="1"/>
    <x v="0"/>
  </r>
  <r>
    <n v="10271"/>
    <x v="20"/>
    <n v="33"/>
    <x v="17"/>
    <x v="0"/>
    <n v="24"/>
    <n v="2"/>
    <n v="0"/>
    <n v="48"/>
    <x v="20"/>
    <x v="8"/>
    <n v="8"/>
    <x v="1"/>
    <x v="0"/>
  </r>
  <r>
    <n v="10272"/>
    <x v="21"/>
    <n v="20"/>
    <x v="4"/>
    <x v="4"/>
    <n v="6"/>
    <n v="648"/>
    <n v="0"/>
    <n v="3888"/>
    <x v="13"/>
    <x v="8"/>
    <n v="8"/>
    <x v="1"/>
    <x v="0"/>
  </r>
  <r>
    <n v="10272"/>
    <x v="21"/>
    <n v="20"/>
    <x v="4"/>
    <x v="4"/>
    <n v="40"/>
    <n v="10"/>
    <n v="0"/>
    <n v="400"/>
    <x v="13"/>
    <x v="8"/>
    <n v="8"/>
    <x v="1"/>
    <x v="0"/>
  </r>
  <r>
    <n v="10272"/>
    <x v="21"/>
    <n v="20"/>
    <x v="4"/>
    <x v="4"/>
    <n v="24"/>
    <n v="278"/>
    <n v="0"/>
    <n v="6672"/>
    <x v="13"/>
    <x v="8"/>
    <n v="8"/>
    <x v="1"/>
    <x v="0"/>
  </r>
  <r>
    <n v="10273"/>
    <x v="22"/>
    <n v="10"/>
    <x v="19"/>
    <x v="2"/>
    <n v="24"/>
    <n v="248"/>
    <n v="5"/>
    <n v="5654.4"/>
    <x v="21"/>
    <x v="1"/>
    <n v="8"/>
    <x v="1"/>
    <x v="0"/>
  </r>
  <r>
    <n v="10273"/>
    <x v="22"/>
    <n v="10"/>
    <x v="19"/>
    <x v="2"/>
    <n v="15"/>
    <n v="10"/>
    <n v="5"/>
    <n v="142.5"/>
    <x v="21"/>
    <x v="1"/>
    <n v="8"/>
    <x v="1"/>
    <x v="0"/>
  </r>
  <r>
    <n v="10273"/>
    <x v="22"/>
    <n v="10"/>
    <x v="19"/>
    <x v="2"/>
    <n v="20"/>
    <n v="2"/>
    <n v="0"/>
    <n v="40"/>
    <x v="21"/>
    <x v="1"/>
    <n v="8"/>
    <x v="1"/>
    <x v="0"/>
  </r>
  <r>
    <n v="10273"/>
    <x v="22"/>
    <n v="10"/>
    <x v="19"/>
    <x v="2"/>
    <n v="60"/>
    <n v="147"/>
    <n v="5"/>
    <n v="8379"/>
    <x v="21"/>
    <x v="1"/>
    <n v="8"/>
    <x v="1"/>
    <x v="0"/>
  </r>
  <r>
    <n v="10273"/>
    <x v="22"/>
    <n v="10"/>
    <x v="19"/>
    <x v="2"/>
    <n v="33"/>
    <n v="144"/>
    <n v="5"/>
    <n v="4514.3999999999996"/>
    <x v="21"/>
    <x v="1"/>
    <n v="8"/>
    <x v="1"/>
    <x v="0"/>
  </r>
  <r>
    <n v="10274"/>
    <x v="23"/>
    <n v="71"/>
    <x v="20"/>
    <x v="0"/>
    <n v="20"/>
    <n v="172"/>
    <n v="0"/>
    <n v="3440"/>
    <x v="0"/>
    <x v="0"/>
    <n v="8"/>
    <x v="1"/>
    <x v="0"/>
  </r>
  <r>
    <n v="10274"/>
    <x v="23"/>
    <n v="71"/>
    <x v="20"/>
    <x v="0"/>
    <n v="7"/>
    <n v="278"/>
    <n v="0"/>
    <n v="1946"/>
    <x v="0"/>
    <x v="0"/>
    <n v="8"/>
    <x v="1"/>
    <x v="0"/>
  </r>
  <r>
    <n v="10275"/>
    <x v="24"/>
    <n v="24"/>
    <x v="6"/>
    <x v="5"/>
    <n v="12"/>
    <n v="36"/>
    <n v="5"/>
    <n v="410.4"/>
    <x v="22"/>
    <x v="11"/>
    <n v="8"/>
    <x v="1"/>
    <x v="0"/>
  </r>
  <r>
    <n v="10275"/>
    <x v="24"/>
    <n v="24"/>
    <x v="6"/>
    <x v="5"/>
    <n v="6"/>
    <n v="44"/>
    <n v="5"/>
    <n v="250.79999999999998"/>
    <x v="22"/>
    <x v="11"/>
    <n v="8"/>
    <x v="1"/>
    <x v="0"/>
  </r>
  <r>
    <n v="10276"/>
    <x v="25"/>
    <n v="10"/>
    <x v="19"/>
    <x v="2"/>
    <n v="15"/>
    <n v="248"/>
    <n v="0"/>
    <n v="3720"/>
    <x v="23"/>
    <x v="7"/>
    <n v="8"/>
    <x v="1"/>
    <x v="0"/>
  </r>
  <r>
    <n v="10276"/>
    <x v="25"/>
    <n v="10"/>
    <x v="19"/>
    <x v="2"/>
    <n v="10"/>
    <n v="48"/>
    <n v="0"/>
    <n v="480"/>
    <x v="23"/>
    <x v="7"/>
    <n v="8"/>
    <x v="1"/>
    <x v="0"/>
  </r>
  <r>
    <n v="10277"/>
    <x v="26"/>
    <n v="28"/>
    <x v="21"/>
    <x v="1"/>
    <n v="20"/>
    <n v="364"/>
    <n v="0"/>
    <n v="7280"/>
    <x v="24"/>
    <x v="1"/>
    <n v="8"/>
    <x v="1"/>
    <x v="0"/>
  </r>
  <r>
    <n v="10277"/>
    <x v="26"/>
    <n v="28"/>
    <x v="21"/>
    <x v="1"/>
    <n v="12"/>
    <n v="394"/>
    <n v="0"/>
    <n v="4728"/>
    <x v="24"/>
    <x v="1"/>
    <n v="8"/>
    <x v="1"/>
    <x v="0"/>
  </r>
  <r>
    <n v="10278"/>
    <x v="27"/>
    <n v="44"/>
    <x v="22"/>
    <x v="7"/>
    <n v="16"/>
    <n v="155"/>
    <n v="0"/>
    <n v="2480"/>
    <x v="25"/>
    <x v="9"/>
    <n v="8"/>
    <x v="1"/>
    <x v="0"/>
  </r>
  <r>
    <n v="10278"/>
    <x v="27"/>
    <n v="44"/>
    <x v="22"/>
    <x v="7"/>
    <n v="15"/>
    <n v="44"/>
    <n v="0"/>
    <n v="660"/>
    <x v="25"/>
    <x v="9"/>
    <n v="8"/>
    <x v="1"/>
    <x v="0"/>
  </r>
  <r>
    <n v="10278"/>
    <x v="27"/>
    <n v="44"/>
    <x v="22"/>
    <x v="7"/>
    <n v="8"/>
    <n v="351"/>
    <n v="0"/>
    <n v="2808"/>
    <x v="25"/>
    <x v="9"/>
    <n v="8"/>
    <x v="1"/>
    <x v="0"/>
  </r>
  <r>
    <n v="10278"/>
    <x v="27"/>
    <n v="44"/>
    <x v="22"/>
    <x v="7"/>
    <n v="25"/>
    <n v="12"/>
    <n v="0"/>
    <n v="300"/>
    <x v="25"/>
    <x v="9"/>
    <n v="8"/>
    <x v="1"/>
    <x v="0"/>
  </r>
  <r>
    <n v="10279"/>
    <x v="28"/>
    <n v="17"/>
    <x v="13"/>
    <x v="6"/>
    <n v="15"/>
    <n v="312"/>
    <n v="25"/>
    <n v="3510"/>
    <x v="26"/>
    <x v="1"/>
    <n v="8"/>
    <x v="1"/>
    <x v="0"/>
  </r>
  <r>
    <n v="10280"/>
    <x v="29"/>
    <n v="24"/>
    <x v="6"/>
    <x v="5"/>
    <n v="12"/>
    <n v="36"/>
    <n v="0"/>
    <n v="432"/>
    <x v="25"/>
    <x v="9"/>
    <n v="8"/>
    <x v="1"/>
    <x v="0"/>
  </r>
  <r>
    <n v="10280"/>
    <x v="29"/>
    <n v="24"/>
    <x v="6"/>
    <x v="5"/>
    <n v="20"/>
    <n v="192"/>
    <n v="0"/>
    <n v="3840"/>
    <x v="25"/>
    <x v="9"/>
    <n v="8"/>
    <x v="1"/>
    <x v="0"/>
  </r>
  <r>
    <n v="10280"/>
    <x v="29"/>
    <n v="24"/>
    <x v="6"/>
    <x v="5"/>
    <n v="30"/>
    <n v="62"/>
    <n v="0"/>
    <n v="1860"/>
    <x v="25"/>
    <x v="9"/>
    <n v="8"/>
    <x v="1"/>
    <x v="0"/>
  </r>
  <r>
    <n v="10281"/>
    <x v="29"/>
    <n v="19"/>
    <x v="23"/>
    <x v="4"/>
    <n v="1"/>
    <n v="73"/>
    <n v="0"/>
    <n v="73"/>
    <x v="27"/>
    <x v="12"/>
    <n v="8"/>
    <x v="1"/>
    <x v="0"/>
  </r>
  <r>
    <n v="10281"/>
    <x v="29"/>
    <n v="19"/>
    <x v="23"/>
    <x v="4"/>
    <n v="6"/>
    <n v="36"/>
    <n v="0"/>
    <n v="216"/>
    <x v="27"/>
    <x v="12"/>
    <n v="8"/>
    <x v="1"/>
    <x v="0"/>
  </r>
  <r>
    <n v="10281"/>
    <x v="29"/>
    <n v="19"/>
    <x v="23"/>
    <x v="4"/>
    <n v="4"/>
    <n v="144"/>
    <n v="0"/>
    <n v="576"/>
    <x v="27"/>
    <x v="12"/>
    <n v="8"/>
    <x v="1"/>
    <x v="0"/>
  </r>
  <r>
    <n v="10282"/>
    <x v="30"/>
    <n v="30"/>
    <x v="24"/>
    <x v="2"/>
    <n v="6"/>
    <n v="207"/>
    <n v="0"/>
    <n v="1242"/>
    <x v="27"/>
    <x v="12"/>
    <n v="8"/>
    <x v="1"/>
    <x v="0"/>
  </r>
  <r>
    <n v="10282"/>
    <x v="30"/>
    <n v="30"/>
    <x v="24"/>
    <x v="2"/>
    <n v="2"/>
    <n v="156"/>
    <n v="0"/>
    <n v="312"/>
    <x v="27"/>
    <x v="12"/>
    <n v="8"/>
    <x v="1"/>
    <x v="0"/>
  </r>
  <r>
    <n v="10283"/>
    <x v="31"/>
    <n v="15"/>
    <x v="25"/>
    <x v="7"/>
    <n v="20"/>
    <n v="124"/>
    <n v="0"/>
    <n v="2480"/>
    <x v="28"/>
    <x v="5"/>
    <n v="8"/>
    <x v="1"/>
    <x v="0"/>
  </r>
  <r>
    <n v="10283"/>
    <x v="31"/>
    <n v="15"/>
    <x v="25"/>
    <x v="7"/>
    <n v="18"/>
    <n v="73"/>
    <n v="0"/>
    <n v="1314"/>
    <x v="28"/>
    <x v="5"/>
    <n v="8"/>
    <x v="1"/>
    <x v="0"/>
  </r>
  <r>
    <n v="10283"/>
    <x v="31"/>
    <n v="15"/>
    <x v="25"/>
    <x v="7"/>
    <n v="35"/>
    <n v="272"/>
    <n v="0"/>
    <n v="9520"/>
    <x v="28"/>
    <x v="5"/>
    <n v="8"/>
    <x v="1"/>
    <x v="0"/>
  </r>
  <r>
    <n v="10283"/>
    <x v="31"/>
    <n v="15"/>
    <x v="25"/>
    <x v="7"/>
    <n v="3"/>
    <n v="278"/>
    <n v="0"/>
    <n v="834"/>
    <x v="28"/>
    <x v="5"/>
    <n v="8"/>
    <x v="1"/>
    <x v="0"/>
  </r>
  <r>
    <n v="10284"/>
    <x v="32"/>
    <n v="27"/>
    <x v="9"/>
    <x v="4"/>
    <n v="15"/>
    <n v="351"/>
    <n v="25"/>
    <n v="3948.75"/>
    <x v="26"/>
    <x v="1"/>
    <n v="8"/>
    <x v="1"/>
    <x v="0"/>
  </r>
  <r>
    <n v="10284"/>
    <x v="32"/>
    <n v="27"/>
    <x v="9"/>
    <x v="4"/>
    <n v="21"/>
    <n v="155"/>
    <n v="0"/>
    <n v="3255"/>
    <x v="26"/>
    <x v="1"/>
    <n v="8"/>
    <x v="1"/>
    <x v="0"/>
  </r>
  <r>
    <n v="10284"/>
    <x v="32"/>
    <n v="27"/>
    <x v="9"/>
    <x v="4"/>
    <n v="20"/>
    <n v="272"/>
    <n v="25"/>
    <n v="4080"/>
    <x v="26"/>
    <x v="1"/>
    <n v="8"/>
    <x v="1"/>
    <x v="0"/>
  </r>
  <r>
    <n v="10284"/>
    <x v="32"/>
    <n v="27"/>
    <x v="9"/>
    <x v="4"/>
    <n v="5"/>
    <n v="112"/>
    <n v="25"/>
    <n v="420"/>
    <x v="26"/>
    <x v="1"/>
    <n v="8"/>
    <x v="1"/>
    <x v="0"/>
  </r>
  <r>
    <n v="10285"/>
    <x v="33"/>
    <n v="1"/>
    <x v="26"/>
    <x v="5"/>
    <n v="45"/>
    <n v="144"/>
    <n v="2"/>
    <n v="6350.4"/>
    <x v="21"/>
    <x v="1"/>
    <n v="8"/>
    <x v="1"/>
    <x v="0"/>
  </r>
  <r>
    <n v="10285"/>
    <x v="33"/>
    <n v="1"/>
    <x v="26"/>
    <x v="5"/>
    <n v="40"/>
    <n v="147"/>
    <n v="2"/>
    <n v="5762.4"/>
    <x v="21"/>
    <x v="1"/>
    <n v="8"/>
    <x v="1"/>
    <x v="0"/>
  </r>
  <r>
    <n v="10285"/>
    <x v="33"/>
    <n v="1"/>
    <x v="26"/>
    <x v="5"/>
    <n v="36"/>
    <n v="262"/>
    <n v="2"/>
    <n v="9243.36"/>
    <x v="21"/>
    <x v="1"/>
    <n v="8"/>
    <x v="1"/>
    <x v="0"/>
  </r>
  <r>
    <n v="10286"/>
    <x v="34"/>
    <n v="35"/>
    <x v="27"/>
    <x v="5"/>
    <n v="100"/>
    <n v="144"/>
    <n v="0"/>
    <n v="14400"/>
    <x v="21"/>
    <x v="1"/>
    <n v="8"/>
    <x v="1"/>
    <x v="0"/>
  </r>
  <r>
    <n v="10286"/>
    <x v="34"/>
    <n v="35"/>
    <x v="27"/>
    <x v="5"/>
    <n v="40"/>
    <n v="394"/>
    <n v="0"/>
    <n v="15760"/>
    <x v="21"/>
    <x v="1"/>
    <n v="8"/>
    <x v="1"/>
    <x v="0"/>
  </r>
  <r>
    <n v="10287"/>
    <x v="35"/>
    <n v="16"/>
    <x v="12"/>
    <x v="4"/>
    <n v="40"/>
    <n v="139"/>
    <n v="15"/>
    <n v="4726"/>
    <x v="29"/>
    <x v="2"/>
    <n v="8"/>
    <x v="1"/>
    <x v="0"/>
  </r>
  <r>
    <n v="10287"/>
    <x v="35"/>
    <n v="16"/>
    <x v="12"/>
    <x v="4"/>
    <n v="20"/>
    <n v="112"/>
    <n v="0"/>
    <n v="2240"/>
    <x v="29"/>
    <x v="2"/>
    <n v="8"/>
    <x v="1"/>
    <x v="0"/>
  </r>
  <r>
    <n v="10287"/>
    <x v="35"/>
    <n v="16"/>
    <x v="12"/>
    <x v="4"/>
    <n v="15"/>
    <n v="96"/>
    <n v="15"/>
    <n v="1224"/>
    <x v="29"/>
    <x v="2"/>
    <n v="8"/>
    <x v="1"/>
    <x v="0"/>
  </r>
  <r>
    <n v="10288"/>
    <x v="36"/>
    <n v="54"/>
    <x v="28"/>
    <x v="6"/>
    <n v="10"/>
    <n v="59"/>
    <n v="1"/>
    <n v="584.1"/>
    <x v="30"/>
    <x v="11"/>
    <n v="8"/>
    <x v="1"/>
    <x v="0"/>
  </r>
  <r>
    <n v="10288"/>
    <x v="36"/>
    <n v="54"/>
    <x v="28"/>
    <x v="6"/>
    <n v="3"/>
    <n v="10"/>
    <n v="1"/>
    <n v="29.7"/>
    <x v="30"/>
    <x v="11"/>
    <n v="8"/>
    <x v="1"/>
    <x v="0"/>
  </r>
  <r>
    <n v="10289"/>
    <x v="37"/>
    <n v="3"/>
    <x v="29"/>
    <x v="7"/>
    <n v="30"/>
    <n v="8"/>
    <n v="0"/>
    <n v="240"/>
    <x v="31"/>
    <x v="13"/>
    <n v="8"/>
    <x v="1"/>
    <x v="0"/>
  </r>
  <r>
    <n v="10289"/>
    <x v="37"/>
    <n v="3"/>
    <x v="29"/>
    <x v="7"/>
    <n v="9"/>
    <n v="266"/>
    <n v="0"/>
    <n v="2394"/>
    <x v="31"/>
    <x v="13"/>
    <n v="8"/>
    <x v="1"/>
    <x v="0"/>
  </r>
  <r>
    <n v="10290"/>
    <x v="38"/>
    <n v="5"/>
    <x v="11"/>
    <x v="7"/>
    <n v="20"/>
    <n v="17"/>
    <n v="0"/>
    <n v="340"/>
    <x v="32"/>
    <x v="2"/>
    <n v="8"/>
    <x v="1"/>
    <x v="0"/>
  </r>
  <r>
    <n v="10290"/>
    <x v="38"/>
    <n v="5"/>
    <x v="11"/>
    <x v="7"/>
    <n v="15"/>
    <n v="99"/>
    <n v="0"/>
    <n v="1485"/>
    <x v="32"/>
    <x v="2"/>
    <n v="8"/>
    <x v="1"/>
    <x v="0"/>
  </r>
  <r>
    <n v="10290"/>
    <x v="38"/>
    <n v="5"/>
    <x v="11"/>
    <x v="7"/>
    <n v="15"/>
    <n v="16"/>
    <n v="0"/>
    <n v="240"/>
    <x v="32"/>
    <x v="2"/>
    <n v="8"/>
    <x v="1"/>
    <x v="0"/>
  </r>
  <r>
    <n v="10290"/>
    <x v="38"/>
    <n v="5"/>
    <x v="11"/>
    <x v="7"/>
    <n v="10"/>
    <n v="104"/>
    <n v="0"/>
    <n v="1040"/>
    <x v="32"/>
    <x v="2"/>
    <n v="8"/>
    <x v="1"/>
    <x v="0"/>
  </r>
  <r>
    <n v="10291"/>
    <x v="38"/>
    <n v="13"/>
    <x v="30"/>
    <x v="2"/>
    <n v="20"/>
    <n v="48"/>
    <n v="1"/>
    <n v="950.4"/>
    <x v="12"/>
    <x v="2"/>
    <n v="8"/>
    <x v="1"/>
    <x v="0"/>
  </r>
  <r>
    <n v="10291"/>
    <x v="38"/>
    <n v="13"/>
    <x v="30"/>
    <x v="2"/>
    <n v="24"/>
    <n v="155"/>
    <n v="1"/>
    <n v="3682.8"/>
    <x v="12"/>
    <x v="2"/>
    <n v="8"/>
    <x v="1"/>
    <x v="0"/>
  </r>
  <r>
    <n v="10291"/>
    <x v="38"/>
    <n v="13"/>
    <x v="30"/>
    <x v="2"/>
    <n v="2"/>
    <n v="424"/>
    <n v="1"/>
    <n v="839.52"/>
    <x v="12"/>
    <x v="2"/>
    <n v="8"/>
    <x v="1"/>
    <x v="0"/>
  </r>
  <r>
    <n v="10292"/>
    <x v="39"/>
    <n v="20"/>
    <x v="4"/>
    <x v="4"/>
    <n v="20"/>
    <n v="648"/>
    <n v="0"/>
    <n v="12960"/>
    <x v="33"/>
    <x v="2"/>
    <n v="8"/>
    <x v="1"/>
    <x v="0"/>
  </r>
  <r>
    <n v="10293"/>
    <x v="40"/>
    <n v="18"/>
    <x v="31"/>
    <x v="2"/>
    <n v="12"/>
    <n v="50"/>
    <n v="0"/>
    <n v="600"/>
    <x v="23"/>
    <x v="7"/>
    <n v="8"/>
    <x v="1"/>
    <x v="0"/>
  </r>
  <r>
    <n v="10293"/>
    <x v="40"/>
    <n v="18"/>
    <x v="31"/>
    <x v="2"/>
    <n v="10"/>
    <n v="36"/>
    <n v="0"/>
    <n v="360"/>
    <x v="23"/>
    <x v="7"/>
    <n v="8"/>
    <x v="1"/>
    <x v="0"/>
  </r>
  <r>
    <n v="10293"/>
    <x v="40"/>
    <n v="18"/>
    <x v="31"/>
    <x v="2"/>
    <n v="5"/>
    <n v="351"/>
    <n v="0"/>
    <n v="1755"/>
    <x v="23"/>
    <x v="7"/>
    <n v="8"/>
    <x v="1"/>
    <x v="0"/>
  </r>
  <r>
    <n v="10293"/>
    <x v="40"/>
    <n v="18"/>
    <x v="31"/>
    <x v="2"/>
    <n v="6"/>
    <n v="62"/>
    <n v="0"/>
    <n v="372"/>
    <x v="23"/>
    <x v="7"/>
    <n v="8"/>
    <x v="1"/>
    <x v="0"/>
  </r>
  <r>
    <n v="10294"/>
    <x v="41"/>
    <n v="1"/>
    <x v="26"/>
    <x v="5"/>
    <n v="18"/>
    <n v="144"/>
    <n v="0"/>
    <n v="2592"/>
    <x v="13"/>
    <x v="8"/>
    <n v="8"/>
    <x v="1"/>
    <x v="0"/>
  </r>
  <r>
    <n v="10294"/>
    <x v="41"/>
    <n v="1"/>
    <x v="26"/>
    <x v="5"/>
    <n v="15"/>
    <n v="312"/>
    <n v="0"/>
    <n v="4680"/>
    <x v="13"/>
    <x v="8"/>
    <n v="8"/>
    <x v="1"/>
    <x v="0"/>
  </r>
  <r>
    <n v="10294"/>
    <x v="41"/>
    <n v="1"/>
    <x v="26"/>
    <x v="5"/>
    <n v="15"/>
    <n v="368"/>
    <n v="0"/>
    <n v="5520"/>
    <x v="13"/>
    <x v="8"/>
    <n v="8"/>
    <x v="1"/>
    <x v="0"/>
  </r>
  <r>
    <n v="10294"/>
    <x v="41"/>
    <n v="1"/>
    <x v="26"/>
    <x v="5"/>
    <n v="21"/>
    <n v="272"/>
    <n v="0"/>
    <n v="5712"/>
    <x v="13"/>
    <x v="8"/>
    <n v="8"/>
    <x v="1"/>
    <x v="0"/>
  </r>
  <r>
    <n v="10294"/>
    <x v="41"/>
    <n v="1"/>
    <x v="26"/>
    <x v="5"/>
    <n v="6"/>
    <n v="62"/>
    <n v="0"/>
    <n v="372"/>
    <x v="13"/>
    <x v="8"/>
    <n v="8"/>
    <x v="1"/>
    <x v="0"/>
  </r>
  <r>
    <n v="10295"/>
    <x v="42"/>
    <n v="56"/>
    <x v="32"/>
    <x v="3"/>
    <n v="4"/>
    <n v="304"/>
    <n v="0"/>
    <n v="1216"/>
    <x v="0"/>
    <x v="0"/>
    <n v="9"/>
    <x v="2"/>
    <x v="0"/>
  </r>
  <r>
    <n v="10296"/>
    <x v="43"/>
    <n v="11"/>
    <x v="0"/>
    <x v="0"/>
    <n v="12"/>
    <n v="168"/>
    <n v="0"/>
    <n v="2016"/>
    <x v="28"/>
    <x v="5"/>
    <n v="9"/>
    <x v="2"/>
    <x v="0"/>
  </r>
  <r>
    <n v="10296"/>
    <x v="43"/>
    <n v="11"/>
    <x v="0"/>
    <x v="0"/>
    <n v="30"/>
    <n v="139"/>
    <n v="0"/>
    <n v="4170"/>
    <x v="28"/>
    <x v="5"/>
    <n v="9"/>
    <x v="2"/>
    <x v="0"/>
  </r>
  <r>
    <n v="10296"/>
    <x v="43"/>
    <n v="11"/>
    <x v="0"/>
    <x v="0"/>
    <n v="15"/>
    <n v="288"/>
    <n v="0"/>
    <n v="4320"/>
    <x v="28"/>
    <x v="5"/>
    <n v="9"/>
    <x v="2"/>
    <x v="0"/>
  </r>
  <r>
    <n v="10297"/>
    <x v="44"/>
    <n v="39"/>
    <x v="33"/>
    <x v="5"/>
    <n v="60"/>
    <n v="144"/>
    <n v="0"/>
    <n v="8640"/>
    <x v="15"/>
    <x v="0"/>
    <n v="9"/>
    <x v="2"/>
    <x v="0"/>
  </r>
  <r>
    <n v="10297"/>
    <x v="44"/>
    <n v="39"/>
    <x v="33"/>
    <x v="5"/>
    <n v="20"/>
    <n v="278"/>
    <n v="0"/>
    <n v="5560"/>
    <x v="15"/>
    <x v="0"/>
    <n v="9"/>
    <x v="2"/>
    <x v="0"/>
  </r>
  <r>
    <n v="10298"/>
    <x v="45"/>
    <n v="2"/>
    <x v="7"/>
    <x v="5"/>
    <n v="40"/>
    <n v="152"/>
    <n v="0"/>
    <n v="6080"/>
    <x v="34"/>
    <x v="14"/>
    <n v="9"/>
    <x v="2"/>
    <x v="0"/>
  </r>
  <r>
    <n v="10298"/>
    <x v="45"/>
    <n v="2"/>
    <x v="7"/>
    <x v="5"/>
    <n v="40"/>
    <n v="152"/>
    <n v="25"/>
    <n v="4560"/>
    <x v="34"/>
    <x v="14"/>
    <n v="9"/>
    <x v="2"/>
    <x v="0"/>
  </r>
  <r>
    <n v="10298"/>
    <x v="45"/>
    <n v="2"/>
    <x v="7"/>
    <x v="5"/>
    <n v="30"/>
    <n v="44"/>
    <n v="25"/>
    <n v="990"/>
    <x v="34"/>
    <x v="14"/>
    <n v="9"/>
    <x v="2"/>
    <x v="0"/>
  </r>
  <r>
    <n v="10298"/>
    <x v="45"/>
    <n v="2"/>
    <x v="7"/>
    <x v="5"/>
    <n v="15"/>
    <n v="394"/>
    <n v="0"/>
    <n v="5910"/>
    <x v="34"/>
    <x v="14"/>
    <n v="9"/>
    <x v="2"/>
    <x v="0"/>
  </r>
  <r>
    <n v="10299"/>
    <x v="46"/>
    <n v="19"/>
    <x v="23"/>
    <x v="4"/>
    <n v="15"/>
    <n v="73"/>
    <n v="0"/>
    <n v="1095"/>
    <x v="29"/>
    <x v="2"/>
    <n v="9"/>
    <x v="2"/>
    <x v="0"/>
  </r>
  <r>
    <n v="10299"/>
    <x v="46"/>
    <n v="19"/>
    <x v="23"/>
    <x v="4"/>
    <n v="20"/>
    <n v="12"/>
    <n v="0"/>
    <n v="240"/>
    <x v="29"/>
    <x v="2"/>
    <n v="9"/>
    <x v="2"/>
    <x v="0"/>
  </r>
  <r>
    <n v="10300"/>
    <x v="47"/>
    <n v="66"/>
    <x v="34"/>
    <x v="7"/>
    <n v="30"/>
    <n v="136"/>
    <n v="0"/>
    <n v="4080"/>
    <x v="22"/>
    <x v="11"/>
    <n v="9"/>
    <x v="2"/>
    <x v="0"/>
  </r>
  <r>
    <n v="10300"/>
    <x v="47"/>
    <n v="66"/>
    <x v="34"/>
    <x v="7"/>
    <n v="20"/>
    <n v="10"/>
    <n v="0"/>
    <n v="200"/>
    <x v="22"/>
    <x v="11"/>
    <n v="9"/>
    <x v="2"/>
    <x v="0"/>
  </r>
  <r>
    <n v="10301"/>
    <x v="47"/>
    <n v="40"/>
    <x v="15"/>
    <x v="2"/>
    <n v="10"/>
    <n v="147"/>
    <n v="0"/>
    <n v="1470"/>
    <x v="35"/>
    <x v="1"/>
    <n v="9"/>
    <x v="2"/>
    <x v="0"/>
  </r>
  <r>
    <n v="10301"/>
    <x v="47"/>
    <n v="40"/>
    <x v="15"/>
    <x v="2"/>
    <n v="20"/>
    <n v="304"/>
    <n v="0"/>
    <n v="6080"/>
    <x v="35"/>
    <x v="1"/>
    <n v="9"/>
    <x v="2"/>
    <x v="0"/>
  </r>
  <r>
    <n v="10302"/>
    <x v="48"/>
    <n v="17"/>
    <x v="13"/>
    <x v="6"/>
    <n v="40"/>
    <n v="312"/>
    <n v="0"/>
    <n v="12480"/>
    <x v="4"/>
    <x v="3"/>
    <n v="9"/>
    <x v="2"/>
    <x v="0"/>
  </r>
  <r>
    <n v="10302"/>
    <x v="48"/>
    <n v="17"/>
    <x v="13"/>
    <x v="6"/>
    <n v="28"/>
    <n v="364"/>
    <n v="0"/>
    <n v="10192"/>
    <x v="4"/>
    <x v="3"/>
    <n v="9"/>
    <x v="2"/>
    <x v="0"/>
  </r>
  <r>
    <n v="10302"/>
    <x v="48"/>
    <n v="17"/>
    <x v="13"/>
    <x v="6"/>
    <n v="12"/>
    <n v="368"/>
    <n v="0"/>
    <n v="4416"/>
    <x v="4"/>
    <x v="3"/>
    <n v="9"/>
    <x v="2"/>
    <x v="0"/>
  </r>
  <r>
    <n v="10303"/>
    <x v="49"/>
    <n v="40"/>
    <x v="15"/>
    <x v="2"/>
    <n v="40"/>
    <n v="147"/>
    <n v="1"/>
    <n v="5821.2"/>
    <x v="36"/>
    <x v="12"/>
    <n v="9"/>
    <x v="2"/>
    <x v="0"/>
  </r>
  <r>
    <n v="10303"/>
    <x v="49"/>
    <n v="40"/>
    <x v="15"/>
    <x v="2"/>
    <n v="30"/>
    <n v="168"/>
    <n v="1"/>
    <n v="4989.6000000000004"/>
    <x v="36"/>
    <x v="12"/>
    <n v="9"/>
    <x v="2"/>
    <x v="0"/>
  </r>
  <r>
    <n v="10303"/>
    <x v="49"/>
    <n v="40"/>
    <x v="15"/>
    <x v="2"/>
    <n v="15"/>
    <n v="10"/>
    <n v="1"/>
    <n v="148.5"/>
    <x v="36"/>
    <x v="12"/>
    <n v="9"/>
    <x v="2"/>
    <x v="0"/>
  </r>
  <r>
    <n v="10304"/>
    <x v="50"/>
    <n v="49"/>
    <x v="35"/>
    <x v="4"/>
    <n v="30"/>
    <n v="16"/>
    <n v="0"/>
    <n v="480"/>
    <x v="23"/>
    <x v="7"/>
    <n v="9"/>
    <x v="2"/>
    <x v="0"/>
  </r>
  <r>
    <n v="10304"/>
    <x v="50"/>
    <n v="49"/>
    <x v="35"/>
    <x v="4"/>
    <n v="10"/>
    <n v="44"/>
    <n v="0"/>
    <n v="440"/>
    <x v="23"/>
    <x v="7"/>
    <n v="9"/>
    <x v="2"/>
    <x v="0"/>
  </r>
  <r>
    <n v="10304"/>
    <x v="50"/>
    <n v="49"/>
    <x v="35"/>
    <x v="4"/>
    <n v="2"/>
    <n v="172"/>
    <n v="0"/>
    <n v="344"/>
    <x v="23"/>
    <x v="7"/>
    <n v="9"/>
    <x v="2"/>
    <x v="0"/>
  </r>
  <r>
    <n v="10305"/>
    <x v="51"/>
    <n v="18"/>
    <x v="31"/>
    <x v="2"/>
    <n v="25"/>
    <n v="50"/>
    <n v="1"/>
    <n v="1237.5"/>
    <x v="37"/>
    <x v="8"/>
    <n v="9"/>
    <x v="2"/>
    <x v="0"/>
  </r>
  <r>
    <n v="10305"/>
    <x v="51"/>
    <n v="18"/>
    <x v="31"/>
    <x v="2"/>
    <n v="25"/>
    <n v="99"/>
    <n v="1"/>
    <n v="2450.25"/>
    <x v="37"/>
    <x v="8"/>
    <n v="9"/>
    <x v="2"/>
    <x v="0"/>
  </r>
  <r>
    <n v="10305"/>
    <x v="51"/>
    <n v="18"/>
    <x v="31"/>
    <x v="2"/>
    <n v="30"/>
    <n v="144"/>
    <n v="1"/>
    <n v="4276.8"/>
    <x v="37"/>
    <x v="8"/>
    <n v="9"/>
    <x v="2"/>
    <x v="0"/>
  </r>
  <r>
    <n v="10306"/>
    <x v="52"/>
    <n v="30"/>
    <x v="24"/>
    <x v="2"/>
    <n v="10"/>
    <n v="207"/>
    <n v="0"/>
    <n v="2070"/>
    <x v="27"/>
    <x v="12"/>
    <n v="9"/>
    <x v="2"/>
    <x v="0"/>
  </r>
  <r>
    <n v="10306"/>
    <x v="52"/>
    <n v="30"/>
    <x v="24"/>
    <x v="2"/>
    <n v="10"/>
    <n v="262"/>
    <n v="0"/>
    <n v="2620"/>
    <x v="27"/>
    <x v="12"/>
    <n v="9"/>
    <x v="2"/>
    <x v="0"/>
  </r>
  <r>
    <n v="10306"/>
    <x v="52"/>
    <n v="30"/>
    <x v="24"/>
    <x v="2"/>
    <n v="5"/>
    <n v="59"/>
    <n v="0"/>
    <n v="295"/>
    <x v="27"/>
    <x v="12"/>
    <n v="9"/>
    <x v="2"/>
    <x v="0"/>
  </r>
  <r>
    <n v="10307"/>
    <x v="53"/>
    <n v="62"/>
    <x v="36"/>
    <x v="4"/>
    <n v="10"/>
    <n v="394"/>
    <n v="0"/>
    <n v="3940"/>
    <x v="38"/>
    <x v="8"/>
    <n v="9"/>
    <x v="2"/>
    <x v="0"/>
  </r>
  <r>
    <n v="10307"/>
    <x v="53"/>
    <n v="62"/>
    <x v="36"/>
    <x v="4"/>
    <n v="3"/>
    <n v="10"/>
    <n v="0"/>
    <n v="30"/>
    <x v="38"/>
    <x v="8"/>
    <n v="9"/>
    <x v="2"/>
    <x v="0"/>
  </r>
  <r>
    <n v="10308"/>
    <x v="54"/>
    <n v="69"/>
    <x v="37"/>
    <x v="0"/>
    <n v="1"/>
    <n v="288"/>
    <n v="0"/>
    <n v="288"/>
    <x v="39"/>
    <x v="7"/>
    <n v="9"/>
    <x v="2"/>
    <x v="0"/>
  </r>
  <r>
    <n v="10308"/>
    <x v="54"/>
    <n v="69"/>
    <x v="37"/>
    <x v="0"/>
    <n v="5"/>
    <n v="12"/>
    <n v="0"/>
    <n v="60"/>
    <x v="39"/>
    <x v="7"/>
    <n v="9"/>
    <x v="2"/>
    <x v="0"/>
  </r>
  <r>
    <n v="10309"/>
    <x v="55"/>
    <n v="4"/>
    <x v="38"/>
    <x v="7"/>
    <n v="20"/>
    <n v="176"/>
    <n v="0"/>
    <n v="3520"/>
    <x v="34"/>
    <x v="14"/>
    <n v="9"/>
    <x v="2"/>
    <x v="0"/>
  </r>
  <r>
    <n v="10309"/>
    <x v="55"/>
    <n v="4"/>
    <x v="38"/>
    <x v="7"/>
    <n v="30"/>
    <n v="20"/>
    <n v="0"/>
    <n v="600"/>
    <x v="34"/>
    <x v="14"/>
    <n v="9"/>
    <x v="2"/>
    <x v="0"/>
  </r>
  <r>
    <n v="10309"/>
    <x v="55"/>
    <n v="4"/>
    <x v="38"/>
    <x v="7"/>
    <n v="2"/>
    <n v="112"/>
    <n v="0"/>
    <n v="224"/>
    <x v="34"/>
    <x v="14"/>
    <n v="9"/>
    <x v="2"/>
    <x v="0"/>
  </r>
  <r>
    <n v="10309"/>
    <x v="55"/>
    <n v="4"/>
    <x v="38"/>
    <x v="7"/>
    <n v="20"/>
    <n v="368"/>
    <n v="0"/>
    <n v="7360"/>
    <x v="34"/>
    <x v="14"/>
    <n v="9"/>
    <x v="2"/>
    <x v="0"/>
  </r>
  <r>
    <n v="10309"/>
    <x v="55"/>
    <n v="4"/>
    <x v="38"/>
    <x v="7"/>
    <n v="3"/>
    <n v="172"/>
    <n v="0"/>
    <n v="516"/>
    <x v="34"/>
    <x v="14"/>
    <n v="9"/>
    <x v="2"/>
    <x v="0"/>
  </r>
  <r>
    <n v="10310"/>
    <x v="56"/>
    <n v="16"/>
    <x v="12"/>
    <x v="4"/>
    <n v="10"/>
    <n v="139"/>
    <n v="0"/>
    <n v="1390"/>
    <x v="40"/>
    <x v="8"/>
    <n v="9"/>
    <x v="2"/>
    <x v="0"/>
  </r>
  <r>
    <n v="10310"/>
    <x v="56"/>
    <n v="16"/>
    <x v="12"/>
    <x v="4"/>
    <n v="5"/>
    <n v="394"/>
    <n v="0"/>
    <n v="1970"/>
    <x v="40"/>
    <x v="8"/>
    <n v="9"/>
    <x v="2"/>
    <x v="0"/>
  </r>
  <r>
    <n v="10311"/>
    <x v="56"/>
    <n v="42"/>
    <x v="39"/>
    <x v="3"/>
    <n v="6"/>
    <n v="112"/>
    <n v="0"/>
    <n v="672"/>
    <x v="41"/>
    <x v="0"/>
    <n v="9"/>
    <x v="2"/>
    <x v="0"/>
  </r>
  <r>
    <n v="10311"/>
    <x v="56"/>
    <n v="42"/>
    <x v="39"/>
    <x v="3"/>
    <n v="7"/>
    <n v="288"/>
    <n v="0"/>
    <n v="2016"/>
    <x v="41"/>
    <x v="0"/>
    <n v="9"/>
    <x v="2"/>
    <x v="0"/>
  </r>
  <r>
    <n v="10312"/>
    <x v="57"/>
    <n v="28"/>
    <x v="21"/>
    <x v="1"/>
    <n v="4"/>
    <n v="364"/>
    <n v="0"/>
    <n v="1456"/>
    <x v="35"/>
    <x v="1"/>
    <n v="9"/>
    <x v="2"/>
    <x v="0"/>
  </r>
  <r>
    <n v="10312"/>
    <x v="57"/>
    <n v="28"/>
    <x v="21"/>
    <x v="1"/>
    <n v="24"/>
    <n v="368"/>
    <n v="0"/>
    <n v="8832"/>
    <x v="35"/>
    <x v="1"/>
    <n v="9"/>
    <x v="2"/>
    <x v="0"/>
  </r>
  <r>
    <n v="10312"/>
    <x v="57"/>
    <n v="28"/>
    <x v="21"/>
    <x v="1"/>
    <n v="20"/>
    <n v="262"/>
    <n v="0"/>
    <n v="5240"/>
    <x v="35"/>
    <x v="1"/>
    <n v="9"/>
    <x v="2"/>
    <x v="0"/>
  </r>
  <r>
    <n v="10312"/>
    <x v="57"/>
    <n v="28"/>
    <x v="21"/>
    <x v="1"/>
    <n v="10"/>
    <n v="62"/>
    <n v="0"/>
    <n v="620"/>
    <x v="35"/>
    <x v="1"/>
    <n v="9"/>
    <x v="2"/>
    <x v="0"/>
  </r>
  <r>
    <n v="10313"/>
    <x v="58"/>
    <n v="36"/>
    <x v="18"/>
    <x v="2"/>
    <n v="12"/>
    <n v="152"/>
    <n v="0"/>
    <n v="1824"/>
    <x v="21"/>
    <x v="1"/>
    <n v="9"/>
    <x v="2"/>
    <x v="0"/>
  </r>
  <r>
    <n v="10314"/>
    <x v="59"/>
    <n v="32"/>
    <x v="40"/>
    <x v="0"/>
    <n v="40"/>
    <n v="256"/>
    <n v="1"/>
    <n v="10137.6"/>
    <x v="13"/>
    <x v="8"/>
    <n v="9"/>
    <x v="2"/>
    <x v="0"/>
  </r>
  <r>
    <n v="10314"/>
    <x v="59"/>
    <n v="32"/>
    <x v="40"/>
    <x v="0"/>
    <n v="30"/>
    <n v="106"/>
    <n v="1"/>
    <n v="3148.2"/>
    <x v="13"/>
    <x v="8"/>
    <n v="9"/>
    <x v="2"/>
    <x v="0"/>
  </r>
  <r>
    <n v="10314"/>
    <x v="59"/>
    <n v="32"/>
    <x v="40"/>
    <x v="0"/>
    <n v="25"/>
    <n v="394"/>
    <n v="1"/>
    <n v="9751.5"/>
    <x v="13"/>
    <x v="8"/>
    <n v="9"/>
    <x v="2"/>
    <x v="0"/>
  </r>
  <r>
    <n v="10315"/>
    <x v="60"/>
    <n v="34"/>
    <x v="41"/>
    <x v="5"/>
    <n v="14"/>
    <n v="112"/>
    <n v="0"/>
    <n v="1568"/>
    <x v="42"/>
    <x v="13"/>
    <n v="9"/>
    <x v="2"/>
    <x v="0"/>
  </r>
  <r>
    <n v="10315"/>
    <x v="60"/>
    <n v="34"/>
    <x v="41"/>
    <x v="5"/>
    <n v="30"/>
    <n v="12"/>
    <n v="0"/>
    <n v="360"/>
    <x v="42"/>
    <x v="13"/>
    <n v="9"/>
    <x v="2"/>
    <x v="0"/>
  </r>
  <r>
    <n v="10316"/>
    <x v="61"/>
    <n v="41"/>
    <x v="2"/>
    <x v="2"/>
    <n v="10"/>
    <n v="77"/>
    <n v="0"/>
    <n v="770"/>
    <x v="13"/>
    <x v="8"/>
    <n v="9"/>
    <x v="2"/>
    <x v="0"/>
  </r>
  <r>
    <n v="10316"/>
    <x v="61"/>
    <n v="41"/>
    <x v="2"/>
    <x v="2"/>
    <n v="70"/>
    <n v="394"/>
    <n v="0"/>
    <n v="27580"/>
    <x v="13"/>
    <x v="8"/>
    <n v="9"/>
    <x v="2"/>
    <x v="0"/>
  </r>
  <r>
    <n v="10317"/>
    <x v="62"/>
    <n v="1"/>
    <x v="26"/>
    <x v="5"/>
    <n v="20"/>
    <n v="144"/>
    <n v="0"/>
    <n v="2880"/>
    <x v="38"/>
    <x v="8"/>
    <n v="9"/>
    <x v="2"/>
    <x v="0"/>
  </r>
  <r>
    <n v="10318"/>
    <x v="63"/>
    <n v="41"/>
    <x v="2"/>
    <x v="2"/>
    <n v="20"/>
    <n v="77"/>
    <n v="0"/>
    <n v="1540"/>
    <x v="42"/>
    <x v="13"/>
    <n v="10"/>
    <x v="3"/>
    <x v="0"/>
  </r>
  <r>
    <n v="10318"/>
    <x v="63"/>
    <n v="41"/>
    <x v="2"/>
    <x v="2"/>
    <n v="6"/>
    <n v="144"/>
    <n v="0"/>
    <n v="864"/>
    <x v="42"/>
    <x v="13"/>
    <n v="10"/>
    <x v="3"/>
    <x v="0"/>
  </r>
  <r>
    <n v="10319"/>
    <x v="64"/>
    <n v="17"/>
    <x v="13"/>
    <x v="6"/>
    <n v="8"/>
    <n v="312"/>
    <n v="0"/>
    <n v="2496"/>
    <x v="23"/>
    <x v="7"/>
    <n v="10"/>
    <x v="3"/>
    <x v="0"/>
  </r>
  <r>
    <n v="10319"/>
    <x v="64"/>
    <n v="17"/>
    <x v="13"/>
    <x v="6"/>
    <n v="14"/>
    <n v="364"/>
    <n v="0"/>
    <n v="5096"/>
    <x v="23"/>
    <x v="7"/>
    <n v="10"/>
    <x v="3"/>
    <x v="0"/>
  </r>
  <r>
    <n v="10319"/>
    <x v="64"/>
    <n v="17"/>
    <x v="13"/>
    <x v="6"/>
    <n v="30"/>
    <n v="144"/>
    <n v="0"/>
    <n v="4320"/>
    <x v="23"/>
    <x v="7"/>
    <n v="10"/>
    <x v="3"/>
    <x v="0"/>
  </r>
  <r>
    <n v="10320"/>
    <x v="65"/>
    <n v="71"/>
    <x v="20"/>
    <x v="0"/>
    <n v="30"/>
    <n v="172"/>
    <n v="0"/>
    <n v="5160"/>
    <x v="16"/>
    <x v="10"/>
    <n v="10"/>
    <x v="3"/>
    <x v="0"/>
  </r>
  <r>
    <n v="10321"/>
    <x v="65"/>
    <n v="35"/>
    <x v="27"/>
    <x v="5"/>
    <n v="10"/>
    <n v="144"/>
    <n v="0"/>
    <n v="1440"/>
    <x v="42"/>
    <x v="13"/>
    <n v="10"/>
    <x v="3"/>
    <x v="0"/>
  </r>
  <r>
    <n v="10322"/>
    <x v="66"/>
    <n v="52"/>
    <x v="42"/>
    <x v="3"/>
    <n v="20"/>
    <n v="56"/>
    <n v="0"/>
    <n v="1120"/>
    <x v="43"/>
    <x v="7"/>
    <n v="10"/>
    <x v="3"/>
    <x v="0"/>
  </r>
  <r>
    <n v="10323"/>
    <x v="67"/>
    <n v="15"/>
    <x v="25"/>
    <x v="7"/>
    <n v="5"/>
    <n v="124"/>
    <n v="0"/>
    <n v="620"/>
    <x v="44"/>
    <x v="1"/>
    <n v="10"/>
    <x v="3"/>
    <x v="0"/>
  </r>
  <r>
    <n v="10323"/>
    <x v="67"/>
    <n v="15"/>
    <x v="25"/>
    <x v="7"/>
    <n v="4"/>
    <n v="112"/>
    <n v="0"/>
    <n v="448"/>
    <x v="44"/>
    <x v="1"/>
    <n v="10"/>
    <x v="3"/>
    <x v="0"/>
  </r>
  <r>
    <n v="10323"/>
    <x v="67"/>
    <n v="15"/>
    <x v="25"/>
    <x v="7"/>
    <n v="4"/>
    <n v="144"/>
    <n v="0"/>
    <n v="576"/>
    <x v="44"/>
    <x v="1"/>
    <n v="10"/>
    <x v="3"/>
    <x v="0"/>
  </r>
  <r>
    <n v="10324"/>
    <x v="68"/>
    <n v="16"/>
    <x v="12"/>
    <x v="4"/>
    <n v="21"/>
    <n v="139"/>
    <n v="15"/>
    <n v="2481.15"/>
    <x v="45"/>
    <x v="8"/>
    <n v="10"/>
    <x v="3"/>
    <x v="0"/>
  </r>
  <r>
    <n v="10324"/>
    <x v="68"/>
    <n v="16"/>
    <x v="12"/>
    <x v="4"/>
    <n v="70"/>
    <n v="144"/>
    <n v="15"/>
    <n v="8568"/>
    <x v="45"/>
    <x v="8"/>
    <n v="10"/>
    <x v="3"/>
    <x v="0"/>
  </r>
  <r>
    <n v="10324"/>
    <x v="68"/>
    <n v="16"/>
    <x v="12"/>
    <x v="4"/>
    <n v="30"/>
    <n v="96"/>
    <n v="0"/>
    <n v="2880"/>
    <x v="45"/>
    <x v="8"/>
    <n v="10"/>
    <x v="3"/>
    <x v="0"/>
  </r>
  <r>
    <n v="10324"/>
    <x v="68"/>
    <n v="16"/>
    <x v="12"/>
    <x v="4"/>
    <n v="40"/>
    <n v="44"/>
    <n v="15"/>
    <n v="1496"/>
    <x v="45"/>
    <x v="8"/>
    <n v="10"/>
    <x v="3"/>
    <x v="0"/>
  </r>
  <r>
    <n v="10324"/>
    <x v="68"/>
    <n v="16"/>
    <x v="12"/>
    <x v="4"/>
    <n v="80"/>
    <n v="351"/>
    <n v="15"/>
    <n v="23868"/>
    <x v="45"/>
    <x v="8"/>
    <n v="10"/>
    <x v="3"/>
    <x v="0"/>
  </r>
  <r>
    <n v="10325"/>
    <x v="69"/>
    <n v="6"/>
    <x v="43"/>
    <x v="7"/>
    <n v="6"/>
    <n v="20"/>
    <n v="0"/>
    <n v="120"/>
    <x v="44"/>
    <x v="1"/>
    <n v="10"/>
    <x v="3"/>
    <x v="0"/>
  </r>
  <r>
    <n v="10325"/>
    <x v="69"/>
    <n v="6"/>
    <x v="43"/>
    <x v="7"/>
    <n v="12"/>
    <n v="48"/>
    <n v="0"/>
    <n v="576"/>
    <x v="44"/>
    <x v="1"/>
    <n v="10"/>
    <x v="3"/>
    <x v="0"/>
  </r>
  <r>
    <n v="10325"/>
    <x v="69"/>
    <n v="6"/>
    <x v="43"/>
    <x v="7"/>
    <n v="9"/>
    <n v="186"/>
    <n v="0"/>
    <n v="1674"/>
    <x v="44"/>
    <x v="1"/>
    <n v="10"/>
    <x v="3"/>
    <x v="0"/>
  </r>
  <r>
    <n v="10325"/>
    <x v="69"/>
    <n v="6"/>
    <x v="43"/>
    <x v="7"/>
    <n v="4"/>
    <n v="10"/>
    <n v="0"/>
    <n v="40"/>
    <x v="44"/>
    <x v="1"/>
    <n v="10"/>
    <x v="3"/>
    <x v="0"/>
  </r>
  <r>
    <n v="10325"/>
    <x v="69"/>
    <n v="6"/>
    <x v="43"/>
    <x v="7"/>
    <n v="40"/>
    <n v="278"/>
    <n v="0"/>
    <n v="11120"/>
    <x v="44"/>
    <x v="1"/>
    <n v="10"/>
    <x v="3"/>
    <x v="0"/>
  </r>
  <r>
    <n v="10326"/>
    <x v="70"/>
    <n v="4"/>
    <x v="38"/>
    <x v="7"/>
    <n v="24"/>
    <n v="176"/>
    <n v="0"/>
    <n v="4224"/>
    <x v="46"/>
    <x v="12"/>
    <n v="10"/>
    <x v="3"/>
    <x v="0"/>
  </r>
  <r>
    <n v="10326"/>
    <x v="70"/>
    <n v="4"/>
    <x v="38"/>
    <x v="7"/>
    <n v="16"/>
    <n v="156"/>
    <n v="0"/>
    <n v="2496"/>
    <x v="46"/>
    <x v="12"/>
    <n v="10"/>
    <x v="3"/>
    <x v="0"/>
  </r>
  <r>
    <n v="10326"/>
    <x v="70"/>
    <n v="4"/>
    <x v="38"/>
    <x v="7"/>
    <n v="50"/>
    <n v="62"/>
    <n v="0"/>
    <n v="3100"/>
    <x v="46"/>
    <x v="12"/>
    <n v="10"/>
    <x v="3"/>
    <x v="0"/>
  </r>
  <r>
    <n v="10327"/>
    <x v="71"/>
    <n v="2"/>
    <x v="7"/>
    <x v="5"/>
    <n v="25"/>
    <n v="152"/>
    <n v="2"/>
    <n v="3724"/>
    <x v="14"/>
    <x v="9"/>
    <n v="10"/>
    <x v="3"/>
    <x v="0"/>
  </r>
  <r>
    <n v="10327"/>
    <x v="71"/>
    <n v="2"/>
    <x v="7"/>
    <x v="5"/>
    <n v="50"/>
    <n v="168"/>
    <n v="2"/>
    <n v="8232"/>
    <x v="14"/>
    <x v="9"/>
    <n v="10"/>
    <x v="3"/>
    <x v="0"/>
  </r>
  <r>
    <n v="10327"/>
    <x v="71"/>
    <n v="2"/>
    <x v="7"/>
    <x v="5"/>
    <n v="35"/>
    <n v="207"/>
    <n v="2"/>
    <n v="7100.0999999999995"/>
    <x v="14"/>
    <x v="9"/>
    <n v="10"/>
    <x v="3"/>
    <x v="0"/>
  </r>
  <r>
    <n v="10327"/>
    <x v="71"/>
    <n v="2"/>
    <x v="7"/>
    <x v="5"/>
    <n v="30"/>
    <n v="106"/>
    <n v="2"/>
    <n v="3116.4"/>
    <x v="14"/>
    <x v="9"/>
    <n v="10"/>
    <x v="3"/>
    <x v="0"/>
  </r>
  <r>
    <n v="10328"/>
    <x v="72"/>
    <n v="59"/>
    <x v="44"/>
    <x v="0"/>
    <n v="9"/>
    <n v="44"/>
    <n v="0"/>
    <n v="396"/>
    <x v="47"/>
    <x v="15"/>
    <n v="10"/>
    <x v="3"/>
    <x v="0"/>
  </r>
  <r>
    <n v="10328"/>
    <x v="72"/>
    <n v="59"/>
    <x v="44"/>
    <x v="0"/>
    <n v="40"/>
    <n v="168"/>
    <n v="0"/>
    <n v="6720"/>
    <x v="47"/>
    <x v="15"/>
    <n v="10"/>
    <x v="3"/>
    <x v="0"/>
  </r>
  <r>
    <n v="10328"/>
    <x v="72"/>
    <n v="59"/>
    <x v="44"/>
    <x v="0"/>
    <n v="10"/>
    <n v="10"/>
    <n v="0"/>
    <n v="100"/>
    <x v="47"/>
    <x v="15"/>
    <n v="10"/>
    <x v="3"/>
    <x v="0"/>
  </r>
  <r>
    <n v="10329"/>
    <x v="73"/>
    <n v="19"/>
    <x v="23"/>
    <x v="4"/>
    <n v="10"/>
    <n v="73"/>
    <n v="5"/>
    <n v="693.5"/>
    <x v="20"/>
    <x v="8"/>
    <n v="10"/>
    <x v="3"/>
    <x v="0"/>
  </r>
  <r>
    <n v="10329"/>
    <x v="73"/>
    <n v="19"/>
    <x v="23"/>
    <x v="4"/>
    <n v="8"/>
    <n v="207"/>
    <n v="5"/>
    <n v="1573.1999999999998"/>
    <x v="20"/>
    <x v="8"/>
    <n v="10"/>
    <x v="3"/>
    <x v="0"/>
  </r>
  <r>
    <n v="10329"/>
    <x v="73"/>
    <n v="19"/>
    <x v="23"/>
    <x v="4"/>
    <n v="20"/>
    <n v="2108"/>
    <n v="5"/>
    <n v="40052"/>
    <x v="20"/>
    <x v="8"/>
    <n v="10"/>
    <x v="3"/>
    <x v="0"/>
  </r>
  <r>
    <n v="10329"/>
    <x v="73"/>
    <n v="19"/>
    <x v="23"/>
    <x v="4"/>
    <n v="12"/>
    <n v="304"/>
    <n v="5"/>
    <n v="3465.6"/>
    <x v="20"/>
    <x v="8"/>
    <n v="10"/>
    <x v="3"/>
    <x v="0"/>
  </r>
  <r>
    <n v="10330"/>
    <x v="74"/>
    <n v="26"/>
    <x v="45"/>
    <x v="4"/>
    <n v="50"/>
    <n v="249"/>
    <n v="15"/>
    <n v="10582.5"/>
    <x v="28"/>
    <x v="5"/>
    <n v="10"/>
    <x v="3"/>
    <x v="0"/>
  </r>
  <r>
    <n v="10330"/>
    <x v="74"/>
    <n v="26"/>
    <x v="45"/>
    <x v="4"/>
    <n v="25"/>
    <n v="278"/>
    <n v="15"/>
    <n v="5907.5"/>
    <x v="28"/>
    <x v="5"/>
    <n v="10"/>
    <x v="3"/>
    <x v="0"/>
  </r>
  <r>
    <n v="10331"/>
    <x v="74"/>
    <n v="54"/>
    <x v="28"/>
    <x v="6"/>
    <n v="15"/>
    <n v="59"/>
    <n v="0"/>
    <n v="885"/>
    <x v="48"/>
    <x v="0"/>
    <n v="10"/>
    <x v="3"/>
    <x v="0"/>
  </r>
  <r>
    <n v="10332"/>
    <x v="75"/>
    <n v="18"/>
    <x v="31"/>
    <x v="2"/>
    <n v="40"/>
    <n v="50"/>
    <n v="2"/>
    <n v="1960"/>
    <x v="49"/>
    <x v="16"/>
    <n v="10"/>
    <x v="3"/>
    <x v="0"/>
  </r>
  <r>
    <n v="10332"/>
    <x v="75"/>
    <n v="18"/>
    <x v="31"/>
    <x v="2"/>
    <n v="10"/>
    <n v="112"/>
    <n v="2"/>
    <n v="1097.5999999999999"/>
    <x v="49"/>
    <x v="16"/>
    <n v="10"/>
    <x v="3"/>
    <x v="0"/>
  </r>
  <r>
    <n v="10332"/>
    <x v="75"/>
    <n v="18"/>
    <x v="31"/>
    <x v="2"/>
    <n v="16"/>
    <n v="76"/>
    <n v="2"/>
    <n v="1191.68"/>
    <x v="49"/>
    <x v="16"/>
    <n v="10"/>
    <x v="3"/>
    <x v="0"/>
  </r>
  <r>
    <n v="10333"/>
    <x v="76"/>
    <n v="14"/>
    <x v="1"/>
    <x v="1"/>
    <n v="10"/>
    <n v="186"/>
    <n v="0"/>
    <n v="1860"/>
    <x v="16"/>
    <x v="10"/>
    <n v="10"/>
    <x v="3"/>
    <x v="0"/>
  </r>
  <r>
    <n v="10333"/>
    <x v="76"/>
    <n v="14"/>
    <x v="1"/>
    <x v="1"/>
    <n v="10"/>
    <n v="8"/>
    <n v="1"/>
    <n v="79.2"/>
    <x v="16"/>
    <x v="10"/>
    <n v="10"/>
    <x v="3"/>
    <x v="0"/>
  </r>
  <r>
    <n v="10333"/>
    <x v="76"/>
    <n v="14"/>
    <x v="1"/>
    <x v="1"/>
    <n v="40"/>
    <n v="172"/>
    <n v="1"/>
    <n v="6811.2"/>
    <x v="16"/>
    <x v="10"/>
    <n v="10"/>
    <x v="3"/>
    <x v="0"/>
  </r>
  <r>
    <n v="10334"/>
    <x v="77"/>
    <n v="52"/>
    <x v="42"/>
    <x v="3"/>
    <n v="8"/>
    <n v="56"/>
    <n v="0"/>
    <n v="448"/>
    <x v="3"/>
    <x v="0"/>
    <n v="10"/>
    <x v="3"/>
    <x v="0"/>
  </r>
  <r>
    <n v="10334"/>
    <x v="77"/>
    <n v="52"/>
    <x v="42"/>
    <x v="3"/>
    <n v="10"/>
    <n v="10"/>
    <n v="0"/>
    <n v="100"/>
    <x v="3"/>
    <x v="0"/>
    <n v="10"/>
    <x v="3"/>
    <x v="0"/>
  </r>
  <r>
    <n v="10335"/>
    <x v="78"/>
    <n v="2"/>
    <x v="7"/>
    <x v="5"/>
    <n v="7"/>
    <n v="152"/>
    <n v="2"/>
    <n v="1042.72"/>
    <x v="34"/>
    <x v="14"/>
    <n v="10"/>
    <x v="3"/>
    <x v="0"/>
  </r>
  <r>
    <n v="10335"/>
    <x v="78"/>
    <n v="2"/>
    <x v="7"/>
    <x v="5"/>
    <n v="25"/>
    <n v="10"/>
    <n v="2"/>
    <n v="245"/>
    <x v="34"/>
    <x v="14"/>
    <n v="10"/>
    <x v="3"/>
    <x v="0"/>
  </r>
  <r>
    <n v="10335"/>
    <x v="78"/>
    <n v="2"/>
    <x v="7"/>
    <x v="5"/>
    <n v="6"/>
    <n v="256"/>
    <n v="2"/>
    <n v="1505.28"/>
    <x v="34"/>
    <x v="14"/>
    <n v="10"/>
    <x v="3"/>
    <x v="0"/>
  </r>
  <r>
    <n v="10335"/>
    <x v="78"/>
    <n v="2"/>
    <x v="7"/>
    <x v="5"/>
    <n v="48"/>
    <n v="424"/>
    <n v="2"/>
    <n v="19944.96"/>
    <x v="34"/>
    <x v="14"/>
    <n v="10"/>
    <x v="3"/>
    <x v="0"/>
  </r>
  <r>
    <n v="10336"/>
    <x v="79"/>
    <n v="4"/>
    <x v="38"/>
    <x v="7"/>
    <n v="18"/>
    <n v="176"/>
    <n v="1"/>
    <n v="3136.32"/>
    <x v="50"/>
    <x v="15"/>
    <n v="10"/>
    <x v="3"/>
    <x v="0"/>
  </r>
  <r>
    <n v="10337"/>
    <x v="80"/>
    <n v="23"/>
    <x v="46"/>
    <x v="3"/>
    <n v="40"/>
    <n v="72"/>
    <n v="0"/>
    <n v="2880"/>
    <x v="17"/>
    <x v="1"/>
    <n v="10"/>
    <x v="3"/>
    <x v="0"/>
  </r>
  <r>
    <n v="10337"/>
    <x v="80"/>
    <n v="23"/>
    <x v="46"/>
    <x v="3"/>
    <n v="24"/>
    <n v="249"/>
    <n v="0"/>
    <n v="5976"/>
    <x v="17"/>
    <x v="1"/>
    <n v="10"/>
    <x v="3"/>
    <x v="0"/>
  </r>
  <r>
    <n v="10337"/>
    <x v="80"/>
    <n v="23"/>
    <x v="46"/>
    <x v="3"/>
    <n v="20"/>
    <n v="152"/>
    <n v="0"/>
    <n v="3040"/>
    <x v="17"/>
    <x v="1"/>
    <n v="10"/>
    <x v="3"/>
    <x v="0"/>
  </r>
  <r>
    <n v="10337"/>
    <x v="80"/>
    <n v="23"/>
    <x v="46"/>
    <x v="3"/>
    <n v="28"/>
    <n v="208"/>
    <n v="0"/>
    <n v="5824"/>
    <x v="17"/>
    <x v="1"/>
    <n v="10"/>
    <x v="3"/>
    <x v="0"/>
  </r>
  <r>
    <n v="10337"/>
    <x v="80"/>
    <n v="23"/>
    <x v="46"/>
    <x v="3"/>
    <n v="25"/>
    <n v="278"/>
    <n v="0"/>
    <n v="6950"/>
    <x v="17"/>
    <x v="1"/>
    <n v="10"/>
    <x v="3"/>
    <x v="0"/>
  </r>
  <r>
    <n v="10338"/>
    <x v="81"/>
    <n v="17"/>
    <x v="13"/>
    <x v="6"/>
    <n v="20"/>
    <n v="312"/>
    <n v="0"/>
    <n v="6240"/>
    <x v="37"/>
    <x v="8"/>
    <n v="10"/>
    <x v="3"/>
    <x v="0"/>
  </r>
  <r>
    <n v="10338"/>
    <x v="81"/>
    <n v="17"/>
    <x v="13"/>
    <x v="6"/>
    <n v="15"/>
    <n v="207"/>
    <n v="0"/>
    <n v="3105"/>
    <x v="37"/>
    <x v="8"/>
    <n v="10"/>
    <x v="3"/>
    <x v="0"/>
  </r>
  <r>
    <n v="10339"/>
    <x v="82"/>
    <n v="4"/>
    <x v="38"/>
    <x v="7"/>
    <n v="10"/>
    <n v="176"/>
    <n v="0"/>
    <n v="1760"/>
    <x v="49"/>
    <x v="16"/>
    <n v="10"/>
    <x v="3"/>
    <x v="0"/>
  </r>
  <r>
    <n v="10339"/>
    <x v="82"/>
    <n v="4"/>
    <x v="38"/>
    <x v="7"/>
    <n v="70"/>
    <n v="312"/>
    <n v="5"/>
    <n v="20748"/>
    <x v="49"/>
    <x v="16"/>
    <n v="10"/>
    <x v="3"/>
    <x v="0"/>
  </r>
  <r>
    <n v="10339"/>
    <x v="82"/>
    <n v="4"/>
    <x v="38"/>
    <x v="7"/>
    <n v="28"/>
    <n v="394"/>
    <n v="0"/>
    <n v="11032"/>
    <x v="49"/>
    <x v="16"/>
    <n v="10"/>
    <x v="3"/>
    <x v="0"/>
  </r>
  <r>
    <n v="10340"/>
    <x v="83"/>
    <n v="18"/>
    <x v="31"/>
    <x v="2"/>
    <n v="20"/>
    <n v="50"/>
    <n v="5"/>
    <n v="950"/>
    <x v="48"/>
    <x v="0"/>
    <n v="10"/>
    <x v="3"/>
    <x v="0"/>
  </r>
  <r>
    <n v="10340"/>
    <x v="83"/>
    <n v="18"/>
    <x v="31"/>
    <x v="2"/>
    <n v="12"/>
    <n v="77"/>
    <n v="5"/>
    <n v="877.8"/>
    <x v="48"/>
    <x v="0"/>
    <n v="10"/>
    <x v="3"/>
    <x v="0"/>
  </r>
  <r>
    <n v="10340"/>
    <x v="83"/>
    <n v="18"/>
    <x v="31"/>
    <x v="2"/>
    <n v="40"/>
    <n v="368"/>
    <n v="5"/>
    <n v="13984"/>
    <x v="48"/>
    <x v="0"/>
    <n v="10"/>
    <x v="3"/>
    <x v="0"/>
  </r>
  <r>
    <n v="10341"/>
    <x v="83"/>
    <n v="33"/>
    <x v="17"/>
    <x v="0"/>
    <n v="8"/>
    <n v="2"/>
    <n v="0"/>
    <n v="16"/>
    <x v="51"/>
    <x v="17"/>
    <n v="10"/>
    <x v="3"/>
    <x v="0"/>
  </r>
  <r>
    <n v="10341"/>
    <x v="83"/>
    <n v="33"/>
    <x v="17"/>
    <x v="0"/>
    <n v="9"/>
    <n v="44"/>
    <n v="15"/>
    <n v="336.59999999999997"/>
    <x v="51"/>
    <x v="17"/>
    <n v="10"/>
    <x v="3"/>
    <x v="0"/>
  </r>
  <r>
    <n v="10342"/>
    <x v="84"/>
    <n v="2"/>
    <x v="7"/>
    <x v="5"/>
    <n v="24"/>
    <n v="152"/>
    <n v="2"/>
    <n v="3575.04"/>
    <x v="17"/>
    <x v="1"/>
    <n v="10"/>
    <x v="3"/>
    <x v="0"/>
  </r>
  <r>
    <n v="10342"/>
    <x v="84"/>
    <n v="2"/>
    <x v="7"/>
    <x v="5"/>
    <n v="56"/>
    <n v="10"/>
    <n v="2"/>
    <n v="548.79999999999995"/>
    <x v="17"/>
    <x v="1"/>
    <n v="10"/>
    <x v="3"/>
    <x v="0"/>
  </r>
  <r>
    <n v="10342"/>
    <x v="84"/>
    <n v="2"/>
    <x v="7"/>
    <x v="5"/>
    <n v="40"/>
    <n v="152"/>
    <n v="2"/>
    <n v="5958.4"/>
    <x v="17"/>
    <x v="1"/>
    <n v="10"/>
    <x v="3"/>
    <x v="0"/>
  </r>
  <r>
    <n v="10342"/>
    <x v="84"/>
    <n v="2"/>
    <x v="7"/>
    <x v="5"/>
    <n v="40"/>
    <n v="192"/>
    <n v="2"/>
    <n v="7526.4"/>
    <x v="17"/>
    <x v="1"/>
    <n v="10"/>
    <x v="3"/>
    <x v="0"/>
  </r>
  <r>
    <n v="10343"/>
    <x v="85"/>
    <n v="64"/>
    <x v="47"/>
    <x v="3"/>
    <n v="50"/>
    <n v="266"/>
    <n v="0"/>
    <n v="13300"/>
    <x v="26"/>
    <x v="1"/>
    <n v="10"/>
    <x v="3"/>
    <x v="0"/>
  </r>
  <r>
    <n v="10343"/>
    <x v="85"/>
    <n v="64"/>
    <x v="47"/>
    <x v="3"/>
    <n v="4"/>
    <n v="10"/>
    <n v="5"/>
    <n v="38"/>
    <x v="26"/>
    <x v="1"/>
    <n v="10"/>
    <x v="3"/>
    <x v="0"/>
  </r>
  <r>
    <n v="10343"/>
    <x v="85"/>
    <n v="64"/>
    <x v="47"/>
    <x v="3"/>
    <n v="15"/>
    <n v="144"/>
    <n v="0"/>
    <n v="2160"/>
    <x v="26"/>
    <x v="1"/>
    <n v="10"/>
    <x v="3"/>
    <x v="0"/>
  </r>
  <r>
    <n v="10344"/>
    <x v="86"/>
    <n v="4"/>
    <x v="38"/>
    <x v="7"/>
    <n v="35"/>
    <n v="176"/>
    <n v="0"/>
    <n v="6160"/>
    <x v="19"/>
    <x v="8"/>
    <n v="11"/>
    <x v="4"/>
    <x v="0"/>
  </r>
  <r>
    <n v="10344"/>
    <x v="86"/>
    <n v="4"/>
    <x v="38"/>
    <x v="7"/>
    <n v="70"/>
    <n v="32"/>
    <n v="25"/>
    <n v="1680"/>
    <x v="19"/>
    <x v="8"/>
    <n v="11"/>
    <x v="4"/>
    <x v="0"/>
  </r>
  <r>
    <n v="10345"/>
    <x v="87"/>
    <n v="8"/>
    <x v="48"/>
    <x v="7"/>
    <n v="70"/>
    <n v="32"/>
    <n v="0"/>
    <n v="2240"/>
    <x v="21"/>
    <x v="1"/>
    <n v="11"/>
    <x v="4"/>
    <x v="0"/>
  </r>
  <r>
    <n v="10345"/>
    <x v="87"/>
    <n v="8"/>
    <x v="48"/>
    <x v="7"/>
    <n v="80"/>
    <n v="73"/>
    <n v="0"/>
    <n v="5840"/>
    <x v="21"/>
    <x v="1"/>
    <n v="11"/>
    <x v="4"/>
    <x v="0"/>
  </r>
  <r>
    <n v="10345"/>
    <x v="87"/>
    <n v="8"/>
    <x v="48"/>
    <x v="7"/>
    <n v="9"/>
    <n v="112"/>
    <n v="0"/>
    <n v="1008"/>
    <x v="21"/>
    <x v="1"/>
    <n v="11"/>
    <x v="4"/>
    <x v="0"/>
  </r>
  <r>
    <n v="10346"/>
    <x v="88"/>
    <n v="17"/>
    <x v="13"/>
    <x v="6"/>
    <n v="36"/>
    <n v="312"/>
    <n v="1"/>
    <n v="11119.68"/>
    <x v="13"/>
    <x v="8"/>
    <n v="11"/>
    <x v="4"/>
    <x v="0"/>
  </r>
  <r>
    <n v="10346"/>
    <x v="88"/>
    <n v="17"/>
    <x v="13"/>
    <x v="6"/>
    <n v="20"/>
    <n v="304"/>
    <n v="0"/>
    <n v="6080"/>
    <x v="13"/>
    <x v="8"/>
    <n v="11"/>
    <x v="4"/>
    <x v="0"/>
  </r>
  <r>
    <n v="10347"/>
    <x v="89"/>
    <n v="25"/>
    <x v="49"/>
    <x v="4"/>
    <n v="10"/>
    <n v="112"/>
    <n v="0"/>
    <n v="1120"/>
    <x v="52"/>
    <x v="2"/>
    <n v="11"/>
    <x v="4"/>
    <x v="0"/>
  </r>
  <r>
    <n v="10347"/>
    <x v="89"/>
    <n v="25"/>
    <x v="49"/>
    <x v="4"/>
    <n v="50"/>
    <n v="144"/>
    <n v="15"/>
    <n v="6120"/>
    <x v="52"/>
    <x v="2"/>
    <n v="11"/>
    <x v="4"/>
    <x v="0"/>
  </r>
  <r>
    <n v="10347"/>
    <x v="89"/>
    <n v="25"/>
    <x v="49"/>
    <x v="4"/>
    <n v="4"/>
    <n v="147"/>
    <n v="0"/>
    <n v="588"/>
    <x v="52"/>
    <x v="2"/>
    <n v="11"/>
    <x v="4"/>
    <x v="0"/>
  </r>
  <r>
    <n v="10347"/>
    <x v="89"/>
    <n v="25"/>
    <x v="49"/>
    <x v="4"/>
    <n v="6"/>
    <n v="62"/>
    <n v="15"/>
    <n v="316.2"/>
    <x v="52"/>
    <x v="2"/>
    <n v="11"/>
    <x v="4"/>
    <x v="0"/>
  </r>
  <r>
    <n v="10348"/>
    <x v="90"/>
    <n v="1"/>
    <x v="26"/>
    <x v="5"/>
    <n v="15"/>
    <n v="144"/>
    <n v="15"/>
    <n v="1836"/>
    <x v="35"/>
    <x v="1"/>
    <n v="11"/>
    <x v="4"/>
    <x v="0"/>
  </r>
  <r>
    <n v="10348"/>
    <x v="90"/>
    <n v="1"/>
    <x v="26"/>
    <x v="5"/>
    <n v="25"/>
    <n v="72"/>
    <n v="0"/>
    <n v="1800"/>
    <x v="35"/>
    <x v="1"/>
    <n v="11"/>
    <x v="4"/>
    <x v="0"/>
  </r>
  <r>
    <n v="10349"/>
    <x v="91"/>
    <n v="54"/>
    <x v="28"/>
    <x v="6"/>
    <n v="24"/>
    <n v="59"/>
    <n v="0"/>
    <n v="1416"/>
    <x v="20"/>
    <x v="8"/>
    <n v="11"/>
    <x v="4"/>
    <x v="0"/>
  </r>
  <r>
    <n v="10350"/>
    <x v="92"/>
    <n v="50"/>
    <x v="50"/>
    <x v="4"/>
    <n v="15"/>
    <n v="13"/>
    <n v="1"/>
    <n v="193.05"/>
    <x v="53"/>
    <x v="0"/>
    <n v="11"/>
    <x v="4"/>
    <x v="0"/>
  </r>
  <r>
    <n v="10350"/>
    <x v="92"/>
    <n v="50"/>
    <x v="50"/>
    <x v="4"/>
    <n v="18"/>
    <n v="288"/>
    <n v="1"/>
    <n v="5132.16"/>
    <x v="53"/>
    <x v="0"/>
    <n v="11"/>
    <x v="4"/>
    <x v="0"/>
  </r>
  <r>
    <n v="10351"/>
    <x v="92"/>
    <n v="38"/>
    <x v="51"/>
    <x v="5"/>
    <n v="20"/>
    <n v="2108"/>
    <n v="5"/>
    <n v="40052"/>
    <x v="9"/>
    <x v="6"/>
    <n v="11"/>
    <x v="4"/>
    <x v="0"/>
  </r>
  <r>
    <n v="10351"/>
    <x v="92"/>
    <n v="38"/>
    <x v="51"/>
    <x v="5"/>
    <n v="13"/>
    <n v="77"/>
    <n v="0"/>
    <n v="1001"/>
    <x v="9"/>
    <x v="6"/>
    <n v="11"/>
    <x v="4"/>
    <x v="0"/>
  </r>
  <r>
    <n v="10351"/>
    <x v="92"/>
    <n v="38"/>
    <x v="51"/>
    <x v="5"/>
    <n v="77"/>
    <n v="155"/>
    <n v="5"/>
    <n v="11338.25"/>
    <x v="9"/>
    <x v="6"/>
    <n v="11"/>
    <x v="4"/>
    <x v="0"/>
  </r>
  <r>
    <n v="10351"/>
    <x v="92"/>
    <n v="38"/>
    <x v="51"/>
    <x v="5"/>
    <n v="10"/>
    <n v="168"/>
    <n v="5"/>
    <n v="1596"/>
    <x v="9"/>
    <x v="6"/>
    <n v="11"/>
    <x v="4"/>
    <x v="0"/>
  </r>
  <r>
    <n v="10352"/>
    <x v="93"/>
    <n v="24"/>
    <x v="6"/>
    <x v="5"/>
    <n v="10"/>
    <n v="36"/>
    <n v="0"/>
    <n v="360"/>
    <x v="47"/>
    <x v="15"/>
    <n v="11"/>
    <x v="4"/>
    <x v="0"/>
  </r>
  <r>
    <n v="10352"/>
    <x v="93"/>
    <n v="24"/>
    <x v="6"/>
    <x v="5"/>
    <n v="20"/>
    <n v="59"/>
    <n v="15"/>
    <n v="1003"/>
    <x v="47"/>
    <x v="15"/>
    <n v="11"/>
    <x v="4"/>
    <x v="0"/>
  </r>
  <r>
    <n v="10353"/>
    <x v="94"/>
    <n v="11"/>
    <x v="0"/>
    <x v="0"/>
    <n v="12"/>
    <n v="168"/>
    <n v="2"/>
    <n v="1975.68"/>
    <x v="54"/>
    <x v="6"/>
    <n v="11"/>
    <x v="4"/>
    <x v="0"/>
  </r>
  <r>
    <n v="10353"/>
    <x v="94"/>
    <n v="11"/>
    <x v="0"/>
    <x v="0"/>
    <n v="50"/>
    <n v="2108"/>
    <n v="2"/>
    <n v="103292"/>
    <x v="54"/>
    <x v="6"/>
    <n v="11"/>
    <x v="4"/>
    <x v="0"/>
  </r>
  <r>
    <n v="10354"/>
    <x v="95"/>
    <n v="1"/>
    <x v="26"/>
    <x v="5"/>
    <n v="12"/>
    <n v="144"/>
    <n v="0"/>
    <n v="1728"/>
    <x v="43"/>
    <x v="7"/>
    <n v="11"/>
    <x v="4"/>
    <x v="0"/>
  </r>
  <r>
    <n v="10354"/>
    <x v="95"/>
    <n v="1"/>
    <x v="26"/>
    <x v="5"/>
    <n v="4"/>
    <n v="99"/>
    <n v="0"/>
    <n v="396"/>
    <x v="43"/>
    <x v="7"/>
    <n v="11"/>
    <x v="4"/>
    <x v="0"/>
  </r>
  <r>
    <n v="10355"/>
    <x v="96"/>
    <n v="24"/>
    <x v="6"/>
    <x v="5"/>
    <n v="25"/>
    <n v="36"/>
    <n v="0"/>
    <n v="900"/>
    <x v="55"/>
    <x v="13"/>
    <n v="11"/>
    <x v="4"/>
    <x v="0"/>
  </r>
  <r>
    <n v="10355"/>
    <x v="96"/>
    <n v="24"/>
    <x v="6"/>
    <x v="5"/>
    <n v="25"/>
    <n v="156"/>
    <n v="0"/>
    <n v="3900"/>
    <x v="55"/>
    <x v="13"/>
    <n v="11"/>
    <x v="4"/>
    <x v="0"/>
  </r>
  <r>
    <n v="10356"/>
    <x v="97"/>
    <n v="31"/>
    <x v="5"/>
    <x v="0"/>
    <n v="30"/>
    <n v="10"/>
    <n v="0"/>
    <n v="300"/>
    <x v="35"/>
    <x v="1"/>
    <n v="11"/>
    <x v="4"/>
    <x v="0"/>
  </r>
  <r>
    <n v="10356"/>
    <x v="97"/>
    <n v="31"/>
    <x v="5"/>
    <x v="0"/>
    <n v="12"/>
    <n v="192"/>
    <n v="0"/>
    <n v="2304"/>
    <x v="35"/>
    <x v="1"/>
    <n v="11"/>
    <x v="4"/>
    <x v="0"/>
  </r>
  <r>
    <n v="10356"/>
    <x v="97"/>
    <n v="31"/>
    <x v="5"/>
    <x v="0"/>
    <n v="20"/>
    <n v="288"/>
    <n v="0"/>
    <n v="5760"/>
    <x v="35"/>
    <x v="1"/>
    <n v="11"/>
    <x v="4"/>
    <x v="0"/>
  </r>
  <r>
    <n v="10357"/>
    <x v="98"/>
    <n v="10"/>
    <x v="19"/>
    <x v="2"/>
    <n v="30"/>
    <n v="248"/>
    <n v="2"/>
    <n v="7291.2"/>
    <x v="28"/>
    <x v="5"/>
    <n v="11"/>
    <x v="4"/>
    <x v="0"/>
  </r>
  <r>
    <n v="10357"/>
    <x v="98"/>
    <n v="10"/>
    <x v="19"/>
    <x v="2"/>
    <n v="16"/>
    <n v="249"/>
    <n v="0"/>
    <n v="3984"/>
    <x v="28"/>
    <x v="5"/>
    <n v="11"/>
    <x v="4"/>
    <x v="0"/>
  </r>
  <r>
    <n v="10357"/>
    <x v="98"/>
    <n v="10"/>
    <x v="19"/>
    <x v="2"/>
    <n v="8"/>
    <n v="272"/>
    <n v="2"/>
    <n v="2132.48"/>
    <x v="28"/>
    <x v="5"/>
    <n v="11"/>
    <x v="4"/>
    <x v="0"/>
  </r>
  <r>
    <n v="10358"/>
    <x v="99"/>
    <n v="24"/>
    <x v="6"/>
    <x v="5"/>
    <n v="10"/>
    <n v="36"/>
    <n v="5"/>
    <n v="342"/>
    <x v="53"/>
    <x v="0"/>
    <n v="11"/>
    <x v="4"/>
    <x v="0"/>
  </r>
  <r>
    <n v="10358"/>
    <x v="99"/>
    <n v="24"/>
    <x v="6"/>
    <x v="5"/>
    <n v="10"/>
    <n v="112"/>
    <n v="5"/>
    <n v="1064"/>
    <x v="53"/>
    <x v="0"/>
    <n v="11"/>
    <x v="4"/>
    <x v="0"/>
  </r>
  <r>
    <n v="10358"/>
    <x v="99"/>
    <n v="24"/>
    <x v="6"/>
    <x v="5"/>
    <n v="20"/>
    <n v="152"/>
    <n v="5"/>
    <n v="2888"/>
    <x v="53"/>
    <x v="0"/>
    <n v="11"/>
    <x v="4"/>
    <x v="0"/>
  </r>
  <r>
    <n v="10359"/>
    <x v="100"/>
    <n v="16"/>
    <x v="12"/>
    <x v="4"/>
    <n v="56"/>
    <n v="139"/>
    <n v="5"/>
    <n v="7394.7999999999993"/>
    <x v="56"/>
    <x v="13"/>
    <n v="11"/>
    <x v="4"/>
    <x v="0"/>
  </r>
  <r>
    <n v="10359"/>
    <x v="100"/>
    <n v="16"/>
    <x v="12"/>
    <x v="4"/>
    <n v="70"/>
    <n v="10"/>
    <n v="5"/>
    <n v="665"/>
    <x v="56"/>
    <x v="13"/>
    <n v="11"/>
    <x v="4"/>
    <x v="0"/>
  </r>
  <r>
    <n v="10359"/>
    <x v="100"/>
    <n v="16"/>
    <x v="12"/>
    <x v="4"/>
    <n v="80"/>
    <n v="272"/>
    <n v="5"/>
    <n v="20672"/>
    <x v="56"/>
    <x v="13"/>
    <n v="11"/>
    <x v="4"/>
    <x v="0"/>
  </r>
  <r>
    <n v="10360"/>
    <x v="101"/>
    <n v="28"/>
    <x v="21"/>
    <x v="1"/>
    <n v="30"/>
    <n v="364"/>
    <n v="0"/>
    <n v="10920"/>
    <x v="15"/>
    <x v="0"/>
    <n v="11"/>
    <x v="4"/>
    <x v="0"/>
  </r>
  <r>
    <n v="10360"/>
    <x v="101"/>
    <n v="28"/>
    <x v="21"/>
    <x v="1"/>
    <n v="35"/>
    <n v="99"/>
    <n v="0"/>
    <n v="3465"/>
    <x v="15"/>
    <x v="0"/>
    <n v="11"/>
    <x v="4"/>
    <x v="0"/>
  </r>
  <r>
    <n v="10360"/>
    <x v="101"/>
    <n v="28"/>
    <x v="21"/>
    <x v="1"/>
    <n v="10"/>
    <n v="2108"/>
    <n v="0"/>
    <n v="21080"/>
    <x v="15"/>
    <x v="0"/>
    <n v="11"/>
    <x v="4"/>
    <x v="0"/>
  </r>
  <r>
    <n v="10360"/>
    <x v="101"/>
    <n v="28"/>
    <x v="21"/>
    <x v="1"/>
    <n v="35"/>
    <n v="16"/>
    <n v="0"/>
    <n v="560"/>
    <x v="15"/>
    <x v="0"/>
    <n v="11"/>
    <x v="4"/>
    <x v="0"/>
  </r>
  <r>
    <n v="10360"/>
    <x v="101"/>
    <n v="28"/>
    <x v="21"/>
    <x v="1"/>
    <n v="28"/>
    <n v="59"/>
    <n v="0"/>
    <n v="1652"/>
    <x v="15"/>
    <x v="0"/>
    <n v="11"/>
    <x v="4"/>
    <x v="0"/>
  </r>
  <r>
    <n v="10361"/>
    <x v="101"/>
    <n v="39"/>
    <x v="33"/>
    <x v="5"/>
    <n v="54"/>
    <n v="144"/>
    <n v="1"/>
    <n v="7698.24"/>
    <x v="21"/>
    <x v="1"/>
    <n v="11"/>
    <x v="4"/>
    <x v="0"/>
  </r>
  <r>
    <n v="10361"/>
    <x v="101"/>
    <n v="39"/>
    <x v="33"/>
    <x v="5"/>
    <n v="55"/>
    <n v="272"/>
    <n v="1"/>
    <n v="14810.4"/>
    <x v="21"/>
    <x v="1"/>
    <n v="11"/>
    <x v="4"/>
    <x v="0"/>
  </r>
  <r>
    <n v="10362"/>
    <x v="102"/>
    <n v="25"/>
    <x v="49"/>
    <x v="4"/>
    <n v="50"/>
    <n v="112"/>
    <n v="0"/>
    <n v="5600"/>
    <x v="48"/>
    <x v="0"/>
    <n v="11"/>
    <x v="4"/>
    <x v="0"/>
  </r>
  <r>
    <n v="10362"/>
    <x v="102"/>
    <n v="25"/>
    <x v="49"/>
    <x v="4"/>
    <n v="20"/>
    <n v="424"/>
    <n v="0"/>
    <n v="8480"/>
    <x v="48"/>
    <x v="0"/>
    <n v="11"/>
    <x v="4"/>
    <x v="0"/>
  </r>
  <r>
    <n v="10362"/>
    <x v="102"/>
    <n v="25"/>
    <x v="49"/>
    <x v="4"/>
    <n v="24"/>
    <n v="59"/>
    <n v="0"/>
    <n v="1416"/>
    <x v="48"/>
    <x v="0"/>
    <n v="11"/>
    <x v="4"/>
    <x v="0"/>
  </r>
  <r>
    <n v="10363"/>
    <x v="103"/>
    <n v="31"/>
    <x v="5"/>
    <x v="0"/>
    <n v="20"/>
    <n v="10"/>
    <n v="0"/>
    <n v="200"/>
    <x v="57"/>
    <x v="1"/>
    <n v="11"/>
    <x v="4"/>
    <x v="0"/>
  </r>
  <r>
    <n v="10363"/>
    <x v="103"/>
    <n v="31"/>
    <x v="5"/>
    <x v="0"/>
    <n v="12"/>
    <n v="62"/>
    <n v="0"/>
    <n v="744"/>
    <x v="57"/>
    <x v="1"/>
    <n v="11"/>
    <x v="4"/>
    <x v="0"/>
  </r>
  <r>
    <n v="10363"/>
    <x v="103"/>
    <n v="31"/>
    <x v="5"/>
    <x v="0"/>
    <n v="12"/>
    <n v="144"/>
    <n v="0"/>
    <n v="1728"/>
    <x v="57"/>
    <x v="1"/>
    <n v="11"/>
    <x v="4"/>
    <x v="0"/>
  </r>
  <r>
    <n v="10364"/>
    <x v="103"/>
    <n v="69"/>
    <x v="37"/>
    <x v="0"/>
    <n v="30"/>
    <n v="288"/>
    <n v="0"/>
    <n v="8640"/>
    <x v="58"/>
    <x v="13"/>
    <n v="11"/>
    <x v="4"/>
    <x v="0"/>
  </r>
  <r>
    <n v="10364"/>
    <x v="103"/>
    <n v="69"/>
    <x v="37"/>
    <x v="0"/>
    <n v="5"/>
    <n v="172"/>
    <n v="0"/>
    <n v="860"/>
    <x v="58"/>
    <x v="13"/>
    <n v="11"/>
    <x v="4"/>
    <x v="0"/>
  </r>
  <r>
    <n v="10365"/>
    <x v="104"/>
    <n v="11"/>
    <x v="0"/>
    <x v="0"/>
    <n v="24"/>
    <n v="168"/>
    <n v="0"/>
    <n v="4032"/>
    <x v="59"/>
    <x v="7"/>
    <n v="11"/>
    <x v="4"/>
    <x v="0"/>
  </r>
  <r>
    <n v="10366"/>
    <x v="105"/>
    <n v="65"/>
    <x v="52"/>
    <x v="7"/>
    <n v="5"/>
    <n v="168"/>
    <n v="0"/>
    <n v="840"/>
    <x v="60"/>
    <x v="12"/>
    <n v="11"/>
    <x v="4"/>
    <x v="0"/>
  </r>
  <r>
    <n v="10366"/>
    <x v="105"/>
    <n v="65"/>
    <x v="52"/>
    <x v="7"/>
    <n v="5"/>
    <n v="104"/>
    <n v="0"/>
    <n v="520"/>
    <x v="60"/>
    <x v="12"/>
    <n v="11"/>
    <x v="4"/>
    <x v="0"/>
  </r>
  <r>
    <n v="10367"/>
    <x v="105"/>
    <n v="34"/>
    <x v="41"/>
    <x v="5"/>
    <n v="36"/>
    <n v="112"/>
    <n v="0"/>
    <n v="4032"/>
    <x v="61"/>
    <x v="17"/>
    <n v="11"/>
    <x v="4"/>
    <x v="0"/>
  </r>
  <r>
    <n v="10367"/>
    <x v="105"/>
    <n v="34"/>
    <x v="41"/>
    <x v="5"/>
    <n v="18"/>
    <n v="59"/>
    <n v="0"/>
    <n v="1062"/>
    <x v="61"/>
    <x v="17"/>
    <n v="11"/>
    <x v="4"/>
    <x v="0"/>
  </r>
  <r>
    <n v="10367"/>
    <x v="105"/>
    <n v="34"/>
    <x v="41"/>
    <x v="5"/>
    <n v="15"/>
    <n v="168"/>
    <n v="0"/>
    <n v="2520"/>
    <x v="61"/>
    <x v="17"/>
    <n v="11"/>
    <x v="4"/>
    <x v="0"/>
  </r>
  <r>
    <n v="10367"/>
    <x v="105"/>
    <n v="34"/>
    <x v="41"/>
    <x v="5"/>
    <n v="7"/>
    <n v="104"/>
    <n v="0"/>
    <n v="728"/>
    <x v="61"/>
    <x v="17"/>
    <n v="11"/>
    <x v="4"/>
    <x v="0"/>
  </r>
  <r>
    <n v="10368"/>
    <x v="106"/>
    <n v="21"/>
    <x v="10"/>
    <x v="4"/>
    <n v="5"/>
    <n v="8"/>
    <n v="1"/>
    <n v="39.6"/>
    <x v="9"/>
    <x v="6"/>
    <n v="11"/>
    <x v="4"/>
    <x v="0"/>
  </r>
  <r>
    <n v="10368"/>
    <x v="106"/>
    <n v="21"/>
    <x v="10"/>
    <x v="4"/>
    <n v="13"/>
    <n v="364"/>
    <n v="1"/>
    <n v="4684.68"/>
    <x v="9"/>
    <x v="6"/>
    <n v="11"/>
    <x v="4"/>
    <x v="0"/>
  </r>
  <r>
    <n v="10368"/>
    <x v="106"/>
    <n v="21"/>
    <x v="10"/>
    <x v="4"/>
    <n v="25"/>
    <n v="156"/>
    <n v="0"/>
    <n v="3900"/>
    <x v="9"/>
    <x v="6"/>
    <n v="11"/>
    <x v="4"/>
    <x v="0"/>
  </r>
  <r>
    <n v="10368"/>
    <x v="106"/>
    <n v="21"/>
    <x v="10"/>
    <x v="4"/>
    <n v="35"/>
    <n v="266"/>
    <n v="1"/>
    <n v="9216.9"/>
    <x v="9"/>
    <x v="6"/>
    <n v="11"/>
    <x v="4"/>
    <x v="0"/>
  </r>
  <r>
    <n v="10369"/>
    <x v="107"/>
    <n v="29"/>
    <x v="16"/>
    <x v="6"/>
    <n v="20"/>
    <n v="99"/>
    <n v="0"/>
    <n v="1980"/>
    <x v="20"/>
    <x v="8"/>
    <n v="12"/>
    <x v="5"/>
    <x v="0"/>
  </r>
  <r>
    <n v="10369"/>
    <x v="107"/>
    <n v="29"/>
    <x v="16"/>
    <x v="6"/>
    <n v="18"/>
    <n v="304"/>
    <n v="25"/>
    <n v="4104"/>
    <x v="20"/>
    <x v="8"/>
    <n v="12"/>
    <x v="5"/>
    <x v="0"/>
  </r>
  <r>
    <n v="10370"/>
    <x v="108"/>
    <n v="1"/>
    <x v="26"/>
    <x v="5"/>
    <n v="15"/>
    <n v="144"/>
    <n v="15"/>
    <n v="1836"/>
    <x v="5"/>
    <x v="4"/>
    <n v="12"/>
    <x v="5"/>
    <x v="0"/>
  </r>
  <r>
    <n v="10370"/>
    <x v="108"/>
    <n v="1"/>
    <x v="26"/>
    <x v="5"/>
    <n v="30"/>
    <n v="266"/>
    <n v="0"/>
    <n v="7980"/>
    <x v="5"/>
    <x v="4"/>
    <n v="12"/>
    <x v="5"/>
    <x v="0"/>
  </r>
  <r>
    <n v="10370"/>
    <x v="108"/>
    <n v="1"/>
    <x v="26"/>
    <x v="5"/>
    <n v="20"/>
    <n v="8"/>
    <n v="15"/>
    <n v="136"/>
    <x v="5"/>
    <x v="4"/>
    <n v="12"/>
    <x v="5"/>
    <x v="0"/>
  </r>
  <r>
    <n v="10371"/>
    <x v="108"/>
    <n v="36"/>
    <x v="18"/>
    <x v="2"/>
    <n v="6"/>
    <n v="152"/>
    <n v="2"/>
    <n v="893.76"/>
    <x v="53"/>
    <x v="0"/>
    <n v="12"/>
    <x v="5"/>
    <x v="0"/>
  </r>
  <r>
    <n v="10372"/>
    <x v="109"/>
    <n v="20"/>
    <x v="4"/>
    <x v="4"/>
    <n v="12"/>
    <n v="648"/>
    <n v="25"/>
    <n v="5832"/>
    <x v="62"/>
    <x v="2"/>
    <n v="12"/>
    <x v="5"/>
    <x v="0"/>
  </r>
  <r>
    <n v="10372"/>
    <x v="109"/>
    <n v="20"/>
    <x v="4"/>
    <x v="4"/>
    <n v="40"/>
    <n v="2108"/>
    <n v="25"/>
    <n v="63240"/>
    <x v="62"/>
    <x v="2"/>
    <n v="12"/>
    <x v="5"/>
    <x v="0"/>
  </r>
  <r>
    <n v="10372"/>
    <x v="109"/>
    <n v="20"/>
    <x v="4"/>
    <x v="4"/>
    <n v="70"/>
    <n v="272"/>
    <n v="25"/>
    <n v="14280"/>
    <x v="62"/>
    <x v="2"/>
    <n v="12"/>
    <x v="5"/>
    <x v="0"/>
  </r>
  <r>
    <n v="10372"/>
    <x v="109"/>
    <n v="20"/>
    <x v="4"/>
    <x v="4"/>
    <n v="42"/>
    <n v="278"/>
    <n v="25"/>
    <n v="8757"/>
    <x v="62"/>
    <x v="2"/>
    <n v="12"/>
    <x v="5"/>
    <x v="0"/>
  </r>
  <r>
    <n v="10373"/>
    <x v="110"/>
    <n v="58"/>
    <x v="53"/>
    <x v="2"/>
    <n v="80"/>
    <n v="106"/>
    <n v="2"/>
    <n v="8310.4"/>
    <x v="34"/>
    <x v="14"/>
    <n v="12"/>
    <x v="5"/>
    <x v="0"/>
  </r>
  <r>
    <n v="10373"/>
    <x v="110"/>
    <n v="58"/>
    <x v="53"/>
    <x v="2"/>
    <n v="50"/>
    <n v="172"/>
    <n v="2"/>
    <n v="8428"/>
    <x v="34"/>
    <x v="14"/>
    <n v="12"/>
    <x v="5"/>
    <x v="0"/>
  </r>
  <r>
    <n v="10374"/>
    <x v="110"/>
    <n v="31"/>
    <x v="5"/>
    <x v="0"/>
    <n v="30"/>
    <n v="10"/>
    <n v="0"/>
    <n v="300"/>
    <x v="63"/>
    <x v="18"/>
    <n v="12"/>
    <x v="5"/>
    <x v="0"/>
  </r>
  <r>
    <n v="10374"/>
    <x v="110"/>
    <n v="31"/>
    <x v="5"/>
    <x v="0"/>
    <n v="15"/>
    <n v="106"/>
    <n v="0"/>
    <n v="1590"/>
    <x v="63"/>
    <x v="18"/>
    <n v="12"/>
    <x v="5"/>
    <x v="0"/>
  </r>
  <r>
    <n v="10375"/>
    <x v="111"/>
    <n v="14"/>
    <x v="1"/>
    <x v="1"/>
    <n v="15"/>
    <n v="186"/>
    <n v="0"/>
    <n v="2790"/>
    <x v="64"/>
    <x v="8"/>
    <n v="12"/>
    <x v="5"/>
    <x v="0"/>
  </r>
  <r>
    <n v="10375"/>
    <x v="111"/>
    <n v="14"/>
    <x v="1"/>
    <x v="1"/>
    <n v="10"/>
    <n v="59"/>
    <n v="0"/>
    <n v="590"/>
    <x v="64"/>
    <x v="8"/>
    <n v="12"/>
    <x v="5"/>
    <x v="0"/>
  </r>
  <r>
    <n v="10376"/>
    <x v="112"/>
    <n v="31"/>
    <x v="5"/>
    <x v="0"/>
    <n v="42"/>
    <n v="10"/>
    <n v="5"/>
    <n v="399"/>
    <x v="49"/>
    <x v="16"/>
    <n v="12"/>
    <x v="5"/>
    <x v="0"/>
  </r>
  <r>
    <n v="10377"/>
    <x v="112"/>
    <n v="28"/>
    <x v="21"/>
    <x v="1"/>
    <n v="20"/>
    <n v="364"/>
    <n v="15"/>
    <n v="6188"/>
    <x v="56"/>
    <x v="13"/>
    <n v="12"/>
    <x v="5"/>
    <x v="0"/>
  </r>
  <r>
    <n v="10377"/>
    <x v="112"/>
    <n v="28"/>
    <x v="21"/>
    <x v="1"/>
    <n v="20"/>
    <n v="144"/>
    <n v="15"/>
    <n v="2448"/>
    <x v="56"/>
    <x v="13"/>
    <n v="12"/>
    <x v="5"/>
    <x v="0"/>
  </r>
  <r>
    <n v="10378"/>
    <x v="113"/>
    <n v="71"/>
    <x v="20"/>
    <x v="0"/>
    <n v="6"/>
    <n v="172"/>
    <n v="0"/>
    <n v="1032"/>
    <x v="14"/>
    <x v="9"/>
    <n v="12"/>
    <x v="5"/>
    <x v="0"/>
  </r>
  <r>
    <n v="10379"/>
    <x v="114"/>
    <n v="41"/>
    <x v="2"/>
    <x v="2"/>
    <n v="8"/>
    <n v="77"/>
    <n v="1"/>
    <n v="609.84"/>
    <x v="12"/>
    <x v="2"/>
    <n v="12"/>
    <x v="5"/>
    <x v="0"/>
  </r>
  <r>
    <n v="10379"/>
    <x v="114"/>
    <n v="41"/>
    <x v="2"/>
    <x v="2"/>
    <n v="16"/>
    <n v="351"/>
    <n v="1"/>
    <n v="5559.84"/>
    <x v="12"/>
    <x v="2"/>
    <n v="12"/>
    <x v="5"/>
    <x v="0"/>
  </r>
  <r>
    <n v="10379"/>
    <x v="114"/>
    <n v="41"/>
    <x v="2"/>
    <x v="2"/>
    <n v="20"/>
    <n v="168"/>
    <n v="1"/>
    <n v="3326.4"/>
    <x v="12"/>
    <x v="2"/>
    <n v="12"/>
    <x v="5"/>
    <x v="0"/>
  </r>
  <r>
    <n v="10380"/>
    <x v="115"/>
    <n v="30"/>
    <x v="24"/>
    <x v="2"/>
    <n v="18"/>
    <n v="207"/>
    <n v="1"/>
    <n v="3688.74"/>
    <x v="34"/>
    <x v="14"/>
    <n v="12"/>
    <x v="5"/>
    <x v="0"/>
  </r>
  <r>
    <n v="10380"/>
    <x v="115"/>
    <n v="30"/>
    <x v="24"/>
    <x v="2"/>
    <n v="20"/>
    <n v="262"/>
    <n v="1"/>
    <n v="5187.6000000000004"/>
    <x v="34"/>
    <x v="14"/>
    <n v="12"/>
    <x v="5"/>
    <x v="0"/>
  </r>
  <r>
    <n v="10380"/>
    <x v="115"/>
    <n v="30"/>
    <x v="24"/>
    <x v="2"/>
    <n v="6"/>
    <n v="272"/>
    <n v="1"/>
    <n v="1615.68"/>
    <x v="34"/>
    <x v="14"/>
    <n v="12"/>
    <x v="5"/>
    <x v="0"/>
  </r>
  <r>
    <n v="10380"/>
    <x v="115"/>
    <n v="30"/>
    <x v="24"/>
    <x v="2"/>
    <n v="30"/>
    <n v="12"/>
    <n v="0"/>
    <n v="360"/>
    <x v="34"/>
    <x v="14"/>
    <n v="12"/>
    <x v="5"/>
    <x v="0"/>
  </r>
  <r>
    <n v="10381"/>
    <x v="115"/>
    <n v="74"/>
    <x v="54"/>
    <x v="1"/>
    <n v="14"/>
    <n v="8"/>
    <n v="0"/>
    <n v="112"/>
    <x v="28"/>
    <x v="5"/>
    <n v="12"/>
    <x v="5"/>
    <x v="0"/>
  </r>
  <r>
    <n v="10382"/>
    <x v="116"/>
    <n v="5"/>
    <x v="11"/>
    <x v="7"/>
    <n v="32"/>
    <n v="17"/>
    <n v="0"/>
    <n v="544"/>
    <x v="9"/>
    <x v="6"/>
    <n v="12"/>
    <x v="5"/>
    <x v="0"/>
  </r>
  <r>
    <n v="10382"/>
    <x v="116"/>
    <n v="5"/>
    <x v="11"/>
    <x v="7"/>
    <n v="9"/>
    <n v="50"/>
    <n v="0"/>
    <n v="450"/>
    <x v="9"/>
    <x v="6"/>
    <n v="12"/>
    <x v="5"/>
    <x v="0"/>
  </r>
  <r>
    <n v="10382"/>
    <x v="116"/>
    <n v="5"/>
    <x v="11"/>
    <x v="7"/>
    <n v="14"/>
    <n v="99"/>
    <n v="0"/>
    <n v="1386"/>
    <x v="9"/>
    <x v="6"/>
    <n v="12"/>
    <x v="5"/>
    <x v="0"/>
  </r>
  <r>
    <n v="10382"/>
    <x v="116"/>
    <n v="5"/>
    <x v="11"/>
    <x v="7"/>
    <n v="60"/>
    <n v="2"/>
    <n v="0"/>
    <n v="120"/>
    <x v="9"/>
    <x v="6"/>
    <n v="12"/>
    <x v="5"/>
    <x v="0"/>
  </r>
  <r>
    <n v="10382"/>
    <x v="116"/>
    <n v="5"/>
    <x v="11"/>
    <x v="7"/>
    <n v="50"/>
    <n v="8"/>
    <n v="0"/>
    <n v="400"/>
    <x v="9"/>
    <x v="6"/>
    <n v="12"/>
    <x v="5"/>
    <x v="0"/>
  </r>
  <r>
    <n v="10383"/>
    <x v="117"/>
    <n v="13"/>
    <x v="30"/>
    <x v="2"/>
    <n v="20"/>
    <n v="48"/>
    <n v="0"/>
    <n v="960"/>
    <x v="55"/>
    <x v="13"/>
    <n v="12"/>
    <x v="5"/>
    <x v="0"/>
  </r>
  <r>
    <n v="10383"/>
    <x v="117"/>
    <n v="13"/>
    <x v="30"/>
    <x v="2"/>
    <n v="15"/>
    <n v="13"/>
    <n v="0"/>
    <n v="195"/>
    <x v="55"/>
    <x v="13"/>
    <n v="12"/>
    <x v="5"/>
    <x v="0"/>
  </r>
  <r>
    <n v="10383"/>
    <x v="117"/>
    <n v="13"/>
    <x v="30"/>
    <x v="2"/>
    <n v="20"/>
    <n v="304"/>
    <n v="0"/>
    <n v="6080"/>
    <x v="55"/>
    <x v="13"/>
    <n v="12"/>
    <x v="5"/>
    <x v="0"/>
  </r>
  <r>
    <n v="10384"/>
    <x v="117"/>
    <n v="20"/>
    <x v="4"/>
    <x v="4"/>
    <n v="28"/>
    <n v="648"/>
    <n v="0"/>
    <n v="18144"/>
    <x v="25"/>
    <x v="9"/>
    <n v="12"/>
    <x v="5"/>
    <x v="0"/>
  </r>
  <r>
    <n v="10384"/>
    <x v="117"/>
    <n v="20"/>
    <x v="4"/>
    <x v="4"/>
    <n v="15"/>
    <n v="272"/>
    <n v="0"/>
    <n v="4080"/>
    <x v="25"/>
    <x v="9"/>
    <n v="12"/>
    <x v="5"/>
    <x v="0"/>
  </r>
  <r>
    <n v="10385"/>
    <x v="118"/>
    <n v="7"/>
    <x v="55"/>
    <x v="1"/>
    <n v="10"/>
    <n v="24"/>
    <n v="2"/>
    <n v="235.2"/>
    <x v="20"/>
    <x v="8"/>
    <n v="12"/>
    <x v="5"/>
    <x v="0"/>
  </r>
  <r>
    <n v="10385"/>
    <x v="118"/>
    <n v="7"/>
    <x v="55"/>
    <x v="1"/>
    <n v="20"/>
    <n v="272"/>
    <n v="2"/>
    <n v="5331.2"/>
    <x v="20"/>
    <x v="8"/>
    <n v="12"/>
    <x v="5"/>
    <x v="0"/>
  </r>
  <r>
    <n v="10385"/>
    <x v="118"/>
    <n v="7"/>
    <x v="55"/>
    <x v="1"/>
    <n v="8"/>
    <n v="10"/>
    <n v="2"/>
    <n v="78.400000000000006"/>
    <x v="20"/>
    <x v="8"/>
    <n v="12"/>
    <x v="5"/>
    <x v="0"/>
  </r>
  <r>
    <n v="10386"/>
    <x v="119"/>
    <n v="24"/>
    <x v="6"/>
    <x v="5"/>
    <n v="15"/>
    <n v="36"/>
    <n v="0"/>
    <n v="540"/>
    <x v="52"/>
    <x v="2"/>
    <n v="12"/>
    <x v="5"/>
    <x v="0"/>
  </r>
  <r>
    <n v="10386"/>
    <x v="119"/>
    <n v="24"/>
    <x v="6"/>
    <x v="5"/>
    <n v="10"/>
    <n v="112"/>
    <n v="0"/>
    <n v="1120"/>
    <x v="52"/>
    <x v="2"/>
    <n v="12"/>
    <x v="5"/>
    <x v="0"/>
  </r>
  <r>
    <n v="10387"/>
    <x v="119"/>
    <n v="24"/>
    <x v="6"/>
    <x v="5"/>
    <n v="15"/>
    <n v="36"/>
    <n v="0"/>
    <n v="540"/>
    <x v="65"/>
    <x v="19"/>
    <n v="12"/>
    <x v="5"/>
    <x v="0"/>
  </r>
  <r>
    <n v="10387"/>
    <x v="119"/>
    <n v="24"/>
    <x v="6"/>
    <x v="5"/>
    <n v="6"/>
    <n v="364"/>
    <n v="0"/>
    <n v="2184"/>
    <x v="65"/>
    <x v="19"/>
    <n v="12"/>
    <x v="5"/>
    <x v="0"/>
  </r>
  <r>
    <n v="10387"/>
    <x v="119"/>
    <n v="24"/>
    <x v="6"/>
    <x v="5"/>
    <n v="12"/>
    <n v="44"/>
    <n v="0"/>
    <n v="528"/>
    <x v="65"/>
    <x v="19"/>
    <n v="12"/>
    <x v="5"/>
    <x v="0"/>
  </r>
  <r>
    <n v="10387"/>
    <x v="119"/>
    <n v="24"/>
    <x v="6"/>
    <x v="5"/>
    <n v="15"/>
    <n v="172"/>
    <n v="0"/>
    <n v="2580"/>
    <x v="65"/>
    <x v="19"/>
    <n v="12"/>
    <x v="5"/>
    <x v="0"/>
  </r>
  <r>
    <n v="10388"/>
    <x v="120"/>
    <n v="45"/>
    <x v="56"/>
    <x v="2"/>
    <n v="15"/>
    <n v="76"/>
    <n v="2"/>
    <n v="1117.2"/>
    <x v="56"/>
    <x v="13"/>
    <n v="12"/>
    <x v="5"/>
    <x v="0"/>
  </r>
  <r>
    <n v="10388"/>
    <x v="120"/>
    <n v="45"/>
    <x v="56"/>
    <x v="2"/>
    <n v="20"/>
    <n v="56"/>
    <n v="2"/>
    <n v="1097.5999999999999"/>
    <x v="56"/>
    <x v="13"/>
    <n v="12"/>
    <x v="5"/>
    <x v="0"/>
  </r>
  <r>
    <n v="10388"/>
    <x v="120"/>
    <n v="45"/>
    <x v="56"/>
    <x v="2"/>
    <n v="40"/>
    <n v="262"/>
    <n v="0"/>
    <n v="10480"/>
    <x v="56"/>
    <x v="13"/>
    <n v="12"/>
    <x v="5"/>
    <x v="0"/>
  </r>
  <r>
    <n v="10389"/>
    <x v="121"/>
    <n v="10"/>
    <x v="19"/>
    <x v="2"/>
    <n v="16"/>
    <n v="248"/>
    <n v="0"/>
    <n v="3968"/>
    <x v="66"/>
    <x v="16"/>
    <n v="12"/>
    <x v="5"/>
    <x v="0"/>
  </r>
  <r>
    <n v="10389"/>
    <x v="121"/>
    <n v="10"/>
    <x v="19"/>
    <x v="2"/>
    <n v="15"/>
    <n v="192"/>
    <n v="0"/>
    <n v="2880"/>
    <x v="66"/>
    <x v="16"/>
    <n v="12"/>
    <x v="5"/>
    <x v="0"/>
  </r>
  <r>
    <n v="10389"/>
    <x v="121"/>
    <n v="10"/>
    <x v="19"/>
    <x v="2"/>
    <n v="20"/>
    <n v="394"/>
    <n v="0"/>
    <n v="7880"/>
    <x v="66"/>
    <x v="16"/>
    <n v="12"/>
    <x v="5"/>
    <x v="0"/>
  </r>
  <r>
    <n v="10389"/>
    <x v="121"/>
    <n v="10"/>
    <x v="19"/>
    <x v="2"/>
    <n v="30"/>
    <n v="12"/>
    <n v="0"/>
    <n v="360"/>
    <x v="66"/>
    <x v="16"/>
    <n v="12"/>
    <x v="5"/>
    <x v="0"/>
  </r>
  <r>
    <n v="10390"/>
    <x v="122"/>
    <n v="31"/>
    <x v="5"/>
    <x v="0"/>
    <n v="60"/>
    <n v="10"/>
    <n v="1"/>
    <n v="594"/>
    <x v="9"/>
    <x v="6"/>
    <n v="12"/>
    <x v="5"/>
    <x v="0"/>
  </r>
  <r>
    <n v="10390"/>
    <x v="122"/>
    <n v="31"/>
    <x v="5"/>
    <x v="0"/>
    <n v="40"/>
    <n v="144"/>
    <n v="1"/>
    <n v="5702.4"/>
    <x v="9"/>
    <x v="6"/>
    <n v="12"/>
    <x v="5"/>
    <x v="0"/>
  </r>
  <r>
    <n v="10390"/>
    <x v="122"/>
    <n v="31"/>
    <x v="5"/>
    <x v="0"/>
    <n v="45"/>
    <n v="96"/>
    <n v="0"/>
    <n v="4320"/>
    <x v="9"/>
    <x v="6"/>
    <n v="12"/>
    <x v="5"/>
    <x v="0"/>
  </r>
  <r>
    <n v="10390"/>
    <x v="122"/>
    <n v="31"/>
    <x v="5"/>
    <x v="0"/>
    <n v="24"/>
    <n v="278"/>
    <n v="1"/>
    <n v="6605.28"/>
    <x v="9"/>
    <x v="6"/>
    <n v="12"/>
    <x v="5"/>
    <x v="0"/>
  </r>
  <r>
    <n v="10391"/>
    <x v="122"/>
    <n v="13"/>
    <x v="30"/>
    <x v="2"/>
    <n v="18"/>
    <n v="48"/>
    <n v="0"/>
    <n v="864"/>
    <x v="57"/>
    <x v="1"/>
    <n v="12"/>
    <x v="5"/>
    <x v="0"/>
  </r>
  <r>
    <n v="10392"/>
    <x v="123"/>
    <n v="69"/>
    <x v="37"/>
    <x v="0"/>
    <n v="50"/>
    <n v="288"/>
    <n v="0"/>
    <n v="14400"/>
    <x v="54"/>
    <x v="6"/>
    <n v="12"/>
    <x v="5"/>
    <x v="0"/>
  </r>
  <r>
    <n v="10393"/>
    <x v="124"/>
    <n v="2"/>
    <x v="7"/>
    <x v="5"/>
    <n v="25"/>
    <n v="152"/>
    <n v="25"/>
    <n v="2850"/>
    <x v="45"/>
    <x v="8"/>
    <n v="12"/>
    <x v="5"/>
    <x v="0"/>
  </r>
  <r>
    <n v="10393"/>
    <x v="124"/>
    <n v="2"/>
    <x v="7"/>
    <x v="5"/>
    <n v="42"/>
    <n v="186"/>
    <n v="25"/>
    <n v="5859"/>
    <x v="45"/>
    <x v="8"/>
    <n v="12"/>
    <x v="5"/>
    <x v="0"/>
  </r>
  <r>
    <n v="10393"/>
    <x v="124"/>
    <n v="2"/>
    <x v="7"/>
    <x v="5"/>
    <n v="7"/>
    <n v="112"/>
    <n v="25"/>
    <n v="588"/>
    <x v="45"/>
    <x v="8"/>
    <n v="12"/>
    <x v="5"/>
    <x v="0"/>
  </r>
  <r>
    <n v="10393"/>
    <x v="124"/>
    <n v="2"/>
    <x v="7"/>
    <x v="5"/>
    <n v="70"/>
    <n v="249"/>
    <n v="25"/>
    <n v="13072.5"/>
    <x v="45"/>
    <x v="8"/>
    <n v="12"/>
    <x v="5"/>
    <x v="0"/>
  </r>
  <r>
    <n v="10393"/>
    <x v="124"/>
    <n v="2"/>
    <x v="7"/>
    <x v="5"/>
    <n v="32"/>
    <n v="10"/>
    <n v="0"/>
    <n v="320"/>
    <x v="45"/>
    <x v="8"/>
    <n v="12"/>
    <x v="5"/>
    <x v="0"/>
  </r>
  <r>
    <n v="10394"/>
    <x v="124"/>
    <n v="13"/>
    <x v="30"/>
    <x v="2"/>
    <n v="10"/>
    <n v="48"/>
    <n v="0"/>
    <n v="480"/>
    <x v="64"/>
    <x v="8"/>
    <n v="12"/>
    <x v="5"/>
    <x v="0"/>
  </r>
  <r>
    <n v="10394"/>
    <x v="124"/>
    <n v="13"/>
    <x v="30"/>
    <x v="2"/>
    <n v="10"/>
    <n v="394"/>
    <n v="0"/>
    <n v="3940"/>
    <x v="64"/>
    <x v="8"/>
    <n v="12"/>
    <x v="5"/>
    <x v="0"/>
  </r>
  <r>
    <n v="10395"/>
    <x v="125"/>
    <n v="46"/>
    <x v="57"/>
    <x v="2"/>
    <n v="28"/>
    <n v="96"/>
    <n v="1"/>
    <n v="2661.12"/>
    <x v="8"/>
    <x v="5"/>
    <n v="12"/>
    <x v="5"/>
    <x v="0"/>
  </r>
  <r>
    <n v="10395"/>
    <x v="125"/>
    <n v="46"/>
    <x v="57"/>
    <x v="2"/>
    <n v="70"/>
    <n v="262"/>
    <n v="1"/>
    <n v="18156.599999999999"/>
    <x v="8"/>
    <x v="5"/>
    <n v="12"/>
    <x v="5"/>
    <x v="0"/>
  </r>
  <r>
    <n v="10395"/>
    <x v="125"/>
    <n v="46"/>
    <x v="57"/>
    <x v="2"/>
    <n v="8"/>
    <n v="288"/>
    <n v="0"/>
    <n v="2304"/>
    <x v="8"/>
    <x v="5"/>
    <n v="12"/>
    <x v="5"/>
    <x v="0"/>
  </r>
  <r>
    <n v="10396"/>
    <x v="126"/>
    <n v="23"/>
    <x v="46"/>
    <x v="3"/>
    <n v="40"/>
    <n v="72"/>
    <n v="0"/>
    <n v="2880"/>
    <x v="17"/>
    <x v="1"/>
    <n v="12"/>
    <x v="5"/>
    <x v="0"/>
  </r>
  <r>
    <n v="10396"/>
    <x v="126"/>
    <n v="23"/>
    <x v="46"/>
    <x v="3"/>
    <n v="60"/>
    <n v="172"/>
    <n v="0"/>
    <n v="10320"/>
    <x v="17"/>
    <x v="1"/>
    <n v="12"/>
    <x v="5"/>
    <x v="0"/>
  </r>
  <r>
    <n v="10396"/>
    <x v="126"/>
    <n v="23"/>
    <x v="46"/>
    <x v="3"/>
    <n v="21"/>
    <n v="278"/>
    <n v="0"/>
    <n v="5838"/>
    <x v="17"/>
    <x v="1"/>
    <n v="12"/>
    <x v="5"/>
    <x v="0"/>
  </r>
  <r>
    <n v="10397"/>
    <x v="126"/>
    <n v="21"/>
    <x v="10"/>
    <x v="4"/>
    <n v="10"/>
    <n v="8"/>
    <n v="15"/>
    <n v="68"/>
    <x v="50"/>
    <x v="15"/>
    <n v="12"/>
    <x v="5"/>
    <x v="0"/>
  </r>
  <r>
    <n v="10397"/>
    <x v="126"/>
    <n v="21"/>
    <x v="10"/>
    <x v="4"/>
    <n v="18"/>
    <n v="424"/>
    <n v="15"/>
    <n v="6487.2"/>
    <x v="50"/>
    <x v="15"/>
    <n v="12"/>
    <x v="5"/>
    <x v="0"/>
  </r>
  <r>
    <n v="10398"/>
    <x v="127"/>
    <n v="35"/>
    <x v="27"/>
    <x v="5"/>
    <n v="30"/>
    <n v="144"/>
    <n v="0"/>
    <n v="4320"/>
    <x v="45"/>
    <x v="8"/>
    <n v="12"/>
    <x v="5"/>
    <x v="0"/>
  </r>
  <r>
    <n v="10398"/>
    <x v="127"/>
    <n v="35"/>
    <x v="27"/>
    <x v="5"/>
    <n v="120"/>
    <n v="192"/>
    <n v="1"/>
    <n v="22809.599999999999"/>
    <x v="45"/>
    <x v="8"/>
    <n v="12"/>
    <x v="5"/>
    <x v="0"/>
  </r>
  <r>
    <n v="10399"/>
    <x v="128"/>
    <n v="68"/>
    <x v="58"/>
    <x v="4"/>
    <n v="60"/>
    <n v="10"/>
    <n v="0"/>
    <n v="600"/>
    <x v="61"/>
    <x v="17"/>
    <n v="12"/>
    <x v="5"/>
    <x v="0"/>
  </r>
  <r>
    <n v="10399"/>
    <x v="128"/>
    <n v="68"/>
    <x v="58"/>
    <x v="4"/>
    <n v="30"/>
    <n v="172"/>
    <n v="0"/>
    <n v="5160"/>
    <x v="61"/>
    <x v="17"/>
    <n v="12"/>
    <x v="5"/>
    <x v="0"/>
  </r>
  <r>
    <n v="10399"/>
    <x v="128"/>
    <n v="68"/>
    <x v="58"/>
    <x v="4"/>
    <n v="35"/>
    <n v="144"/>
    <n v="0"/>
    <n v="5040"/>
    <x v="61"/>
    <x v="17"/>
    <n v="12"/>
    <x v="5"/>
    <x v="0"/>
  </r>
  <r>
    <n v="10399"/>
    <x v="128"/>
    <n v="68"/>
    <x v="58"/>
    <x v="4"/>
    <n v="14"/>
    <n v="104"/>
    <n v="0"/>
    <n v="1456"/>
    <x v="61"/>
    <x v="17"/>
    <n v="12"/>
    <x v="5"/>
    <x v="0"/>
  </r>
  <r>
    <n v="10400"/>
    <x v="129"/>
    <n v="29"/>
    <x v="16"/>
    <x v="6"/>
    <n v="21"/>
    <n v="99"/>
    <n v="0"/>
    <n v="2079"/>
    <x v="58"/>
    <x v="13"/>
    <n v="1"/>
    <x v="6"/>
    <x v="1"/>
  </r>
  <r>
    <n v="10400"/>
    <x v="129"/>
    <n v="29"/>
    <x v="16"/>
    <x v="6"/>
    <n v="35"/>
    <n v="144"/>
    <n v="0"/>
    <n v="5040"/>
    <x v="58"/>
    <x v="13"/>
    <n v="1"/>
    <x v="6"/>
    <x v="1"/>
  </r>
  <r>
    <n v="10400"/>
    <x v="129"/>
    <n v="29"/>
    <x v="16"/>
    <x v="6"/>
    <n v="30"/>
    <n v="16"/>
    <n v="0"/>
    <n v="480"/>
    <x v="58"/>
    <x v="13"/>
    <n v="1"/>
    <x v="6"/>
    <x v="1"/>
  </r>
  <r>
    <n v="10401"/>
    <x v="129"/>
    <n v="30"/>
    <x v="24"/>
    <x v="2"/>
    <n v="18"/>
    <n v="207"/>
    <n v="0"/>
    <n v="3726"/>
    <x v="13"/>
    <x v="8"/>
    <n v="1"/>
    <x v="6"/>
    <x v="1"/>
  </r>
  <r>
    <n v="10401"/>
    <x v="129"/>
    <n v="30"/>
    <x v="24"/>
    <x v="2"/>
    <n v="70"/>
    <n v="304"/>
    <n v="0"/>
    <n v="21280"/>
    <x v="13"/>
    <x v="8"/>
    <n v="1"/>
    <x v="6"/>
    <x v="1"/>
  </r>
  <r>
    <n v="10401"/>
    <x v="129"/>
    <n v="30"/>
    <x v="24"/>
    <x v="2"/>
    <n v="20"/>
    <n v="168"/>
    <n v="0"/>
    <n v="3360"/>
    <x v="13"/>
    <x v="8"/>
    <n v="1"/>
    <x v="6"/>
    <x v="1"/>
  </r>
  <r>
    <n v="10401"/>
    <x v="129"/>
    <n v="30"/>
    <x v="24"/>
    <x v="2"/>
    <n v="60"/>
    <n v="172"/>
    <n v="0"/>
    <n v="10320"/>
    <x v="13"/>
    <x v="8"/>
    <n v="1"/>
    <x v="6"/>
    <x v="1"/>
  </r>
  <r>
    <n v="10402"/>
    <x v="130"/>
    <n v="23"/>
    <x v="46"/>
    <x v="3"/>
    <n v="60"/>
    <n v="72"/>
    <n v="0"/>
    <n v="4320"/>
    <x v="9"/>
    <x v="6"/>
    <n v="1"/>
    <x v="6"/>
    <x v="1"/>
  </r>
  <r>
    <n v="10402"/>
    <x v="130"/>
    <n v="23"/>
    <x v="46"/>
    <x v="3"/>
    <n v="65"/>
    <n v="351"/>
    <n v="0"/>
    <n v="22815"/>
    <x v="9"/>
    <x v="6"/>
    <n v="1"/>
    <x v="6"/>
    <x v="1"/>
  </r>
  <r>
    <n v="10403"/>
    <x v="131"/>
    <n v="16"/>
    <x v="12"/>
    <x v="4"/>
    <n v="21"/>
    <n v="139"/>
    <n v="15"/>
    <n v="2481.15"/>
    <x v="9"/>
    <x v="6"/>
    <n v="1"/>
    <x v="6"/>
    <x v="1"/>
  </r>
  <r>
    <n v="10403"/>
    <x v="131"/>
    <n v="16"/>
    <x v="12"/>
    <x v="4"/>
    <n v="70"/>
    <n v="102"/>
    <n v="15"/>
    <n v="6069"/>
    <x v="9"/>
    <x v="6"/>
    <n v="1"/>
    <x v="6"/>
    <x v="1"/>
  </r>
  <r>
    <n v="10404"/>
    <x v="131"/>
    <n v="26"/>
    <x v="45"/>
    <x v="4"/>
    <n v="30"/>
    <n v="249"/>
    <n v="5"/>
    <n v="7096.5"/>
    <x v="22"/>
    <x v="11"/>
    <n v="1"/>
    <x v="6"/>
    <x v="1"/>
  </r>
  <r>
    <n v="10404"/>
    <x v="131"/>
    <n v="26"/>
    <x v="45"/>
    <x v="4"/>
    <n v="40"/>
    <n v="112"/>
    <n v="5"/>
    <n v="4256"/>
    <x v="22"/>
    <x v="11"/>
    <n v="1"/>
    <x v="6"/>
    <x v="1"/>
  </r>
  <r>
    <n v="10404"/>
    <x v="131"/>
    <n v="26"/>
    <x v="45"/>
    <x v="4"/>
    <n v="30"/>
    <n v="16"/>
    <n v="5"/>
    <n v="456"/>
    <x v="22"/>
    <x v="11"/>
    <n v="1"/>
    <x v="6"/>
    <x v="1"/>
  </r>
  <r>
    <n v="10405"/>
    <x v="132"/>
    <n v="3"/>
    <x v="29"/>
    <x v="7"/>
    <n v="50"/>
    <n v="8"/>
    <n v="0"/>
    <n v="400"/>
    <x v="67"/>
    <x v="5"/>
    <n v="1"/>
    <x v="6"/>
    <x v="1"/>
  </r>
  <r>
    <n v="10406"/>
    <x v="133"/>
    <n v="1"/>
    <x v="26"/>
    <x v="5"/>
    <n v="10"/>
    <n v="144"/>
    <n v="0"/>
    <n v="1440"/>
    <x v="62"/>
    <x v="2"/>
    <n v="1"/>
    <x v="6"/>
    <x v="1"/>
  </r>
  <r>
    <n v="10406"/>
    <x v="133"/>
    <n v="1"/>
    <x v="26"/>
    <x v="5"/>
    <n v="30"/>
    <n v="8"/>
    <n v="1"/>
    <n v="237.6"/>
    <x v="62"/>
    <x v="2"/>
    <n v="1"/>
    <x v="6"/>
    <x v="1"/>
  </r>
  <r>
    <n v="10406"/>
    <x v="133"/>
    <n v="1"/>
    <x v="26"/>
    <x v="5"/>
    <n v="42"/>
    <n v="364"/>
    <n v="1"/>
    <n v="15135.119999999999"/>
    <x v="62"/>
    <x v="2"/>
    <n v="1"/>
    <x v="6"/>
    <x v="1"/>
  </r>
  <r>
    <n v="10406"/>
    <x v="133"/>
    <n v="1"/>
    <x v="26"/>
    <x v="5"/>
    <n v="5"/>
    <n v="152"/>
    <n v="1"/>
    <n v="752.4"/>
    <x v="62"/>
    <x v="2"/>
    <n v="1"/>
    <x v="6"/>
    <x v="1"/>
  </r>
  <r>
    <n v="10406"/>
    <x v="133"/>
    <n v="1"/>
    <x v="26"/>
    <x v="5"/>
    <n v="2"/>
    <n v="147"/>
    <n v="1"/>
    <n v="291.06"/>
    <x v="62"/>
    <x v="2"/>
    <n v="1"/>
    <x v="6"/>
    <x v="1"/>
  </r>
  <r>
    <n v="10407"/>
    <x v="133"/>
    <n v="11"/>
    <x v="0"/>
    <x v="0"/>
    <n v="30"/>
    <n v="168"/>
    <n v="0"/>
    <n v="5040"/>
    <x v="11"/>
    <x v="1"/>
    <n v="1"/>
    <x v="6"/>
    <x v="1"/>
  </r>
  <r>
    <n v="10407"/>
    <x v="133"/>
    <n v="11"/>
    <x v="0"/>
    <x v="0"/>
    <n v="15"/>
    <n v="288"/>
    <n v="0"/>
    <n v="4320"/>
    <x v="11"/>
    <x v="1"/>
    <n v="1"/>
    <x v="6"/>
    <x v="1"/>
  </r>
  <r>
    <n v="10407"/>
    <x v="133"/>
    <n v="11"/>
    <x v="0"/>
    <x v="0"/>
    <n v="15"/>
    <n v="172"/>
    <n v="0"/>
    <n v="2580"/>
    <x v="11"/>
    <x v="1"/>
    <n v="1"/>
    <x v="6"/>
    <x v="1"/>
  </r>
  <r>
    <n v="10408"/>
    <x v="134"/>
    <n v="37"/>
    <x v="59"/>
    <x v="2"/>
    <n v="10"/>
    <n v="208"/>
    <n v="0"/>
    <n v="2080"/>
    <x v="68"/>
    <x v="0"/>
    <n v="1"/>
    <x v="6"/>
    <x v="1"/>
  </r>
  <r>
    <n v="10408"/>
    <x v="134"/>
    <n v="37"/>
    <x v="59"/>
    <x v="2"/>
    <n v="6"/>
    <n v="59"/>
    <n v="0"/>
    <n v="354"/>
    <x v="68"/>
    <x v="0"/>
    <n v="1"/>
    <x v="6"/>
    <x v="1"/>
  </r>
  <r>
    <n v="10408"/>
    <x v="134"/>
    <n v="37"/>
    <x v="59"/>
    <x v="2"/>
    <n v="35"/>
    <n v="394"/>
    <n v="0"/>
    <n v="13790"/>
    <x v="68"/>
    <x v="0"/>
    <n v="1"/>
    <x v="6"/>
    <x v="1"/>
  </r>
  <r>
    <n v="10409"/>
    <x v="135"/>
    <n v="14"/>
    <x v="1"/>
    <x v="1"/>
    <n v="12"/>
    <n v="186"/>
    <n v="0"/>
    <n v="2232"/>
    <x v="69"/>
    <x v="20"/>
    <n v="1"/>
    <x v="6"/>
    <x v="1"/>
  </r>
  <r>
    <n v="10409"/>
    <x v="135"/>
    <n v="14"/>
    <x v="1"/>
    <x v="1"/>
    <n v="12"/>
    <n v="8"/>
    <n v="0"/>
    <n v="96"/>
    <x v="69"/>
    <x v="20"/>
    <n v="1"/>
    <x v="6"/>
    <x v="1"/>
  </r>
  <r>
    <n v="10410"/>
    <x v="136"/>
    <n v="33"/>
    <x v="17"/>
    <x v="0"/>
    <n v="49"/>
    <n v="2"/>
    <n v="0"/>
    <n v="98"/>
    <x v="66"/>
    <x v="16"/>
    <n v="1"/>
    <x v="6"/>
    <x v="1"/>
  </r>
  <r>
    <n v="10410"/>
    <x v="136"/>
    <n v="33"/>
    <x v="17"/>
    <x v="0"/>
    <n v="16"/>
    <n v="44"/>
    <n v="0"/>
    <n v="704"/>
    <x v="66"/>
    <x v="16"/>
    <n v="1"/>
    <x v="6"/>
    <x v="1"/>
  </r>
  <r>
    <n v="10411"/>
    <x v="136"/>
    <n v="41"/>
    <x v="2"/>
    <x v="2"/>
    <n v="25"/>
    <n v="77"/>
    <n v="2"/>
    <n v="1886.5"/>
    <x v="66"/>
    <x v="16"/>
    <n v="1"/>
    <x v="6"/>
    <x v="1"/>
  </r>
  <r>
    <n v="10411"/>
    <x v="136"/>
    <n v="41"/>
    <x v="2"/>
    <x v="2"/>
    <n v="40"/>
    <n v="155"/>
    <n v="2"/>
    <n v="6076"/>
    <x v="66"/>
    <x v="16"/>
    <n v="1"/>
    <x v="6"/>
    <x v="1"/>
  </r>
  <r>
    <n v="10411"/>
    <x v="136"/>
    <n v="41"/>
    <x v="2"/>
    <x v="2"/>
    <n v="9"/>
    <n v="44"/>
    <n v="2"/>
    <n v="388.08"/>
    <x v="66"/>
    <x v="16"/>
    <n v="1"/>
    <x v="6"/>
    <x v="1"/>
  </r>
  <r>
    <n v="10412"/>
    <x v="137"/>
    <n v="14"/>
    <x v="1"/>
    <x v="1"/>
    <n v="20"/>
    <n v="186"/>
    <n v="1"/>
    <n v="3682.8"/>
    <x v="16"/>
    <x v="10"/>
    <n v="1"/>
    <x v="6"/>
    <x v="1"/>
  </r>
  <r>
    <n v="10413"/>
    <x v="138"/>
    <n v="1"/>
    <x v="26"/>
    <x v="5"/>
    <n v="24"/>
    <n v="144"/>
    <n v="0"/>
    <n v="3456"/>
    <x v="53"/>
    <x v="0"/>
    <n v="1"/>
    <x v="6"/>
    <x v="1"/>
  </r>
  <r>
    <n v="10413"/>
    <x v="138"/>
    <n v="1"/>
    <x v="26"/>
    <x v="5"/>
    <n v="40"/>
    <n v="394"/>
    <n v="0"/>
    <n v="15760"/>
    <x v="53"/>
    <x v="0"/>
    <n v="1"/>
    <x v="6"/>
    <x v="1"/>
  </r>
  <r>
    <n v="10413"/>
    <x v="138"/>
    <n v="1"/>
    <x v="26"/>
    <x v="5"/>
    <n v="14"/>
    <n v="144"/>
    <n v="0"/>
    <n v="2016"/>
    <x v="53"/>
    <x v="0"/>
    <n v="1"/>
    <x v="6"/>
    <x v="1"/>
  </r>
  <r>
    <n v="10414"/>
    <x v="138"/>
    <n v="19"/>
    <x v="23"/>
    <x v="4"/>
    <n v="18"/>
    <n v="73"/>
    <n v="5"/>
    <n v="1248.3"/>
    <x v="52"/>
    <x v="2"/>
    <n v="1"/>
    <x v="6"/>
    <x v="1"/>
  </r>
  <r>
    <n v="10414"/>
    <x v="138"/>
    <n v="19"/>
    <x v="23"/>
    <x v="4"/>
    <n v="50"/>
    <n v="2"/>
    <n v="0"/>
    <n v="100"/>
    <x v="52"/>
    <x v="2"/>
    <n v="1"/>
    <x v="6"/>
    <x v="1"/>
  </r>
  <r>
    <n v="10415"/>
    <x v="139"/>
    <n v="17"/>
    <x v="13"/>
    <x v="6"/>
    <n v="2"/>
    <n v="312"/>
    <n v="0"/>
    <n v="624"/>
    <x v="64"/>
    <x v="8"/>
    <n v="1"/>
    <x v="6"/>
    <x v="1"/>
  </r>
  <r>
    <n v="10415"/>
    <x v="139"/>
    <n v="17"/>
    <x v="13"/>
    <x v="6"/>
    <n v="20"/>
    <n v="2"/>
    <n v="0"/>
    <n v="40"/>
    <x v="64"/>
    <x v="8"/>
    <n v="1"/>
    <x v="6"/>
    <x v="1"/>
  </r>
  <r>
    <n v="10416"/>
    <x v="140"/>
    <n v="19"/>
    <x v="23"/>
    <x v="4"/>
    <n v="20"/>
    <n v="73"/>
    <n v="0"/>
    <n v="1460"/>
    <x v="16"/>
    <x v="10"/>
    <n v="1"/>
    <x v="6"/>
    <x v="1"/>
  </r>
  <r>
    <n v="10416"/>
    <x v="140"/>
    <n v="19"/>
    <x v="23"/>
    <x v="4"/>
    <n v="10"/>
    <n v="262"/>
    <n v="0"/>
    <n v="2620"/>
    <x v="16"/>
    <x v="10"/>
    <n v="1"/>
    <x v="6"/>
    <x v="1"/>
  </r>
  <r>
    <n v="10416"/>
    <x v="140"/>
    <n v="19"/>
    <x v="23"/>
    <x v="4"/>
    <n v="20"/>
    <n v="156"/>
    <n v="0"/>
    <n v="3120"/>
    <x v="16"/>
    <x v="10"/>
    <n v="1"/>
    <x v="6"/>
    <x v="1"/>
  </r>
  <r>
    <n v="10417"/>
    <x v="140"/>
    <n v="38"/>
    <x v="51"/>
    <x v="5"/>
    <n v="50"/>
    <n v="2108"/>
    <n v="0"/>
    <n v="105400"/>
    <x v="51"/>
    <x v="17"/>
    <n v="1"/>
    <x v="6"/>
    <x v="1"/>
  </r>
  <r>
    <n v="10417"/>
    <x v="140"/>
    <n v="38"/>
    <x v="51"/>
    <x v="5"/>
    <n v="2"/>
    <n v="96"/>
    <n v="25"/>
    <n v="144"/>
    <x v="51"/>
    <x v="17"/>
    <n v="1"/>
    <x v="6"/>
    <x v="1"/>
  </r>
  <r>
    <n v="10417"/>
    <x v="140"/>
    <n v="38"/>
    <x v="51"/>
    <x v="5"/>
    <n v="36"/>
    <n v="10"/>
    <n v="25"/>
    <n v="270"/>
    <x v="51"/>
    <x v="17"/>
    <n v="1"/>
    <x v="6"/>
    <x v="1"/>
  </r>
  <r>
    <n v="10417"/>
    <x v="140"/>
    <n v="38"/>
    <x v="51"/>
    <x v="5"/>
    <n v="35"/>
    <n v="104"/>
    <n v="0"/>
    <n v="3640"/>
    <x v="51"/>
    <x v="17"/>
    <n v="1"/>
    <x v="6"/>
    <x v="1"/>
  </r>
  <r>
    <n v="10418"/>
    <x v="141"/>
    <n v="2"/>
    <x v="7"/>
    <x v="5"/>
    <n v="60"/>
    <n v="152"/>
    <n v="0"/>
    <n v="9120"/>
    <x v="21"/>
    <x v="1"/>
    <n v="1"/>
    <x v="6"/>
    <x v="1"/>
  </r>
  <r>
    <n v="10418"/>
    <x v="141"/>
    <n v="2"/>
    <x v="7"/>
    <x v="5"/>
    <n v="55"/>
    <n v="76"/>
    <n v="0"/>
    <n v="4180"/>
    <x v="21"/>
    <x v="1"/>
    <n v="1"/>
    <x v="6"/>
    <x v="1"/>
  </r>
  <r>
    <n v="10418"/>
    <x v="141"/>
    <n v="2"/>
    <x v="7"/>
    <x v="5"/>
    <n v="16"/>
    <n v="228"/>
    <n v="0"/>
    <n v="3648"/>
    <x v="21"/>
    <x v="1"/>
    <n v="1"/>
    <x v="6"/>
    <x v="1"/>
  </r>
  <r>
    <n v="10418"/>
    <x v="141"/>
    <n v="2"/>
    <x v="7"/>
    <x v="5"/>
    <n v="15"/>
    <n v="8"/>
    <n v="0"/>
    <n v="120"/>
    <x v="21"/>
    <x v="1"/>
    <n v="1"/>
    <x v="6"/>
    <x v="1"/>
  </r>
  <r>
    <n v="10419"/>
    <x v="142"/>
    <n v="60"/>
    <x v="60"/>
    <x v="0"/>
    <n v="60"/>
    <n v="272"/>
    <n v="5"/>
    <n v="15504"/>
    <x v="6"/>
    <x v="4"/>
    <n v="1"/>
    <x v="6"/>
    <x v="1"/>
  </r>
  <r>
    <n v="10419"/>
    <x v="142"/>
    <n v="60"/>
    <x v="60"/>
    <x v="0"/>
    <n v="20"/>
    <n v="288"/>
    <n v="5"/>
    <n v="5472"/>
    <x v="6"/>
    <x v="4"/>
    <n v="1"/>
    <x v="6"/>
    <x v="1"/>
  </r>
  <r>
    <n v="10420"/>
    <x v="143"/>
    <n v="9"/>
    <x v="61"/>
    <x v="6"/>
    <n v="20"/>
    <n v="776"/>
    <n v="1"/>
    <n v="15364.8"/>
    <x v="7"/>
    <x v="2"/>
    <n v="1"/>
    <x v="6"/>
    <x v="1"/>
  </r>
  <r>
    <n v="10420"/>
    <x v="143"/>
    <n v="9"/>
    <x v="61"/>
    <x v="6"/>
    <n v="2"/>
    <n v="48"/>
    <n v="1"/>
    <n v="95.039999999999992"/>
    <x v="7"/>
    <x v="2"/>
    <n v="1"/>
    <x v="6"/>
    <x v="1"/>
  </r>
  <r>
    <n v="10420"/>
    <x v="143"/>
    <n v="9"/>
    <x v="61"/>
    <x v="6"/>
    <n v="8"/>
    <n v="12"/>
    <n v="1"/>
    <n v="95.039999999999992"/>
    <x v="7"/>
    <x v="2"/>
    <n v="1"/>
    <x v="6"/>
    <x v="1"/>
  </r>
  <r>
    <n v="10420"/>
    <x v="143"/>
    <n v="9"/>
    <x v="61"/>
    <x v="6"/>
    <n v="20"/>
    <n v="12"/>
    <n v="1"/>
    <n v="237.6"/>
    <x v="7"/>
    <x v="2"/>
    <n v="1"/>
    <x v="6"/>
    <x v="1"/>
  </r>
  <r>
    <n v="10421"/>
    <x v="143"/>
    <n v="19"/>
    <x v="23"/>
    <x v="4"/>
    <n v="4"/>
    <n v="73"/>
    <n v="15"/>
    <n v="248.2"/>
    <x v="12"/>
    <x v="2"/>
    <n v="1"/>
    <x v="6"/>
    <x v="1"/>
  </r>
  <r>
    <n v="10421"/>
    <x v="143"/>
    <n v="19"/>
    <x v="23"/>
    <x v="4"/>
    <n v="30"/>
    <n v="249"/>
    <n v="0"/>
    <n v="7470"/>
    <x v="12"/>
    <x v="2"/>
    <n v="1"/>
    <x v="6"/>
    <x v="1"/>
  </r>
  <r>
    <n v="10421"/>
    <x v="143"/>
    <n v="19"/>
    <x v="23"/>
    <x v="4"/>
    <n v="15"/>
    <n v="262"/>
    <n v="15"/>
    <n v="3340.5"/>
    <x v="12"/>
    <x v="2"/>
    <n v="1"/>
    <x v="6"/>
    <x v="1"/>
  </r>
  <r>
    <n v="10421"/>
    <x v="143"/>
    <n v="19"/>
    <x v="23"/>
    <x v="4"/>
    <n v="10"/>
    <n v="104"/>
    <n v="15"/>
    <n v="884"/>
    <x v="12"/>
    <x v="2"/>
    <n v="1"/>
    <x v="6"/>
    <x v="1"/>
  </r>
  <r>
    <n v="10422"/>
    <x v="144"/>
    <n v="26"/>
    <x v="45"/>
    <x v="4"/>
    <n v="2"/>
    <n v="249"/>
    <n v="0"/>
    <n v="498"/>
    <x v="70"/>
    <x v="11"/>
    <n v="1"/>
    <x v="6"/>
    <x v="1"/>
  </r>
  <r>
    <n v="10423"/>
    <x v="145"/>
    <n v="31"/>
    <x v="5"/>
    <x v="0"/>
    <n v="14"/>
    <n v="10"/>
    <n v="0"/>
    <n v="140"/>
    <x v="71"/>
    <x v="2"/>
    <n v="1"/>
    <x v="6"/>
    <x v="1"/>
  </r>
  <r>
    <n v="10423"/>
    <x v="145"/>
    <n v="31"/>
    <x v="5"/>
    <x v="0"/>
    <n v="20"/>
    <n v="44"/>
    <n v="0"/>
    <n v="880"/>
    <x v="71"/>
    <x v="2"/>
    <n v="1"/>
    <x v="6"/>
    <x v="1"/>
  </r>
  <r>
    <n v="10424"/>
    <x v="145"/>
    <n v="35"/>
    <x v="27"/>
    <x v="5"/>
    <n v="60"/>
    <n v="144"/>
    <n v="2"/>
    <n v="8467.2000000000007"/>
    <x v="49"/>
    <x v="16"/>
    <n v="1"/>
    <x v="6"/>
    <x v="1"/>
  </r>
  <r>
    <n v="10424"/>
    <x v="145"/>
    <n v="35"/>
    <x v="27"/>
    <x v="5"/>
    <n v="49"/>
    <n v="2108"/>
    <n v="2"/>
    <n v="101226.16"/>
    <x v="49"/>
    <x v="16"/>
    <n v="1"/>
    <x v="6"/>
    <x v="1"/>
  </r>
  <r>
    <n v="10424"/>
    <x v="145"/>
    <n v="35"/>
    <x v="27"/>
    <x v="5"/>
    <n v="30"/>
    <n v="10"/>
    <n v="2"/>
    <n v="294"/>
    <x v="49"/>
    <x v="16"/>
    <n v="1"/>
    <x v="6"/>
    <x v="1"/>
  </r>
  <r>
    <n v="10425"/>
    <x v="146"/>
    <n v="55"/>
    <x v="62"/>
    <x v="6"/>
    <n v="10"/>
    <n v="192"/>
    <n v="25"/>
    <n v="1440"/>
    <x v="53"/>
    <x v="0"/>
    <n v="1"/>
    <x v="6"/>
    <x v="1"/>
  </r>
  <r>
    <n v="10425"/>
    <x v="146"/>
    <n v="55"/>
    <x v="62"/>
    <x v="6"/>
    <n v="20"/>
    <n v="144"/>
    <n v="25"/>
    <n v="2160"/>
    <x v="53"/>
    <x v="0"/>
    <n v="1"/>
    <x v="6"/>
    <x v="1"/>
  </r>
  <r>
    <n v="10426"/>
    <x v="147"/>
    <n v="56"/>
    <x v="32"/>
    <x v="3"/>
    <n v="5"/>
    <n v="304"/>
    <n v="0"/>
    <n v="1520"/>
    <x v="60"/>
    <x v="12"/>
    <n v="1"/>
    <x v="6"/>
    <x v="1"/>
  </r>
  <r>
    <n v="10426"/>
    <x v="147"/>
    <n v="56"/>
    <x v="32"/>
    <x v="3"/>
    <n v="7"/>
    <n v="266"/>
    <n v="0"/>
    <n v="1862"/>
    <x v="60"/>
    <x v="12"/>
    <n v="1"/>
    <x v="6"/>
    <x v="1"/>
  </r>
  <r>
    <n v="10427"/>
    <x v="147"/>
    <n v="14"/>
    <x v="1"/>
    <x v="1"/>
    <n v="35"/>
    <n v="186"/>
    <n v="0"/>
    <n v="6510"/>
    <x v="54"/>
    <x v="6"/>
    <n v="1"/>
    <x v="6"/>
    <x v="1"/>
  </r>
  <r>
    <n v="10428"/>
    <x v="148"/>
    <n v="46"/>
    <x v="57"/>
    <x v="2"/>
    <n v="20"/>
    <n v="96"/>
    <n v="0"/>
    <n v="1920"/>
    <x v="30"/>
    <x v="11"/>
    <n v="1"/>
    <x v="6"/>
    <x v="1"/>
  </r>
  <r>
    <n v="10429"/>
    <x v="149"/>
    <n v="50"/>
    <x v="50"/>
    <x v="4"/>
    <n v="40"/>
    <n v="13"/>
    <n v="0"/>
    <n v="520"/>
    <x v="34"/>
    <x v="14"/>
    <n v="1"/>
    <x v="6"/>
    <x v="1"/>
  </r>
  <r>
    <n v="10429"/>
    <x v="149"/>
    <n v="50"/>
    <x v="50"/>
    <x v="4"/>
    <n v="35"/>
    <n v="351"/>
    <n v="25"/>
    <n v="9213.75"/>
    <x v="34"/>
    <x v="14"/>
    <n v="1"/>
    <x v="6"/>
    <x v="1"/>
  </r>
  <r>
    <n v="10430"/>
    <x v="150"/>
    <n v="17"/>
    <x v="13"/>
    <x v="6"/>
    <n v="45"/>
    <n v="312"/>
    <n v="2"/>
    <n v="13759.199999999999"/>
    <x v="9"/>
    <x v="6"/>
    <n v="1"/>
    <x v="6"/>
    <x v="1"/>
  </r>
  <r>
    <n v="10430"/>
    <x v="150"/>
    <n v="17"/>
    <x v="13"/>
    <x v="6"/>
    <n v="50"/>
    <n v="8"/>
    <n v="0"/>
    <n v="400"/>
    <x v="9"/>
    <x v="6"/>
    <n v="1"/>
    <x v="6"/>
    <x v="1"/>
  </r>
  <r>
    <n v="10430"/>
    <x v="150"/>
    <n v="17"/>
    <x v="13"/>
    <x v="6"/>
    <n v="30"/>
    <n v="304"/>
    <n v="0"/>
    <n v="9120"/>
    <x v="9"/>
    <x v="6"/>
    <n v="1"/>
    <x v="6"/>
    <x v="1"/>
  </r>
  <r>
    <n v="10430"/>
    <x v="150"/>
    <n v="17"/>
    <x v="13"/>
    <x v="6"/>
    <n v="70"/>
    <n v="44"/>
    <n v="2"/>
    <n v="3018.4"/>
    <x v="9"/>
    <x v="6"/>
    <n v="1"/>
    <x v="6"/>
    <x v="1"/>
  </r>
  <r>
    <n v="10431"/>
    <x v="150"/>
    <n v="17"/>
    <x v="13"/>
    <x v="6"/>
    <n v="50"/>
    <n v="312"/>
    <n v="25"/>
    <n v="11700"/>
    <x v="66"/>
    <x v="16"/>
    <n v="1"/>
    <x v="6"/>
    <x v="1"/>
  </r>
  <r>
    <n v="10431"/>
    <x v="150"/>
    <n v="17"/>
    <x v="13"/>
    <x v="6"/>
    <n v="50"/>
    <n v="147"/>
    <n v="25"/>
    <n v="5512.5"/>
    <x v="66"/>
    <x v="16"/>
    <n v="1"/>
    <x v="6"/>
    <x v="1"/>
  </r>
  <r>
    <n v="10431"/>
    <x v="150"/>
    <n v="17"/>
    <x v="13"/>
    <x v="6"/>
    <n v="30"/>
    <n v="76"/>
    <n v="25"/>
    <n v="1710"/>
    <x v="66"/>
    <x v="16"/>
    <n v="1"/>
    <x v="6"/>
    <x v="1"/>
  </r>
  <r>
    <n v="10432"/>
    <x v="151"/>
    <n v="26"/>
    <x v="45"/>
    <x v="4"/>
    <n v="10"/>
    <n v="249"/>
    <n v="0"/>
    <n v="2490"/>
    <x v="20"/>
    <x v="8"/>
    <n v="1"/>
    <x v="6"/>
    <x v="1"/>
  </r>
  <r>
    <n v="10432"/>
    <x v="151"/>
    <n v="26"/>
    <x v="45"/>
    <x v="4"/>
    <n v="40"/>
    <n v="59"/>
    <n v="0"/>
    <n v="2360"/>
    <x v="20"/>
    <x v="8"/>
    <n v="1"/>
    <x v="6"/>
    <x v="1"/>
  </r>
  <r>
    <n v="10433"/>
    <x v="152"/>
    <n v="56"/>
    <x v="32"/>
    <x v="3"/>
    <n v="28"/>
    <n v="304"/>
    <n v="0"/>
    <n v="8512"/>
    <x v="50"/>
    <x v="15"/>
    <n v="2"/>
    <x v="7"/>
    <x v="1"/>
  </r>
  <r>
    <n v="10434"/>
    <x v="152"/>
    <n v="11"/>
    <x v="0"/>
    <x v="0"/>
    <n v="6"/>
    <n v="168"/>
    <n v="0"/>
    <n v="1008"/>
    <x v="14"/>
    <x v="9"/>
    <n v="2"/>
    <x v="7"/>
    <x v="1"/>
  </r>
  <r>
    <n v="10434"/>
    <x v="152"/>
    <n v="11"/>
    <x v="0"/>
    <x v="0"/>
    <n v="18"/>
    <n v="144"/>
    <n v="15"/>
    <n v="2203.1999999999998"/>
    <x v="14"/>
    <x v="9"/>
    <n v="2"/>
    <x v="7"/>
    <x v="1"/>
  </r>
  <r>
    <n v="10435"/>
    <x v="153"/>
    <n v="2"/>
    <x v="7"/>
    <x v="5"/>
    <n v="10"/>
    <n v="152"/>
    <n v="0"/>
    <n v="1520"/>
    <x v="72"/>
    <x v="13"/>
    <n v="2"/>
    <x v="7"/>
    <x v="1"/>
  </r>
  <r>
    <n v="10435"/>
    <x v="153"/>
    <n v="2"/>
    <x v="7"/>
    <x v="5"/>
    <n v="12"/>
    <n v="168"/>
    <n v="0"/>
    <n v="2016"/>
    <x v="72"/>
    <x v="13"/>
    <n v="2"/>
    <x v="7"/>
    <x v="1"/>
  </r>
  <r>
    <n v="10435"/>
    <x v="153"/>
    <n v="2"/>
    <x v="7"/>
    <x v="5"/>
    <n v="10"/>
    <n v="278"/>
    <n v="0"/>
    <n v="2780"/>
    <x v="72"/>
    <x v="13"/>
    <n v="2"/>
    <x v="7"/>
    <x v="1"/>
  </r>
  <r>
    <n v="10436"/>
    <x v="154"/>
    <n v="46"/>
    <x v="57"/>
    <x v="2"/>
    <n v="5"/>
    <n v="96"/>
    <n v="0"/>
    <n v="480"/>
    <x v="15"/>
    <x v="0"/>
    <n v="2"/>
    <x v="7"/>
    <x v="1"/>
  </r>
  <r>
    <n v="10436"/>
    <x v="154"/>
    <n v="46"/>
    <x v="57"/>
    <x v="2"/>
    <n v="40"/>
    <n v="304"/>
    <n v="1"/>
    <n v="12038.4"/>
    <x v="15"/>
    <x v="0"/>
    <n v="2"/>
    <x v="7"/>
    <x v="1"/>
  </r>
  <r>
    <n v="10436"/>
    <x v="154"/>
    <n v="46"/>
    <x v="57"/>
    <x v="2"/>
    <n v="30"/>
    <n v="266"/>
    <n v="1"/>
    <n v="7900.2"/>
    <x v="15"/>
    <x v="0"/>
    <n v="2"/>
    <x v="7"/>
    <x v="1"/>
  </r>
  <r>
    <n v="10436"/>
    <x v="154"/>
    <n v="46"/>
    <x v="57"/>
    <x v="2"/>
    <n v="24"/>
    <n v="62"/>
    <n v="1"/>
    <n v="1473.12"/>
    <x v="15"/>
    <x v="0"/>
    <n v="2"/>
    <x v="7"/>
    <x v="1"/>
  </r>
  <r>
    <n v="10437"/>
    <x v="154"/>
    <n v="53"/>
    <x v="8"/>
    <x v="6"/>
    <n v="15"/>
    <n v="262"/>
    <n v="0"/>
    <n v="3930"/>
    <x v="16"/>
    <x v="10"/>
    <n v="2"/>
    <x v="7"/>
    <x v="1"/>
  </r>
  <r>
    <n v="10438"/>
    <x v="155"/>
    <n v="19"/>
    <x v="23"/>
    <x v="4"/>
    <n v="15"/>
    <n v="73"/>
    <n v="2"/>
    <n v="1073.0999999999999"/>
    <x v="1"/>
    <x v="1"/>
    <n v="2"/>
    <x v="7"/>
    <x v="1"/>
  </r>
  <r>
    <n v="10438"/>
    <x v="155"/>
    <n v="19"/>
    <x v="23"/>
    <x v="4"/>
    <n v="20"/>
    <n v="112"/>
    <n v="2"/>
    <n v="2195.1999999999998"/>
    <x v="1"/>
    <x v="1"/>
    <n v="2"/>
    <x v="7"/>
    <x v="1"/>
  </r>
  <r>
    <n v="10438"/>
    <x v="155"/>
    <n v="19"/>
    <x v="23"/>
    <x v="4"/>
    <n v="15"/>
    <n v="156"/>
    <n v="2"/>
    <n v="2293.1999999999998"/>
    <x v="1"/>
    <x v="1"/>
    <n v="2"/>
    <x v="7"/>
    <x v="1"/>
  </r>
  <r>
    <n v="10439"/>
    <x v="156"/>
    <n v="12"/>
    <x v="14"/>
    <x v="0"/>
    <n v="15"/>
    <n v="304"/>
    <n v="0"/>
    <n v="4560"/>
    <x v="49"/>
    <x v="16"/>
    <n v="2"/>
    <x v="7"/>
    <x v="1"/>
  </r>
  <r>
    <n v="10439"/>
    <x v="156"/>
    <n v="12"/>
    <x v="14"/>
    <x v="0"/>
    <n v="16"/>
    <n v="139"/>
    <n v="0"/>
    <n v="2224"/>
    <x v="49"/>
    <x v="16"/>
    <n v="2"/>
    <x v="7"/>
    <x v="1"/>
  </r>
  <r>
    <n v="10439"/>
    <x v="156"/>
    <n v="12"/>
    <x v="14"/>
    <x v="0"/>
    <n v="6"/>
    <n v="266"/>
    <n v="0"/>
    <n v="1596"/>
    <x v="49"/>
    <x v="16"/>
    <n v="2"/>
    <x v="7"/>
    <x v="1"/>
  </r>
  <r>
    <n v="10439"/>
    <x v="156"/>
    <n v="12"/>
    <x v="14"/>
    <x v="0"/>
    <n v="30"/>
    <n v="8"/>
    <n v="0"/>
    <n v="240"/>
    <x v="49"/>
    <x v="16"/>
    <n v="2"/>
    <x v="7"/>
    <x v="1"/>
  </r>
  <r>
    <n v="10440"/>
    <x v="157"/>
    <n v="2"/>
    <x v="7"/>
    <x v="5"/>
    <n v="45"/>
    <n v="152"/>
    <n v="15"/>
    <n v="5814"/>
    <x v="45"/>
    <x v="8"/>
    <n v="2"/>
    <x v="7"/>
    <x v="1"/>
  </r>
  <r>
    <n v="10440"/>
    <x v="157"/>
    <n v="2"/>
    <x v="7"/>
    <x v="5"/>
    <n v="49"/>
    <n v="139"/>
    <n v="15"/>
    <n v="5789.3499999999995"/>
    <x v="45"/>
    <x v="8"/>
    <n v="2"/>
    <x v="7"/>
    <x v="1"/>
  </r>
  <r>
    <n v="10440"/>
    <x v="157"/>
    <n v="2"/>
    <x v="7"/>
    <x v="5"/>
    <n v="24"/>
    <n v="99"/>
    <n v="15"/>
    <n v="2019.6"/>
    <x v="45"/>
    <x v="8"/>
    <n v="2"/>
    <x v="7"/>
    <x v="1"/>
  </r>
  <r>
    <n v="10440"/>
    <x v="157"/>
    <n v="2"/>
    <x v="7"/>
    <x v="5"/>
    <n v="90"/>
    <n v="228"/>
    <n v="15"/>
    <n v="17442"/>
    <x v="45"/>
    <x v="8"/>
    <n v="2"/>
    <x v="7"/>
    <x v="1"/>
  </r>
  <r>
    <n v="10441"/>
    <x v="157"/>
    <n v="27"/>
    <x v="9"/>
    <x v="4"/>
    <n v="50"/>
    <n v="351"/>
    <n v="0"/>
    <n v="17550"/>
    <x v="37"/>
    <x v="8"/>
    <n v="2"/>
    <x v="7"/>
    <x v="1"/>
  </r>
  <r>
    <n v="10442"/>
    <x v="158"/>
    <n v="11"/>
    <x v="0"/>
    <x v="0"/>
    <n v="30"/>
    <n v="168"/>
    <n v="0"/>
    <n v="5040"/>
    <x v="9"/>
    <x v="6"/>
    <n v="2"/>
    <x v="7"/>
    <x v="1"/>
  </r>
  <r>
    <n v="10442"/>
    <x v="158"/>
    <n v="11"/>
    <x v="0"/>
    <x v="0"/>
    <n v="80"/>
    <n v="59"/>
    <n v="0"/>
    <n v="4720"/>
    <x v="9"/>
    <x v="6"/>
    <n v="2"/>
    <x v="7"/>
    <x v="1"/>
  </r>
  <r>
    <n v="10442"/>
    <x v="158"/>
    <n v="11"/>
    <x v="0"/>
    <x v="0"/>
    <n v="60"/>
    <n v="136"/>
    <n v="0"/>
    <n v="8160"/>
    <x v="9"/>
    <x v="6"/>
    <n v="2"/>
    <x v="7"/>
    <x v="1"/>
  </r>
  <r>
    <n v="10443"/>
    <x v="159"/>
    <n v="11"/>
    <x v="0"/>
    <x v="0"/>
    <n v="6"/>
    <n v="168"/>
    <n v="2"/>
    <n v="987.84"/>
    <x v="30"/>
    <x v="11"/>
    <n v="2"/>
    <x v="7"/>
    <x v="1"/>
  </r>
  <r>
    <n v="10443"/>
    <x v="159"/>
    <n v="11"/>
    <x v="0"/>
    <x v="0"/>
    <n v="12"/>
    <n v="364"/>
    <n v="0"/>
    <n v="4368"/>
    <x v="30"/>
    <x v="11"/>
    <n v="2"/>
    <x v="7"/>
    <x v="1"/>
  </r>
  <r>
    <n v="10444"/>
    <x v="159"/>
    <n v="17"/>
    <x v="13"/>
    <x v="6"/>
    <n v="10"/>
    <n v="312"/>
    <n v="0"/>
    <n v="3120"/>
    <x v="25"/>
    <x v="9"/>
    <n v="2"/>
    <x v="7"/>
    <x v="1"/>
  </r>
  <r>
    <n v="10444"/>
    <x v="159"/>
    <n v="17"/>
    <x v="13"/>
    <x v="6"/>
    <n v="15"/>
    <n v="249"/>
    <n v="0"/>
    <n v="3735"/>
    <x v="25"/>
    <x v="9"/>
    <n v="2"/>
    <x v="7"/>
    <x v="1"/>
  </r>
  <r>
    <n v="10444"/>
    <x v="159"/>
    <n v="17"/>
    <x v="13"/>
    <x v="6"/>
    <n v="8"/>
    <n v="144"/>
    <n v="0"/>
    <n v="1152"/>
    <x v="25"/>
    <x v="9"/>
    <n v="2"/>
    <x v="7"/>
    <x v="1"/>
  </r>
  <r>
    <n v="10444"/>
    <x v="159"/>
    <n v="17"/>
    <x v="13"/>
    <x v="6"/>
    <n v="30"/>
    <n v="77"/>
    <n v="0"/>
    <n v="2310"/>
    <x v="25"/>
    <x v="9"/>
    <n v="2"/>
    <x v="7"/>
    <x v="1"/>
  </r>
  <r>
    <n v="10445"/>
    <x v="160"/>
    <n v="39"/>
    <x v="33"/>
    <x v="5"/>
    <n v="6"/>
    <n v="144"/>
    <n v="0"/>
    <n v="864"/>
    <x v="25"/>
    <x v="9"/>
    <n v="2"/>
    <x v="7"/>
    <x v="1"/>
  </r>
  <r>
    <n v="10445"/>
    <x v="160"/>
    <n v="39"/>
    <x v="33"/>
    <x v="5"/>
    <n v="15"/>
    <n v="59"/>
    <n v="0"/>
    <n v="885"/>
    <x v="25"/>
    <x v="9"/>
    <n v="2"/>
    <x v="7"/>
    <x v="1"/>
  </r>
  <r>
    <n v="10446"/>
    <x v="161"/>
    <n v="19"/>
    <x v="23"/>
    <x v="4"/>
    <n v="12"/>
    <n v="73"/>
    <n v="1"/>
    <n v="867.24"/>
    <x v="1"/>
    <x v="1"/>
    <n v="2"/>
    <x v="7"/>
    <x v="1"/>
  </r>
  <r>
    <n v="10446"/>
    <x v="161"/>
    <n v="19"/>
    <x v="23"/>
    <x v="4"/>
    <n v="20"/>
    <n v="36"/>
    <n v="1"/>
    <n v="712.8"/>
    <x v="1"/>
    <x v="1"/>
    <n v="2"/>
    <x v="7"/>
    <x v="1"/>
  </r>
  <r>
    <n v="10446"/>
    <x v="161"/>
    <n v="19"/>
    <x v="23"/>
    <x v="4"/>
    <n v="3"/>
    <n v="10"/>
    <n v="1"/>
    <n v="29.7"/>
    <x v="1"/>
    <x v="1"/>
    <n v="2"/>
    <x v="7"/>
    <x v="1"/>
  </r>
  <r>
    <n v="10446"/>
    <x v="161"/>
    <n v="19"/>
    <x v="23"/>
    <x v="4"/>
    <n v="15"/>
    <n v="56"/>
    <n v="1"/>
    <n v="831.6"/>
    <x v="1"/>
    <x v="1"/>
    <n v="2"/>
    <x v="7"/>
    <x v="1"/>
  </r>
  <r>
    <n v="10447"/>
    <x v="161"/>
    <n v="19"/>
    <x v="23"/>
    <x v="4"/>
    <n v="40"/>
    <n v="73"/>
    <n v="0"/>
    <n v="2920"/>
    <x v="29"/>
    <x v="2"/>
    <n v="2"/>
    <x v="7"/>
    <x v="1"/>
  </r>
  <r>
    <n v="10447"/>
    <x v="161"/>
    <n v="19"/>
    <x v="23"/>
    <x v="4"/>
    <n v="35"/>
    <n v="168"/>
    <n v="0"/>
    <n v="5880"/>
    <x v="29"/>
    <x v="2"/>
    <n v="2"/>
    <x v="7"/>
    <x v="1"/>
  </r>
  <r>
    <n v="10447"/>
    <x v="161"/>
    <n v="19"/>
    <x v="23"/>
    <x v="4"/>
    <n v="2"/>
    <n v="172"/>
    <n v="0"/>
    <n v="344"/>
    <x v="29"/>
    <x v="2"/>
    <n v="2"/>
    <x v="7"/>
    <x v="1"/>
  </r>
  <r>
    <n v="10448"/>
    <x v="162"/>
    <n v="26"/>
    <x v="45"/>
    <x v="4"/>
    <n v="6"/>
    <n v="249"/>
    <n v="0"/>
    <n v="1494"/>
    <x v="73"/>
    <x v="20"/>
    <n v="2"/>
    <x v="7"/>
    <x v="1"/>
  </r>
  <r>
    <n v="10448"/>
    <x v="162"/>
    <n v="26"/>
    <x v="45"/>
    <x v="4"/>
    <n v="20"/>
    <n v="147"/>
    <n v="0"/>
    <n v="2940"/>
    <x v="73"/>
    <x v="20"/>
    <n v="2"/>
    <x v="7"/>
    <x v="1"/>
  </r>
  <r>
    <n v="10449"/>
    <x v="163"/>
    <n v="10"/>
    <x v="19"/>
    <x v="2"/>
    <n v="14"/>
    <n v="248"/>
    <n v="0"/>
    <n v="3472"/>
    <x v="15"/>
    <x v="0"/>
    <n v="2"/>
    <x v="7"/>
    <x v="1"/>
  </r>
  <r>
    <n v="10449"/>
    <x v="163"/>
    <n v="10"/>
    <x v="19"/>
    <x v="2"/>
    <n v="20"/>
    <n v="56"/>
    <n v="0"/>
    <n v="1120"/>
    <x v="15"/>
    <x v="0"/>
    <n v="2"/>
    <x v="7"/>
    <x v="1"/>
  </r>
  <r>
    <n v="10449"/>
    <x v="163"/>
    <n v="10"/>
    <x v="19"/>
    <x v="2"/>
    <n v="35"/>
    <n v="394"/>
    <n v="0"/>
    <n v="13790"/>
    <x v="15"/>
    <x v="0"/>
    <n v="2"/>
    <x v="7"/>
    <x v="1"/>
  </r>
  <r>
    <n v="10450"/>
    <x v="164"/>
    <n v="10"/>
    <x v="19"/>
    <x v="2"/>
    <n v="20"/>
    <n v="248"/>
    <n v="2"/>
    <n v="4860.8"/>
    <x v="3"/>
    <x v="0"/>
    <n v="2"/>
    <x v="7"/>
    <x v="1"/>
  </r>
  <r>
    <n v="10450"/>
    <x v="164"/>
    <n v="10"/>
    <x v="19"/>
    <x v="2"/>
    <n v="6"/>
    <n v="59"/>
    <n v="2"/>
    <n v="346.92"/>
    <x v="3"/>
    <x v="0"/>
    <n v="2"/>
    <x v="7"/>
    <x v="1"/>
  </r>
  <r>
    <n v="10451"/>
    <x v="164"/>
    <n v="55"/>
    <x v="62"/>
    <x v="6"/>
    <n v="120"/>
    <n v="192"/>
    <n v="1"/>
    <n v="22809.599999999999"/>
    <x v="21"/>
    <x v="1"/>
    <n v="2"/>
    <x v="7"/>
    <x v="1"/>
  </r>
  <r>
    <n v="10451"/>
    <x v="164"/>
    <n v="55"/>
    <x v="62"/>
    <x v="6"/>
    <n v="35"/>
    <n v="266"/>
    <n v="1"/>
    <n v="9216.9"/>
    <x v="21"/>
    <x v="1"/>
    <n v="2"/>
    <x v="7"/>
    <x v="1"/>
  </r>
  <r>
    <n v="10451"/>
    <x v="164"/>
    <n v="55"/>
    <x v="62"/>
    <x v="6"/>
    <n v="28"/>
    <n v="168"/>
    <n v="1"/>
    <n v="4656.96"/>
    <x v="21"/>
    <x v="1"/>
    <n v="2"/>
    <x v="7"/>
    <x v="1"/>
  </r>
  <r>
    <n v="10451"/>
    <x v="164"/>
    <n v="55"/>
    <x v="62"/>
    <x v="6"/>
    <n v="55"/>
    <n v="104"/>
    <n v="1"/>
    <n v="5662.8"/>
    <x v="21"/>
    <x v="1"/>
    <n v="2"/>
    <x v="7"/>
    <x v="1"/>
  </r>
  <r>
    <n v="10452"/>
    <x v="165"/>
    <n v="28"/>
    <x v="21"/>
    <x v="1"/>
    <n v="15"/>
    <n v="364"/>
    <n v="0"/>
    <n v="5460"/>
    <x v="45"/>
    <x v="8"/>
    <n v="2"/>
    <x v="7"/>
    <x v="1"/>
  </r>
  <r>
    <n v="10452"/>
    <x v="165"/>
    <n v="28"/>
    <x v="21"/>
    <x v="1"/>
    <n v="100"/>
    <n v="155"/>
    <n v="5"/>
    <n v="14725"/>
    <x v="45"/>
    <x v="8"/>
    <n v="2"/>
    <x v="7"/>
    <x v="1"/>
  </r>
  <r>
    <n v="10453"/>
    <x v="166"/>
    <n v="48"/>
    <x v="63"/>
    <x v="4"/>
    <n v="15"/>
    <n v="102"/>
    <n v="1"/>
    <n v="1514.7"/>
    <x v="55"/>
    <x v="13"/>
    <n v="2"/>
    <x v="7"/>
    <x v="1"/>
  </r>
  <r>
    <n v="10453"/>
    <x v="166"/>
    <n v="48"/>
    <x v="63"/>
    <x v="4"/>
    <n v="25"/>
    <n v="12"/>
    <n v="1"/>
    <n v="297"/>
    <x v="55"/>
    <x v="13"/>
    <n v="2"/>
    <x v="7"/>
    <x v="1"/>
  </r>
  <r>
    <n v="10454"/>
    <x v="166"/>
    <n v="16"/>
    <x v="12"/>
    <x v="4"/>
    <n v="20"/>
    <n v="139"/>
    <n v="2"/>
    <n v="2724.4"/>
    <x v="53"/>
    <x v="0"/>
    <n v="2"/>
    <x v="7"/>
    <x v="1"/>
  </r>
  <r>
    <n v="10454"/>
    <x v="166"/>
    <n v="16"/>
    <x v="12"/>
    <x v="4"/>
    <n v="20"/>
    <n v="2"/>
    <n v="2"/>
    <n v="39.200000000000003"/>
    <x v="53"/>
    <x v="0"/>
    <n v="2"/>
    <x v="7"/>
    <x v="1"/>
  </r>
  <r>
    <n v="10454"/>
    <x v="166"/>
    <n v="16"/>
    <x v="12"/>
    <x v="4"/>
    <n v="10"/>
    <n v="96"/>
    <n v="2"/>
    <n v="940.8"/>
    <x v="53"/>
    <x v="0"/>
    <n v="2"/>
    <x v="7"/>
    <x v="1"/>
  </r>
  <r>
    <n v="10455"/>
    <x v="167"/>
    <n v="39"/>
    <x v="33"/>
    <x v="5"/>
    <n v="20"/>
    <n v="144"/>
    <n v="0"/>
    <n v="2880"/>
    <x v="16"/>
    <x v="10"/>
    <n v="2"/>
    <x v="7"/>
    <x v="1"/>
  </r>
  <r>
    <n v="10455"/>
    <x v="167"/>
    <n v="39"/>
    <x v="33"/>
    <x v="5"/>
    <n v="50"/>
    <n v="262"/>
    <n v="0"/>
    <n v="13100"/>
    <x v="16"/>
    <x v="10"/>
    <n v="2"/>
    <x v="7"/>
    <x v="1"/>
  </r>
  <r>
    <n v="10455"/>
    <x v="167"/>
    <n v="39"/>
    <x v="33"/>
    <x v="5"/>
    <n v="25"/>
    <n v="228"/>
    <n v="0"/>
    <n v="5700"/>
    <x v="16"/>
    <x v="10"/>
    <n v="2"/>
    <x v="7"/>
    <x v="1"/>
  </r>
  <r>
    <n v="10455"/>
    <x v="167"/>
    <n v="39"/>
    <x v="33"/>
    <x v="5"/>
    <n v="30"/>
    <n v="172"/>
    <n v="0"/>
    <n v="5160"/>
    <x v="16"/>
    <x v="10"/>
    <n v="2"/>
    <x v="7"/>
    <x v="1"/>
  </r>
  <r>
    <n v="10456"/>
    <x v="168"/>
    <n v="21"/>
    <x v="10"/>
    <x v="4"/>
    <n v="40"/>
    <n v="8"/>
    <n v="15"/>
    <n v="272"/>
    <x v="44"/>
    <x v="1"/>
    <n v="2"/>
    <x v="7"/>
    <x v="1"/>
  </r>
  <r>
    <n v="10456"/>
    <x v="168"/>
    <n v="21"/>
    <x v="10"/>
    <x v="4"/>
    <n v="21"/>
    <n v="16"/>
    <n v="15"/>
    <n v="285.59999999999997"/>
    <x v="44"/>
    <x v="1"/>
    <n v="2"/>
    <x v="7"/>
    <x v="1"/>
  </r>
  <r>
    <n v="10457"/>
    <x v="168"/>
    <n v="59"/>
    <x v="44"/>
    <x v="0"/>
    <n v="36"/>
    <n v="44"/>
    <n v="0"/>
    <n v="1584"/>
    <x v="44"/>
    <x v="1"/>
    <n v="2"/>
    <x v="7"/>
    <x v="1"/>
  </r>
  <r>
    <n v="10458"/>
    <x v="169"/>
    <n v="26"/>
    <x v="45"/>
    <x v="4"/>
    <n v="30"/>
    <n v="249"/>
    <n v="0"/>
    <n v="7470"/>
    <x v="4"/>
    <x v="3"/>
    <n v="2"/>
    <x v="7"/>
    <x v="1"/>
  </r>
  <r>
    <n v="10458"/>
    <x v="169"/>
    <n v="26"/>
    <x v="45"/>
    <x v="4"/>
    <n v="30"/>
    <n v="364"/>
    <n v="0"/>
    <n v="10920"/>
    <x v="4"/>
    <x v="3"/>
    <n v="2"/>
    <x v="7"/>
    <x v="1"/>
  </r>
  <r>
    <n v="10458"/>
    <x v="169"/>
    <n v="26"/>
    <x v="45"/>
    <x v="4"/>
    <n v="20"/>
    <n v="368"/>
    <n v="0"/>
    <n v="7360"/>
    <x v="4"/>
    <x v="3"/>
    <n v="2"/>
    <x v="7"/>
    <x v="1"/>
  </r>
  <r>
    <n v="10458"/>
    <x v="169"/>
    <n v="26"/>
    <x v="45"/>
    <x v="4"/>
    <n v="15"/>
    <n v="304"/>
    <n v="0"/>
    <n v="4560"/>
    <x v="4"/>
    <x v="3"/>
    <n v="2"/>
    <x v="7"/>
    <x v="1"/>
  </r>
  <r>
    <n v="10458"/>
    <x v="169"/>
    <n v="26"/>
    <x v="45"/>
    <x v="4"/>
    <n v="50"/>
    <n v="172"/>
    <n v="0"/>
    <n v="8600"/>
    <x v="4"/>
    <x v="3"/>
    <n v="2"/>
    <x v="7"/>
    <x v="1"/>
  </r>
  <r>
    <n v="10459"/>
    <x v="170"/>
    <n v="7"/>
    <x v="55"/>
    <x v="1"/>
    <n v="16"/>
    <n v="24"/>
    <n v="5"/>
    <n v="364.79999999999995"/>
    <x v="3"/>
    <x v="0"/>
    <n v="2"/>
    <x v="7"/>
    <x v="1"/>
  </r>
  <r>
    <n v="10459"/>
    <x v="170"/>
    <n v="7"/>
    <x v="55"/>
    <x v="1"/>
    <n v="20"/>
    <n v="96"/>
    <n v="5"/>
    <n v="1824"/>
    <x v="3"/>
    <x v="0"/>
    <n v="2"/>
    <x v="7"/>
    <x v="1"/>
  </r>
  <r>
    <n v="10459"/>
    <x v="170"/>
    <n v="7"/>
    <x v="55"/>
    <x v="1"/>
    <n v="40"/>
    <n v="278"/>
    <n v="0"/>
    <n v="11120"/>
    <x v="3"/>
    <x v="0"/>
    <n v="2"/>
    <x v="7"/>
    <x v="1"/>
  </r>
  <r>
    <n v="10460"/>
    <x v="171"/>
    <n v="68"/>
    <x v="58"/>
    <x v="4"/>
    <n v="21"/>
    <n v="10"/>
    <n v="25"/>
    <n v="157.5"/>
    <x v="14"/>
    <x v="9"/>
    <n v="2"/>
    <x v="7"/>
    <x v="1"/>
  </r>
  <r>
    <n v="10460"/>
    <x v="171"/>
    <n v="68"/>
    <x v="58"/>
    <x v="4"/>
    <n v="4"/>
    <n v="62"/>
    <n v="25"/>
    <n v="186"/>
    <x v="14"/>
    <x v="9"/>
    <n v="2"/>
    <x v="7"/>
    <x v="1"/>
  </r>
  <r>
    <n v="10461"/>
    <x v="171"/>
    <n v="21"/>
    <x v="10"/>
    <x v="4"/>
    <n v="40"/>
    <n v="8"/>
    <n v="25"/>
    <n v="240"/>
    <x v="28"/>
    <x v="5"/>
    <n v="2"/>
    <x v="7"/>
    <x v="1"/>
  </r>
  <r>
    <n v="10461"/>
    <x v="171"/>
    <n v="21"/>
    <x v="10"/>
    <x v="4"/>
    <n v="28"/>
    <n v="207"/>
    <n v="25"/>
    <n v="4347"/>
    <x v="28"/>
    <x v="5"/>
    <n v="2"/>
    <x v="7"/>
    <x v="1"/>
  </r>
  <r>
    <n v="10461"/>
    <x v="171"/>
    <n v="21"/>
    <x v="10"/>
    <x v="4"/>
    <n v="60"/>
    <n v="192"/>
    <n v="25"/>
    <n v="8640"/>
    <x v="28"/>
    <x v="5"/>
    <n v="2"/>
    <x v="7"/>
    <x v="1"/>
  </r>
  <r>
    <n v="10462"/>
    <x v="172"/>
    <n v="13"/>
    <x v="30"/>
    <x v="2"/>
    <n v="1"/>
    <n v="48"/>
    <n v="0"/>
    <n v="48"/>
    <x v="72"/>
    <x v="13"/>
    <n v="3"/>
    <x v="8"/>
    <x v="1"/>
  </r>
  <r>
    <n v="10462"/>
    <x v="172"/>
    <n v="13"/>
    <x v="30"/>
    <x v="2"/>
    <n v="21"/>
    <n v="72"/>
    <n v="0"/>
    <n v="1512"/>
    <x v="72"/>
    <x v="13"/>
    <n v="3"/>
    <x v="8"/>
    <x v="1"/>
  </r>
  <r>
    <n v="10463"/>
    <x v="173"/>
    <n v="19"/>
    <x v="23"/>
    <x v="4"/>
    <n v="21"/>
    <n v="73"/>
    <n v="0"/>
    <n v="1533"/>
    <x v="4"/>
    <x v="3"/>
    <n v="3"/>
    <x v="8"/>
    <x v="1"/>
  </r>
  <r>
    <n v="10463"/>
    <x v="173"/>
    <n v="19"/>
    <x v="23"/>
    <x v="4"/>
    <n v="50"/>
    <n v="112"/>
    <n v="0"/>
    <n v="5600"/>
    <x v="4"/>
    <x v="3"/>
    <n v="3"/>
    <x v="8"/>
    <x v="1"/>
  </r>
  <r>
    <n v="10464"/>
    <x v="173"/>
    <n v="4"/>
    <x v="38"/>
    <x v="7"/>
    <n v="16"/>
    <n v="176"/>
    <n v="2"/>
    <n v="2759.68"/>
    <x v="47"/>
    <x v="15"/>
    <n v="3"/>
    <x v="8"/>
    <x v="1"/>
  </r>
  <r>
    <n v="10464"/>
    <x v="173"/>
    <n v="4"/>
    <x v="38"/>
    <x v="7"/>
    <n v="3"/>
    <n v="368"/>
    <n v="0"/>
    <n v="1104"/>
    <x v="47"/>
    <x v="15"/>
    <n v="3"/>
    <x v="8"/>
    <x v="1"/>
  </r>
  <r>
    <n v="10464"/>
    <x v="173"/>
    <n v="4"/>
    <x v="38"/>
    <x v="7"/>
    <n v="30"/>
    <n v="304"/>
    <n v="2"/>
    <n v="8937.6"/>
    <x v="47"/>
    <x v="15"/>
    <n v="3"/>
    <x v="8"/>
    <x v="1"/>
  </r>
  <r>
    <n v="10464"/>
    <x v="173"/>
    <n v="4"/>
    <x v="38"/>
    <x v="7"/>
    <n v="20"/>
    <n v="272"/>
    <n v="0"/>
    <n v="5440"/>
    <x v="47"/>
    <x v="15"/>
    <n v="3"/>
    <x v="8"/>
    <x v="1"/>
  </r>
  <r>
    <n v="10465"/>
    <x v="174"/>
    <n v="24"/>
    <x v="6"/>
    <x v="5"/>
    <n v="25"/>
    <n v="36"/>
    <n v="0"/>
    <n v="900"/>
    <x v="61"/>
    <x v="17"/>
    <n v="3"/>
    <x v="8"/>
    <x v="1"/>
  </r>
  <r>
    <n v="10465"/>
    <x v="174"/>
    <n v="24"/>
    <x v="6"/>
    <x v="5"/>
    <n v="18"/>
    <n v="99"/>
    <n v="1"/>
    <n v="1764.18"/>
    <x v="61"/>
    <x v="17"/>
    <n v="3"/>
    <x v="8"/>
    <x v="1"/>
  </r>
  <r>
    <n v="10465"/>
    <x v="174"/>
    <n v="24"/>
    <x v="6"/>
    <x v="5"/>
    <n v="20"/>
    <n v="147"/>
    <n v="0"/>
    <n v="2940"/>
    <x v="61"/>
    <x v="17"/>
    <n v="3"/>
    <x v="8"/>
    <x v="1"/>
  </r>
  <r>
    <n v="10465"/>
    <x v="174"/>
    <n v="24"/>
    <x v="6"/>
    <x v="5"/>
    <n v="30"/>
    <n v="76"/>
    <n v="1"/>
    <n v="2257.1999999999998"/>
    <x v="61"/>
    <x v="17"/>
    <n v="3"/>
    <x v="8"/>
    <x v="1"/>
  </r>
  <r>
    <n v="10465"/>
    <x v="174"/>
    <n v="24"/>
    <x v="6"/>
    <x v="5"/>
    <n v="25"/>
    <n v="13"/>
    <n v="0"/>
    <n v="325"/>
    <x v="61"/>
    <x v="17"/>
    <n v="3"/>
    <x v="8"/>
    <x v="1"/>
  </r>
  <r>
    <n v="10466"/>
    <x v="175"/>
    <n v="11"/>
    <x v="0"/>
    <x v="0"/>
    <n v="10"/>
    <n v="168"/>
    <n v="0"/>
    <n v="1680"/>
    <x v="32"/>
    <x v="2"/>
    <n v="3"/>
    <x v="8"/>
    <x v="1"/>
  </r>
  <r>
    <n v="10466"/>
    <x v="175"/>
    <n v="11"/>
    <x v="0"/>
    <x v="0"/>
    <n v="5"/>
    <n v="96"/>
    <n v="0"/>
    <n v="480"/>
    <x v="32"/>
    <x v="2"/>
    <n v="3"/>
    <x v="8"/>
    <x v="1"/>
  </r>
  <r>
    <n v="10467"/>
    <x v="175"/>
    <n v="24"/>
    <x v="6"/>
    <x v="5"/>
    <n v="28"/>
    <n v="36"/>
    <n v="0"/>
    <n v="1008"/>
    <x v="22"/>
    <x v="11"/>
    <n v="3"/>
    <x v="8"/>
    <x v="1"/>
  </r>
  <r>
    <n v="10467"/>
    <x v="175"/>
    <n v="24"/>
    <x v="6"/>
    <x v="5"/>
    <n v="12"/>
    <n v="112"/>
    <n v="0"/>
    <n v="1344"/>
    <x v="22"/>
    <x v="11"/>
    <n v="3"/>
    <x v="8"/>
    <x v="1"/>
  </r>
  <r>
    <n v="10468"/>
    <x v="176"/>
    <n v="30"/>
    <x v="24"/>
    <x v="2"/>
    <n v="8"/>
    <n v="207"/>
    <n v="0"/>
    <n v="1656"/>
    <x v="44"/>
    <x v="1"/>
    <n v="3"/>
    <x v="8"/>
    <x v="1"/>
  </r>
  <r>
    <n v="10468"/>
    <x v="176"/>
    <n v="30"/>
    <x v="24"/>
    <x v="2"/>
    <n v="15"/>
    <n v="368"/>
    <n v="0"/>
    <n v="5520"/>
    <x v="44"/>
    <x v="1"/>
    <n v="3"/>
    <x v="8"/>
    <x v="1"/>
  </r>
  <r>
    <n v="10469"/>
    <x v="177"/>
    <n v="2"/>
    <x v="7"/>
    <x v="5"/>
    <n v="40"/>
    <n v="152"/>
    <n v="15"/>
    <n v="5168"/>
    <x v="19"/>
    <x v="8"/>
    <n v="3"/>
    <x v="8"/>
    <x v="1"/>
  </r>
  <r>
    <n v="10469"/>
    <x v="177"/>
    <n v="2"/>
    <x v="7"/>
    <x v="5"/>
    <n v="35"/>
    <n v="139"/>
    <n v="15"/>
    <n v="4135.25"/>
    <x v="19"/>
    <x v="8"/>
    <n v="3"/>
    <x v="8"/>
    <x v="1"/>
  </r>
  <r>
    <n v="10469"/>
    <x v="177"/>
    <n v="2"/>
    <x v="7"/>
    <x v="5"/>
    <n v="2"/>
    <n v="155"/>
    <n v="15"/>
    <n v="263.5"/>
    <x v="19"/>
    <x v="8"/>
    <n v="3"/>
    <x v="8"/>
    <x v="1"/>
  </r>
  <r>
    <n v="10470"/>
    <x v="178"/>
    <n v="18"/>
    <x v="31"/>
    <x v="2"/>
    <n v="30"/>
    <n v="50"/>
    <n v="0"/>
    <n v="1500"/>
    <x v="48"/>
    <x v="0"/>
    <n v="3"/>
    <x v="8"/>
    <x v="1"/>
  </r>
  <r>
    <n v="10470"/>
    <x v="178"/>
    <n v="18"/>
    <x v="31"/>
    <x v="2"/>
    <n v="15"/>
    <n v="72"/>
    <n v="0"/>
    <n v="1080"/>
    <x v="48"/>
    <x v="0"/>
    <n v="3"/>
    <x v="8"/>
    <x v="1"/>
  </r>
  <r>
    <n v="10470"/>
    <x v="178"/>
    <n v="18"/>
    <x v="31"/>
    <x v="2"/>
    <n v="8"/>
    <n v="266"/>
    <n v="0"/>
    <n v="2128"/>
    <x v="48"/>
    <x v="0"/>
    <n v="3"/>
    <x v="8"/>
    <x v="1"/>
  </r>
  <r>
    <n v="10471"/>
    <x v="178"/>
    <n v="7"/>
    <x v="55"/>
    <x v="1"/>
    <n v="30"/>
    <n v="24"/>
    <n v="0"/>
    <n v="720"/>
    <x v="31"/>
    <x v="13"/>
    <n v="3"/>
    <x v="8"/>
    <x v="1"/>
  </r>
  <r>
    <n v="10471"/>
    <x v="178"/>
    <n v="7"/>
    <x v="55"/>
    <x v="1"/>
    <n v="20"/>
    <n v="304"/>
    <n v="0"/>
    <n v="6080"/>
    <x v="31"/>
    <x v="13"/>
    <n v="3"/>
    <x v="8"/>
    <x v="1"/>
  </r>
  <r>
    <n v="10472"/>
    <x v="179"/>
    <n v="24"/>
    <x v="6"/>
    <x v="5"/>
    <n v="80"/>
    <n v="36"/>
    <n v="5"/>
    <n v="2736"/>
    <x v="56"/>
    <x v="13"/>
    <n v="3"/>
    <x v="8"/>
    <x v="1"/>
  </r>
  <r>
    <n v="10472"/>
    <x v="179"/>
    <n v="24"/>
    <x v="6"/>
    <x v="5"/>
    <n v="18"/>
    <n v="424"/>
    <n v="0"/>
    <n v="7632"/>
    <x v="56"/>
    <x v="13"/>
    <n v="3"/>
    <x v="8"/>
    <x v="1"/>
  </r>
  <r>
    <n v="10473"/>
    <x v="180"/>
    <n v="33"/>
    <x v="17"/>
    <x v="0"/>
    <n v="12"/>
    <n v="2"/>
    <n v="0"/>
    <n v="24"/>
    <x v="42"/>
    <x v="13"/>
    <n v="3"/>
    <x v="8"/>
    <x v="1"/>
  </r>
  <r>
    <n v="10473"/>
    <x v="180"/>
    <n v="33"/>
    <x v="17"/>
    <x v="0"/>
    <n v="12"/>
    <n v="172"/>
    <n v="0"/>
    <n v="2064"/>
    <x v="42"/>
    <x v="13"/>
    <n v="3"/>
    <x v="8"/>
    <x v="1"/>
  </r>
  <r>
    <n v="10474"/>
    <x v="180"/>
    <n v="14"/>
    <x v="1"/>
    <x v="1"/>
    <n v="12"/>
    <n v="186"/>
    <n v="0"/>
    <n v="2232"/>
    <x v="43"/>
    <x v="7"/>
    <n v="3"/>
    <x v="8"/>
    <x v="1"/>
  </r>
  <r>
    <n v="10474"/>
    <x v="180"/>
    <n v="14"/>
    <x v="1"/>
    <x v="1"/>
    <n v="18"/>
    <n v="364"/>
    <n v="0"/>
    <n v="6552"/>
    <x v="43"/>
    <x v="7"/>
    <n v="3"/>
    <x v="8"/>
    <x v="1"/>
  </r>
  <r>
    <n v="10474"/>
    <x v="180"/>
    <n v="14"/>
    <x v="1"/>
    <x v="1"/>
    <n v="21"/>
    <n v="147"/>
    <n v="0"/>
    <n v="3087"/>
    <x v="43"/>
    <x v="7"/>
    <n v="3"/>
    <x v="8"/>
    <x v="1"/>
  </r>
  <r>
    <n v="10474"/>
    <x v="180"/>
    <n v="14"/>
    <x v="1"/>
    <x v="1"/>
    <n v="10"/>
    <n v="62"/>
    <n v="0"/>
    <n v="620"/>
    <x v="43"/>
    <x v="7"/>
    <n v="3"/>
    <x v="8"/>
    <x v="1"/>
  </r>
  <r>
    <n v="10475"/>
    <x v="181"/>
    <n v="31"/>
    <x v="5"/>
    <x v="0"/>
    <n v="35"/>
    <n v="10"/>
    <n v="15"/>
    <n v="297.5"/>
    <x v="4"/>
    <x v="3"/>
    <n v="3"/>
    <x v="8"/>
    <x v="1"/>
  </r>
  <r>
    <n v="10475"/>
    <x v="181"/>
    <n v="31"/>
    <x v="5"/>
    <x v="0"/>
    <n v="60"/>
    <n v="136"/>
    <n v="15"/>
    <n v="6936"/>
    <x v="4"/>
    <x v="3"/>
    <n v="3"/>
    <x v="8"/>
    <x v="1"/>
  </r>
  <r>
    <n v="10475"/>
    <x v="181"/>
    <n v="31"/>
    <x v="5"/>
    <x v="0"/>
    <n v="42"/>
    <n v="144"/>
    <n v="15"/>
    <n v="5140.8"/>
    <x v="4"/>
    <x v="3"/>
    <n v="3"/>
    <x v="8"/>
    <x v="1"/>
  </r>
  <r>
    <n v="10476"/>
    <x v="182"/>
    <n v="55"/>
    <x v="62"/>
    <x v="6"/>
    <n v="2"/>
    <n v="192"/>
    <n v="5"/>
    <n v="364.79999999999995"/>
    <x v="8"/>
    <x v="5"/>
    <n v="3"/>
    <x v="8"/>
    <x v="1"/>
  </r>
  <r>
    <n v="10476"/>
    <x v="182"/>
    <n v="55"/>
    <x v="62"/>
    <x v="6"/>
    <n v="12"/>
    <n v="12"/>
    <n v="0"/>
    <n v="144"/>
    <x v="8"/>
    <x v="5"/>
    <n v="3"/>
    <x v="8"/>
    <x v="1"/>
  </r>
  <r>
    <n v="10477"/>
    <x v="182"/>
    <n v="1"/>
    <x v="26"/>
    <x v="5"/>
    <n v="15"/>
    <n v="144"/>
    <n v="0"/>
    <n v="2160"/>
    <x v="50"/>
    <x v="15"/>
    <n v="3"/>
    <x v="8"/>
    <x v="1"/>
  </r>
  <r>
    <n v="10477"/>
    <x v="182"/>
    <n v="1"/>
    <x v="26"/>
    <x v="5"/>
    <n v="21"/>
    <n v="8"/>
    <n v="25"/>
    <n v="126"/>
    <x v="50"/>
    <x v="15"/>
    <n v="3"/>
    <x v="8"/>
    <x v="1"/>
  </r>
  <r>
    <n v="10477"/>
    <x v="182"/>
    <n v="1"/>
    <x v="26"/>
    <x v="5"/>
    <n v="20"/>
    <n v="144"/>
    <n v="25"/>
    <n v="2160"/>
    <x v="50"/>
    <x v="15"/>
    <n v="3"/>
    <x v="8"/>
    <x v="1"/>
  </r>
  <r>
    <n v="10478"/>
    <x v="183"/>
    <n v="10"/>
    <x v="19"/>
    <x v="2"/>
    <n v="20"/>
    <n v="248"/>
    <n v="5"/>
    <n v="4712"/>
    <x v="3"/>
    <x v="0"/>
    <n v="3"/>
    <x v="8"/>
    <x v="1"/>
  </r>
  <r>
    <n v="10479"/>
    <x v="184"/>
    <n v="38"/>
    <x v="51"/>
    <x v="5"/>
    <n v="30"/>
    <n v="2108"/>
    <n v="0"/>
    <n v="63240"/>
    <x v="13"/>
    <x v="8"/>
    <n v="3"/>
    <x v="8"/>
    <x v="1"/>
  </r>
  <r>
    <n v="10479"/>
    <x v="184"/>
    <n v="38"/>
    <x v="51"/>
    <x v="5"/>
    <n v="28"/>
    <n v="262"/>
    <n v="0"/>
    <n v="7336"/>
    <x v="13"/>
    <x v="8"/>
    <n v="3"/>
    <x v="8"/>
    <x v="1"/>
  </r>
  <r>
    <n v="10479"/>
    <x v="184"/>
    <n v="38"/>
    <x v="51"/>
    <x v="5"/>
    <n v="60"/>
    <n v="44"/>
    <n v="0"/>
    <n v="2640"/>
    <x v="13"/>
    <x v="8"/>
    <n v="3"/>
    <x v="8"/>
    <x v="1"/>
  </r>
  <r>
    <n v="10479"/>
    <x v="184"/>
    <n v="38"/>
    <x v="51"/>
    <x v="5"/>
    <n v="30"/>
    <n v="266"/>
    <n v="0"/>
    <n v="7980"/>
    <x v="13"/>
    <x v="8"/>
    <n v="3"/>
    <x v="8"/>
    <x v="1"/>
  </r>
  <r>
    <n v="10480"/>
    <x v="185"/>
    <n v="47"/>
    <x v="64"/>
    <x v="4"/>
    <n v="30"/>
    <n v="76"/>
    <n v="0"/>
    <n v="2280"/>
    <x v="68"/>
    <x v="0"/>
    <n v="3"/>
    <x v="8"/>
    <x v="1"/>
  </r>
  <r>
    <n v="10480"/>
    <x v="185"/>
    <n v="47"/>
    <x v="64"/>
    <x v="4"/>
    <n v="12"/>
    <n v="44"/>
    <n v="0"/>
    <n v="528"/>
    <x v="68"/>
    <x v="0"/>
    <n v="3"/>
    <x v="8"/>
    <x v="1"/>
  </r>
  <r>
    <n v="10481"/>
    <x v="185"/>
    <n v="49"/>
    <x v="35"/>
    <x v="4"/>
    <n v="24"/>
    <n v="16"/>
    <n v="0"/>
    <n v="384"/>
    <x v="29"/>
    <x v="2"/>
    <n v="3"/>
    <x v="8"/>
    <x v="1"/>
  </r>
  <r>
    <n v="10481"/>
    <x v="185"/>
    <n v="49"/>
    <x v="35"/>
    <x v="4"/>
    <n v="40"/>
    <n v="272"/>
    <n v="0"/>
    <n v="10880"/>
    <x v="29"/>
    <x v="2"/>
    <n v="3"/>
    <x v="8"/>
    <x v="1"/>
  </r>
  <r>
    <n v="10482"/>
    <x v="186"/>
    <n v="40"/>
    <x v="15"/>
    <x v="2"/>
    <n v="10"/>
    <n v="147"/>
    <n v="0"/>
    <n v="1470"/>
    <x v="74"/>
    <x v="8"/>
    <n v="3"/>
    <x v="8"/>
    <x v="1"/>
  </r>
  <r>
    <n v="10483"/>
    <x v="187"/>
    <n v="34"/>
    <x v="41"/>
    <x v="5"/>
    <n v="35"/>
    <n v="112"/>
    <n v="5"/>
    <n v="3724"/>
    <x v="19"/>
    <x v="8"/>
    <n v="3"/>
    <x v="8"/>
    <x v="1"/>
  </r>
  <r>
    <n v="10483"/>
    <x v="187"/>
    <n v="34"/>
    <x v="41"/>
    <x v="5"/>
    <n v="30"/>
    <n v="104"/>
    <n v="5"/>
    <n v="2964"/>
    <x v="19"/>
    <x v="8"/>
    <n v="3"/>
    <x v="8"/>
    <x v="1"/>
  </r>
  <r>
    <n v="10484"/>
    <x v="187"/>
    <n v="21"/>
    <x v="10"/>
    <x v="4"/>
    <n v="14"/>
    <n v="8"/>
    <n v="0"/>
    <n v="112"/>
    <x v="31"/>
    <x v="13"/>
    <n v="3"/>
    <x v="8"/>
    <x v="1"/>
  </r>
  <r>
    <n v="10484"/>
    <x v="187"/>
    <n v="21"/>
    <x v="10"/>
    <x v="4"/>
    <n v="10"/>
    <n v="147"/>
    <n v="0"/>
    <n v="1470"/>
    <x v="31"/>
    <x v="13"/>
    <n v="3"/>
    <x v="8"/>
    <x v="1"/>
  </r>
  <r>
    <n v="10484"/>
    <x v="187"/>
    <n v="21"/>
    <x v="10"/>
    <x v="4"/>
    <n v="3"/>
    <n v="424"/>
    <n v="0"/>
    <n v="1272"/>
    <x v="31"/>
    <x v="13"/>
    <n v="3"/>
    <x v="8"/>
    <x v="1"/>
  </r>
  <r>
    <n v="10485"/>
    <x v="188"/>
    <n v="2"/>
    <x v="7"/>
    <x v="5"/>
    <n v="20"/>
    <n v="152"/>
    <n v="1"/>
    <n v="3009.6"/>
    <x v="67"/>
    <x v="5"/>
    <n v="3"/>
    <x v="8"/>
    <x v="1"/>
  </r>
  <r>
    <n v="10485"/>
    <x v="188"/>
    <n v="2"/>
    <x v="7"/>
    <x v="5"/>
    <n v="20"/>
    <n v="8"/>
    <n v="1"/>
    <n v="158.4"/>
    <x v="67"/>
    <x v="5"/>
    <n v="3"/>
    <x v="8"/>
    <x v="1"/>
  </r>
  <r>
    <n v="10485"/>
    <x v="188"/>
    <n v="2"/>
    <x v="7"/>
    <x v="5"/>
    <n v="30"/>
    <n v="192"/>
    <n v="1"/>
    <n v="5702.4"/>
    <x v="67"/>
    <x v="5"/>
    <n v="3"/>
    <x v="8"/>
    <x v="1"/>
  </r>
  <r>
    <n v="10485"/>
    <x v="188"/>
    <n v="2"/>
    <x v="7"/>
    <x v="5"/>
    <n v="60"/>
    <n v="12"/>
    <n v="1"/>
    <n v="712.8"/>
    <x v="67"/>
    <x v="5"/>
    <n v="3"/>
    <x v="8"/>
    <x v="1"/>
  </r>
  <r>
    <n v="10486"/>
    <x v="189"/>
    <n v="11"/>
    <x v="0"/>
    <x v="0"/>
    <n v="5"/>
    <n v="168"/>
    <n v="0"/>
    <n v="840"/>
    <x v="8"/>
    <x v="5"/>
    <n v="3"/>
    <x v="8"/>
    <x v="1"/>
  </r>
  <r>
    <n v="10486"/>
    <x v="189"/>
    <n v="11"/>
    <x v="0"/>
    <x v="0"/>
    <n v="25"/>
    <n v="424"/>
    <n v="0"/>
    <n v="10600"/>
    <x v="8"/>
    <x v="5"/>
    <n v="3"/>
    <x v="8"/>
    <x v="1"/>
  </r>
  <r>
    <n v="10486"/>
    <x v="189"/>
    <n v="11"/>
    <x v="0"/>
    <x v="0"/>
    <n v="16"/>
    <n v="8"/>
    <n v="0"/>
    <n v="128"/>
    <x v="8"/>
    <x v="5"/>
    <n v="3"/>
    <x v="8"/>
    <x v="1"/>
  </r>
  <r>
    <n v="10487"/>
    <x v="189"/>
    <n v="19"/>
    <x v="23"/>
    <x v="4"/>
    <n v="5"/>
    <n v="73"/>
    <n v="0"/>
    <n v="365"/>
    <x v="62"/>
    <x v="2"/>
    <n v="3"/>
    <x v="8"/>
    <x v="1"/>
  </r>
  <r>
    <n v="10487"/>
    <x v="189"/>
    <n v="19"/>
    <x v="23"/>
    <x v="4"/>
    <n v="30"/>
    <n v="249"/>
    <n v="0"/>
    <n v="7470"/>
    <x v="62"/>
    <x v="2"/>
    <n v="3"/>
    <x v="8"/>
    <x v="1"/>
  </r>
  <r>
    <n v="10487"/>
    <x v="189"/>
    <n v="19"/>
    <x v="23"/>
    <x v="4"/>
    <n v="24"/>
    <n v="59"/>
    <n v="25"/>
    <n v="1062"/>
    <x v="62"/>
    <x v="2"/>
    <n v="3"/>
    <x v="8"/>
    <x v="1"/>
  </r>
  <r>
    <n v="10488"/>
    <x v="190"/>
    <n v="59"/>
    <x v="44"/>
    <x v="0"/>
    <n v="30"/>
    <n v="44"/>
    <n v="0"/>
    <n v="1320"/>
    <x v="17"/>
    <x v="1"/>
    <n v="3"/>
    <x v="8"/>
    <x v="1"/>
  </r>
  <r>
    <n v="10488"/>
    <x v="190"/>
    <n v="59"/>
    <x v="44"/>
    <x v="0"/>
    <n v="20"/>
    <n v="12"/>
    <n v="2"/>
    <n v="235.2"/>
    <x v="17"/>
    <x v="1"/>
    <n v="3"/>
    <x v="8"/>
    <x v="1"/>
  </r>
  <r>
    <n v="10489"/>
    <x v="191"/>
    <n v="11"/>
    <x v="0"/>
    <x v="0"/>
    <n v="15"/>
    <n v="168"/>
    <n v="25"/>
    <n v="1890"/>
    <x v="54"/>
    <x v="6"/>
    <n v="3"/>
    <x v="8"/>
    <x v="1"/>
  </r>
  <r>
    <n v="10489"/>
    <x v="191"/>
    <n v="11"/>
    <x v="0"/>
    <x v="0"/>
    <n v="18"/>
    <n v="139"/>
    <n v="0"/>
    <n v="2502"/>
    <x v="54"/>
    <x v="6"/>
    <n v="3"/>
    <x v="8"/>
    <x v="1"/>
  </r>
  <r>
    <n v="10490"/>
    <x v="192"/>
    <n v="59"/>
    <x v="44"/>
    <x v="0"/>
    <n v="60"/>
    <n v="44"/>
    <n v="0"/>
    <n v="2640"/>
    <x v="8"/>
    <x v="5"/>
    <n v="3"/>
    <x v="8"/>
    <x v="1"/>
  </r>
  <r>
    <n v="10490"/>
    <x v="192"/>
    <n v="59"/>
    <x v="44"/>
    <x v="0"/>
    <n v="30"/>
    <n v="10"/>
    <n v="0"/>
    <n v="300"/>
    <x v="8"/>
    <x v="5"/>
    <n v="3"/>
    <x v="8"/>
    <x v="1"/>
  </r>
  <r>
    <n v="10490"/>
    <x v="192"/>
    <n v="59"/>
    <x v="44"/>
    <x v="0"/>
    <n v="36"/>
    <n v="62"/>
    <n v="0"/>
    <n v="2232"/>
    <x v="8"/>
    <x v="5"/>
    <n v="3"/>
    <x v="8"/>
    <x v="1"/>
  </r>
  <r>
    <n v="10491"/>
    <x v="192"/>
    <n v="44"/>
    <x v="22"/>
    <x v="7"/>
    <n v="15"/>
    <n v="155"/>
    <n v="15"/>
    <n v="1976.25"/>
    <x v="47"/>
    <x v="15"/>
    <n v="3"/>
    <x v="8"/>
    <x v="1"/>
  </r>
  <r>
    <n v="10491"/>
    <x v="192"/>
    <n v="44"/>
    <x v="22"/>
    <x v="7"/>
    <n v="7"/>
    <n v="104"/>
    <n v="15"/>
    <n v="618.79999999999995"/>
    <x v="47"/>
    <x v="15"/>
    <n v="3"/>
    <x v="8"/>
    <x v="1"/>
  </r>
  <r>
    <n v="10492"/>
    <x v="193"/>
    <n v="25"/>
    <x v="49"/>
    <x v="4"/>
    <n v="60"/>
    <n v="112"/>
    <n v="5"/>
    <n v="6384"/>
    <x v="66"/>
    <x v="16"/>
    <n v="4"/>
    <x v="9"/>
    <x v="1"/>
  </r>
  <r>
    <n v="10492"/>
    <x v="193"/>
    <n v="25"/>
    <x v="49"/>
    <x v="4"/>
    <n v="20"/>
    <n v="112"/>
    <n v="5"/>
    <n v="2128"/>
    <x v="66"/>
    <x v="16"/>
    <n v="4"/>
    <x v="9"/>
    <x v="1"/>
  </r>
  <r>
    <n v="10493"/>
    <x v="194"/>
    <n v="65"/>
    <x v="52"/>
    <x v="7"/>
    <n v="15"/>
    <n v="168"/>
    <n v="1"/>
    <n v="2494.8000000000002"/>
    <x v="53"/>
    <x v="0"/>
    <n v="4"/>
    <x v="9"/>
    <x v="1"/>
  </r>
  <r>
    <n v="10493"/>
    <x v="194"/>
    <n v="65"/>
    <x v="52"/>
    <x v="7"/>
    <n v="10"/>
    <n v="136"/>
    <n v="1"/>
    <n v="1346.4"/>
    <x v="53"/>
    <x v="0"/>
    <n v="4"/>
    <x v="9"/>
    <x v="1"/>
  </r>
  <r>
    <n v="10493"/>
    <x v="194"/>
    <n v="65"/>
    <x v="52"/>
    <x v="7"/>
    <n v="10"/>
    <n v="288"/>
    <n v="1"/>
    <n v="2851.2"/>
    <x v="53"/>
    <x v="0"/>
    <n v="4"/>
    <x v="9"/>
    <x v="1"/>
  </r>
  <r>
    <n v="10494"/>
    <x v="194"/>
    <n v="56"/>
    <x v="32"/>
    <x v="3"/>
    <n v="30"/>
    <n v="304"/>
    <n v="0"/>
    <n v="9120"/>
    <x v="32"/>
    <x v="2"/>
    <n v="4"/>
    <x v="9"/>
    <x v="1"/>
  </r>
  <r>
    <n v="10495"/>
    <x v="195"/>
    <n v="23"/>
    <x v="46"/>
    <x v="3"/>
    <n v="10"/>
    <n v="72"/>
    <n v="0"/>
    <n v="720"/>
    <x v="75"/>
    <x v="16"/>
    <n v="4"/>
    <x v="9"/>
    <x v="1"/>
  </r>
  <r>
    <n v="10495"/>
    <x v="195"/>
    <n v="23"/>
    <x v="46"/>
    <x v="3"/>
    <n v="20"/>
    <n v="77"/>
    <n v="0"/>
    <n v="1540"/>
    <x v="75"/>
    <x v="16"/>
    <n v="4"/>
    <x v="9"/>
    <x v="1"/>
  </r>
  <r>
    <n v="10495"/>
    <x v="195"/>
    <n v="23"/>
    <x v="46"/>
    <x v="3"/>
    <n v="5"/>
    <n v="104"/>
    <n v="0"/>
    <n v="520"/>
    <x v="75"/>
    <x v="16"/>
    <n v="4"/>
    <x v="9"/>
    <x v="1"/>
  </r>
  <r>
    <n v="10496"/>
    <x v="196"/>
    <n v="31"/>
    <x v="5"/>
    <x v="0"/>
    <n v="20"/>
    <n v="10"/>
    <n v="5"/>
    <n v="190"/>
    <x v="33"/>
    <x v="2"/>
    <n v="4"/>
    <x v="9"/>
    <x v="1"/>
  </r>
  <r>
    <n v="10497"/>
    <x v="196"/>
    <n v="56"/>
    <x v="32"/>
    <x v="3"/>
    <n v="14"/>
    <n v="304"/>
    <n v="0"/>
    <n v="4256"/>
    <x v="26"/>
    <x v="1"/>
    <n v="4"/>
    <x v="9"/>
    <x v="1"/>
  </r>
  <r>
    <n v="10497"/>
    <x v="196"/>
    <n v="56"/>
    <x v="32"/>
    <x v="3"/>
    <n v="25"/>
    <n v="278"/>
    <n v="0"/>
    <n v="6950"/>
    <x v="26"/>
    <x v="1"/>
    <n v="4"/>
    <x v="9"/>
    <x v="1"/>
  </r>
  <r>
    <n v="10497"/>
    <x v="196"/>
    <n v="56"/>
    <x v="32"/>
    <x v="3"/>
    <n v="25"/>
    <n v="104"/>
    <n v="0"/>
    <n v="2600"/>
    <x v="26"/>
    <x v="1"/>
    <n v="4"/>
    <x v="9"/>
    <x v="1"/>
  </r>
  <r>
    <n v="10498"/>
    <x v="197"/>
    <n v="24"/>
    <x v="6"/>
    <x v="5"/>
    <n v="14"/>
    <n v="45"/>
    <n v="0"/>
    <n v="630"/>
    <x v="8"/>
    <x v="5"/>
    <n v="4"/>
    <x v="9"/>
    <x v="1"/>
  </r>
  <r>
    <n v="10498"/>
    <x v="197"/>
    <n v="24"/>
    <x v="6"/>
    <x v="5"/>
    <n v="5"/>
    <n v="184"/>
    <n v="0"/>
    <n v="920"/>
    <x v="8"/>
    <x v="5"/>
    <n v="4"/>
    <x v="9"/>
    <x v="1"/>
  </r>
  <r>
    <n v="10498"/>
    <x v="197"/>
    <n v="24"/>
    <x v="6"/>
    <x v="5"/>
    <n v="30"/>
    <n v="14"/>
    <n v="0"/>
    <n v="420"/>
    <x v="8"/>
    <x v="5"/>
    <n v="4"/>
    <x v="9"/>
    <x v="1"/>
  </r>
  <r>
    <n v="10499"/>
    <x v="198"/>
    <n v="28"/>
    <x v="21"/>
    <x v="1"/>
    <n v="20"/>
    <n v="456"/>
    <n v="0"/>
    <n v="9120"/>
    <x v="28"/>
    <x v="5"/>
    <n v="4"/>
    <x v="9"/>
    <x v="1"/>
  </r>
  <r>
    <n v="10499"/>
    <x v="198"/>
    <n v="28"/>
    <x v="21"/>
    <x v="1"/>
    <n v="25"/>
    <n v="20"/>
    <n v="0"/>
    <n v="500"/>
    <x v="28"/>
    <x v="5"/>
    <n v="4"/>
    <x v="9"/>
    <x v="1"/>
  </r>
  <r>
    <n v="10500"/>
    <x v="199"/>
    <n v="15"/>
    <x v="25"/>
    <x v="7"/>
    <n v="12"/>
    <n v="155"/>
    <n v="5"/>
    <n v="1767"/>
    <x v="53"/>
    <x v="0"/>
    <n v="4"/>
    <x v="9"/>
    <x v="1"/>
  </r>
  <r>
    <n v="10500"/>
    <x v="199"/>
    <n v="15"/>
    <x v="25"/>
    <x v="7"/>
    <n v="8"/>
    <n v="456"/>
    <n v="5"/>
    <n v="3465.6"/>
    <x v="53"/>
    <x v="0"/>
    <n v="4"/>
    <x v="9"/>
    <x v="1"/>
  </r>
  <r>
    <n v="10501"/>
    <x v="199"/>
    <n v="54"/>
    <x v="28"/>
    <x v="6"/>
    <n v="20"/>
    <n v="745"/>
    <n v="0"/>
    <n v="14900"/>
    <x v="76"/>
    <x v="1"/>
    <n v="4"/>
    <x v="9"/>
    <x v="1"/>
  </r>
  <r>
    <n v="10502"/>
    <x v="200"/>
    <n v="45"/>
    <x v="56"/>
    <x v="2"/>
    <n v="21"/>
    <n v="95"/>
    <n v="0"/>
    <n v="1995"/>
    <x v="43"/>
    <x v="7"/>
    <n v="4"/>
    <x v="9"/>
    <x v="1"/>
  </r>
  <r>
    <n v="10502"/>
    <x v="200"/>
    <n v="45"/>
    <x v="56"/>
    <x v="2"/>
    <n v="6"/>
    <n v="328"/>
    <n v="0"/>
    <n v="1968"/>
    <x v="43"/>
    <x v="7"/>
    <n v="4"/>
    <x v="9"/>
    <x v="1"/>
  </r>
  <r>
    <n v="10502"/>
    <x v="200"/>
    <n v="45"/>
    <x v="56"/>
    <x v="2"/>
    <n v="30"/>
    <n v="14"/>
    <n v="0"/>
    <n v="420"/>
    <x v="43"/>
    <x v="7"/>
    <n v="4"/>
    <x v="9"/>
    <x v="1"/>
  </r>
  <r>
    <n v="10503"/>
    <x v="201"/>
    <n v="14"/>
    <x v="1"/>
    <x v="1"/>
    <n v="70"/>
    <n v="2325"/>
    <n v="0"/>
    <n v="162750"/>
    <x v="34"/>
    <x v="14"/>
    <n v="4"/>
    <x v="9"/>
    <x v="1"/>
  </r>
  <r>
    <n v="10503"/>
    <x v="201"/>
    <n v="14"/>
    <x v="1"/>
    <x v="1"/>
    <n v="20"/>
    <n v="2105"/>
    <n v="0"/>
    <n v="42100"/>
    <x v="34"/>
    <x v="14"/>
    <n v="4"/>
    <x v="9"/>
    <x v="1"/>
  </r>
  <r>
    <n v="10504"/>
    <x v="201"/>
    <n v="2"/>
    <x v="7"/>
    <x v="5"/>
    <n v="12"/>
    <n v="19"/>
    <n v="0"/>
    <n v="228"/>
    <x v="19"/>
    <x v="8"/>
    <n v="4"/>
    <x v="9"/>
    <x v="1"/>
  </r>
  <r>
    <n v="10504"/>
    <x v="201"/>
    <n v="2"/>
    <x v="7"/>
    <x v="5"/>
    <n v="12"/>
    <n v="10"/>
    <n v="0"/>
    <n v="120"/>
    <x v="19"/>
    <x v="8"/>
    <n v="4"/>
    <x v="9"/>
    <x v="1"/>
  </r>
  <r>
    <n v="10504"/>
    <x v="201"/>
    <n v="2"/>
    <x v="7"/>
    <x v="5"/>
    <n v="10"/>
    <n v="328"/>
    <n v="0"/>
    <n v="3280"/>
    <x v="19"/>
    <x v="8"/>
    <n v="4"/>
    <x v="9"/>
    <x v="1"/>
  </r>
  <r>
    <n v="10504"/>
    <x v="201"/>
    <n v="2"/>
    <x v="7"/>
    <x v="5"/>
    <n v="25"/>
    <n v="285"/>
    <n v="0"/>
    <n v="7125"/>
    <x v="19"/>
    <x v="8"/>
    <n v="4"/>
    <x v="9"/>
    <x v="1"/>
  </r>
  <r>
    <n v="10505"/>
    <x v="202"/>
    <n v="62"/>
    <x v="36"/>
    <x v="4"/>
    <n v="3"/>
    <n v="493"/>
    <n v="0"/>
    <n v="1479"/>
    <x v="49"/>
    <x v="16"/>
    <n v="4"/>
    <x v="9"/>
    <x v="1"/>
  </r>
  <r>
    <n v="10506"/>
    <x v="203"/>
    <n v="25"/>
    <x v="49"/>
    <x v="4"/>
    <n v="18"/>
    <n v="14"/>
    <n v="1"/>
    <n v="249.48"/>
    <x v="44"/>
    <x v="1"/>
    <n v="4"/>
    <x v="9"/>
    <x v="1"/>
  </r>
  <r>
    <n v="10506"/>
    <x v="203"/>
    <n v="25"/>
    <x v="49"/>
    <x v="4"/>
    <n v="14"/>
    <n v="15"/>
    <n v="1"/>
    <n v="207.9"/>
    <x v="44"/>
    <x v="1"/>
    <n v="4"/>
    <x v="9"/>
    <x v="1"/>
  </r>
  <r>
    <n v="10507"/>
    <x v="203"/>
    <n v="43"/>
    <x v="65"/>
    <x v="5"/>
    <n v="15"/>
    <n v="46"/>
    <n v="15"/>
    <n v="586.5"/>
    <x v="59"/>
    <x v="7"/>
    <n v="4"/>
    <x v="9"/>
    <x v="1"/>
  </r>
  <r>
    <n v="10507"/>
    <x v="203"/>
    <n v="43"/>
    <x v="65"/>
    <x v="5"/>
    <n v="15"/>
    <n v="1275"/>
    <n v="15"/>
    <n v="16256.25"/>
    <x v="59"/>
    <x v="7"/>
    <n v="4"/>
    <x v="9"/>
    <x v="1"/>
  </r>
  <r>
    <n v="10508"/>
    <x v="204"/>
    <n v="13"/>
    <x v="30"/>
    <x v="2"/>
    <n v="10"/>
    <n v="6"/>
    <n v="0"/>
    <n v="60"/>
    <x v="11"/>
    <x v="1"/>
    <n v="4"/>
    <x v="9"/>
    <x v="1"/>
  </r>
  <r>
    <n v="10508"/>
    <x v="204"/>
    <n v="13"/>
    <x v="30"/>
    <x v="2"/>
    <n v="10"/>
    <n v="18"/>
    <n v="0"/>
    <n v="180"/>
    <x v="11"/>
    <x v="1"/>
    <n v="4"/>
    <x v="9"/>
    <x v="1"/>
  </r>
  <r>
    <n v="10509"/>
    <x v="205"/>
    <n v="28"/>
    <x v="21"/>
    <x v="1"/>
    <n v="3"/>
    <n v="456"/>
    <n v="0"/>
    <n v="1368"/>
    <x v="76"/>
    <x v="1"/>
    <n v="4"/>
    <x v="9"/>
    <x v="1"/>
  </r>
  <r>
    <n v="10510"/>
    <x v="206"/>
    <n v="29"/>
    <x v="16"/>
    <x v="6"/>
    <n v="36"/>
    <n v="12379"/>
    <n v="0"/>
    <n v="445644"/>
    <x v="45"/>
    <x v="8"/>
    <n v="4"/>
    <x v="9"/>
    <x v="1"/>
  </r>
  <r>
    <n v="10510"/>
    <x v="206"/>
    <n v="29"/>
    <x v="16"/>
    <x v="6"/>
    <n v="36"/>
    <n v="775"/>
    <n v="1"/>
    <n v="27621"/>
    <x v="45"/>
    <x v="8"/>
    <n v="4"/>
    <x v="9"/>
    <x v="1"/>
  </r>
  <r>
    <n v="10511"/>
    <x v="206"/>
    <n v="4"/>
    <x v="38"/>
    <x v="7"/>
    <n v="50"/>
    <n v="22"/>
    <n v="15"/>
    <n v="935"/>
    <x v="48"/>
    <x v="0"/>
    <n v="4"/>
    <x v="9"/>
    <x v="1"/>
  </r>
  <r>
    <n v="10511"/>
    <x v="206"/>
    <n v="4"/>
    <x v="38"/>
    <x v="7"/>
    <n v="50"/>
    <n v="30"/>
    <n v="15"/>
    <n v="1275"/>
    <x v="48"/>
    <x v="0"/>
    <n v="4"/>
    <x v="9"/>
    <x v="1"/>
  </r>
  <r>
    <n v="10511"/>
    <x v="206"/>
    <n v="4"/>
    <x v="38"/>
    <x v="7"/>
    <n v="10"/>
    <n v="40"/>
    <n v="15"/>
    <n v="340"/>
    <x v="48"/>
    <x v="0"/>
    <n v="4"/>
    <x v="9"/>
    <x v="1"/>
  </r>
  <r>
    <n v="10512"/>
    <x v="207"/>
    <n v="24"/>
    <x v="6"/>
    <x v="5"/>
    <n v="10"/>
    <n v="45"/>
    <n v="15"/>
    <n v="382.5"/>
    <x v="52"/>
    <x v="2"/>
    <n v="4"/>
    <x v="9"/>
    <x v="1"/>
  </r>
  <r>
    <n v="10512"/>
    <x v="207"/>
    <n v="24"/>
    <x v="6"/>
    <x v="5"/>
    <n v="9"/>
    <n v="12"/>
    <n v="15"/>
    <n v="91.8"/>
    <x v="52"/>
    <x v="2"/>
    <n v="4"/>
    <x v="9"/>
    <x v="1"/>
  </r>
  <r>
    <n v="10512"/>
    <x v="207"/>
    <n v="24"/>
    <x v="6"/>
    <x v="5"/>
    <n v="6"/>
    <n v="95"/>
    <n v="15"/>
    <n v="484.5"/>
    <x v="52"/>
    <x v="2"/>
    <n v="4"/>
    <x v="9"/>
    <x v="1"/>
  </r>
  <r>
    <n v="10512"/>
    <x v="207"/>
    <n v="24"/>
    <x v="6"/>
    <x v="5"/>
    <n v="12"/>
    <n v="34"/>
    <n v="15"/>
    <n v="346.8"/>
    <x v="52"/>
    <x v="2"/>
    <n v="4"/>
    <x v="9"/>
    <x v="1"/>
  </r>
  <r>
    <n v="10513"/>
    <x v="208"/>
    <n v="21"/>
    <x v="10"/>
    <x v="4"/>
    <n v="40"/>
    <n v="10"/>
    <n v="2"/>
    <n v="392"/>
    <x v="35"/>
    <x v="1"/>
    <n v="4"/>
    <x v="9"/>
    <x v="1"/>
  </r>
  <r>
    <n v="10513"/>
    <x v="208"/>
    <n v="21"/>
    <x v="10"/>
    <x v="4"/>
    <n v="50"/>
    <n v="32"/>
    <n v="2"/>
    <n v="1568"/>
    <x v="35"/>
    <x v="1"/>
    <n v="4"/>
    <x v="9"/>
    <x v="1"/>
  </r>
  <r>
    <n v="10513"/>
    <x v="208"/>
    <n v="21"/>
    <x v="10"/>
    <x v="4"/>
    <n v="15"/>
    <n v="285"/>
    <n v="2"/>
    <n v="4189.5"/>
    <x v="35"/>
    <x v="1"/>
    <n v="4"/>
    <x v="9"/>
    <x v="1"/>
  </r>
  <r>
    <n v="10514"/>
    <x v="208"/>
    <n v="20"/>
    <x v="4"/>
    <x v="4"/>
    <n v="39"/>
    <n v="81"/>
    <n v="0"/>
    <n v="3159"/>
    <x v="9"/>
    <x v="6"/>
    <n v="4"/>
    <x v="9"/>
    <x v="1"/>
  </r>
  <r>
    <n v="10514"/>
    <x v="208"/>
    <n v="20"/>
    <x v="4"/>
    <x v="4"/>
    <n v="35"/>
    <n v="456"/>
    <n v="0"/>
    <n v="15960"/>
    <x v="9"/>
    <x v="6"/>
    <n v="4"/>
    <x v="9"/>
    <x v="1"/>
  </r>
  <r>
    <n v="10514"/>
    <x v="208"/>
    <n v="20"/>
    <x v="4"/>
    <x v="4"/>
    <n v="70"/>
    <n v="38"/>
    <n v="0"/>
    <n v="2660"/>
    <x v="9"/>
    <x v="6"/>
    <n v="4"/>
    <x v="9"/>
    <x v="1"/>
  </r>
  <r>
    <n v="10514"/>
    <x v="208"/>
    <n v="20"/>
    <x v="4"/>
    <x v="4"/>
    <n v="39"/>
    <n v="2105"/>
    <n v="0"/>
    <n v="82095"/>
    <x v="9"/>
    <x v="6"/>
    <n v="4"/>
    <x v="9"/>
    <x v="1"/>
  </r>
  <r>
    <n v="10514"/>
    <x v="208"/>
    <n v="20"/>
    <x v="4"/>
    <x v="4"/>
    <n v="50"/>
    <n v="775"/>
    <n v="0"/>
    <n v="38750"/>
    <x v="9"/>
    <x v="6"/>
    <n v="4"/>
    <x v="9"/>
    <x v="1"/>
  </r>
  <r>
    <n v="10515"/>
    <x v="209"/>
    <n v="9"/>
    <x v="61"/>
    <x v="6"/>
    <n v="16"/>
    <n v="97"/>
    <n v="15"/>
    <n v="1319.2"/>
    <x v="21"/>
    <x v="1"/>
    <n v="4"/>
    <x v="9"/>
    <x v="1"/>
  </r>
  <r>
    <n v="10515"/>
    <x v="209"/>
    <n v="9"/>
    <x v="61"/>
    <x v="6"/>
    <n v="50"/>
    <n v="1745"/>
    <n v="0"/>
    <n v="87250"/>
    <x v="21"/>
    <x v="1"/>
    <n v="4"/>
    <x v="9"/>
    <x v="1"/>
  </r>
  <r>
    <n v="10515"/>
    <x v="209"/>
    <n v="9"/>
    <x v="61"/>
    <x v="6"/>
    <n v="120"/>
    <n v="439"/>
    <n v="0"/>
    <n v="52680"/>
    <x v="21"/>
    <x v="1"/>
    <n v="4"/>
    <x v="9"/>
    <x v="1"/>
  </r>
  <r>
    <n v="10515"/>
    <x v="209"/>
    <n v="9"/>
    <x v="61"/>
    <x v="6"/>
    <n v="16"/>
    <n v="25"/>
    <n v="15"/>
    <n v="340"/>
    <x v="21"/>
    <x v="1"/>
    <n v="4"/>
    <x v="9"/>
    <x v="1"/>
  </r>
  <r>
    <n v="10515"/>
    <x v="209"/>
    <n v="9"/>
    <x v="61"/>
    <x v="6"/>
    <n v="84"/>
    <n v="34"/>
    <n v="15"/>
    <n v="2427.6"/>
    <x v="21"/>
    <x v="1"/>
    <n v="4"/>
    <x v="9"/>
    <x v="1"/>
  </r>
  <r>
    <n v="10516"/>
    <x v="210"/>
    <n v="18"/>
    <x v="31"/>
    <x v="2"/>
    <n v="25"/>
    <n v="625"/>
    <n v="1"/>
    <n v="15468.75"/>
    <x v="34"/>
    <x v="14"/>
    <n v="4"/>
    <x v="9"/>
    <x v="1"/>
  </r>
  <r>
    <n v="10516"/>
    <x v="210"/>
    <n v="18"/>
    <x v="31"/>
    <x v="2"/>
    <n v="80"/>
    <n v="965"/>
    <n v="1"/>
    <n v="76428"/>
    <x v="34"/>
    <x v="14"/>
    <n v="4"/>
    <x v="9"/>
    <x v="1"/>
  </r>
  <r>
    <n v="10516"/>
    <x v="210"/>
    <n v="18"/>
    <x v="31"/>
    <x v="2"/>
    <n v="20"/>
    <n v="14"/>
    <n v="0"/>
    <n v="280"/>
    <x v="34"/>
    <x v="14"/>
    <n v="4"/>
    <x v="9"/>
    <x v="1"/>
  </r>
  <r>
    <n v="10517"/>
    <x v="210"/>
    <n v="52"/>
    <x v="42"/>
    <x v="3"/>
    <n v="6"/>
    <n v="7"/>
    <n v="0"/>
    <n v="42"/>
    <x v="77"/>
    <x v="13"/>
    <n v="4"/>
    <x v="9"/>
    <x v="1"/>
  </r>
  <r>
    <n v="10517"/>
    <x v="210"/>
    <n v="52"/>
    <x v="42"/>
    <x v="3"/>
    <n v="4"/>
    <n v="55"/>
    <n v="0"/>
    <n v="220"/>
    <x v="77"/>
    <x v="13"/>
    <n v="4"/>
    <x v="9"/>
    <x v="1"/>
  </r>
  <r>
    <n v="10517"/>
    <x v="210"/>
    <n v="52"/>
    <x v="42"/>
    <x v="3"/>
    <n v="6"/>
    <n v="15"/>
    <n v="0"/>
    <n v="90"/>
    <x v="77"/>
    <x v="13"/>
    <n v="4"/>
    <x v="9"/>
    <x v="1"/>
  </r>
  <r>
    <n v="10518"/>
    <x v="211"/>
    <n v="24"/>
    <x v="6"/>
    <x v="5"/>
    <n v="5"/>
    <n v="45"/>
    <n v="0"/>
    <n v="225"/>
    <x v="23"/>
    <x v="7"/>
    <n v="4"/>
    <x v="9"/>
    <x v="1"/>
  </r>
  <r>
    <n v="10518"/>
    <x v="211"/>
    <n v="24"/>
    <x v="6"/>
    <x v="5"/>
    <n v="15"/>
    <n v="2635"/>
    <n v="0"/>
    <n v="39525"/>
    <x v="23"/>
    <x v="7"/>
    <n v="4"/>
    <x v="9"/>
    <x v="1"/>
  </r>
  <r>
    <n v="10518"/>
    <x v="211"/>
    <n v="24"/>
    <x v="6"/>
    <x v="5"/>
    <n v="9"/>
    <n v="1945"/>
    <n v="0"/>
    <n v="17505"/>
    <x v="23"/>
    <x v="7"/>
    <n v="4"/>
    <x v="9"/>
    <x v="1"/>
  </r>
  <r>
    <n v="10519"/>
    <x v="212"/>
    <n v="10"/>
    <x v="19"/>
    <x v="2"/>
    <n v="16"/>
    <n v="31"/>
    <n v="5"/>
    <n v="471.2"/>
    <x v="5"/>
    <x v="4"/>
    <n v="4"/>
    <x v="9"/>
    <x v="1"/>
  </r>
  <r>
    <n v="10519"/>
    <x v="212"/>
    <n v="10"/>
    <x v="19"/>
    <x v="2"/>
    <n v="40"/>
    <n v="38"/>
    <n v="0"/>
    <n v="1520"/>
    <x v="5"/>
    <x v="4"/>
    <n v="4"/>
    <x v="9"/>
    <x v="1"/>
  </r>
  <r>
    <n v="10519"/>
    <x v="212"/>
    <n v="10"/>
    <x v="19"/>
    <x v="2"/>
    <n v="10"/>
    <n v="34"/>
    <n v="5"/>
    <n v="323"/>
    <x v="5"/>
    <x v="4"/>
    <n v="4"/>
    <x v="9"/>
    <x v="1"/>
  </r>
  <r>
    <n v="10520"/>
    <x v="213"/>
    <n v="24"/>
    <x v="6"/>
    <x v="5"/>
    <n v="8"/>
    <n v="45"/>
    <n v="0"/>
    <n v="360"/>
    <x v="65"/>
    <x v="19"/>
    <n v="4"/>
    <x v="9"/>
    <x v="1"/>
  </r>
  <r>
    <n v="10520"/>
    <x v="213"/>
    <n v="24"/>
    <x v="6"/>
    <x v="5"/>
    <n v="5"/>
    <n v="328"/>
    <n v="0"/>
    <n v="1640"/>
    <x v="65"/>
    <x v="19"/>
    <n v="4"/>
    <x v="9"/>
    <x v="1"/>
  </r>
  <r>
    <n v="10521"/>
    <x v="213"/>
    <n v="35"/>
    <x v="27"/>
    <x v="5"/>
    <n v="3"/>
    <n v="18"/>
    <n v="0"/>
    <n v="54"/>
    <x v="78"/>
    <x v="20"/>
    <n v="4"/>
    <x v="9"/>
    <x v="1"/>
  </r>
  <r>
    <n v="10521"/>
    <x v="213"/>
    <n v="35"/>
    <x v="27"/>
    <x v="5"/>
    <n v="10"/>
    <n v="965"/>
    <n v="0"/>
    <n v="9650"/>
    <x v="78"/>
    <x v="20"/>
    <n v="4"/>
    <x v="9"/>
    <x v="1"/>
  </r>
  <r>
    <n v="10521"/>
    <x v="213"/>
    <n v="35"/>
    <x v="27"/>
    <x v="5"/>
    <n v="6"/>
    <n v="125"/>
    <n v="0"/>
    <n v="750"/>
    <x v="78"/>
    <x v="20"/>
    <n v="4"/>
    <x v="9"/>
    <x v="1"/>
  </r>
  <r>
    <n v="10522"/>
    <x v="214"/>
    <n v="1"/>
    <x v="26"/>
    <x v="5"/>
    <n v="40"/>
    <n v="18"/>
    <n v="2"/>
    <n v="705.6"/>
    <x v="26"/>
    <x v="1"/>
    <n v="4"/>
    <x v="9"/>
    <x v="1"/>
  </r>
  <r>
    <n v="10522"/>
    <x v="214"/>
    <n v="1"/>
    <x v="26"/>
    <x v="5"/>
    <n v="24"/>
    <n v="40"/>
    <n v="0"/>
    <n v="960"/>
    <x v="26"/>
    <x v="1"/>
    <n v="4"/>
    <x v="9"/>
    <x v="1"/>
  </r>
  <r>
    <n v="10522"/>
    <x v="214"/>
    <n v="1"/>
    <x v="26"/>
    <x v="5"/>
    <n v="20"/>
    <n v="2589"/>
    <n v="2"/>
    <n v="50744.4"/>
    <x v="26"/>
    <x v="1"/>
    <n v="4"/>
    <x v="9"/>
    <x v="1"/>
  </r>
  <r>
    <n v="10522"/>
    <x v="214"/>
    <n v="1"/>
    <x v="26"/>
    <x v="5"/>
    <n v="25"/>
    <n v="184"/>
    <n v="2"/>
    <n v="4508"/>
    <x v="26"/>
    <x v="1"/>
    <n v="4"/>
    <x v="9"/>
    <x v="1"/>
  </r>
  <r>
    <n v="10523"/>
    <x v="215"/>
    <n v="17"/>
    <x v="13"/>
    <x v="6"/>
    <n v="25"/>
    <n v="39"/>
    <n v="1"/>
    <n v="965.25"/>
    <x v="56"/>
    <x v="13"/>
    <n v="5"/>
    <x v="10"/>
    <x v="1"/>
  </r>
  <r>
    <n v="10523"/>
    <x v="215"/>
    <n v="17"/>
    <x v="13"/>
    <x v="6"/>
    <n v="15"/>
    <n v="81"/>
    <n v="1"/>
    <n v="1202.8499999999999"/>
    <x v="56"/>
    <x v="13"/>
    <n v="5"/>
    <x v="10"/>
    <x v="1"/>
  </r>
  <r>
    <n v="10523"/>
    <x v="215"/>
    <n v="17"/>
    <x v="13"/>
    <x v="6"/>
    <n v="18"/>
    <n v="26"/>
    <n v="1"/>
    <n v="463.32"/>
    <x v="56"/>
    <x v="13"/>
    <n v="5"/>
    <x v="10"/>
    <x v="1"/>
  </r>
  <r>
    <n v="10523"/>
    <x v="215"/>
    <n v="17"/>
    <x v="13"/>
    <x v="6"/>
    <n v="6"/>
    <n v="965"/>
    <n v="1"/>
    <n v="5732.1"/>
    <x v="56"/>
    <x v="13"/>
    <n v="5"/>
    <x v="10"/>
    <x v="1"/>
  </r>
  <r>
    <n v="10524"/>
    <x v="215"/>
    <n v="10"/>
    <x v="19"/>
    <x v="2"/>
    <n v="2"/>
    <n v="31"/>
    <n v="0"/>
    <n v="62"/>
    <x v="25"/>
    <x v="9"/>
    <n v="5"/>
    <x v="10"/>
    <x v="1"/>
  </r>
  <r>
    <n v="10524"/>
    <x v="215"/>
    <n v="10"/>
    <x v="19"/>
    <x v="2"/>
    <n v="10"/>
    <n v="2589"/>
    <n v="0"/>
    <n v="25890"/>
    <x v="25"/>
    <x v="9"/>
    <n v="5"/>
    <x v="10"/>
    <x v="1"/>
  </r>
  <r>
    <n v="10524"/>
    <x v="215"/>
    <n v="10"/>
    <x v="19"/>
    <x v="2"/>
    <n v="60"/>
    <n v="46"/>
    <n v="0"/>
    <n v="2760"/>
    <x v="25"/>
    <x v="9"/>
    <n v="5"/>
    <x v="10"/>
    <x v="1"/>
  </r>
  <r>
    <n v="10524"/>
    <x v="215"/>
    <n v="10"/>
    <x v="19"/>
    <x v="2"/>
    <n v="15"/>
    <n v="745"/>
    <n v="0"/>
    <n v="11175"/>
    <x v="25"/>
    <x v="9"/>
    <n v="5"/>
    <x v="10"/>
    <x v="1"/>
  </r>
  <r>
    <n v="10525"/>
    <x v="216"/>
    <n v="36"/>
    <x v="18"/>
    <x v="2"/>
    <n v="30"/>
    <n v="19"/>
    <n v="0"/>
    <n v="570"/>
    <x v="48"/>
    <x v="0"/>
    <n v="5"/>
    <x v="10"/>
    <x v="1"/>
  </r>
  <r>
    <n v="10525"/>
    <x v="216"/>
    <n v="36"/>
    <x v="18"/>
    <x v="2"/>
    <n v="15"/>
    <n v="184"/>
    <n v="1"/>
    <n v="2732.4"/>
    <x v="48"/>
    <x v="0"/>
    <n v="5"/>
    <x v="10"/>
    <x v="1"/>
  </r>
  <r>
    <n v="10526"/>
    <x v="217"/>
    <n v="1"/>
    <x v="26"/>
    <x v="5"/>
    <n v="8"/>
    <n v="18"/>
    <n v="15"/>
    <n v="122.39999999999999"/>
    <x v="16"/>
    <x v="10"/>
    <n v="5"/>
    <x v="10"/>
    <x v="1"/>
  </r>
  <r>
    <n v="10526"/>
    <x v="217"/>
    <n v="1"/>
    <x v="26"/>
    <x v="5"/>
    <n v="10"/>
    <n v="6"/>
    <n v="0"/>
    <n v="60"/>
    <x v="16"/>
    <x v="10"/>
    <n v="5"/>
    <x v="10"/>
    <x v="1"/>
  </r>
  <r>
    <n v="10526"/>
    <x v="217"/>
    <n v="1"/>
    <x v="26"/>
    <x v="5"/>
    <n v="30"/>
    <n v="38"/>
    <n v="15"/>
    <n v="969"/>
    <x v="16"/>
    <x v="10"/>
    <n v="5"/>
    <x v="10"/>
    <x v="1"/>
  </r>
  <r>
    <n v="10527"/>
    <x v="217"/>
    <n v="4"/>
    <x v="38"/>
    <x v="7"/>
    <n v="50"/>
    <n v="22"/>
    <n v="1"/>
    <n v="1089"/>
    <x v="21"/>
    <x v="1"/>
    <n v="5"/>
    <x v="10"/>
    <x v="1"/>
  </r>
  <r>
    <n v="10527"/>
    <x v="217"/>
    <n v="4"/>
    <x v="38"/>
    <x v="7"/>
    <n v="30"/>
    <n v="19"/>
    <n v="1"/>
    <n v="564.29999999999995"/>
    <x v="21"/>
    <x v="1"/>
    <n v="5"/>
    <x v="10"/>
    <x v="1"/>
  </r>
  <r>
    <n v="10528"/>
    <x v="218"/>
    <n v="11"/>
    <x v="0"/>
    <x v="0"/>
    <n v="3"/>
    <n v="21"/>
    <n v="0"/>
    <n v="63"/>
    <x v="79"/>
    <x v="8"/>
    <n v="5"/>
    <x v="10"/>
    <x v="1"/>
  </r>
  <r>
    <n v="10528"/>
    <x v="218"/>
    <n v="11"/>
    <x v="0"/>
    <x v="0"/>
    <n v="8"/>
    <n v="25"/>
    <n v="2"/>
    <n v="196"/>
    <x v="79"/>
    <x v="8"/>
    <n v="5"/>
    <x v="10"/>
    <x v="1"/>
  </r>
  <r>
    <n v="10528"/>
    <x v="218"/>
    <n v="11"/>
    <x v="0"/>
    <x v="0"/>
    <n v="9"/>
    <n v="348"/>
    <n v="0"/>
    <n v="3132"/>
    <x v="79"/>
    <x v="8"/>
    <n v="5"/>
    <x v="10"/>
    <x v="1"/>
  </r>
  <r>
    <n v="10529"/>
    <x v="219"/>
    <n v="55"/>
    <x v="62"/>
    <x v="6"/>
    <n v="14"/>
    <n v="24"/>
    <n v="0"/>
    <n v="336"/>
    <x v="80"/>
    <x v="3"/>
    <n v="5"/>
    <x v="10"/>
    <x v="1"/>
  </r>
  <r>
    <n v="10529"/>
    <x v="219"/>
    <n v="55"/>
    <x v="62"/>
    <x v="6"/>
    <n v="20"/>
    <n v="125"/>
    <n v="0"/>
    <n v="2500"/>
    <x v="80"/>
    <x v="3"/>
    <n v="5"/>
    <x v="10"/>
    <x v="1"/>
  </r>
  <r>
    <n v="10529"/>
    <x v="219"/>
    <n v="55"/>
    <x v="62"/>
    <x v="6"/>
    <n v="10"/>
    <n v="36"/>
    <n v="0"/>
    <n v="360"/>
    <x v="80"/>
    <x v="3"/>
    <n v="5"/>
    <x v="10"/>
    <x v="1"/>
  </r>
  <r>
    <n v="10530"/>
    <x v="220"/>
    <n v="17"/>
    <x v="13"/>
    <x v="6"/>
    <n v="40"/>
    <n v="39"/>
    <n v="0"/>
    <n v="1560"/>
    <x v="54"/>
    <x v="6"/>
    <n v="5"/>
    <x v="10"/>
    <x v="1"/>
  </r>
  <r>
    <n v="10530"/>
    <x v="220"/>
    <n v="17"/>
    <x v="13"/>
    <x v="6"/>
    <n v="25"/>
    <n v="46"/>
    <n v="0"/>
    <n v="1150"/>
    <x v="54"/>
    <x v="6"/>
    <n v="5"/>
    <x v="10"/>
    <x v="1"/>
  </r>
  <r>
    <n v="10530"/>
    <x v="220"/>
    <n v="17"/>
    <x v="13"/>
    <x v="6"/>
    <n v="20"/>
    <n v="285"/>
    <n v="0"/>
    <n v="5700"/>
    <x v="54"/>
    <x v="6"/>
    <n v="5"/>
    <x v="10"/>
    <x v="1"/>
  </r>
  <r>
    <n v="10530"/>
    <x v="220"/>
    <n v="17"/>
    <x v="13"/>
    <x v="6"/>
    <n v="50"/>
    <n v="18"/>
    <n v="0"/>
    <n v="900"/>
    <x v="54"/>
    <x v="6"/>
    <n v="5"/>
    <x v="10"/>
    <x v="1"/>
  </r>
  <r>
    <n v="10531"/>
    <x v="220"/>
    <n v="59"/>
    <x v="44"/>
    <x v="0"/>
    <n v="2"/>
    <n v="55"/>
    <n v="0"/>
    <n v="110"/>
    <x v="69"/>
    <x v="20"/>
    <n v="5"/>
    <x v="10"/>
    <x v="1"/>
  </r>
  <r>
    <n v="10532"/>
    <x v="221"/>
    <n v="30"/>
    <x v="24"/>
    <x v="2"/>
    <n v="15"/>
    <n v="2589"/>
    <n v="0"/>
    <n v="38835"/>
    <x v="58"/>
    <x v="13"/>
    <n v="5"/>
    <x v="10"/>
    <x v="1"/>
  </r>
  <r>
    <n v="10532"/>
    <x v="221"/>
    <n v="30"/>
    <x v="24"/>
    <x v="2"/>
    <n v="24"/>
    <n v="17"/>
    <n v="0"/>
    <n v="408"/>
    <x v="58"/>
    <x v="13"/>
    <n v="5"/>
    <x v="10"/>
    <x v="1"/>
  </r>
  <r>
    <n v="10533"/>
    <x v="222"/>
    <n v="4"/>
    <x v="38"/>
    <x v="7"/>
    <n v="50"/>
    <n v="22"/>
    <n v="5"/>
    <n v="1045"/>
    <x v="14"/>
    <x v="9"/>
    <n v="5"/>
    <x v="10"/>
    <x v="1"/>
  </r>
  <r>
    <n v="10533"/>
    <x v="222"/>
    <n v="4"/>
    <x v="38"/>
    <x v="7"/>
    <n v="24"/>
    <n v="348"/>
    <n v="0"/>
    <n v="8352"/>
    <x v="14"/>
    <x v="9"/>
    <n v="5"/>
    <x v="10"/>
    <x v="1"/>
  </r>
  <r>
    <n v="10533"/>
    <x v="222"/>
    <n v="4"/>
    <x v="38"/>
    <x v="7"/>
    <n v="24"/>
    <n v="15"/>
    <n v="5"/>
    <n v="342"/>
    <x v="14"/>
    <x v="9"/>
    <n v="5"/>
    <x v="10"/>
    <x v="1"/>
  </r>
  <r>
    <n v="10534"/>
    <x v="222"/>
    <n v="30"/>
    <x v="24"/>
    <x v="2"/>
    <n v="10"/>
    <n v="2589"/>
    <n v="0"/>
    <n v="25890"/>
    <x v="26"/>
    <x v="1"/>
    <n v="5"/>
    <x v="10"/>
    <x v="1"/>
  </r>
  <r>
    <n v="10534"/>
    <x v="222"/>
    <n v="30"/>
    <x v="24"/>
    <x v="2"/>
    <n v="10"/>
    <n v="184"/>
    <n v="2"/>
    <n v="1803.2"/>
    <x v="26"/>
    <x v="1"/>
    <n v="5"/>
    <x v="10"/>
    <x v="1"/>
  </r>
  <r>
    <n v="10534"/>
    <x v="222"/>
    <n v="30"/>
    <x v="24"/>
    <x v="2"/>
    <n v="10"/>
    <n v="745"/>
    <n v="2"/>
    <n v="7301"/>
    <x v="26"/>
    <x v="1"/>
    <n v="5"/>
    <x v="10"/>
    <x v="1"/>
  </r>
  <r>
    <n v="10535"/>
    <x v="223"/>
    <n v="11"/>
    <x v="0"/>
    <x v="0"/>
    <n v="50"/>
    <n v="21"/>
    <n v="1"/>
    <n v="1039.5"/>
    <x v="59"/>
    <x v="7"/>
    <n v="5"/>
    <x v="10"/>
    <x v="1"/>
  </r>
  <r>
    <n v="10535"/>
    <x v="223"/>
    <n v="11"/>
    <x v="0"/>
    <x v="0"/>
    <n v="10"/>
    <n v="184"/>
    <n v="1"/>
    <n v="1821.6"/>
    <x v="59"/>
    <x v="7"/>
    <n v="5"/>
    <x v="10"/>
    <x v="1"/>
  </r>
  <r>
    <n v="10535"/>
    <x v="223"/>
    <n v="11"/>
    <x v="0"/>
    <x v="0"/>
    <n v="5"/>
    <n v="195"/>
    <n v="1"/>
    <n v="965.25"/>
    <x v="59"/>
    <x v="7"/>
    <n v="5"/>
    <x v="10"/>
    <x v="1"/>
  </r>
  <r>
    <n v="10535"/>
    <x v="223"/>
    <n v="11"/>
    <x v="0"/>
    <x v="0"/>
    <n v="15"/>
    <n v="55"/>
    <n v="1"/>
    <n v="816.75"/>
    <x v="59"/>
    <x v="7"/>
    <n v="5"/>
    <x v="10"/>
    <x v="1"/>
  </r>
  <r>
    <n v="10536"/>
    <x v="224"/>
    <n v="12"/>
    <x v="14"/>
    <x v="0"/>
    <n v="15"/>
    <n v="38"/>
    <n v="25"/>
    <n v="427.5"/>
    <x v="26"/>
    <x v="1"/>
    <n v="5"/>
    <x v="10"/>
    <x v="1"/>
  </r>
  <r>
    <n v="10536"/>
    <x v="224"/>
    <n v="12"/>
    <x v="14"/>
    <x v="0"/>
    <n v="20"/>
    <n v="125"/>
    <n v="0"/>
    <n v="2500"/>
    <x v="26"/>
    <x v="1"/>
    <n v="5"/>
    <x v="10"/>
    <x v="1"/>
  </r>
  <r>
    <n v="10536"/>
    <x v="224"/>
    <n v="12"/>
    <x v="14"/>
    <x v="0"/>
    <n v="30"/>
    <n v="25"/>
    <n v="0"/>
    <n v="750"/>
    <x v="26"/>
    <x v="1"/>
    <n v="5"/>
    <x v="10"/>
    <x v="1"/>
  </r>
  <r>
    <n v="10536"/>
    <x v="224"/>
    <n v="12"/>
    <x v="14"/>
    <x v="0"/>
    <n v="35"/>
    <n v="34"/>
    <n v="25"/>
    <n v="892.5"/>
    <x v="26"/>
    <x v="1"/>
    <n v="5"/>
    <x v="10"/>
    <x v="1"/>
  </r>
  <r>
    <n v="10537"/>
    <x v="224"/>
    <n v="31"/>
    <x v="5"/>
    <x v="0"/>
    <n v="30"/>
    <n v="125"/>
    <n v="0"/>
    <n v="3750"/>
    <x v="6"/>
    <x v="4"/>
    <n v="5"/>
    <x v="10"/>
    <x v="1"/>
  </r>
  <r>
    <n v="10537"/>
    <x v="224"/>
    <n v="31"/>
    <x v="5"/>
    <x v="0"/>
    <n v="6"/>
    <n v="53"/>
    <n v="0"/>
    <n v="318"/>
    <x v="6"/>
    <x v="4"/>
    <n v="5"/>
    <x v="10"/>
    <x v="1"/>
  </r>
  <r>
    <n v="10537"/>
    <x v="224"/>
    <n v="31"/>
    <x v="5"/>
    <x v="0"/>
    <n v="20"/>
    <n v="1325"/>
    <n v="0"/>
    <n v="26500"/>
    <x v="6"/>
    <x v="4"/>
    <n v="5"/>
    <x v="10"/>
    <x v="1"/>
  </r>
  <r>
    <n v="10537"/>
    <x v="224"/>
    <n v="31"/>
    <x v="5"/>
    <x v="0"/>
    <n v="21"/>
    <n v="348"/>
    <n v="0"/>
    <n v="7308"/>
    <x v="6"/>
    <x v="4"/>
    <n v="5"/>
    <x v="10"/>
    <x v="1"/>
  </r>
  <r>
    <n v="10537"/>
    <x v="224"/>
    <n v="31"/>
    <x v="5"/>
    <x v="0"/>
    <n v="9"/>
    <n v="15"/>
    <n v="0"/>
    <n v="135"/>
    <x v="6"/>
    <x v="4"/>
    <n v="5"/>
    <x v="10"/>
    <x v="1"/>
  </r>
  <r>
    <n v="10538"/>
    <x v="225"/>
    <n v="70"/>
    <x v="66"/>
    <x v="5"/>
    <n v="7"/>
    <n v="15"/>
    <n v="0"/>
    <n v="105"/>
    <x v="31"/>
    <x v="13"/>
    <n v="5"/>
    <x v="10"/>
    <x v="1"/>
  </r>
  <r>
    <n v="10538"/>
    <x v="225"/>
    <n v="70"/>
    <x v="66"/>
    <x v="5"/>
    <n v="1"/>
    <n v="348"/>
    <n v="0"/>
    <n v="348"/>
    <x v="31"/>
    <x v="13"/>
    <n v="5"/>
    <x v="10"/>
    <x v="1"/>
  </r>
  <r>
    <n v="10539"/>
    <x v="226"/>
    <n v="13"/>
    <x v="30"/>
    <x v="2"/>
    <n v="8"/>
    <n v="6"/>
    <n v="0"/>
    <n v="48"/>
    <x v="31"/>
    <x v="13"/>
    <n v="5"/>
    <x v="10"/>
    <x v="1"/>
  </r>
  <r>
    <n v="10539"/>
    <x v="226"/>
    <n v="13"/>
    <x v="30"/>
    <x v="2"/>
    <n v="15"/>
    <n v="10"/>
    <n v="0"/>
    <n v="150"/>
    <x v="31"/>
    <x v="13"/>
    <n v="5"/>
    <x v="10"/>
    <x v="1"/>
  </r>
  <r>
    <n v="10539"/>
    <x v="226"/>
    <n v="13"/>
    <x v="30"/>
    <x v="2"/>
    <n v="15"/>
    <n v="25"/>
    <n v="0"/>
    <n v="375"/>
    <x v="31"/>
    <x v="13"/>
    <n v="5"/>
    <x v="10"/>
    <x v="1"/>
  </r>
  <r>
    <n v="10539"/>
    <x v="226"/>
    <n v="13"/>
    <x v="30"/>
    <x v="2"/>
    <n v="6"/>
    <n v="20"/>
    <n v="0"/>
    <n v="120"/>
    <x v="31"/>
    <x v="13"/>
    <n v="5"/>
    <x v="10"/>
    <x v="1"/>
  </r>
  <r>
    <n v="10540"/>
    <x v="227"/>
    <n v="3"/>
    <x v="29"/>
    <x v="7"/>
    <n v="60"/>
    <n v="10"/>
    <n v="0"/>
    <n v="600"/>
    <x v="21"/>
    <x v="1"/>
    <n v="5"/>
    <x v="10"/>
    <x v="1"/>
  </r>
  <r>
    <n v="10540"/>
    <x v="227"/>
    <n v="3"/>
    <x v="29"/>
    <x v="7"/>
    <n v="40"/>
    <n v="3123"/>
    <n v="0"/>
    <n v="124920"/>
    <x v="21"/>
    <x v="1"/>
    <n v="5"/>
    <x v="10"/>
    <x v="1"/>
  </r>
  <r>
    <n v="10540"/>
    <x v="227"/>
    <n v="3"/>
    <x v="29"/>
    <x v="7"/>
    <n v="30"/>
    <n v="2635"/>
    <n v="0"/>
    <n v="79050"/>
    <x v="21"/>
    <x v="1"/>
    <n v="5"/>
    <x v="10"/>
    <x v="1"/>
  </r>
  <r>
    <n v="10540"/>
    <x v="227"/>
    <n v="3"/>
    <x v="29"/>
    <x v="7"/>
    <n v="35"/>
    <n v="125"/>
    <n v="0"/>
    <n v="4375"/>
    <x v="21"/>
    <x v="1"/>
    <n v="5"/>
    <x v="10"/>
    <x v="1"/>
  </r>
  <r>
    <n v="10541"/>
    <x v="227"/>
    <n v="24"/>
    <x v="6"/>
    <x v="5"/>
    <n v="35"/>
    <n v="45"/>
    <n v="1"/>
    <n v="1559.25"/>
    <x v="2"/>
    <x v="2"/>
    <n v="5"/>
    <x v="10"/>
    <x v="1"/>
  </r>
  <r>
    <n v="10541"/>
    <x v="227"/>
    <n v="24"/>
    <x v="6"/>
    <x v="5"/>
    <n v="4"/>
    <n v="2635"/>
    <n v="1"/>
    <n v="10434.6"/>
    <x v="2"/>
    <x v="2"/>
    <n v="5"/>
    <x v="10"/>
    <x v="1"/>
  </r>
  <r>
    <n v="10541"/>
    <x v="227"/>
    <n v="24"/>
    <x v="6"/>
    <x v="5"/>
    <n v="36"/>
    <n v="2105"/>
    <n v="1"/>
    <n v="75022.2"/>
    <x v="2"/>
    <x v="2"/>
    <n v="5"/>
    <x v="10"/>
    <x v="1"/>
  </r>
  <r>
    <n v="10541"/>
    <x v="227"/>
    <n v="24"/>
    <x v="6"/>
    <x v="5"/>
    <n v="9"/>
    <n v="215"/>
    <n v="1"/>
    <n v="1915.65"/>
    <x v="2"/>
    <x v="2"/>
    <n v="5"/>
    <x v="10"/>
    <x v="1"/>
  </r>
  <r>
    <n v="10542"/>
    <x v="228"/>
    <n v="11"/>
    <x v="0"/>
    <x v="0"/>
    <n v="15"/>
    <n v="21"/>
    <n v="5"/>
    <n v="299.25"/>
    <x v="44"/>
    <x v="1"/>
    <n v="5"/>
    <x v="10"/>
    <x v="1"/>
  </r>
  <r>
    <n v="10542"/>
    <x v="228"/>
    <n v="11"/>
    <x v="0"/>
    <x v="0"/>
    <n v="24"/>
    <n v="745"/>
    <n v="5"/>
    <n v="16986"/>
    <x v="44"/>
    <x v="1"/>
    <n v="5"/>
    <x v="10"/>
    <x v="1"/>
  </r>
  <r>
    <n v="10543"/>
    <x v="229"/>
    <n v="12"/>
    <x v="14"/>
    <x v="0"/>
    <n v="30"/>
    <n v="38"/>
    <n v="15"/>
    <n v="969"/>
    <x v="28"/>
    <x v="5"/>
    <n v="5"/>
    <x v="10"/>
    <x v="1"/>
  </r>
  <r>
    <n v="10543"/>
    <x v="229"/>
    <n v="12"/>
    <x v="14"/>
    <x v="0"/>
    <n v="70"/>
    <n v="9"/>
    <n v="15"/>
    <n v="535.5"/>
    <x v="28"/>
    <x v="5"/>
    <n v="5"/>
    <x v="10"/>
    <x v="1"/>
  </r>
  <r>
    <n v="10544"/>
    <x v="229"/>
    <n v="28"/>
    <x v="21"/>
    <x v="1"/>
    <n v="7"/>
    <n v="456"/>
    <n v="0"/>
    <n v="3192"/>
    <x v="38"/>
    <x v="8"/>
    <n v="5"/>
    <x v="10"/>
    <x v="1"/>
  </r>
  <r>
    <n v="10544"/>
    <x v="229"/>
    <n v="28"/>
    <x v="21"/>
    <x v="1"/>
    <n v="7"/>
    <n v="14"/>
    <n v="0"/>
    <n v="98"/>
    <x v="38"/>
    <x v="8"/>
    <n v="5"/>
    <x v="10"/>
    <x v="1"/>
  </r>
  <r>
    <n v="10545"/>
    <x v="230"/>
    <n v="11"/>
    <x v="0"/>
    <x v="0"/>
    <n v="10"/>
    <n v="21"/>
    <n v="0"/>
    <n v="210"/>
    <x v="74"/>
    <x v="8"/>
    <n v="5"/>
    <x v="10"/>
    <x v="1"/>
  </r>
  <r>
    <n v="10546"/>
    <x v="231"/>
    <n v="7"/>
    <x v="55"/>
    <x v="1"/>
    <n v="10"/>
    <n v="30"/>
    <n v="0"/>
    <n v="300"/>
    <x v="3"/>
    <x v="0"/>
    <n v="5"/>
    <x v="10"/>
    <x v="1"/>
  </r>
  <r>
    <n v="10546"/>
    <x v="231"/>
    <n v="7"/>
    <x v="55"/>
    <x v="1"/>
    <n v="30"/>
    <n v="18"/>
    <n v="0"/>
    <n v="540"/>
    <x v="3"/>
    <x v="0"/>
    <n v="5"/>
    <x v="10"/>
    <x v="1"/>
  </r>
  <r>
    <n v="10546"/>
    <x v="231"/>
    <n v="7"/>
    <x v="55"/>
    <x v="1"/>
    <n v="40"/>
    <n v="493"/>
    <n v="0"/>
    <n v="19720"/>
    <x v="3"/>
    <x v="0"/>
    <n v="5"/>
    <x v="10"/>
    <x v="1"/>
  </r>
  <r>
    <n v="10547"/>
    <x v="231"/>
    <n v="32"/>
    <x v="40"/>
    <x v="0"/>
    <n v="24"/>
    <n v="32"/>
    <n v="15"/>
    <n v="652.79999999999995"/>
    <x v="56"/>
    <x v="13"/>
    <n v="5"/>
    <x v="10"/>
    <x v="1"/>
  </r>
  <r>
    <n v="10547"/>
    <x v="231"/>
    <n v="32"/>
    <x v="40"/>
    <x v="0"/>
    <n v="60"/>
    <n v="19"/>
    <n v="0"/>
    <n v="1140"/>
    <x v="56"/>
    <x v="13"/>
    <n v="5"/>
    <x v="10"/>
    <x v="1"/>
  </r>
  <r>
    <n v="10548"/>
    <x v="232"/>
    <n v="34"/>
    <x v="41"/>
    <x v="5"/>
    <n v="10"/>
    <n v="14"/>
    <n v="25"/>
    <n v="105"/>
    <x v="1"/>
    <x v="1"/>
    <n v="5"/>
    <x v="10"/>
    <x v="1"/>
  </r>
  <r>
    <n v="10548"/>
    <x v="232"/>
    <n v="34"/>
    <x v="41"/>
    <x v="5"/>
    <n v="14"/>
    <n v="965"/>
    <n v="0"/>
    <n v="13510"/>
    <x v="1"/>
    <x v="1"/>
    <n v="5"/>
    <x v="10"/>
    <x v="1"/>
  </r>
  <r>
    <n v="10549"/>
    <x v="233"/>
    <n v="31"/>
    <x v="5"/>
    <x v="0"/>
    <n v="55"/>
    <n v="125"/>
    <n v="15"/>
    <n v="5843.75"/>
    <x v="21"/>
    <x v="1"/>
    <n v="5"/>
    <x v="10"/>
    <x v="1"/>
  </r>
  <r>
    <n v="10549"/>
    <x v="233"/>
    <n v="31"/>
    <x v="5"/>
    <x v="0"/>
    <n v="100"/>
    <n v="95"/>
    <n v="15"/>
    <n v="8075"/>
    <x v="21"/>
    <x v="1"/>
    <n v="5"/>
    <x v="10"/>
    <x v="1"/>
  </r>
  <r>
    <n v="10549"/>
    <x v="233"/>
    <n v="31"/>
    <x v="5"/>
    <x v="0"/>
    <n v="48"/>
    <n v="53"/>
    <n v="15"/>
    <n v="2162.4"/>
    <x v="21"/>
    <x v="1"/>
    <n v="5"/>
    <x v="10"/>
    <x v="1"/>
  </r>
  <r>
    <n v="10550"/>
    <x v="234"/>
    <n v="17"/>
    <x v="13"/>
    <x v="6"/>
    <n v="8"/>
    <n v="39"/>
    <n v="1"/>
    <n v="308.88"/>
    <x v="36"/>
    <x v="12"/>
    <n v="5"/>
    <x v="10"/>
    <x v="1"/>
  </r>
  <r>
    <n v="10550"/>
    <x v="234"/>
    <n v="17"/>
    <x v="13"/>
    <x v="6"/>
    <n v="10"/>
    <n v="92"/>
    <n v="0"/>
    <n v="920"/>
    <x v="36"/>
    <x v="12"/>
    <n v="5"/>
    <x v="10"/>
    <x v="1"/>
  </r>
  <r>
    <n v="10550"/>
    <x v="234"/>
    <n v="17"/>
    <x v="13"/>
    <x v="6"/>
    <n v="6"/>
    <n v="10"/>
    <n v="1"/>
    <n v="59.4"/>
    <x v="36"/>
    <x v="12"/>
    <n v="5"/>
    <x v="10"/>
    <x v="1"/>
  </r>
  <r>
    <n v="10550"/>
    <x v="234"/>
    <n v="17"/>
    <x v="13"/>
    <x v="6"/>
    <n v="10"/>
    <n v="285"/>
    <n v="1"/>
    <n v="2821.5"/>
    <x v="36"/>
    <x v="12"/>
    <n v="5"/>
    <x v="10"/>
    <x v="1"/>
  </r>
  <r>
    <n v="10551"/>
    <x v="234"/>
    <n v="16"/>
    <x v="12"/>
    <x v="4"/>
    <n v="40"/>
    <n v="1745"/>
    <n v="15"/>
    <n v="59330"/>
    <x v="47"/>
    <x v="15"/>
    <n v="5"/>
    <x v="10"/>
    <x v="1"/>
  </r>
  <r>
    <n v="10551"/>
    <x v="234"/>
    <n v="16"/>
    <x v="12"/>
    <x v="4"/>
    <n v="20"/>
    <n v="18"/>
    <n v="15"/>
    <n v="306"/>
    <x v="47"/>
    <x v="15"/>
    <n v="5"/>
    <x v="10"/>
    <x v="1"/>
  </r>
  <r>
    <n v="10551"/>
    <x v="234"/>
    <n v="16"/>
    <x v="12"/>
    <x v="4"/>
    <n v="40"/>
    <n v="1945"/>
    <n v="0"/>
    <n v="77800"/>
    <x v="47"/>
    <x v="15"/>
    <n v="5"/>
    <x v="10"/>
    <x v="1"/>
  </r>
  <r>
    <n v="10552"/>
    <x v="235"/>
    <n v="69"/>
    <x v="37"/>
    <x v="0"/>
    <n v="18"/>
    <n v="36"/>
    <n v="0"/>
    <n v="648"/>
    <x v="8"/>
    <x v="5"/>
    <n v="5"/>
    <x v="10"/>
    <x v="1"/>
  </r>
  <r>
    <n v="10552"/>
    <x v="235"/>
    <n v="69"/>
    <x v="37"/>
    <x v="0"/>
    <n v="30"/>
    <n v="775"/>
    <n v="0"/>
    <n v="23250"/>
    <x v="8"/>
    <x v="5"/>
    <n v="5"/>
    <x v="10"/>
    <x v="1"/>
  </r>
  <r>
    <n v="10553"/>
    <x v="236"/>
    <n v="11"/>
    <x v="0"/>
    <x v="0"/>
    <n v="15"/>
    <n v="21"/>
    <n v="0"/>
    <n v="315"/>
    <x v="16"/>
    <x v="10"/>
    <n v="5"/>
    <x v="10"/>
    <x v="1"/>
  </r>
  <r>
    <n v="10553"/>
    <x v="236"/>
    <n v="11"/>
    <x v="0"/>
    <x v="0"/>
    <n v="14"/>
    <n v="1745"/>
    <n v="0"/>
    <n v="24430"/>
    <x v="16"/>
    <x v="10"/>
    <n v="5"/>
    <x v="10"/>
    <x v="1"/>
  </r>
  <r>
    <n v="10553"/>
    <x v="236"/>
    <n v="11"/>
    <x v="0"/>
    <x v="0"/>
    <n v="24"/>
    <n v="21"/>
    <n v="0"/>
    <n v="504"/>
    <x v="16"/>
    <x v="10"/>
    <n v="5"/>
    <x v="10"/>
    <x v="1"/>
  </r>
  <r>
    <n v="10553"/>
    <x v="236"/>
    <n v="11"/>
    <x v="0"/>
    <x v="0"/>
    <n v="30"/>
    <n v="125"/>
    <n v="0"/>
    <n v="3750"/>
    <x v="16"/>
    <x v="10"/>
    <n v="5"/>
    <x v="10"/>
    <x v="1"/>
  </r>
  <r>
    <n v="10553"/>
    <x v="236"/>
    <n v="11"/>
    <x v="0"/>
    <x v="0"/>
    <n v="6"/>
    <n v="18"/>
    <n v="0"/>
    <n v="108"/>
    <x v="16"/>
    <x v="10"/>
    <n v="5"/>
    <x v="10"/>
    <x v="1"/>
  </r>
  <r>
    <n v="10554"/>
    <x v="236"/>
    <n v="16"/>
    <x v="12"/>
    <x v="4"/>
    <n v="30"/>
    <n v="1745"/>
    <n v="5"/>
    <n v="49732.5"/>
    <x v="11"/>
    <x v="1"/>
    <n v="5"/>
    <x v="10"/>
    <x v="1"/>
  </r>
  <r>
    <n v="10554"/>
    <x v="236"/>
    <n v="16"/>
    <x v="12"/>
    <x v="4"/>
    <n v="20"/>
    <n v="9"/>
    <n v="5"/>
    <n v="171"/>
    <x v="11"/>
    <x v="1"/>
    <n v="5"/>
    <x v="10"/>
    <x v="1"/>
  </r>
  <r>
    <n v="10554"/>
    <x v="236"/>
    <n v="16"/>
    <x v="12"/>
    <x v="4"/>
    <n v="20"/>
    <n v="493"/>
    <n v="5"/>
    <n v="9367"/>
    <x v="11"/>
    <x v="1"/>
    <n v="5"/>
    <x v="10"/>
    <x v="1"/>
  </r>
  <r>
    <n v="10554"/>
    <x v="236"/>
    <n v="16"/>
    <x v="12"/>
    <x v="4"/>
    <n v="10"/>
    <n v="13"/>
    <n v="5"/>
    <n v="123.5"/>
    <x v="11"/>
    <x v="1"/>
    <n v="5"/>
    <x v="10"/>
    <x v="1"/>
  </r>
  <r>
    <n v="10555"/>
    <x v="237"/>
    <n v="14"/>
    <x v="1"/>
    <x v="1"/>
    <n v="30"/>
    <n v="2325"/>
    <n v="2"/>
    <n v="68355"/>
    <x v="45"/>
    <x v="8"/>
    <n v="6"/>
    <x v="11"/>
    <x v="1"/>
  </r>
  <r>
    <n v="10555"/>
    <x v="237"/>
    <n v="14"/>
    <x v="1"/>
    <x v="1"/>
    <n v="35"/>
    <n v="92"/>
    <n v="2"/>
    <n v="3155.6"/>
    <x v="45"/>
    <x v="8"/>
    <n v="6"/>
    <x v="11"/>
    <x v="1"/>
  </r>
  <r>
    <n v="10555"/>
    <x v="237"/>
    <n v="14"/>
    <x v="1"/>
    <x v="1"/>
    <n v="18"/>
    <n v="45"/>
    <n v="2"/>
    <n v="793.8"/>
    <x v="45"/>
    <x v="8"/>
    <n v="6"/>
    <x v="11"/>
    <x v="1"/>
  </r>
  <r>
    <n v="10555"/>
    <x v="237"/>
    <n v="14"/>
    <x v="1"/>
    <x v="1"/>
    <n v="20"/>
    <n v="53"/>
    <n v="2"/>
    <n v="1038.8"/>
    <x v="45"/>
    <x v="8"/>
    <n v="6"/>
    <x v="11"/>
    <x v="1"/>
  </r>
  <r>
    <n v="10555"/>
    <x v="237"/>
    <n v="14"/>
    <x v="1"/>
    <x v="1"/>
    <n v="40"/>
    <n v="38"/>
    <n v="2"/>
    <n v="1489.6"/>
    <x v="45"/>
    <x v="8"/>
    <n v="6"/>
    <x v="11"/>
    <x v="1"/>
  </r>
  <r>
    <n v="10556"/>
    <x v="238"/>
    <n v="72"/>
    <x v="67"/>
    <x v="0"/>
    <n v="24"/>
    <n v="348"/>
    <n v="0"/>
    <n v="8352"/>
    <x v="51"/>
    <x v="17"/>
    <n v="6"/>
    <x v="11"/>
    <x v="1"/>
  </r>
  <r>
    <n v="10557"/>
    <x v="238"/>
    <n v="64"/>
    <x v="47"/>
    <x v="3"/>
    <n v="30"/>
    <n v="3325"/>
    <n v="0"/>
    <n v="99750"/>
    <x v="26"/>
    <x v="1"/>
    <n v="6"/>
    <x v="11"/>
    <x v="1"/>
  </r>
  <r>
    <n v="10557"/>
    <x v="238"/>
    <n v="64"/>
    <x v="47"/>
    <x v="3"/>
    <n v="20"/>
    <n v="775"/>
    <n v="0"/>
    <n v="15500"/>
    <x v="26"/>
    <x v="1"/>
    <n v="6"/>
    <x v="11"/>
    <x v="1"/>
  </r>
  <r>
    <n v="10558"/>
    <x v="239"/>
    <n v="47"/>
    <x v="64"/>
    <x v="4"/>
    <n v="25"/>
    <n v="95"/>
    <n v="0"/>
    <n v="2375"/>
    <x v="55"/>
    <x v="13"/>
    <n v="6"/>
    <x v="11"/>
    <x v="1"/>
  </r>
  <r>
    <n v="10558"/>
    <x v="239"/>
    <n v="47"/>
    <x v="64"/>
    <x v="4"/>
    <n v="20"/>
    <n v="53"/>
    <n v="0"/>
    <n v="1060"/>
    <x v="55"/>
    <x v="13"/>
    <n v="6"/>
    <x v="11"/>
    <x v="1"/>
  </r>
  <r>
    <n v="10558"/>
    <x v="239"/>
    <n v="47"/>
    <x v="64"/>
    <x v="4"/>
    <n v="30"/>
    <n v="7"/>
    <n v="0"/>
    <n v="210"/>
    <x v="55"/>
    <x v="13"/>
    <n v="6"/>
    <x v="11"/>
    <x v="1"/>
  </r>
  <r>
    <n v="10558"/>
    <x v="239"/>
    <n v="47"/>
    <x v="64"/>
    <x v="4"/>
    <n v="18"/>
    <n v="328"/>
    <n v="0"/>
    <n v="5904"/>
    <x v="55"/>
    <x v="13"/>
    <n v="6"/>
    <x v="11"/>
    <x v="1"/>
  </r>
  <r>
    <n v="10558"/>
    <x v="239"/>
    <n v="47"/>
    <x v="64"/>
    <x v="4"/>
    <n v="3"/>
    <n v="15"/>
    <n v="0"/>
    <n v="45"/>
    <x v="55"/>
    <x v="13"/>
    <n v="6"/>
    <x v="11"/>
    <x v="1"/>
  </r>
  <r>
    <n v="10559"/>
    <x v="240"/>
    <n v="41"/>
    <x v="2"/>
    <x v="2"/>
    <n v="12"/>
    <n v="965"/>
    <n v="5"/>
    <n v="11001"/>
    <x v="15"/>
    <x v="0"/>
    <n v="6"/>
    <x v="11"/>
    <x v="1"/>
  </r>
  <r>
    <n v="10559"/>
    <x v="240"/>
    <n v="41"/>
    <x v="2"/>
    <x v="2"/>
    <n v="18"/>
    <n v="24"/>
    <n v="5"/>
    <n v="410.4"/>
    <x v="15"/>
    <x v="0"/>
    <n v="6"/>
    <x v="11"/>
    <x v="1"/>
  </r>
  <r>
    <n v="10560"/>
    <x v="241"/>
    <n v="30"/>
    <x v="24"/>
    <x v="2"/>
    <n v="20"/>
    <n v="2589"/>
    <n v="0"/>
    <n v="51780"/>
    <x v="17"/>
    <x v="1"/>
    <n v="6"/>
    <x v="11"/>
    <x v="1"/>
  </r>
  <r>
    <n v="10560"/>
    <x v="241"/>
    <n v="30"/>
    <x v="24"/>
    <x v="2"/>
    <n v="15"/>
    <n v="493"/>
    <n v="25"/>
    <n v="5546.25"/>
    <x v="17"/>
    <x v="1"/>
    <n v="6"/>
    <x v="11"/>
    <x v="1"/>
  </r>
  <r>
    <n v="10561"/>
    <x v="241"/>
    <n v="44"/>
    <x v="22"/>
    <x v="7"/>
    <n v="10"/>
    <n v="1945"/>
    <n v="0"/>
    <n v="19450"/>
    <x v="14"/>
    <x v="9"/>
    <n v="6"/>
    <x v="11"/>
    <x v="1"/>
  </r>
  <r>
    <n v="10561"/>
    <x v="241"/>
    <n v="44"/>
    <x v="22"/>
    <x v="7"/>
    <n v="50"/>
    <n v="53"/>
    <n v="0"/>
    <n v="2650"/>
    <x v="14"/>
    <x v="9"/>
    <n v="6"/>
    <x v="11"/>
    <x v="1"/>
  </r>
  <r>
    <n v="10562"/>
    <x v="242"/>
    <n v="33"/>
    <x v="17"/>
    <x v="0"/>
    <n v="20"/>
    <n v="25"/>
    <n v="1"/>
    <n v="495"/>
    <x v="30"/>
    <x v="11"/>
    <n v="6"/>
    <x v="11"/>
    <x v="1"/>
  </r>
  <r>
    <n v="10562"/>
    <x v="242"/>
    <n v="33"/>
    <x v="17"/>
    <x v="0"/>
    <n v="10"/>
    <n v="493"/>
    <n v="1"/>
    <n v="4880.7"/>
    <x v="30"/>
    <x v="11"/>
    <n v="6"/>
    <x v="11"/>
    <x v="1"/>
  </r>
  <r>
    <n v="10563"/>
    <x v="243"/>
    <n v="36"/>
    <x v="18"/>
    <x v="2"/>
    <n v="25"/>
    <n v="19"/>
    <n v="0"/>
    <n v="475"/>
    <x v="29"/>
    <x v="2"/>
    <n v="6"/>
    <x v="11"/>
    <x v="1"/>
  </r>
  <r>
    <n v="10563"/>
    <x v="243"/>
    <n v="36"/>
    <x v="18"/>
    <x v="2"/>
    <n v="70"/>
    <n v="7"/>
    <n v="0"/>
    <n v="490"/>
    <x v="29"/>
    <x v="2"/>
    <n v="6"/>
    <x v="11"/>
    <x v="1"/>
  </r>
  <r>
    <n v="10564"/>
    <x v="243"/>
    <n v="17"/>
    <x v="13"/>
    <x v="6"/>
    <n v="16"/>
    <n v="39"/>
    <n v="5"/>
    <n v="592.79999999999995"/>
    <x v="13"/>
    <x v="8"/>
    <n v="6"/>
    <x v="11"/>
    <x v="1"/>
  </r>
  <r>
    <n v="10564"/>
    <x v="243"/>
    <n v="17"/>
    <x v="13"/>
    <x v="6"/>
    <n v="6"/>
    <n v="125"/>
    <n v="5"/>
    <n v="712.5"/>
    <x v="13"/>
    <x v="8"/>
    <n v="6"/>
    <x v="11"/>
    <x v="1"/>
  </r>
  <r>
    <n v="10564"/>
    <x v="243"/>
    <n v="17"/>
    <x v="13"/>
    <x v="6"/>
    <n v="25"/>
    <n v="24"/>
    <n v="5"/>
    <n v="570"/>
    <x v="13"/>
    <x v="8"/>
    <n v="6"/>
    <x v="11"/>
    <x v="1"/>
  </r>
  <r>
    <n v="10565"/>
    <x v="244"/>
    <n v="24"/>
    <x v="6"/>
    <x v="5"/>
    <n v="25"/>
    <n v="45"/>
    <n v="1"/>
    <n v="1113.75"/>
    <x v="49"/>
    <x v="16"/>
    <n v="6"/>
    <x v="11"/>
    <x v="1"/>
  </r>
  <r>
    <n v="10565"/>
    <x v="244"/>
    <n v="24"/>
    <x v="6"/>
    <x v="5"/>
    <n v="18"/>
    <n v="3325"/>
    <n v="1"/>
    <n v="59251.5"/>
    <x v="49"/>
    <x v="16"/>
    <n v="6"/>
    <x v="11"/>
    <x v="1"/>
  </r>
  <r>
    <n v="10566"/>
    <x v="245"/>
    <n v="11"/>
    <x v="0"/>
    <x v="0"/>
    <n v="35"/>
    <n v="21"/>
    <n v="15"/>
    <n v="624.75"/>
    <x v="15"/>
    <x v="0"/>
    <n v="6"/>
    <x v="11"/>
    <x v="1"/>
  </r>
  <r>
    <n v="10566"/>
    <x v="245"/>
    <n v="11"/>
    <x v="0"/>
    <x v="0"/>
    <n v="18"/>
    <n v="625"/>
    <n v="15"/>
    <n v="9562.5"/>
    <x v="15"/>
    <x v="0"/>
    <n v="6"/>
    <x v="11"/>
    <x v="1"/>
  </r>
  <r>
    <n v="10566"/>
    <x v="245"/>
    <n v="11"/>
    <x v="0"/>
    <x v="0"/>
    <n v="10"/>
    <n v="18"/>
    <n v="0"/>
    <n v="180"/>
    <x v="15"/>
    <x v="0"/>
    <n v="6"/>
    <x v="11"/>
    <x v="1"/>
  </r>
  <r>
    <n v="10567"/>
    <x v="245"/>
    <n v="31"/>
    <x v="5"/>
    <x v="0"/>
    <n v="60"/>
    <n v="125"/>
    <n v="2"/>
    <n v="7350"/>
    <x v="34"/>
    <x v="14"/>
    <n v="6"/>
    <x v="11"/>
    <x v="1"/>
  </r>
  <r>
    <n v="10567"/>
    <x v="245"/>
    <n v="31"/>
    <x v="5"/>
    <x v="0"/>
    <n v="3"/>
    <n v="53"/>
    <n v="0"/>
    <n v="159"/>
    <x v="34"/>
    <x v="14"/>
    <n v="6"/>
    <x v="11"/>
    <x v="1"/>
  </r>
  <r>
    <n v="10567"/>
    <x v="245"/>
    <n v="31"/>
    <x v="5"/>
    <x v="0"/>
    <n v="40"/>
    <n v="55"/>
    <n v="2"/>
    <n v="2156"/>
    <x v="34"/>
    <x v="14"/>
    <n v="6"/>
    <x v="11"/>
    <x v="1"/>
  </r>
  <r>
    <n v="10568"/>
    <x v="246"/>
    <n v="10"/>
    <x v="19"/>
    <x v="2"/>
    <n v="5"/>
    <n v="31"/>
    <n v="0"/>
    <n v="155"/>
    <x v="60"/>
    <x v="12"/>
    <n v="6"/>
    <x v="11"/>
    <x v="1"/>
  </r>
  <r>
    <n v="10569"/>
    <x v="247"/>
    <n v="31"/>
    <x v="5"/>
    <x v="0"/>
    <n v="35"/>
    <n v="125"/>
    <n v="2"/>
    <n v="4287.5"/>
    <x v="13"/>
    <x v="8"/>
    <n v="6"/>
    <x v="11"/>
    <x v="1"/>
  </r>
  <r>
    <n v="10569"/>
    <x v="247"/>
    <n v="31"/>
    <x v="5"/>
    <x v="0"/>
    <n v="30"/>
    <n v="18"/>
    <n v="0"/>
    <n v="540"/>
    <x v="13"/>
    <x v="8"/>
    <n v="6"/>
    <x v="11"/>
    <x v="1"/>
  </r>
  <r>
    <n v="10570"/>
    <x v="248"/>
    <n v="11"/>
    <x v="0"/>
    <x v="0"/>
    <n v="15"/>
    <n v="21"/>
    <n v="5"/>
    <n v="299.25"/>
    <x v="49"/>
    <x v="16"/>
    <n v="6"/>
    <x v="11"/>
    <x v="1"/>
  </r>
  <r>
    <n v="10570"/>
    <x v="248"/>
    <n v="11"/>
    <x v="0"/>
    <x v="0"/>
    <n v="60"/>
    <n v="38"/>
    <n v="5"/>
    <n v="2166"/>
    <x v="49"/>
    <x v="16"/>
    <n v="6"/>
    <x v="11"/>
    <x v="1"/>
  </r>
  <r>
    <n v="10571"/>
    <x v="248"/>
    <n v="14"/>
    <x v="1"/>
    <x v="1"/>
    <n v="11"/>
    <n v="2325"/>
    <n v="15"/>
    <n v="21738.75"/>
    <x v="9"/>
    <x v="6"/>
    <n v="6"/>
    <x v="11"/>
    <x v="1"/>
  </r>
  <r>
    <n v="10571"/>
    <x v="248"/>
    <n v="14"/>
    <x v="1"/>
    <x v="1"/>
    <n v="28"/>
    <n v="14"/>
    <n v="15"/>
    <n v="333.2"/>
    <x v="9"/>
    <x v="6"/>
    <n v="6"/>
    <x v="11"/>
    <x v="1"/>
  </r>
  <r>
    <n v="10572"/>
    <x v="249"/>
    <n v="16"/>
    <x v="12"/>
    <x v="4"/>
    <n v="12"/>
    <n v="1745"/>
    <n v="1"/>
    <n v="20730.599999999999"/>
    <x v="25"/>
    <x v="9"/>
    <n v="6"/>
    <x v="11"/>
    <x v="1"/>
  </r>
  <r>
    <n v="10572"/>
    <x v="249"/>
    <n v="16"/>
    <x v="12"/>
    <x v="4"/>
    <n v="10"/>
    <n v="32"/>
    <n v="1"/>
    <n v="316.8"/>
    <x v="25"/>
    <x v="9"/>
    <n v="6"/>
    <x v="11"/>
    <x v="1"/>
  </r>
  <r>
    <n v="10572"/>
    <x v="249"/>
    <n v="16"/>
    <x v="12"/>
    <x v="4"/>
    <n v="50"/>
    <n v="184"/>
    <n v="0"/>
    <n v="9200"/>
    <x v="25"/>
    <x v="9"/>
    <n v="6"/>
    <x v="11"/>
    <x v="1"/>
  </r>
  <r>
    <n v="10572"/>
    <x v="249"/>
    <n v="16"/>
    <x v="12"/>
    <x v="4"/>
    <n v="15"/>
    <n v="775"/>
    <n v="1"/>
    <n v="11508.75"/>
    <x v="25"/>
    <x v="9"/>
    <n v="6"/>
    <x v="11"/>
    <x v="1"/>
  </r>
  <r>
    <n v="10573"/>
    <x v="250"/>
    <n v="17"/>
    <x v="13"/>
    <x v="6"/>
    <n v="18"/>
    <n v="39"/>
    <n v="0"/>
    <n v="702"/>
    <x v="59"/>
    <x v="7"/>
    <n v="6"/>
    <x v="11"/>
    <x v="1"/>
  </r>
  <r>
    <n v="10573"/>
    <x v="250"/>
    <n v="17"/>
    <x v="13"/>
    <x v="6"/>
    <n v="40"/>
    <n v="14"/>
    <n v="0"/>
    <n v="560"/>
    <x v="59"/>
    <x v="7"/>
    <n v="6"/>
    <x v="11"/>
    <x v="1"/>
  </r>
  <r>
    <n v="10573"/>
    <x v="250"/>
    <n v="17"/>
    <x v="13"/>
    <x v="6"/>
    <n v="25"/>
    <n v="328"/>
    <n v="0"/>
    <n v="8200"/>
    <x v="59"/>
    <x v="7"/>
    <n v="6"/>
    <x v="11"/>
    <x v="1"/>
  </r>
  <r>
    <n v="10574"/>
    <x v="250"/>
    <n v="33"/>
    <x v="17"/>
    <x v="0"/>
    <n v="14"/>
    <n v="25"/>
    <n v="0"/>
    <n v="350"/>
    <x v="81"/>
    <x v="8"/>
    <n v="6"/>
    <x v="11"/>
    <x v="1"/>
  </r>
  <r>
    <n v="10574"/>
    <x v="250"/>
    <n v="33"/>
    <x v="17"/>
    <x v="0"/>
    <n v="2"/>
    <n v="184"/>
    <n v="0"/>
    <n v="368"/>
    <x v="81"/>
    <x v="8"/>
    <n v="6"/>
    <x v="11"/>
    <x v="1"/>
  </r>
  <r>
    <n v="10574"/>
    <x v="250"/>
    <n v="33"/>
    <x v="17"/>
    <x v="0"/>
    <n v="10"/>
    <n v="493"/>
    <n v="0"/>
    <n v="4930"/>
    <x v="81"/>
    <x v="8"/>
    <n v="6"/>
    <x v="11"/>
    <x v="1"/>
  </r>
  <r>
    <n v="10574"/>
    <x v="250"/>
    <n v="33"/>
    <x v="17"/>
    <x v="0"/>
    <n v="6"/>
    <n v="3325"/>
    <n v="0"/>
    <n v="19950"/>
    <x v="81"/>
    <x v="8"/>
    <n v="6"/>
    <x v="11"/>
    <x v="1"/>
  </r>
  <r>
    <n v="10575"/>
    <x v="251"/>
    <n v="59"/>
    <x v="44"/>
    <x v="0"/>
    <n v="12"/>
    <n v="55"/>
    <n v="0"/>
    <n v="660"/>
    <x v="24"/>
    <x v="1"/>
    <n v="6"/>
    <x v="11"/>
    <x v="1"/>
  </r>
  <r>
    <n v="10575"/>
    <x v="251"/>
    <n v="59"/>
    <x v="44"/>
    <x v="0"/>
    <n v="6"/>
    <n v="439"/>
    <n v="0"/>
    <n v="2634"/>
    <x v="24"/>
    <x v="1"/>
    <n v="6"/>
    <x v="11"/>
    <x v="1"/>
  </r>
  <r>
    <n v="10575"/>
    <x v="251"/>
    <n v="59"/>
    <x v="44"/>
    <x v="0"/>
    <n v="30"/>
    <n v="348"/>
    <n v="0"/>
    <n v="10440"/>
    <x v="24"/>
    <x v="1"/>
    <n v="6"/>
    <x v="11"/>
    <x v="1"/>
  </r>
  <r>
    <n v="10575"/>
    <x v="251"/>
    <n v="59"/>
    <x v="44"/>
    <x v="0"/>
    <n v="10"/>
    <n v="18"/>
    <n v="0"/>
    <n v="180"/>
    <x v="24"/>
    <x v="1"/>
    <n v="6"/>
    <x v="11"/>
    <x v="1"/>
  </r>
  <r>
    <n v="10576"/>
    <x v="252"/>
    <n v="1"/>
    <x v="26"/>
    <x v="5"/>
    <n v="10"/>
    <n v="18"/>
    <n v="0"/>
    <n v="180"/>
    <x v="23"/>
    <x v="7"/>
    <n v="6"/>
    <x v="11"/>
    <x v="1"/>
  </r>
  <r>
    <n v="10576"/>
    <x v="252"/>
    <n v="1"/>
    <x v="26"/>
    <x v="5"/>
    <n v="20"/>
    <n v="125"/>
    <n v="0"/>
    <n v="2500"/>
    <x v="23"/>
    <x v="7"/>
    <n v="6"/>
    <x v="11"/>
    <x v="1"/>
  </r>
  <r>
    <n v="10576"/>
    <x v="252"/>
    <n v="1"/>
    <x v="26"/>
    <x v="5"/>
    <n v="21"/>
    <n v="1945"/>
    <n v="0"/>
    <n v="40845"/>
    <x v="23"/>
    <x v="7"/>
    <n v="6"/>
    <x v="11"/>
    <x v="1"/>
  </r>
  <r>
    <n v="10577"/>
    <x v="252"/>
    <n v="39"/>
    <x v="33"/>
    <x v="5"/>
    <n v="10"/>
    <n v="18"/>
    <n v="0"/>
    <n v="180"/>
    <x v="81"/>
    <x v="8"/>
    <n v="6"/>
    <x v="11"/>
    <x v="1"/>
  </r>
  <r>
    <n v="10577"/>
    <x v="252"/>
    <n v="39"/>
    <x v="33"/>
    <x v="5"/>
    <n v="20"/>
    <n v="775"/>
    <n v="0"/>
    <n v="15500"/>
    <x v="81"/>
    <x v="8"/>
    <n v="6"/>
    <x v="11"/>
    <x v="1"/>
  </r>
  <r>
    <n v="10577"/>
    <x v="252"/>
    <n v="39"/>
    <x v="33"/>
    <x v="5"/>
    <n v="18"/>
    <n v="13"/>
    <n v="0"/>
    <n v="234"/>
    <x v="81"/>
    <x v="8"/>
    <n v="6"/>
    <x v="11"/>
    <x v="1"/>
  </r>
  <r>
    <n v="10578"/>
    <x v="253"/>
    <n v="35"/>
    <x v="27"/>
    <x v="5"/>
    <n v="20"/>
    <n v="18"/>
    <n v="0"/>
    <n v="360"/>
    <x v="31"/>
    <x v="13"/>
    <n v="6"/>
    <x v="11"/>
    <x v="1"/>
  </r>
  <r>
    <n v="10578"/>
    <x v="253"/>
    <n v="35"/>
    <x v="27"/>
    <x v="5"/>
    <n v="6"/>
    <n v="195"/>
    <n v="0"/>
    <n v="1170"/>
    <x v="31"/>
    <x v="13"/>
    <n v="6"/>
    <x v="11"/>
    <x v="1"/>
  </r>
  <r>
    <n v="10579"/>
    <x v="254"/>
    <n v="15"/>
    <x v="25"/>
    <x v="7"/>
    <n v="10"/>
    <n v="155"/>
    <n v="0"/>
    <n v="1550"/>
    <x v="82"/>
    <x v="8"/>
    <n v="6"/>
    <x v="11"/>
    <x v="1"/>
  </r>
  <r>
    <n v="10579"/>
    <x v="254"/>
    <n v="15"/>
    <x v="25"/>
    <x v="7"/>
    <n v="21"/>
    <n v="775"/>
    <n v="0"/>
    <n v="16275"/>
    <x v="82"/>
    <x v="8"/>
    <n v="6"/>
    <x v="11"/>
    <x v="1"/>
  </r>
  <r>
    <n v="10580"/>
    <x v="255"/>
    <n v="14"/>
    <x v="1"/>
    <x v="1"/>
    <n v="15"/>
    <n v="2325"/>
    <n v="5"/>
    <n v="33131.25"/>
    <x v="11"/>
    <x v="1"/>
    <n v="6"/>
    <x v="11"/>
    <x v="1"/>
  </r>
  <r>
    <n v="10580"/>
    <x v="255"/>
    <n v="14"/>
    <x v="1"/>
    <x v="1"/>
    <n v="9"/>
    <n v="965"/>
    <n v="5"/>
    <n v="8250.75"/>
    <x v="11"/>
    <x v="1"/>
    <n v="6"/>
    <x v="11"/>
    <x v="1"/>
  </r>
  <r>
    <n v="10580"/>
    <x v="255"/>
    <n v="14"/>
    <x v="1"/>
    <x v="1"/>
    <n v="30"/>
    <n v="2105"/>
    <n v="5"/>
    <n v="59992.5"/>
    <x v="11"/>
    <x v="1"/>
    <n v="6"/>
    <x v="11"/>
    <x v="1"/>
  </r>
  <r>
    <n v="10581"/>
    <x v="255"/>
    <n v="75"/>
    <x v="68"/>
    <x v="5"/>
    <n v="50"/>
    <n v="775"/>
    <n v="2"/>
    <n v="37975"/>
    <x v="52"/>
    <x v="2"/>
    <n v="6"/>
    <x v="11"/>
    <x v="1"/>
  </r>
  <r>
    <n v="10582"/>
    <x v="256"/>
    <n v="57"/>
    <x v="69"/>
    <x v="3"/>
    <n v="4"/>
    <n v="195"/>
    <n v="0"/>
    <n v="780"/>
    <x v="76"/>
    <x v="1"/>
    <n v="6"/>
    <x v="11"/>
    <x v="1"/>
  </r>
  <r>
    <n v="10582"/>
    <x v="256"/>
    <n v="57"/>
    <x v="69"/>
    <x v="3"/>
    <n v="14"/>
    <n v="18"/>
    <n v="0"/>
    <n v="252"/>
    <x v="76"/>
    <x v="1"/>
    <n v="6"/>
    <x v="11"/>
    <x v="1"/>
  </r>
  <r>
    <n v="10583"/>
    <x v="257"/>
    <n v="29"/>
    <x v="16"/>
    <x v="6"/>
    <n v="10"/>
    <n v="12379"/>
    <n v="0"/>
    <n v="123790"/>
    <x v="16"/>
    <x v="10"/>
    <n v="6"/>
    <x v="11"/>
    <x v="1"/>
  </r>
  <r>
    <n v="10583"/>
    <x v="257"/>
    <n v="29"/>
    <x v="16"/>
    <x v="6"/>
    <n v="24"/>
    <n v="34"/>
    <n v="15"/>
    <n v="693.6"/>
    <x v="16"/>
    <x v="10"/>
    <n v="6"/>
    <x v="11"/>
    <x v="1"/>
  </r>
  <r>
    <n v="10583"/>
    <x v="257"/>
    <n v="29"/>
    <x v="16"/>
    <x v="6"/>
    <n v="10"/>
    <n v="36"/>
    <n v="15"/>
    <n v="306"/>
    <x v="16"/>
    <x v="10"/>
    <n v="6"/>
    <x v="11"/>
    <x v="1"/>
  </r>
  <r>
    <n v="10584"/>
    <x v="257"/>
    <n v="31"/>
    <x v="5"/>
    <x v="0"/>
    <n v="50"/>
    <n v="125"/>
    <n v="5"/>
    <n v="5937.5"/>
    <x v="15"/>
    <x v="0"/>
    <n v="6"/>
    <x v="11"/>
    <x v="1"/>
  </r>
  <r>
    <n v="10585"/>
    <x v="258"/>
    <n v="47"/>
    <x v="64"/>
    <x v="4"/>
    <n v="15"/>
    <n v="95"/>
    <n v="0"/>
    <n v="1425"/>
    <x v="7"/>
    <x v="2"/>
    <n v="7"/>
    <x v="0"/>
    <x v="1"/>
  </r>
  <r>
    <n v="10586"/>
    <x v="259"/>
    <n v="52"/>
    <x v="42"/>
    <x v="3"/>
    <n v="4"/>
    <n v="7"/>
    <n v="15"/>
    <n v="23.8"/>
    <x v="30"/>
    <x v="11"/>
    <n v="7"/>
    <x v="0"/>
    <x v="1"/>
  </r>
  <r>
    <n v="10587"/>
    <x v="259"/>
    <n v="26"/>
    <x v="45"/>
    <x v="4"/>
    <n v="6"/>
    <n v="3123"/>
    <n v="0"/>
    <n v="18738"/>
    <x v="12"/>
    <x v="2"/>
    <n v="7"/>
    <x v="0"/>
    <x v="1"/>
  </r>
  <r>
    <n v="10587"/>
    <x v="259"/>
    <n v="26"/>
    <x v="45"/>
    <x v="4"/>
    <n v="20"/>
    <n v="18"/>
    <n v="0"/>
    <n v="360"/>
    <x v="12"/>
    <x v="2"/>
    <n v="7"/>
    <x v="0"/>
    <x v="1"/>
  </r>
  <r>
    <n v="10587"/>
    <x v="259"/>
    <n v="26"/>
    <x v="45"/>
    <x v="4"/>
    <n v="20"/>
    <n v="13"/>
    <n v="0"/>
    <n v="260"/>
    <x v="12"/>
    <x v="2"/>
    <n v="7"/>
    <x v="0"/>
    <x v="1"/>
  </r>
  <r>
    <n v="10588"/>
    <x v="260"/>
    <n v="18"/>
    <x v="31"/>
    <x v="2"/>
    <n v="40"/>
    <n v="625"/>
    <n v="2"/>
    <n v="24500"/>
    <x v="21"/>
    <x v="1"/>
    <n v="7"/>
    <x v="0"/>
    <x v="1"/>
  </r>
  <r>
    <n v="10588"/>
    <x v="260"/>
    <n v="18"/>
    <x v="31"/>
    <x v="2"/>
    <n v="100"/>
    <n v="14"/>
    <n v="2"/>
    <n v="1372"/>
    <x v="21"/>
    <x v="1"/>
    <n v="7"/>
    <x v="0"/>
    <x v="1"/>
  </r>
  <r>
    <n v="10589"/>
    <x v="261"/>
    <n v="35"/>
    <x v="27"/>
    <x v="5"/>
    <n v="4"/>
    <n v="18"/>
    <n v="0"/>
    <n v="72"/>
    <x v="79"/>
    <x v="8"/>
    <n v="7"/>
    <x v="0"/>
    <x v="1"/>
  </r>
  <r>
    <n v="10590"/>
    <x v="262"/>
    <n v="1"/>
    <x v="26"/>
    <x v="5"/>
    <n v="20"/>
    <n v="18"/>
    <n v="0"/>
    <n v="360"/>
    <x v="49"/>
    <x v="16"/>
    <n v="7"/>
    <x v="0"/>
    <x v="1"/>
  </r>
  <r>
    <n v="10590"/>
    <x v="262"/>
    <n v="1"/>
    <x v="26"/>
    <x v="5"/>
    <n v="60"/>
    <n v="13"/>
    <n v="5"/>
    <n v="741"/>
    <x v="49"/>
    <x v="16"/>
    <n v="7"/>
    <x v="0"/>
    <x v="1"/>
  </r>
  <r>
    <n v="10591"/>
    <x v="262"/>
    <n v="3"/>
    <x v="29"/>
    <x v="7"/>
    <n v="14"/>
    <n v="10"/>
    <n v="0"/>
    <n v="140"/>
    <x v="61"/>
    <x v="17"/>
    <n v="7"/>
    <x v="0"/>
    <x v="1"/>
  </r>
  <r>
    <n v="10591"/>
    <x v="262"/>
    <n v="3"/>
    <x v="29"/>
    <x v="7"/>
    <n v="10"/>
    <n v="30"/>
    <n v="0"/>
    <n v="300"/>
    <x v="61"/>
    <x v="17"/>
    <n v="7"/>
    <x v="0"/>
    <x v="1"/>
  </r>
  <r>
    <n v="10591"/>
    <x v="262"/>
    <n v="3"/>
    <x v="29"/>
    <x v="7"/>
    <n v="50"/>
    <n v="745"/>
    <n v="0"/>
    <n v="37250"/>
    <x v="61"/>
    <x v="17"/>
    <n v="7"/>
    <x v="0"/>
    <x v="1"/>
  </r>
  <r>
    <n v="10592"/>
    <x v="263"/>
    <n v="15"/>
    <x v="25"/>
    <x v="7"/>
    <n v="25"/>
    <n v="155"/>
    <n v="5"/>
    <n v="3681.25"/>
    <x v="26"/>
    <x v="1"/>
    <n v="7"/>
    <x v="0"/>
    <x v="1"/>
  </r>
  <r>
    <n v="10592"/>
    <x v="263"/>
    <n v="15"/>
    <x v="25"/>
    <x v="7"/>
    <n v="5"/>
    <n v="3123"/>
    <n v="5"/>
    <n v="14834.25"/>
    <x v="26"/>
    <x v="1"/>
    <n v="7"/>
    <x v="0"/>
    <x v="1"/>
  </r>
  <r>
    <n v="10593"/>
    <x v="264"/>
    <n v="20"/>
    <x v="4"/>
    <x v="4"/>
    <n v="21"/>
    <n v="81"/>
    <n v="2"/>
    <n v="1666.98"/>
    <x v="26"/>
    <x v="1"/>
    <n v="7"/>
    <x v="0"/>
    <x v="1"/>
  </r>
  <r>
    <n v="10593"/>
    <x v="264"/>
    <n v="20"/>
    <x v="4"/>
    <x v="4"/>
    <n v="20"/>
    <n v="36"/>
    <n v="2"/>
    <n v="705.6"/>
    <x v="26"/>
    <x v="1"/>
    <n v="7"/>
    <x v="0"/>
    <x v="1"/>
  </r>
  <r>
    <n v="10593"/>
    <x v="264"/>
    <n v="20"/>
    <x v="4"/>
    <x v="4"/>
    <n v="4"/>
    <n v="18"/>
    <n v="2"/>
    <n v="70.56"/>
    <x v="26"/>
    <x v="1"/>
    <n v="7"/>
    <x v="0"/>
    <x v="1"/>
  </r>
  <r>
    <n v="10594"/>
    <x v="264"/>
    <n v="52"/>
    <x v="42"/>
    <x v="3"/>
    <n v="24"/>
    <n v="7"/>
    <n v="0"/>
    <n v="168"/>
    <x v="37"/>
    <x v="8"/>
    <n v="7"/>
    <x v="0"/>
    <x v="1"/>
  </r>
  <r>
    <n v="10594"/>
    <x v="264"/>
    <n v="52"/>
    <x v="42"/>
    <x v="3"/>
    <n v="30"/>
    <n v="1325"/>
    <n v="0"/>
    <n v="39750"/>
    <x v="37"/>
    <x v="8"/>
    <n v="7"/>
    <x v="0"/>
    <x v="1"/>
  </r>
  <r>
    <n v="10595"/>
    <x v="265"/>
    <n v="35"/>
    <x v="27"/>
    <x v="5"/>
    <n v="30"/>
    <n v="18"/>
    <n v="25"/>
    <n v="405"/>
    <x v="9"/>
    <x v="6"/>
    <n v="7"/>
    <x v="0"/>
    <x v="1"/>
  </r>
  <r>
    <n v="10595"/>
    <x v="265"/>
    <n v="35"/>
    <x v="27"/>
    <x v="5"/>
    <n v="120"/>
    <n v="285"/>
    <n v="25"/>
    <n v="25650"/>
    <x v="9"/>
    <x v="6"/>
    <n v="7"/>
    <x v="0"/>
    <x v="1"/>
  </r>
  <r>
    <n v="10595"/>
    <x v="265"/>
    <n v="35"/>
    <x v="27"/>
    <x v="5"/>
    <n v="65"/>
    <n v="36"/>
    <n v="25"/>
    <n v="1755"/>
    <x v="9"/>
    <x v="6"/>
    <n v="7"/>
    <x v="0"/>
    <x v="1"/>
  </r>
  <r>
    <n v="10596"/>
    <x v="266"/>
    <n v="56"/>
    <x v="32"/>
    <x v="3"/>
    <n v="5"/>
    <n v="38"/>
    <n v="2"/>
    <n v="186.2"/>
    <x v="19"/>
    <x v="8"/>
    <n v="7"/>
    <x v="0"/>
    <x v="1"/>
  </r>
  <r>
    <n v="10596"/>
    <x v="266"/>
    <n v="56"/>
    <x v="32"/>
    <x v="3"/>
    <n v="24"/>
    <n v="439"/>
    <n v="2"/>
    <n v="10325.280000000001"/>
    <x v="19"/>
    <x v="8"/>
    <n v="7"/>
    <x v="0"/>
    <x v="1"/>
  </r>
  <r>
    <n v="10596"/>
    <x v="266"/>
    <n v="56"/>
    <x v="32"/>
    <x v="3"/>
    <n v="30"/>
    <n v="775"/>
    <n v="2"/>
    <n v="22785"/>
    <x v="19"/>
    <x v="8"/>
    <n v="7"/>
    <x v="0"/>
    <x v="1"/>
  </r>
  <r>
    <n v="10597"/>
    <x v="266"/>
    <n v="24"/>
    <x v="6"/>
    <x v="5"/>
    <n v="35"/>
    <n v="45"/>
    <n v="2"/>
    <n v="1543.5"/>
    <x v="54"/>
    <x v="6"/>
    <n v="7"/>
    <x v="0"/>
    <x v="1"/>
  </r>
  <r>
    <n v="10597"/>
    <x v="266"/>
    <n v="24"/>
    <x v="6"/>
    <x v="5"/>
    <n v="20"/>
    <n v="195"/>
    <n v="0"/>
    <n v="3900"/>
    <x v="54"/>
    <x v="6"/>
    <n v="7"/>
    <x v="0"/>
    <x v="1"/>
  </r>
  <r>
    <n v="10597"/>
    <x v="266"/>
    <n v="24"/>
    <x v="6"/>
    <x v="5"/>
    <n v="12"/>
    <n v="2105"/>
    <n v="2"/>
    <n v="24754.799999999999"/>
    <x v="54"/>
    <x v="6"/>
    <n v="7"/>
    <x v="0"/>
    <x v="1"/>
  </r>
  <r>
    <n v="10598"/>
    <x v="267"/>
    <n v="27"/>
    <x v="9"/>
    <x v="4"/>
    <n v="50"/>
    <n v="439"/>
    <n v="0"/>
    <n v="21950"/>
    <x v="13"/>
    <x v="8"/>
    <n v="7"/>
    <x v="0"/>
    <x v="1"/>
  </r>
  <r>
    <n v="10598"/>
    <x v="267"/>
    <n v="27"/>
    <x v="9"/>
    <x v="4"/>
    <n v="9"/>
    <n v="215"/>
    <n v="0"/>
    <n v="1935"/>
    <x v="13"/>
    <x v="8"/>
    <n v="7"/>
    <x v="0"/>
    <x v="1"/>
  </r>
  <r>
    <n v="10599"/>
    <x v="268"/>
    <n v="62"/>
    <x v="36"/>
    <x v="4"/>
    <n v="10"/>
    <n v="493"/>
    <n v="0"/>
    <n v="4930"/>
    <x v="31"/>
    <x v="13"/>
    <n v="7"/>
    <x v="0"/>
    <x v="1"/>
  </r>
  <r>
    <n v="10600"/>
    <x v="269"/>
    <n v="54"/>
    <x v="28"/>
    <x v="6"/>
    <n v="4"/>
    <n v="745"/>
    <n v="0"/>
    <n v="2980"/>
    <x v="64"/>
    <x v="8"/>
    <n v="7"/>
    <x v="0"/>
    <x v="1"/>
  </r>
  <r>
    <n v="10600"/>
    <x v="269"/>
    <n v="54"/>
    <x v="28"/>
    <x v="6"/>
    <n v="30"/>
    <n v="15"/>
    <n v="0"/>
    <n v="450"/>
    <x v="64"/>
    <x v="8"/>
    <n v="7"/>
    <x v="0"/>
    <x v="1"/>
  </r>
  <r>
    <n v="10601"/>
    <x v="269"/>
    <n v="13"/>
    <x v="30"/>
    <x v="2"/>
    <n v="60"/>
    <n v="6"/>
    <n v="0"/>
    <n v="360"/>
    <x v="8"/>
    <x v="5"/>
    <n v="7"/>
    <x v="0"/>
    <x v="1"/>
  </r>
  <r>
    <n v="10601"/>
    <x v="269"/>
    <n v="13"/>
    <x v="30"/>
    <x v="2"/>
    <n v="35"/>
    <n v="55"/>
    <n v="0"/>
    <n v="1925"/>
    <x v="8"/>
    <x v="5"/>
    <n v="7"/>
    <x v="0"/>
    <x v="1"/>
  </r>
  <r>
    <n v="10602"/>
    <x v="270"/>
    <n v="77"/>
    <x v="70"/>
    <x v="7"/>
    <n v="5"/>
    <n v="13"/>
    <n v="25"/>
    <n v="48.75"/>
    <x v="61"/>
    <x v="17"/>
    <n v="7"/>
    <x v="0"/>
    <x v="1"/>
  </r>
  <r>
    <n v="10603"/>
    <x v="271"/>
    <n v="22"/>
    <x v="3"/>
    <x v="3"/>
    <n v="48"/>
    <n v="21"/>
    <n v="0"/>
    <n v="1008"/>
    <x v="45"/>
    <x v="8"/>
    <n v="7"/>
    <x v="0"/>
    <x v="1"/>
  </r>
  <r>
    <n v="10603"/>
    <x v="271"/>
    <n v="22"/>
    <x v="3"/>
    <x v="3"/>
    <n v="25"/>
    <n v="20"/>
    <n v="5"/>
    <n v="475"/>
    <x v="45"/>
    <x v="8"/>
    <n v="7"/>
    <x v="0"/>
    <x v="1"/>
  </r>
  <r>
    <n v="10604"/>
    <x v="271"/>
    <n v="48"/>
    <x v="63"/>
    <x v="4"/>
    <n v="6"/>
    <n v="1275"/>
    <n v="1"/>
    <n v="7573.5"/>
    <x v="47"/>
    <x v="15"/>
    <n v="7"/>
    <x v="0"/>
    <x v="1"/>
  </r>
  <r>
    <n v="10604"/>
    <x v="271"/>
    <n v="48"/>
    <x v="63"/>
    <x v="4"/>
    <n v="10"/>
    <n v="18"/>
    <n v="1"/>
    <n v="178.2"/>
    <x v="47"/>
    <x v="15"/>
    <n v="7"/>
    <x v="0"/>
    <x v="1"/>
  </r>
  <r>
    <n v="10605"/>
    <x v="272"/>
    <n v="16"/>
    <x v="12"/>
    <x v="4"/>
    <n v="30"/>
    <n v="1745"/>
    <n v="5"/>
    <n v="49732.5"/>
    <x v="49"/>
    <x v="16"/>
    <n v="7"/>
    <x v="0"/>
    <x v="1"/>
  </r>
  <r>
    <n v="10605"/>
    <x v="272"/>
    <n v="16"/>
    <x v="12"/>
    <x v="4"/>
    <n v="20"/>
    <n v="55"/>
    <n v="5"/>
    <n v="1045"/>
    <x v="49"/>
    <x v="16"/>
    <n v="7"/>
    <x v="0"/>
    <x v="1"/>
  </r>
  <r>
    <n v="10605"/>
    <x v="272"/>
    <n v="16"/>
    <x v="12"/>
    <x v="4"/>
    <n v="70"/>
    <n v="34"/>
    <n v="5"/>
    <n v="2261"/>
    <x v="49"/>
    <x v="16"/>
    <n v="7"/>
    <x v="0"/>
    <x v="1"/>
  </r>
  <r>
    <n v="10605"/>
    <x v="272"/>
    <n v="16"/>
    <x v="12"/>
    <x v="4"/>
    <n v="15"/>
    <n v="215"/>
    <n v="5"/>
    <n v="3063.75"/>
    <x v="49"/>
    <x v="16"/>
    <n v="7"/>
    <x v="0"/>
    <x v="1"/>
  </r>
  <r>
    <n v="10606"/>
    <x v="273"/>
    <n v="4"/>
    <x v="38"/>
    <x v="7"/>
    <n v="20"/>
    <n v="22"/>
    <n v="2"/>
    <n v="431.2"/>
    <x v="33"/>
    <x v="2"/>
    <n v="7"/>
    <x v="0"/>
    <x v="1"/>
  </r>
  <r>
    <n v="10606"/>
    <x v="273"/>
    <n v="4"/>
    <x v="38"/>
    <x v="7"/>
    <n v="20"/>
    <n v="24"/>
    <n v="2"/>
    <n v="470.4"/>
    <x v="33"/>
    <x v="2"/>
    <n v="7"/>
    <x v="0"/>
    <x v="1"/>
  </r>
  <r>
    <n v="10606"/>
    <x v="273"/>
    <n v="4"/>
    <x v="38"/>
    <x v="7"/>
    <n v="10"/>
    <n v="493"/>
    <n v="2"/>
    <n v="4831.3999999999996"/>
    <x v="33"/>
    <x v="2"/>
    <n v="7"/>
    <x v="0"/>
    <x v="1"/>
  </r>
  <r>
    <n v="10607"/>
    <x v="273"/>
    <n v="7"/>
    <x v="55"/>
    <x v="1"/>
    <n v="45"/>
    <n v="30"/>
    <n v="0"/>
    <n v="1350"/>
    <x v="45"/>
    <x v="8"/>
    <n v="7"/>
    <x v="0"/>
    <x v="1"/>
  </r>
  <r>
    <n v="10607"/>
    <x v="273"/>
    <n v="7"/>
    <x v="55"/>
    <x v="1"/>
    <n v="100"/>
    <n v="39"/>
    <n v="0"/>
    <n v="3900"/>
    <x v="45"/>
    <x v="8"/>
    <n v="7"/>
    <x v="0"/>
    <x v="1"/>
  </r>
  <r>
    <n v="10607"/>
    <x v="273"/>
    <n v="7"/>
    <x v="55"/>
    <x v="1"/>
    <n v="14"/>
    <n v="25"/>
    <n v="0"/>
    <n v="350"/>
    <x v="45"/>
    <x v="8"/>
    <n v="7"/>
    <x v="0"/>
    <x v="1"/>
  </r>
  <r>
    <n v="10607"/>
    <x v="273"/>
    <n v="7"/>
    <x v="55"/>
    <x v="1"/>
    <n v="42"/>
    <n v="184"/>
    <n v="0"/>
    <n v="7728"/>
    <x v="45"/>
    <x v="8"/>
    <n v="7"/>
    <x v="0"/>
    <x v="1"/>
  </r>
  <r>
    <n v="10607"/>
    <x v="273"/>
    <n v="7"/>
    <x v="55"/>
    <x v="1"/>
    <n v="12"/>
    <n v="348"/>
    <n v="0"/>
    <n v="4176"/>
    <x v="45"/>
    <x v="8"/>
    <n v="7"/>
    <x v="0"/>
    <x v="1"/>
  </r>
  <r>
    <n v="10608"/>
    <x v="274"/>
    <n v="56"/>
    <x v="32"/>
    <x v="3"/>
    <n v="28"/>
    <n v="38"/>
    <n v="0"/>
    <n v="1064"/>
    <x v="1"/>
    <x v="1"/>
    <n v="7"/>
    <x v="0"/>
    <x v="1"/>
  </r>
  <r>
    <n v="10609"/>
    <x v="275"/>
    <n v="1"/>
    <x v="26"/>
    <x v="5"/>
    <n v="3"/>
    <n v="18"/>
    <n v="0"/>
    <n v="54"/>
    <x v="41"/>
    <x v="0"/>
    <n v="7"/>
    <x v="0"/>
    <x v="1"/>
  </r>
  <r>
    <n v="10609"/>
    <x v="275"/>
    <n v="1"/>
    <x v="26"/>
    <x v="5"/>
    <n v="10"/>
    <n v="31"/>
    <n v="0"/>
    <n v="310"/>
    <x v="41"/>
    <x v="0"/>
    <n v="7"/>
    <x v="0"/>
    <x v="1"/>
  </r>
  <r>
    <n v="10609"/>
    <x v="275"/>
    <n v="1"/>
    <x v="26"/>
    <x v="5"/>
    <n v="6"/>
    <n v="10"/>
    <n v="0"/>
    <n v="60"/>
    <x v="41"/>
    <x v="0"/>
    <n v="7"/>
    <x v="0"/>
    <x v="1"/>
  </r>
  <r>
    <n v="10610"/>
    <x v="276"/>
    <n v="36"/>
    <x v="18"/>
    <x v="2"/>
    <n v="21"/>
    <n v="19"/>
    <n v="25"/>
    <n v="299.25"/>
    <x v="53"/>
    <x v="0"/>
    <n v="7"/>
    <x v="0"/>
    <x v="1"/>
  </r>
  <r>
    <n v="10611"/>
    <x v="276"/>
    <n v="1"/>
    <x v="26"/>
    <x v="5"/>
    <n v="6"/>
    <n v="18"/>
    <n v="0"/>
    <n v="108"/>
    <x v="63"/>
    <x v="18"/>
    <n v="7"/>
    <x v="0"/>
    <x v="1"/>
  </r>
  <r>
    <n v="10611"/>
    <x v="276"/>
    <n v="1"/>
    <x v="26"/>
    <x v="5"/>
    <n v="10"/>
    <n v="19"/>
    <n v="0"/>
    <n v="190"/>
    <x v="63"/>
    <x v="18"/>
    <n v="7"/>
    <x v="0"/>
    <x v="1"/>
  </r>
  <r>
    <n v="10611"/>
    <x v="276"/>
    <n v="1"/>
    <x v="26"/>
    <x v="5"/>
    <n v="15"/>
    <n v="34"/>
    <n v="0"/>
    <n v="510"/>
    <x v="63"/>
    <x v="18"/>
    <n v="7"/>
    <x v="0"/>
    <x v="1"/>
  </r>
  <r>
    <n v="10612"/>
    <x v="277"/>
    <n v="10"/>
    <x v="19"/>
    <x v="2"/>
    <n v="70"/>
    <n v="31"/>
    <n v="0"/>
    <n v="2170"/>
    <x v="45"/>
    <x v="8"/>
    <n v="7"/>
    <x v="0"/>
    <x v="1"/>
  </r>
  <r>
    <n v="10612"/>
    <x v="277"/>
    <n v="10"/>
    <x v="19"/>
    <x v="2"/>
    <n v="55"/>
    <n v="19"/>
    <n v="0"/>
    <n v="1045"/>
    <x v="45"/>
    <x v="8"/>
    <n v="7"/>
    <x v="0"/>
    <x v="1"/>
  </r>
  <r>
    <n v="10612"/>
    <x v="277"/>
    <n v="10"/>
    <x v="19"/>
    <x v="2"/>
    <n v="18"/>
    <n v="20"/>
    <n v="0"/>
    <n v="360"/>
    <x v="45"/>
    <x v="8"/>
    <n v="7"/>
    <x v="0"/>
    <x v="1"/>
  </r>
  <r>
    <n v="10612"/>
    <x v="277"/>
    <n v="10"/>
    <x v="19"/>
    <x v="2"/>
    <n v="40"/>
    <n v="34"/>
    <n v="0"/>
    <n v="1360"/>
    <x v="45"/>
    <x v="8"/>
    <n v="7"/>
    <x v="0"/>
    <x v="1"/>
  </r>
  <r>
    <n v="10612"/>
    <x v="277"/>
    <n v="10"/>
    <x v="19"/>
    <x v="2"/>
    <n v="80"/>
    <n v="18"/>
    <n v="0"/>
    <n v="1440"/>
    <x v="45"/>
    <x v="8"/>
    <n v="7"/>
    <x v="0"/>
    <x v="1"/>
  </r>
  <r>
    <n v="10613"/>
    <x v="278"/>
    <n v="13"/>
    <x v="30"/>
    <x v="2"/>
    <n v="8"/>
    <n v="6"/>
    <n v="1"/>
    <n v="47.519999999999996"/>
    <x v="8"/>
    <x v="5"/>
    <n v="7"/>
    <x v="0"/>
    <x v="1"/>
  </r>
  <r>
    <n v="10613"/>
    <x v="278"/>
    <n v="13"/>
    <x v="30"/>
    <x v="2"/>
    <n v="40"/>
    <n v="775"/>
    <n v="0"/>
    <n v="31000"/>
    <x v="8"/>
    <x v="5"/>
    <n v="7"/>
    <x v="0"/>
    <x v="1"/>
  </r>
  <r>
    <n v="10614"/>
    <x v="278"/>
    <n v="11"/>
    <x v="0"/>
    <x v="0"/>
    <n v="14"/>
    <n v="21"/>
    <n v="0"/>
    <n v="294"/>
    <x v="76"/>
    <x v="1"/>
    <n v="7"/>
    <x v="0"/>
    <x v="1"/>
  </r>
  <r>
    <n v="10614"/>
    <x v="278"/>
    <n v="11"/>
    <x v="0"/>
    <x v="0"/>
    <n v="8"/>
    <n v="10"/>
    <n v="0"/>
    <n v="80"/>
    <x v="76"/>
    <x v="1"/>
    <n v="7"/>
    <x v="0"/>
    <x v="1"/>
  </r>
  <r>
    <n v="10614"/>
    <x v="278"/>
    <n v="11"/>
    <x v="0"/>
    <x v="0"/>
    <n v="5"/>
    <n v="18"/>
    <n v="0"/>
    <n v="90"/>
    <x v="76"/>
    <x v="1"/>
    <n v="7"/>
    <x v="0"/>
    <x v="1"/>
  </r>
  <r>
    <n v="10615"/>
    <x v="279"/>
    <n v="55"/>
    <x v="62"/>
    <x v="6"/>
    <n v="5"/>
    <n v="24"/>
    <n v="0"/>
    <n v="120"/>
    <x v="83"/>
    <x v="10"/>
    <n v="7"/>
    <x v="0"/>
    <x v="1"/>
  </r>
  <r>
    <n v="10616"/>
    <x v="280"/>
    <n v="38"/>
    <x v="51"/>
    <x v="5"/>
    <n v="15"/>
    <n v="2635"/>
    <n v="5"/>
    <n v="37548.75"/>
    <x v="79"/>
    <x v="8"/>
    <n v="7"/>
    <x v="0"/>
    <x v="1"/>
  </r>
  <r>
    <n v="10616"/>
    <x v="280"/>
    <n v="38"/>
    <x v="51"/>
    <x v="5"/>
    <n v="14"/>
    <n v="38"/>
    <n v="0"/>
    <n v="532"/>
    <x v="79"/>
    <x v="8"/>
    <n v="7"/>
    <x v="0"/>
    <x v="1"/>
  </r>
  <r>
    <n v="10616"/>
    <x v="280"/>
    <n v="38"/>
    <x v="51"/>
    <x v="5"/>
    <n v="15"/>
    <n v="15"/>
    <n v="5"/>
    <n v="213.75"/>
    <x v="79"/>
    <x v="8"/>
    <n v="7"/>
    <x v="0"/>
    <x v="1"/>
  </r>
  <r>
    <n v="10616"/>
    <x v="280"/>
    <n v="38"/>
    <x v="51"/>
    <x v="5"/>
    <n v="15"/>
    <n v="215"/>
    <n v="5"/>
    <n v="3063.75"/>
    <x v="79"/>
    <x v="8"/>
    <n v="7"/>
    <x v="0"/>
    <x v="1"/>
  </r>
  <r>
    <n v="10617"/>
    <x v="280"/>
    <n v="59"/>
    <x v="44"/>
    <x v="0"/>
    <n v="30"/>
    <n v="55"/>
    <n v="15"/>
    <n v="1402.5"/>
    <x v="79"/>
    <x v="8"/>
    <n v="7"/>
    <x v="0"/>
    <x v="1"/>
  </r>
  <r>
    <n v="10618"/>
    <x v="281"/>
    <n v="6"/>
    <x v="43"/>
    <x v="7"/>
    <n v="70"/>
    <n v="25"/>
    <n v="0"/>
    <n v="1750"/>
    <x v="49"/>
    <x v="16"/>
    <n v="8"/>
    <x v="1"/>
    <x v="1"/>
  </r>
  <r>
    <n v="10618"/>
    <x v="281"/>
    <n v="6"/>
    <x v="43"/>
    <x v="7"/>
    <n v="20"/>
    <n v="38"/>
    <n v="0"/>
    <n v="760"/>
    <x v="49"/>
    <x v="16"/>
    <n v="8"/>
    <x v="1"/>
    <x v="1"/>
  </r>
  <r>
    <n v="10618"/>
    <x v="281"/>
    <n v="6"/>
    <x v="43"/>
    <x v="7"/>
    <n v="15"/>
    <n v="125"/>
    <n v="0"/>
    <n v="1875"/>
    <x v="49"/>
    <x v="16"/>
    <n v="8"/>
    <x v="1"/>
    <x v="1"/>
  </r>
  <r>
    <n v="10619"/>
    <x v="282"/>
    <n v="21"/>
    <x v="10"/>
    <x v="4"/>
    <n v="42"/>
    <n v="10"/>
    <n v="0"/>
    <n v="420"/>
    <x v="49"/>
    <x v="16"/>
    <n v="8"/>
    <x v="1"/>
    <x v="1"/>
  </r>
  <r>
    <n v="10619"/>
    <x v="282"/>
    <n v="21"/>
    <x v="10"/>
    <x v="4"/>
    <n v="40"/>
    <n v="21"/>
    <n v="0"/>
    <n v="840"/>
    <x v="49"/>
    <x v="16"/>
    <n v="8"/>
    <x v="1"/>
    <x v="1"/>
  </r>
  <r>
    <n v="10620"/>
    <x v="283"/>
    <n v="24"/>
    <x v="6"/>
    <x v="5"/>
    <n v="5"/>
    <n v="45"/>
    <n v="0"/>
    <n v="225"/>
    <x v="75"/>
    <x v="16"/>
    <n v="8"/>
    <x v="1"/>
    <x v="1"/>
  </r>
  <r>
    <n v="10620"/>
    <x v="283"/>
    <n v="24"/>
    <x v="6"/>
    <x v="5"/>
    <n v="5"/>
    <n v="7"/>
    <n v="0"/>
    <n v="35"/>
    <x v="75"/>
    <x v="16"/>
    <n v="8"/>
    <x v="1"/>
    <x v="1"/>
  </r>
  <r>
    <n v="10621"/>
    <x v="283"/>
    <n v="19"/>
    <x v="23"/>
    <x v="4"/>
    <n v="5"/>
    <n v="92"/>
    <n v="0"/>
    <n v="460"/>
    <x v="42"/>
    <x v="13"/>
    <n v="8"/>
    <x v="1"/>
    <x v="1"/>
  </r>
  <r>
    <n v="10621"/>
    <x v="283"/>
    <n v="19"/>
    <x v="23"/>
    <x v="4"/>
    <n v="10"/>
    <n v="9"/>
    <n v="0"/>
    <n v="90"/>
    <x v="42"/>
    <x v="13"/>
    <n v="8"/>
    <x v="1"/>
    <x v="1"/>
  </r>
  <r>
    <n v="10621"/>
    <x v="283"/>
    <n v="19"/>
    <x v="23"/>
    <x v="4"/>
    <n v="20"/>
    <n v="15"/>
    <n v="0"/>
    <n v="300"/>
    <x v="42"/>
    <x v="13"/>
    <n v="8"/>
    <x v="1"/>
    <x v="1"/>
  </r>
  <r>
    <n v="10621"/>
    <x v="283"/>
    <n v="19"/>
    <x v="23"/>
    <x v="4"/>
    <n v="15"/>
    <n v="215"/>
    <n v="0"/>
    <n v="3225"/>
    <x v="42"/>
    <x v="13"/>
    <n v="8"/>
    <x v="1"/>
    <x v="1"/>
  </r>
  <r>
    <n v="10622"/>
    <x v="284"/>
    <n v="2"/>
    <x v="7"/>
    <x v="5"/>
    <n v="20"/>
    <n v="19"/>
    <n v="0"/>
    <n v="380"/>
    <x v="29"/>
    <x v="2"/>
    <n v="8"/>
    <x v="1"/>
    <x v="1"/>
  </r>
  <r>
    <n v="10622"/>
    <x v="284"/>
    <n v="2"/>
    <x v="7"/>
    <x v="5"/>
    <n v="18"/>
    <n v="125"/>
    <n v="2"/>
    <n v="2205"/>
    <x v="29"/>
    <x v="2"/>
    <n v="8"/>
    <x v="1"/>
    <x v="1"/>
  </r>
  <r>
    <n v="10623"/>
    <x v="285"/>
    <n v="14"/>
    <x v="1"/>
    <x v="1"/>
    <n v="21"/>
    <n v="2325"/>
    <n v="0"/>
    <n v="48825"/>
    <x v="17"/>
    <x v="1"/>
    <n v="8"/>
    <x v="1"/>
    <x v="1"/>
  </r>
  <r>
    <n v="10623"/>
    <x v="285"/>
    <n v="14"/>
    <x v="1"/>
    <x v="1"/>
    <n v="15"/>
    <n v="92"/>
    <n v="1"/>
    <n v="1366.2"/>
    <x v="17"/>
    <x v="1"/>
    <n v="8"/>
    <x v="1"/>
    <x v="1"/>
  </r>
  <r>
    <n v="10623"/>
    <x v="285"/>
    <n v="14"/>
    <x v="1"/>
    <x v="1"/>
    <n v="25"/>
    <n v="10"/>
    <n v="1"/>
    <n v="247.5"/>
    <x v="17"/>
    <x v="1"/>
    <n v="8"/>
    <x v="1"/>
    <x v="1"/>
  </r>
  <r>
    <n v="10623"/>
    <x v="285"/>
    <n v="14"/>
    <x v="1"/>
    <x v="1"/>
    <n v="3"/>
    <n v="45"/>
    <n v="0"/>
    <n v="135"/>
    <x v="17"/>
    <x v="1"/>
    <n v="8"/>
    <x v="1"/>
    <x v="1"/>
  </r>
  <r>
    <n v="10623"/>
    <x v="285"/>
    <n v="14"/>
    <x v="1"/>
    <x v="1"/>
    <n v="30"/>
    <n v="18"/>
    <n v="1"/>
    <n v="534.6"/>
    <x v="17"/>
    <x v="1"/>
    <n v="8"/>
    <x v="1"/>
    <x v="1"/>
  </r>
  <r>
    <n v="10624"/>
    <x v="285"/>
    <n v="28"/>
    <x v="21"/>
    <x v="1"/>
    <n v="10"/>
    <n v="456"/>
    <n v="0"/>
    <n v="4560"/>
    <x v="84"/>
    <x v="8"/>
    <n v="8"/>
    <x v="1"/>
    <x v="1"/>
  </r>
  <r>
    <n v="10624"/>
    <x v="285"/>
    <n v="28"/>
    <x v="21"/>
    <x v="1"/>
    <n v="6"/>
    <n v="12379"/>
    <n v="0"/>
    <n v="74274"/>
    <x v="84"/>
    <x v="8"/>
    <n v="8"/>
    <x v="1"/>
    <x v="1"/>
  </r>
  <r>
    <n v="10624"/>
    <x v="285"/>
    <n v="28"/>
    <x v="21"/>
    <x v="1"/>
    <n v="10"/>
    <n v="1945"/>
    <n v="0"/>
    <n v="19450"/>
    <x v="84"/>
    <x v="8"/>
    <n v="8"/>
    <x v="1"/>
    <x v="1"/>
  </r>
  <r>
    <n v="10625"/>
    <x v="286"/>
    <n v="14"/>
    <x v="1"/>
    <x v="1"/>
    <n v="3"/>
    <n v="2325"/>
    <n v="0"/>
    <n v="6975"/>
    <x v="39"/>
    <x v="7"/>
    <n v="8"/>
    <x v="1"/>
    <x v="1"/>
  </r>
  <r>
    <n v="10625"/>
    <x v="286"/>
    <n v="14"/>
    <x v="1"/>
    <x v="1"/>
    <n v="5"/>
    <n v="14"/>
    <n v="0"/>
    <n v="70"/>
    <x v="39"/>
    <x v="7"/>
    <n v="8"/>
    <x v="1"/>
    <x v="1"/>
  </r>
  <r>
    <n v="10625"/>
    <x v="286"/>
    <n v="14"/>
    <x v="1"/>
    <x v="1"/>
    <n v="10"/>
    <n v="34"/>
    <n v="0"/>
    <n v="340"/>
    <x v="39"/>
    <x v="7"/>
    <n v="8"/>
    <x v="1"/>
    <x v="1"/>
  </r>
  <r>
    <n v="10626"/>
    <x v="287"/>
    <n v="53"/>
    <x v="8"/>
    <x v="6"/>
    <n v="12"/>
    <n v="328"/>
    <n v="0"/>
    <n v="3936"/>
    <x v="25"/>
    <x v="9"/>
    <n v="8"/>
    <x v="1"/>
    <x v="1"/>
  </r>
  <r>
    <n v="10626"/>
    <x v="287"/>
    <n v="53"/>
    <x v="8"/>
    <x v="6"/>
    <n v="20"/>
    <n v="34"/>
    <n v="0"/>
    <n v="680"/>
    <x v="25"/>
    <x v="9"/>
    <n v="8"/>
    <x v="1"/>
    <x v="1"/>
  </r>
  <r>
    <n v="10626"/>
    <x v="287"/>
    <n v="53"/>
    <x v="8"/>
    <x v="6"/>
    <n v="20"/>
    <n v="215"/>
    <n v="0"/>
    <n v="4300"/>
    <x v="25"/>
    <x v="9"/>
    <n v="8"/>
    <x v="1"/>
    <x v="1"/>
  </r>
  <r>
    <n v="10627"/>
    <x v="287"/>
    <n v="62"/>
    <x v="36"/>
    <x v="4"/>
    <n v="15"/>
    <n v="493"/>
    <n v="0"/>
    <n v="7395"/>
    <x v="45"/>
    <x v="8"/>
    <n v="8"/>
    <x v="1"/>
    <x v="1"/>
  </r>
  <r>
    <n v="10627"/>
    <x v="287"/>
    <n v="62"/>
    <x v="36"/>
    <x v="4"/>
    <n v="35"/>
    <n v="15"/>
    <n v="15"/>
    <n v="446.25"/>
    <x v="45"/>
    <x v="8"/>
    <n v="8"/>
    <x v="1"/>
    <x v="1"/>
  </r>
  <r>
    <n v="10628"/>
    <x v="288"/>
    <n v="1"/>
    <x v="26"/>
    <x v="5"/>
    <n v="25"/>
    <n v="18"/>
    <n v="0"/>
    <n v="450"/>
    <x v="15"/>
    <x v="0"/>
    <n v="8"/>
    <x v="1"/>
    <x v="1"/>
  </r>
  <r>
    <n v="10629"/>
    <x v="288"/>
    <n v="29"/>
    <x v="16"/>
    <x v="6"/>
    <n v="20"/>
    <n v="12379"/>
    <n v="0"/>
    <n v="247580"/>
    <x v="36"/>
    <x v="12"/>
    <n v="8"/>
    <x v="1"/>
    <x v="1"/>
  </r>
  <r>
    <n v="10629"/>
    <x v="288"/>
    <n v="29"/>
    <x v="16"/>
    <x v="6"/>
    <n v="9"/>
    <n v="3325"/>
    <n v="0"/>
    <n v="29925"/>
    <x v="36"/>
    <x v="12"/>
    <n v="8"/>
    <x v="1"/>
    <x v="1"/>
  </r>
  <r>
    <n v="10630"/>
    <x v="289"/>
    <n v="55"/>
    <x v="62"/>
    <x v="6"/>
    <n v="12"/>
    <n v="24"/>
    <n v="5"/>
    <n v="273.59999999999997"/>
    <x v="44"/>
    <x v="1"/>
    <n v="8"/>
    <x v="1"/>
    <x v="1"/>
  </r>
  <r>
    <n v="10630"/>
    <x v="289"/>
    <n v="55"/>
    <x v="62"/>
    <x v="6"/>
    <n v="35"/>
    <n v="18"/>
    <n v="0"/>
    <n v="630"/>
    <x v="44"/>
    <x v="1"/>
    <n v="8"/>
    <x v="1"/>
    <x v="1"/>
  </r>
  <r>
    <n v="10631"/>
    <x v="290"/>
    <n v="75"/>
    <x v="68"/>
    <x v="5"/>
    <n v="8"/>
    <n v="775"/>
    <n v="1"/>
    <n v="6138"/>
    <x v="53"/>
    <x v="0"/>
    <n v="8"/>
    <x v="1"/>
    <x v="1"/>
  </r>
  <r>
    <n v="10632"/>
    <x v="290"/>
    <n v="2"/>
    <x v="7"/>
    <x v="5"/>
    <n v="30"/>
    <n v="19"/>
    <n v="5"/>
    <n v="541.5"/>
    <x v="35"/>
    <x v="1"/>
    <n v="8"/>
    <x v="1"/>
    <x v="1"/>
  </r>
  <r>
    <n v="10632"/>
    <x v="290"/>
    <n v="2"/>
    <x v="7"/>
    <x v="5"/>
    <n v="20"/>
    <n v="25"/>
    <n v="5"/>
    <n v="475"/>
    <x v="35"/>
    <x v="1"/>
    <n v="8"/>
    <x v="1"/>
    <x v="1"/>
  </r>
  <r>
    <n v="10633"/>
    <x v="291"/>
    <n v="12"/>
    <x v="14"/>
    <x v="0"/>
    <n v="36"/>
    <n v="38"/>
    <n v="15"/>
    <n v="1162.8"/>
    <x v="9"/>
    <x v="6"/>
    <n v="8"/>
    <x v="1"/>
    <x v="1"/>
  </r>
  <r>
    <n v="10633"/>
    <x v="291"/>
    <n v="12"/>
    <x v="14"/>
    <x v="0"/>
    <n v="13"/>
    <n v="6"/>
    <n v="15"/>
    <n v="66.3"/>
    <x v="9"/>
    <x v="6"/>
    <n v="8"/>
    <x v="1"/>
    <x v="1"/>
  </r>
  <r>
    <n v="10633"/>
    <x v="291"/>
    <n v="12"/>
    <x v="14"/>
    <x v="0"/>
    <n v="35"/>
    <n v="3123"/>
    <n v="15"/>
    <n v="92909.25"/>
    <x v="9"/>
    <x v="6"/>
    <n v="8"/>
    <x v="1"/>
    <x v="1"/>
  </r>
  <r>
    <n v="10633"/>
    <x v="291"/>
    <n v="12"/>
    <x v="14"/>
    <x v="0"/>
    <n v="80"/>
    <n v="493"/>
    <n v="15"/>
    <n v="33524"/>
    <x v="9"/>
    <x v="6"/>
    <n v="8"/>
    <x v="1"/>
    <x v="1"/>
  </r>
  <r>
    <n v="10634"/>
    <x v="291"/>
    <n v="7"/>
    <x v="55"/>
    <x v="1"/>
    <n v="35"/>
    <n v="30"/>
    <n v="0"/>
    <n v="1050"/>
    <x v="68"/>
    <x v="0"/>
    <n v="8"/>
    <x v="1"/>
    <x v="1"/>
  </r>
  <r>
    <n v="10634"/>
    <x v="291"/>
    <n v="7"/>
    <x v="55"/>
    <x v="1"/>
    <n v="50"/>
    <n v="625"/>
    <n v="0"/>
    <n v="31250"/>
    <x v="68"/>
    <x v="0"/>
    <n v="8"/>
    <x v="1"/>
    <x v="1"/>
  </r>
  <r>
    <n v="10634"/>
    <x v="291"/>
    <n v="7"/>
    <x v="55"/>
    <x v="1"/>
    <n v="15"/>
    <n v="53"/>
    <n v="0"/>
    <n v="795"/>
    <x v="68"/>
    <x v="0"/>
    <n v="8"/>
    <x v="1"/>
    <x v="1"/>
  </r>
  <r>
    <n v="10634"/>
    <x v="291"/>
    <n v="7"/>
    <x v="55"/>
    <x v="1"/>
    <n v="2"/>
    <n v="775"/>
    <n v="0"/>
    <n v="1550"/>
    <x v="68"/>
    <x v="0"/>
    <n v="8"/>
    <x v="1"/>
    <x v="1"/>
  </r>
  <r>
    <n v="10635"/>
    <x v="292"/>
    <n v="4"/>
    <x v="38"/>
    <x v="7"/>
    <n v="10"/>
    <n v="22"/>
    <n v="1"/>
    <n v="217.8"/>
    <x v="22"/>
    <x v="11"/>
    <n v="8"/>
    <x v="1"/>
    <x v="1"/>
  </r>
  <r>
    <n v="10635"/>
    <x v="292"/>
    <n v="4"/>
    <x v="38"/>
    <x v="7"/>
    <n v="15"/>
    <n v="2135"/>
    <n v="1"/>
    <n v="31704.75"/>
    <x v="22"/>
    <x v="11"/>
    <n v="8"/>
    <x v="1"/>
    <x v="1"/>
  </r>
  <r>
    <n v="10635"/>
    <x v="292"/>
    <n v="4"/>
    <x v="38"/>
    <x v="7"/>
    <n v="40"/>
    <n v="21"/>
    <n v="0"/>
    <n v="840"/>
    <x v="22"/>
    <x v="11"/>
    <n v="8"/>
    <x v="1"/>
    <x v="1"/>
  </r>
  <r>
    <n v="10636"/>
    <x v="293"/>
    <n v="4"/>
    <x v="38"/>
    <x v="7"/>
    <n v="25"/>
    <n v="22"/>
    <n v="0"/>
    <n v="550"/>
    <x v="16"/>
    <x v="10"/>
    <n v="8"/>
    <x v="1"/>
    <x v="1"/>
  </r>
  <r>
    <n v="10636"/>
    <x v="293"/>
    <n v="4"/>
    <x v="38"/>
    <x v="7"/>
    <n v="6"/>
    <n v="1325"/>
    <n v="0"/>
    <n v="7950"/>
    <x v="16"/>
    <x v="10"/>
    <n v="8"/>
    <x v="1"/>
    <x v="1"/>
  </r>
  <r>
    <n v="10637"/>
    <x v="293"/>
    <n v="11"/>
    <x v="0"/>
    <x v="0"/>
    <n v="10"/>
    <n v="21"/>
    <n v="0"/>
    <n v="210"/>
    <x v="62"/>
    <x v="2"/>
    <n v="8"/>
    <x v="1"/>
    <x v="1"/>
  </r>
  <r>
    <n v="10637"/>
    <x v="293"/>
    <n v="11"/>
    <x v="0"/>
    <x v="0"/>
    <n v="25"/>
    <n v="1625"/>
    <n v="5"/>
    <n v="38593.75"/>
    <x v="62"/>
    <x v="2"/>
    <n v="8"/>
    <x v="1"/>
    <x v="1"/>
  </r>
  <r>
    <n v="10637"/>
    <x v="293"/>
    <n v="11"/>
    <x v="0"/>
    <x v="0"/>
    <n v="60"/>
    <n v="38"/>
    <n v="5"/>
    <n v="2166"/>
    <x v="62"/>
    <x v="2"/>
    <n v="8"/>
    <x v="1"/>
    <x v="1"/>
  </r>
  <r>
    <n v="10638"/>
    <x v="294"/>
    <n v="45"/>
    <x v="56"/>
    <x v="2"/>
    <n v="20"/>
    <n v="95"/>
    <n v="0"/>
    <n v="1900"/>
    <x v="67"/>
    <x v="5"/>
    <n v="8"/>
    <x v="1"/>
    <x v="1"/>
  </r>
  <r>
    <n v="10638"/>
    <x v="294"/>
    <n v="45"/>
    <x v="56"/>
    <x v="2"/>
    <n v="21"/>
    <n v="2105"/>
    <n v="0"/>
    <n v="44205"/>
    <x v="67"/>
    <x v="5"/>
    <n v="8"/>
    <x v="1"/>
    <x v="1"/>
  </r>
  <r>
    <n v="10638"/>
    <x v="294"/>
    <n v="45"/>
    <x v="56"/>
    <x v="2"/>
    <n v="60"/>
    <n v="348"/>
    <n v="0"/>
    <n v="20880"/>
    <x v="67"/>
    <x v="5"/>
    <n v="8"/>
    <x v="1"/>
    <x v="1"/>
  </r>
  <r>
    <n v="10639"/>
    <x v="294"/>
    <n v="18"/>
    <x v="31"/>
    <x v="2"/>
    <n v="8"/>
    <n v="625"/>
    <n v="0"/>
    <n v="5000"/>
    <x v="65"/>
    <x v="19"/>
    <n v="8"/>
    <x v="1"/>
    <x v="1"/>
  </r>
  <r>
    <n v="10640"/>
    <x v="295"/>
    <n v="69"/>
    <x v="37"/>
    <x v="0"/>
    <n v="20"/>
    <n v="36"/>
    <n v="25"/>
    <n v="540"/>
    <x v="35"/>
    <x v="1"/>
    <n v="8"/>
    <x v="1"/>
    <x v="1"/>
  </r>
  <r>
    <n v="10640"/>
    <x v="295"/>
    <n v="69"/>
    <x v="37"/>
    <x v="0"/>
    <n v="15"/>
    <n v="15"/>
    <n v="25"/>
    <n v="168.75"/>
    <x v="35"/>
    <x v="1"/>
    <n v="8"/>
    <x v="1"/>
    <x v="1"/>
  </r>
  <r>
    <n v="10641"/>
    <x v="296"/>
    <n v="2"/>
    <x v="7"/>
    <x v="5"/>
    <n v="50"/>
    <n v="19"/>
    <n v="0"/>
    <n v="950"/>
    <x v="8"/>
    <x v="5"/>
    <n v="8"/>
    <x v="1"/>
    <x v="1"/>
  </r>
  <r>
    <n v="10641"/>
    <x v="296"/>
    <n v="2"/>
    <x v="7"/>
    <x v="5"/>
    <n v="60"/>
    <n v="184"/>
    <n v="0"/>
    <n v="11040"/>
    <x v="8"/>
    <x v="5"/>
    <n v="8"/>
    <x v="1"/>
    <x v="1"/>
  </r>
  <r>
    <n v="10642"/>
    <x v="296"/>
    <n v="21"/>
    <x v="10"/>
    <x v="4"/>
    <n v="30"/>
    <n v="10"/>
    <n v="2"/>
    <n v="294"/>
    <x v="51"/>
    <x v="17"/>
    <n v="8"/>
    <x v="1"/>
    <x v="1"/>
  </r>
  <r>
    <n v="10642"/>
    <x v="296"/>
    <n v="21"/>
    <x v="10"/>
    <x v="4"/>
    <n v="20"/>
    <n v="285"/>
    <n v="2"/>
    <n v="5586"/>
    <x v="51"/>
    <x v="17"/>
    <n v="8"/>
    <x v="1"/>
    <x v="1"/>
  </r>
  <r>
    <n v="10643"/>
    <x v="297"/>
    <n v="28"/>
    <x v="21"/>
    <x v="1"/>
    <n v="15"/>
    <n v="456"/>
    <n v="25"/>
    <n v="5130"/>
    <x v="85"/>
    <x v="1"/>
    <n v="8"/>
    <x v="1"/>
    <x v="1"/>
  </r>
  <r>
    <n v="10643"/>
    <x v="297"/>
    <n v="28"/>
    <x v="21"/>
    <x v="1"/>
    <n v="21"/>
    <n v="18"/>
    <n v="25"/>
    <n v="283.5"/>
    <x v="85"/>
    <x v="1"/>
    <n v="8"/>
    <x v="1"/>
    <x v="1"/>
  </r>
  <r>
    <n v="10643"/>
    <x v="297"/>
    <n v="28"/>
    <x v="21"/>
    <x v="1"/>
    <n v="2"/>
    <n v="12"/>
    <n v="25"/>
    <n v="18"/>
    <x v="85"/>
    <x v="1"/>
    <n v="8"/>
    <x v="1"/>
    <x v="1"/>
  </r>
  <r>
    <n v="10644"/>
    <x v="297"/>
    <n v="18"/>
    <x v="31"/>
    <x v="2"/>
    <n v="4"/>
    <n v="625"/>
    <n v="1"/>
    <n v="2475"/>
    <x v="7"/>
    <x v="2"/>
    <n v="8"/>
    <x v="1"/>
    <x v="1"/>
  </r>
  <r>
    <n v="10644"/>
    <x v="297"/>
    <n v="18"/>
    <x v="31"/>
    <x v="2"/>
    <n v="20"/>
    <n v="46"/>
    <n v="0"/>
    <n v="920"/>
    <x v="7"/>
    <x v="2"/>
    <n v="8"/>
    <x v="1"/>
    <x v="1"/>
  </r>
  <r>
    <n v="10644"/>
    <x v="297"/>
    <n v="18"/>
    <x v="31"/>
    <x v="2"/>
    <n v="21"/>
    <n v="12"/>
    <n v="1"/>
    <n v="249.48"/>
    <x v="7"/>
    <x v="2"/>
    <n v="8"/>
    <x v="1"/>
    <x v="1"/>
  </r>
  <r>
    <n v="10645"/>
    <x v="298"/>
    <n v="18"/>
    <x v="31"/>
    <x v="2"/>
    <n v="20"/>
    <n v="625"/>
    <n v="0"/>
    <n v="12500"/>
    <x v="2"/>
    <x v="2"/>
    <n v="8"/>
    <x v="1"/>
    <x v="1"/>
  </r>
  <r>
    <n v="10645"/>
    <x v="298"/>
    <n v="18"/>
    <x v="31"/>
    <x v="2"/>
    <n v="15"/>
    <n v="19"/>
    <n v="0"/>
    <n v="285"/>
    <x v="2"/>
    <x v="2"/>
    <n v="8"/>
    <x v="1"/>
    <x v="1"/>
  </r>
  <r>
    <n v="10646"/>
    <x v="299"/>
    <n v="1"/>
    <x v="26"/>
    <x v="5"/>
    <n v="15"/>
    <n v="18"/>
    <n v="25"/>
    <n v="202.5"/>
    <x v="34"/>
    <x v="14"/>
    <n v="8"/>
    <x v="1"/>
    <x v="1"/>
  </r>
  <r>
    <n v="10646"/>
    <x v="299"/>
    <n v="1"/>
    <x v="26"/>
    <x v="5"/>
    <n v="18"/>
    <n v="31"/>
    <n v="25"/>
    <n v="418.5"/>
    <x v="34"/>
    <x v="14"/>
    <n v="8"/>
    <x v="1"/>
    <x v="1"/>
  </r>
  <r>
    <n v="10646"/>
    <x v="299"/>
    <n v="1"/>
    <x v="26"/>
    <x v="5"/>
    <n v="30"/>
    <n v="215"/>
    <n v="25"/>
    <n v="4837.5"/>
    <x v="34"/>
    <x v="14"/>
    <n v="8"/>
    <x v="1"/>
    <x v="1"/>
  </r>
  <r>
    <n v="10646"/>
    <x v="299"/>
    <n v="1"/>
    <x v="26"/>
    <x v="5"/>
    <n v="35"/>
    <n v="13"/>
    <n v="25"/>
    <n v="341.25"/>
    <x v="34"/>
    <x v="14"/>
    <n v="8"/>
    <x v="1"/>
    <x v="1"/>
  </r>
  <r>
    <n v="10647"/>
    <x v="299"/>
    <n v="19"/>
    <x v="23"/>
    <x v="4"/>
    <n v="30"/>
    <n v="92"/>
    <n v="0"/>
    <n v="2760"/>
    <x v="12"/>
    <x v="2"/>
    <n v="8"/>
    <x v="1"/>
    <x v="1"/>
  </r>
  <r>
    <n v="10647"/>
    <x v="299"/>
    <n v="19"/>
    <x v="23"/>
    <x v="4"/>
    <n v="20"/>
    <n v="18"/>
    <n v="0"/>
    <n v="360"/>
    <x v="12"/>
    <x v="2"/>
    <n v="8"/>
    <x v="1"/>
    <x v="1"/>
  </r>
  <r>
    <n v="10648"/>
    <x v="300"/>
    <n v="22"/>
    <x v="3"/>
    <x v="3"/>
    <n v="15"/>
    <n v="21"/>
    <n v="0"/>
    <n v="315"/>
    <x v="29"/>
    <x v="2"/>
    <n v="8"/>
    <x v="1"/>
    <x v="1"/>
  </r>
  <r>
    <n v="10648"/>
    <x v="300"/>
    <n v="22"/>
    <x v="3"/>
    <x v="3"/>
    <n v="15"/>
    <n v="45"/>
    <n v="15"/>
    <n v="573.75"/>
    <x v="29"/>
    <x v="2"/>
    <n v="8"/>
    <x v="1"/>
    <x v="1"/>
  </r>
  <r>
    <n v="10649"/>
    <x v="300"/>
    <n v="28"/>
    <x v="21"/>
    <x v="1"/>
    <n v="20"/>
    <n v="456"/>
    <n v="0"/>
    <n v="9120"/>
    <x v="80"/>
    <x v="3"/>
    <n v="8"/>
    <x v="1"/>
    <x v="1"/>
  </r>
  <r>
    <n v="10649"/>
    <x v="300"/>
    <n v="28"/>
    <x v="21"/>
    <x v="1"/>
    <n v="15"/>
    <n v="348"/>
    <n v="0"/>
    <n v="5220"/>
    <x v="80"/>
    <x v="3"/>
    <n v="8"/>
    <x v="1"/>
    <x v="1"/>
  </r>
  <r>
    <n v="10650"/>
    <x v="301"/>
    <n v="30"/>
    <x v="24"/>
    <x v="2"/>
    <n v="30"/>
    <n v="2589"/>
    <n v="0"/>
    <n v="77670"/>
    <x v="52"/>
    <x v="2"/>
    <n v="8"/>
    <x v="1"/>
    <x v="1"/>
  </r>
  <r>
    <n v="10650"/>
    <x v="301"/>
    <n v="30"/>
    <x v="24"/>
    <x v="2"/>
    <n v="25"/>
    <n v="328"/>
    <n v="5"/>
    <n v="7790"/>
    <x v="52"/>
    <x v="2"/>
    <n v="8"/>
    <x v="1"/>
    <x v="1"/>
  </r>
  <r>
    <n v="10650"/>
    <x v="301"/>
    <n v="30"/>
    <x v="24"/>
    <x v="2"/>
    <n v="30"/>
    <n v="745"/>
    <n v="0"/>
    <n v="22350"/>
    <x v="52"/>
    <x v="2"/>
    <n v="8"/>
    <x v="1"/>
    <x v="1"/>
  </r>
  <r>
    <n v="10651"/>
    <x v="302"/>
    <n v="19"/>
    <x v="23"/>
    <x v="4"/>
    <n v="12"/>
    <n v="92"/>
    <n v="25"/>
    <n v="828"/>
    <x v="35"/>
    <x v="1"/>
    <n v="9"/>
    <x v="2"/>
    <x v="1"/>
  </r>
  <r>
    <n v="10651"/>
    <x v="302"/>
    <n v="19"/>
    <x v="23"/>
    <x v="4"/>
    <n v="20"/>
    <n v="21"/>
    <n v="25"/>
    <n v="315"/>
    <x v="35"/>
    <x v="1"/>
    <n v="9"/>
    <x v="2"/>
    <x v="1"/>
  </r>
  <r>
    <n v="10652"/>
    <x v="302"/>
    <n v="30"/>
    <x v="24"/>
    <x v="2"/>
    <n v="2"/>
    <n v="2589"/>
    <n v="25"/>
    <n v="3883.5"/>
    <x v="71"/>
    <x v="2"/>
    <n v="9"/>
    <x v="2"/>
    <x v="1"/>
  </r>
  <r>
    <n v="10652"/>
    <x v="302"/>
    <n v="30"/>
    <x v="24"/>
    <x v="2"/>
    <n v="20"/>
    <n v="14"/>
    <n v="0"/>
    <n v="280"/>
    <x v="71"/>
    <x v="2"/>
    <n v="9"/>
    <x v="2"/>
    <x v="1"/>
  </r>
  <r>
    <n v="10653"/>
    <x v="303"/>
    <n v="16"/>
    <x v="12"/>
    <x v="4"/>
    <n v="30"/>
    <n v="1745"/>
    <n v="1"/>
    <n v="51826.5"/>
    <x v="17"/>
    <x v="1"/>
    <n v="9"/>
    <x v="2"/>
    <x v="1"/>
  </r>
  <r>
    <n v="10653"/>
    <x v="303"/>
    <n v="16"/>
    <x v="12"/>
    <x v="4"/>
    <n v="20"/>
    <n v="34"/>
    <n v="1"/>
    <n v="673.2"/>
    <x v="17"/>
    <x v="1"/>
    <n v="9"/>
    <x v="2"/>
    <x v="1"/>
  </r>
  <r>
    <n v="10654"/>
    <x v="303"/>
    <n v="4"/>
    <x v="38"/>
    <x v="7"/>
    <n v="12"/>
    <n v="22"/>
    <n v="1"/>
    <n v="261.36"/>
    <x v="25"/>
    <x v="9"/>
    <n v="9"/>
    <x v="2"/>
    <x v="1"/>
  </r>
  <r>
    <n v="10654"/>
    <x v="303"/>
    <n v="4"/>
    <x v="38"/>
    <x v="7"/>
    <n v="20"/>
    <n v="18"/>
    <n v="1"/>
    <n v="356.4"/>
    <x v="25"/>
    <x v="9"/>
    <n v="9"/>
    <x v="2"/>
    <x v="1"/>
  </r>
  <r>
    <n v="10654"/>
    <x v="303"/>
    <n v="4"/>
    <x v="38"/>
    <x v="7"/>
    <n v="6"/>
    <n v="745"/>
    <n v="1"/>
    <n v="4425.3"/>
    <x v="25"/>
    <x v="9"/>
    <n v="9"/>
    <x v="2"/>
    <x v="1"/>
  </r>
  <r>
    <n v="10655"/>
    <x v="304"/>
    <n v="41"/>
    <x v="2"/>
    <x v="2"/>
    <n v="20"/>
    <n v="965"/>
    <n v="2"/>
    <n v="18914"/>
    <x v="30"/>
    <x v="11"/>
    <n v="9"/>
    <x v="2"/>
    <x v="1"/>
  </r>
  <r>
    <n v="10656"/>
    <x v="305"/>
    <n v="14"/>
    <x v="1"/>
    <x v="1"/>
    <n v="3"/>
    <n v="2325"/>
    <n v="1"/>
    <n v="6905.25"/>
    <x v="79"/>
    <x v="8"/>
    <n v="9"/>
    <x v="2"/>
    <x v="1"/>
  </r>
  <r>
    <n v="10656"/>
    <x v="305"/>
    <n v="14"/>
    <x v="1"/>
    <x v="1"/>
    <n v="28"/>
    <n v="1945"/>
    <n v="1"/>
    <n v="53915.4"/>
    <x v="79"/>
    <x v="8"/>
    <n v="9"/>
    <x v="2"/>
    <x v="1"/>
  </r>
  <r>
    <n v="10656"/>
    <x v="305"/>
    <n v="14"/>
    <x v="1"/>
    <x v="1"/>
    <n v="6"/>
    <n v="95"/>
    <n v="1"/>
    <n v="564.29999999999995"/>
    <x v="79"/>
    <x v="8"/>
    <n v="9"/>
    <x v="2"/>
    <x v="1"/>
  </r>
  <r>
    <n v="10657"/>
    <x v="305"/>
    <n v="15"/>
    <x v="25"/>
    <x v="7"/>
    <n v="50"/>
    <n v="155"/>
    <n v="0"/>
    <n v="7750"/>
    <x v="45"/>
    <x v="8"/>
    <n v="9"/>
    <x v="2"/>
    <x v="1"/>
  </r>
  <r>
    <n v="10657"/>
    <x v="305"/>
    <n v="15"/>
    <x v="25"/>
    <x v="7"/>
    <n v="24"/>
    <n v="965"/>
    <n v="0"/>
    <n v="23160"/>
    <x v="45"/>
    <x v="8"/>
    <n v="9"/>
    <x v="2"/>
    <x v="1"/>
  </r>
  <r>
    <n v="10657"/>
    <x v="305"/>
    <n v="15"/>
    <x v="25"/>
    <x v="7"/>
    <n v="45"/>
    <n v="12"/>
    <n v="0"/>
    <n v="540"/>
    <x v="45"/>
    <x v="8"/>
    <n v="9"/>
    <x v="2"/>
    <x v="1"/>
  </r>
  <r>
    <n v="10657"/>
    <x v="305"/>
    <n v="15"/>
    <x v="25"/>
    <x v="7"/>
    <n v="10"/>
    <n v="95"/>
    <n v="0"/>
    <n v="950"/>
    <x v="45"/>
    <x v="8"/>
    <n v="9"/>
    <x v="2"/>
    <x v="1"/>
  </r>
  <r>
    <n v="10657"/>
    <x v="305"/>
    <n v="15"/>
    <x v="25"/>
    <x v="7"/>
    <n v="45"/>
    <n v="38"/>
    <n v="0"/>
    <n v="1710"/>
    <x v="45"/>
    <x v="8"/>
    <n v="9"/>
    <x v="2"/>
    <x v="1"/>
  </r>
  <r>
    <n v="10657"/>
    <x v="305"/>
    <n v="15"/>
    <x v="25"/>
    <x v="7"/>
    <n v="30"/>
    <n v="34"/>
    <n v="0"/>
    <n v="1020"/>
    <x v="45"/>
    <x v="8"/>
    <n v="9"/>
    <x v="2"/>
    <x v="1"/>
  </r>
  <r>
    <n v="10658"/>
    <x v="306"/>
    <n v="21"/>
    <x v="10"/>
    <x v="4"/>
    <n v="60"/>
    <n v="10"/>
    <n v="0"/>
    <n v="600"/>
    <x v="21"/>
    <x v="1"/>
    <n v="9"/>
    <x v="2"/>
    <x v="1"/>
  </r>
  <r>
    <n v="10658"/>
    <x v="306"/>
    <n v="21"/>
    <x v="10"/>
    <x v="4"/>
    <n v="70"/>
    <n v="184"/>
    <n v="5"/>
    <n v="12236"/>
    <x v="21"/>
    <x v="1"/>
    <n v="9"/>
    <x v="2"/>
    <x v="1"/>
  </r>
  <r>
    <n v="10658"/>
    <x v="306"/>
    <n v="21"/>
    <x v="10"/>
    <x v="4"/>
    <n v="55"/>
    <n v="34"/>
    <n v="5"/>
    <n v="1776.5"/>
    <x v="21"/>
    <x v="1"/>
    <n v="9"/>
    <x v="2"/>
    <x v="1"/>
  </r>
  <r>
    <n v="10658"/>
    <x v="306"/>
    <n v="21"/>
    <x v="10"/>
    <x v="4"/>
    <n v="70"/>
    <n v="13"/>
    <n v="5"/>
    <n v="864.5"/>
    <x v="21"/>
    <x v="1"/>
    <n v="9"/>
    <x v="2"/>
    <x v="1"/>
  </r>
  <r>
    <n v="10659"/>
    <x v="306"/>
    <n v="31"/>
    <x v="5"/>
    <x v="0"/>
    <n v="20"/>
    <n v="125"/>
    <n v="5"/>
    <n v="2375"/>
    <x v="62"/>
    <x v="2"/>
    <n v="9"/>
    <x v="2"/>
    <x v="1"/>
  </r>
  <r>
    <n v="10659"/>
    <x v="306"/>
    <n v="31"/>
    <x v="5"/>
    <x v="0"/>
    <n v="24"/>
    <n v="184"/>
    <n v="5"/>
    <n v="4195.2"/>
    <x v="62"/>
    <x v="2"/>
    <n v="9"/>
    <x v="2"/>
    <x v="1"/>
  </r>
  <r>
    <n v="10659"/>
    <x v="306"/>
    <n v="31"/>
    <x v="5"/>
    <x v="0"/>
    <n v="40"/>
    <n v="15"/>
    <n v="5"/>
    <n v="570"/>
    <x v="62"/>
    <x v="2"/>
    <n v="9"/>
    <x v="2"/>
    <x v="1"/>
  </r>
  <r>
    <n v="10660"/>
    <x v="307"/>
    <n v="20"/>
    <x v="4"/>
    <x v="4"/>
    <n v="21"/>
    <n v="81"/>
    <n v="0"/>
    <n v="1701"/>
    <x v="64"/>
    <x v="8"/>
    <n v="9"/>
    <x v="2"/>
    <x v="1"/>
  </r>
  <r>
    <n v="10661"/>
    <x v="308"/>
    <n v="39"/>
    <x v="33"/>
    <x v="5"/>
    <n v="3"/>
    <n v="18"/>
    <n v="2"/>
    <n v="52.92"/>
    <x v="34"/>
    <x v="14"/>
    <n v="9"/>
    <x v="2"/>
    <x v="1"/>
  </r>
  <r>
    <n v="10661"/>
    <x v="308"/>
    <n v="39"/>
    <x v="33"/>
    <x v="5"/>
    <n v="49"/>
    <n v="1325"/>
    <n v="2"/>
    <n v="63626.5"/>
    <x v="34"/>
    <x v="14"/>
    <n v="9"/>
    <x v="2"/>
    <x v="1"/>
  </r>
  <r>
    <n v="10662"/>
    <x v="308"/>
    <n v="68"/>
    <x v="58"/>
    <x v="4"/>
    <n v="10"/>
    <n v="125"/>
    <n v="0"/>
    <n v="1250"/>
    <x v="38"/>
    <x v="8"/>
    <n v="9"/>
    <x v="2"/>
    <x v="1"/>
  </r>
  <r>
    <n v="10663"/>
    <x v="309"/>
    <n v="40"/>
    <x v="15"/>
    <x v="2"/>
    <n v="30"/>
    <n v="184"/>
    <n v="5"/>
    <n v="5244"/>
    <x v="48"/>
    <x v="0"/>
    <n v="9"/>
    <x v="2"/>
    <x v="1"/>
  </r>
  <r>
    <n v="10663"/>
    <x v="309"/>
    <n v="40"/>
    <x v="15"/>
    <x v="2"/>
    <n v="30"/>
    <n v="14"/>
    <n v="5"/>
    <n v="399"/>
    <x v="48"/>
    <x v="0"/>
    <n v="9"/>
    <x v="2"/>
    <x v="1"/>
  </r>
  <r>
    <n v="10663"/>
    <x v="309"/>
    <n v="40"/>
    <x v="15"/>
    <x v="2"/>
    <n v="20"/>
    <n v="53"/>
    <n v="5"/>
    <n v="1007"/>
    <x v="48"/>
    <x v="0"/>
    <n v="9"/>
    <x v="2"/>
    <x v="1"/>
  </r>
  <r>
    <n v="10664"/>
    <x v="309"/>
    <n v="10"/>
    <x v="19"/>
    <x v="2"/>
    <n v="24"/>
    <n v="31"/>
    <n v="15"/>
    <n v="632.4"/>
    <x v="47"/>
    <x v="15"/>
    <n v="9"/>
    <x v="2"/>
    <x v="1"/>
  </r>
  <r>
    <n v="10664"/>
    <x v="309"/>
    <n v="10"/>
    <x v="19"/>
    <x v="2"/>
    <n v="12"/>
    <n v="38"/>
    <n v="15"/>
    <n v="387.59999999999997"/>
    <x v="47"/>
    <x v="15"/>
    <n v="9"/>
    <x v="2"/>
    <x v="1"/>
  </r>
  <r>
    <n v="10664"/>
    <x v="309"/>
    <n v="10"/>
    <x v="19"/>
    <x v="2"/>
    <n v="15"/>
    <n v="2105"/>
    <n v="15"/>
    <n v="26838.75"/>
    <x v="47"/>
    <x v="15"/>
    <n v="9"/>
    <x v="2"/>
    <x v="1"/>
  </r>
  <r>
    <n v="10665"/>
    <x v="310"/>
    <n v="51"/>
    <x v="71"/>
    <x v="1"/>
    <n v="20"/>
    <n v="53"/>
    <n v="0"/>
    <n v="1060"/>
    <x v="38"/>
    <x v="8"/>
    <n v="9"/>
    <x v="2"/>
    <x v="1"/>
  </r>
  <r>
    <n v="10665"/>
    <x v="310"/>
    <n v="51"/>
    <x v="71"/>
    <x v="1"/>
    <n v="1"/>
    <n v="55"/>
    <n v="0"/>
    <n v="55"/>
    <x v="38"/>
    <x v="8"/>
    <n v="9"/>
    <x v="2"/>
    <x v="1"/>
  </r>
  <r>
    <n v="10665"/>
    <x v="310"/>
    <n v="51"/>
    <x v="71"/>
    <x v="1"/>
    <n v="10"/>
    <n v="18"/>
    <n v="0"/>
    <n v="180"/>
    <x v="38"/>
    <x v="8"/>
    <n v="9"/>
    <x v="2"/>
    <x v="1"/>
  </r>
  <r>
    <n v="10666"/>
    <x v="311"/>
    <n v="29"/>
    <x v="16"/>
    <x v="6"/>
    <n v="36"/>
    <n v="12379"/>
    <n v="0"/>
    <n v="445644"/>
    <x v="6"/>
    <x v="4"/>
    <n v="9"/>
    <x v="2"/>
    <x v="1"/>
  </r>
  <r>
    <n v="10666"/>
    <x v="311"/>
    <n v="29"/>
    <x v="16"/>
    <x v="6"/>
    <n v="10"/>
    <n v="2105"/>
    <n v="0"/>
    <n v="21050"/>
    <x v="6"/>
    <x v="4"/>
    <n v="9"/>
    <x v="2"/>
    <x v="1"/>
  </r>
  <r>
    <n v="10667"/>
    <x v="311"/>
    <n v="69"/>
    <x v="37"/>
    <x v="0"/>
    <n v="45"/>
    <n v="36"/>
    <n v="2"/>
    <n v="1587.6"/>
    <x v="9"/>
    <x v="6"/>
    <n v="9"/>
    <x v="2"/>
    <x v="1"/>
  </r>
  <r>
    <n v="10667"/>
    <x v="311"/>
    <n v="69"/>
    <x v="37"/>
    <x v="0"/>
    <n v="14"/>
    <n v="215"/>
    <n v="2"/>
    <n v="2949.7999999999997"/>
    <x v="9"/>
    <x v="6"/>
    <n v="9"/>
    <x v="2"/>
    <x v="1"/>
  </r>
  <r>
    <n v="10668"/>
    <x v="312"/>
    <n v="31"/>
    <x v="5"/>
    <x v="0"/>
    <n v="8"/>
    <n v="125"/>
    <n v="1"/>
    <n v="990"/>
    <x v="35"/>
    <x v="1"/>
    <n v="9"/>
    <x v="2"/>
    <x v="1"/>
  </r>
  <r>
    <n v="10668"/>
    <x v="312"/>
    <n v="31"/>
    <x v="5"/>
    <x v="0"/>
    <n v="4"/>
    <n v="24"/>
    <n v="1"/>
    <n v="95.039999999999992"/>
    <x v="35"/>
    <x v="1"/>
    <n v="9"/>
    <x v="2"/>
    <x v="1"/>
  </r>
  <r>
    <n v="10668"/>
    <x v="312"/>
    <n v="31"/>
    <x v="5"/>
    <x v="0"/>
    <n v="15"/>
    <n v="3325"/>
    <n v="1"/>
    <n v="49376.25"/>
    <x v="35"/>
    <x v="1"/>
    <n v="9"/>
    <x v="2"/>
    <x v="1"/>
  </r>
  <r>
    <n v="10669"/>
    <x v="312"/>
    <n v="36"/>
    <x v="18"/>
    <x v="2"/>
    <n v="30"/>
    <n v="19"/>
    <n v="0"/>
    <n v="570"/>
    <x v="51"/>
    <x v="17"/>
    <n v="9"/>
    <x v="2"/>
    <x v="1"/>
  </r>
  <r>
    <n v="10670"/>
    <x v="313"/>
    <n v="23"/>
    <x v="46"/>
    <x v="3"/>
    <n v="32"/>
    <n v="9"/>
    <n v="0"/>
    <n v="288"/>
    <x v="17"/>
    <x v="1"/>
    <n v="9"/>
    <x v="2"/>
    <x v="1"/>
  </r>
  <r>
    <n v="10670"/>
    <x v="313"/>
    <n v="23"/>
    <x v="46"/>
    <x v="3"/>
    <n v="60"/>
    <n v="12"/>
    <n v="0"/>
    <n v="720"/>
    <x v="17"/>
    <x v="1"/>
    <n v="9"/>
    <x v="2"/>
    <x v="1"/>
  </r>
  <r>
    <n v="10670"/>
    <x v="313"/>
    <n v="23"/>
    <x v="46"/>
    <x v="3"/>
    <n v="25"/>
    <n v="14"/>
    <n v="0"/>
    <n v="350"/>
    <x v="17"/>
    <x v="1"/>
    <n v="9"/>
    <x v="2"/>
    <x v="1"/>
  </r>
  <r>
    <n v="10670"/>
    <x v="313"/>
    <n v="23"/>
    <x v="46"/>
    <x v="3"/>
    <n v="50"/>
    <n v="15"/>
    <n v="0"/>
    <n v="750"/>
    <x v="17"/>
    <x v="1"/>
    <n v="9"/>
    <x v="2"/>
    <x v="1"/>
  </r>
  <r>
    <n v="10670"/>
    <x v="313"/>
    <n v="23"/>
    <x v="46"/>
    <x v="3"/>
    <n v="25"/>
    <n v="775"/>
    <n v="0"/>
    <n v="19375"/>
    <x v="17"/>
    <x v="1"/>
    <n v="9"/>
    <x v="2"/>
    <x v="1"/>
  </r>
  <r>
    <n v="10671"/>
    <x v="314"/>
    <n v="16"/>
    <x v="12"/>
    <x v="4"/>
    <n v="10"/>
    <n v="1745"/>
    <n v="0"/>
    <n v="17450"/>
    <x v="86"/>
    <x v="0"/>
    <n v="9"/>
    <x v="2"/>
    <x v="1"/>
  </r>
  <r>
    <n v="10671"/>
    <x v="314"/>
    <n v="16"/>
    <x v="12"/>
    <x v="4"/>
    <n v="10"/>
    <n v="493"/>
    <n v="0"/>
    <n v="4930"/>
    <x v="86"/>
    <x v="0"/>
    <n v="9"/>
    <x v="2"/>
    <x v="1"/>
  </r>
  <r>
    <n v="10671"/>
    <x v="314"/>
    <n v="16"/>
    <x v="12"/>
    <x v="4"/>
    <n v="12"/>
    <n v="2105"/>
    <n v="0"/>
    <n v="25260"/>
    <x v="86"/>
    <x v="0"/>
    <n v="9"/>
    <x v="2"/>
    <x v="1"/>
  </r>
  <r>
    <n v="10672"/>
    <x v="314"/>
    <n v="38"/>
    <x v="51"/>
    <x v="5"/>
    <n v="15"/>
    <n v="2635"/>
    <n v="1"/>
    <n v="39129.75"/>
    <x v="25"/>
    <x v="9"/>
    <n v="9"/>
    <x v="2"/>
    <x v="1"/>
  </r>
  <r>
    <n v="10672"/>
    <x v="314"/>
    <n v="38"/>
    <x v="51"/>
    <x v="5"/>
    <n v="12"/>
    <n v="215"/>
    <n v="0"/>
    <n v="2580"/>
    <x v="25"/>
    <x v="9"/>
    <n v="9"/>
    <x v="2"/>
    <x v="1"/>
  </r>
  <r>
    <n v="10673"/>
    <x v="315"/>
    <n v="16"/>
    <x v="12"/>
    <x v="4"/>
    <n v="3"/>
    <n v="1745"/>
    <n v="0"/>
    <n v="5235"/>
    <x v="83"/>
    <x v="10"/>
    <n v="9"/>
    <x v="2"/>
    <x v="1"/>
  </r>
  <r>
    <n v="10673"/>
    <x v="315"/>
    <n v="16"/>
    <x v="12"/>
    <x v="4"/>
    <n v="6"/>
    <n v="14"/>
    <n v="0"/>
    <n v="84"/>
    <x v="83"/>
    <x v="10"/>
    <n v="9"/>
    <x v="2"/>
    <x v="1"/>
  </r>
  <r>
    <n v="10673"/>
    <x v="315"/>
    <n v="16"/>
    <x v="12"/>
    <x v="4"/>
    <n v="6"/>
    <n v="46"/>
    <n v="0"/>
    <n v="276"/>
    <x v="83"/>
    <x v="10"/>
    <n v="9"/>
    <x v="2"/>
    <x v="1"/>
  </r>
  <r>
    <n v="10674"/>
    <x v="315"/>
    <n v="23"/>
    <x v="46"/>
    <x v="3"/>
    <n v="5"/>
    <n v="9"/>
    <n v="0"/>
    <n v="45"/>
    <x v="42"/>
    <x v="13"/>
    <n v="9"/>
    <x v="2"/>
    <x v="1"/>
  </r>
  <r>
    <n v="10675"/>
    <x v="316"/>
    <n v="14"/>
    <x v="1"/>
    <x v="1"/>
    <n v="30"/>
    <n v="2325"/>
    <n v="0"/>
    <n v="69750"/>
    <x v="17"/>
    <x v="1"/>
    <n v="9"/>
    <x v="2"/>
    <x v="1"/>
  </r>
  <r>
    <n v="10675"/>
    <x v="316"/>
    <n v="14"/>
    <x v="1"/>
    <x v="1"/>
    <n v="10"/>
    <n v="328"/>
    <n v="0"/>
    <n v="3280"/>
    <x v="17"/>
    <x v="1"/>
    <n v="9"/>
    <x v="2"/>
    <x v="1"/>
  </r>
  <r>
    <n v="10675"/>
    <x v="316"/>
    <n v="14"/>
    <x v="1"/>
    <x v="1"/>
    <n v="30"/>
    <n v="1325"/>
    <n v="0"/>
    <n v="39750"/>
    <x v="17"/>
    <x v="1"/>
    <n v="9"/>
    <x v="2"/>
    <x v="1"/>
  </r>
  <r>
    <n v="10676"/>
    <x v="317"/>
    <n v="10"/>
    <x v="19"/>
    <x v="2"/>
    <n v="2"/>
    <n v="31"/>
    <n v="0"/>
    <n v="62"/>
    <x v="23"/>
    <x v="7"/>
    <n v="9"/>
    <x v="2"/>
    <x v="1"/>
  </r>
  <r>
    <n v="10676"/>
    <x v="317"/>
    <n v="10"/>
    <x v="19"/>
    <x v="2"/>
    <n v="7"/>
    <n v="92"/>
    <n v="0"/>
    <n v="644"/>
    <x v="23"/>
    <x v="7"/>
    <n v="9"/>
    <x v="2"/>
    <x v="1"/>
  </r>
  <r>
    <n v="10676"/>
    <x v="317"/>
    <n v="10"/>
    <x v="19"/>
    <x v="2"/>
    <n v="21"/>
    <n v="1945"/>
    <n v="0"/>
    <n v="40845"/>
    <x v="23"/>
    <x v="7"/>
    <n v="9"/>
    <x v="2"/>
    <x v="1"/>
  </r>
  <r>
    <n v="10677"/>
    <x v="317"/>
    <n v="26"/>
    <x v="45"/>
    <x v="4"/>
    <n v="30"/>
    <n v="3123"/>
    <n v="15"/>
    <n v="79636.5"/>
    <x v="59"/>
    <x v="7"/>
    <n v="9"/>
    <x v="2"/>
    <x v="1"/>
  </r>
  <r>
    <n v="10677"/>
    <x v="317"/>
    <n v="26"/>
    <x v="45"/>
    <x v="4"/>
    <n v="8"/>
    <n v="25"/>
    <n v="15"/>
    <n v="170"/>
    <x v="59"/>
    <x v="7"/>
    <n v="9"/>
    <x v="2"/>
    <x v="1"/>
  </r>
  <r>
    <n v="10678"/>
    <x v="318"/>
    <n v="12"/>
    <x v="14"/>
    <x v="0"/>
    <n v="100"/>
    <n v="38"/>
    <n v="0"/>
    <n v="3800"/>
    <x v="45"/>
    <x v="8"/>
    <n v="9"/>
    <x v="2"/>
    <x v="1"/>
  </r>
  <r>
    <n v="10678"/>
    <x v="318"/>
    <n v="12"/>
    <x v="14"/>
    <x v="0"/>
    <n v="30"/>
    <n v="25"/>
    <n v="0"/>
    <n v="750"/>
    <x v="45"/>
    <x v="8"/>
    <n v="9"/>
    <x v="2"/>
    <x v="1"/>
  </r>
  <r>
    <n v="10678"/>
    <x v="318"/>
    <n v="12"/>
    <x v="14"/>
    <x v="0"/>
    <n v="120"/>
    <n v="965"/>
    <n v="0"/>
    <n v="115800"/>
    <x v="45"/>
    <x v="8"/>
    <n v="9"/>
    <x v="2"/>
    <x v="1"/>
  </r>
  <r>
    <n v="10678"/>
    <x v="318"/>
    <n v="12"/>
    <x v="14"/>
    <x v="0"/>
    <n v="30"/>
    <n v="745"/>
    <n v="0"/>
    <n v="22350"/>
    <x v="45"/>
    <x v="8"/>
    <n v="9"/>
    <x v="2"/>
    <x v="1"/>
  </r>
  <r>
    <n v="10679"/>
    <x v="318"/>
    <n v="59"/>
    <x v="44"/>
    <x v="0"/>
    <n v="12"/>
    <n v="55"/>
    <n v="0"/>
    <n v="660"/>
    <x v="15"/>
    <x v="0"/>
    <n v="9"/>
    <x v="2"/>
    <x v="1"/>
  </r>
  <r>
    <n v="10680"/>
    <x v="319"/>
    <n v="16"/>
    <x v="12"/>
    <x v="4"/>
    <n v="50"/>
    <n v="1745"/>
    <n v="25"/>
    <n v="65437.5"/>
    <x v="37"/>
    <x v="8"/>
    <n v="9"/>
    <x v="2"/>
    <x v="1"/>
  </r>
  <r>
    <n v="10680"/>
    <x v="319"/>
    <n v="16"/>
    <x v="12"/>
    <x v="4"/>
    <n v="20"/>
    <n v="125"/>
    <n v="25"/>
    <n v="1875"/>
    <x v="37"/>
    <x v="8"/>
    <n v="9"/>
    <x v="2"/>
    <x v="1"/>
  </r>
  <r>
    <n v="10680"/>
    <x v="319"/>
    <n v="16"/>
    <x v="12"/>
    <x v="4"/>
    <n v="40"/>
    <n v="14"/>
    <n v="25"/>
    <n v="420"/>
    <x v="37"/>
    <x v="8"/>
    <n v="9"/>
    <x v="2"/>
    <x v="1"/>
  </r>
  <r>
    <n v="10681"/>
    <x v="320"/>
    <n v="19"/>
    <x v="23"/>
    <x v="4"/>
    <n v="30"/>
    <n v="92"/>
    <n v="1"/>
    <n v="2732.4"/>
    <x v="79"/>
    <x v="8"/>
    <n v="9"/>
    <x v="2"/>
    <x v="1"/>
  </r>
  <r>
    <n v="10681"/>
    <x v="320"/>
    <n v="19"/>
    <x v="23"/>
    <x v="4"/>
    <n v="12"/>
    <n v="10"/>
    <n v="1"/>
    <n v="118.8"/>
    <x v="79"/>
    <x v="8"/>
    <n v="9"/>
    <x v="2"/>
    <x v="1"/>
  </r>
  <r>
    <n v="10681"/>
    <x v="320"/>
    <n v="19"/>
    <x v="23"/>
    <x v="4"/>
    <n v="28"/>
    <n v="3325"/>
    <n v="0"/>
    <n v="93100"/>
    <x v="79"/>
    <x v="8"/>
    <n v="9"/>
    <x v="2"/>
    <x v="1"/>
  </r>
  <r>
    <n v="10682"/>
    <x v="320"/>
    <n v="33"/>
    <x v="17"/>
    <x v="0"/>
    <n v="30"/>
    <n v="25"/>
    <n v="0"/>
    <n v="750"/>
    <x v="59"/>
    <x v="7"/>
    <n v="9"/>
    <x v="2"/>
    <x v="1"/>
  </r>
  <r>
    <n v="10682"/>
    <x v="320"/>
    <n v="33"/>
    <x v="17"/>
    <x v="0"/>
    <n v="4"/>
    <n v="17"/>
    <n v="0"/>
    <n v="68"/>
    <x v="59"/>
    <x v="7"/>
    <n v="9"/>
    <x v="2"/>
    <x v="1"/>
  </r>
  <r>
    <n v="10682"/>
    <x v="320"/>
    <n v="33"/>
    <x v="17"/>
    <x v="0"/>
    <n v="30"/>
    <n v="775"/>
    <n v="0"/>
    <n v="23250"/>
    <x v="59"/>
    <x v="7"/>
    <n v="9"/>
    <x v="2"/>
    <x v="1"/>
  </r>
  <r>
    <n v="10683"/>
    <x v="321"/>
    <n v="52"/>
    <x v="42"/>
    <x v="3"/>
    <n v="9"/>
    <n v="7"/>
    <n v="0"/>
    <n v="63"/>
    <x v="41"/>
    <x v="0"/>
    <n v="9"/>
    <x v="2"/>
    <x v="1"/>
  </r>
  <r>
    <n v="10684"/>
    <x v="321"/>
    <n v="40"/>
    <x v="15"/>
    <x v="2"/>
    <n v="20"/>
    <n v="184"/>
    <n v="0"/>
    <n v="3680"/>
    <x v="11"/>
    <x v="1"/>
    <n v="9"/>
    <x v="2"/>
    <x v="1"/>
  </r>
  <r>
    <n v="10684"/>
    <x v="321"/>
    <n v="40"/>
    <x v="15"/>
    <x v="2"/>
    <n v="40"/>
    <n v="95"/>
    <n v="0"/>
    <n v="3800"/>
    <x v="11"/>
    <x v="1"/>
    <n v="9"/>
    <x v="2"/>
    <x v="1"/>
  </r>
  <r>
    <n v="10684"/>
    <x v="321"/>
    <n v="40"/>
    <x v="15"/>
    <x v="2"/>
    <n v="30"/>
    <n v="34"/>
    <n v="0"/>
    <n v="1020"/>
    <x v="11"/>
    <x v="1"/>
    <n v="9"/>
    <x v="2"/>
    <x v="1"/>
  </r>
  <r>
    <n v="10685"/>
    <x v="322"/>
    <n v="10"/>
    <x v="19"/>
    <x v="2"/>
    <n v="20"/>
    <n v="31"/>
    <n v="0"/>
    <n v="620"/>
    <x v="71"/>
    <x v="2"/>
    <n v="9"/>
    <x v="2"/>
    <x v="1"/>
  </r>
  <r>
    <n v="10685"/>
    <x v="322"/>
    <n v="10"/>
    <x v="19"/>
    <x v="2"/>
    <n v="4"/>
    <n v="965"/>
    <n v="0"/>
    <n v="3860"/>
    <x v="71"/>
    <x v="2"/>
    <n v="9"/>
    <x v="2"/>
    <x v="1"/>
  </r>
  <r>
    <n v="10685"/>
    <x v="322"/>
    <n v="10"/>
    <x v="19"/>
    <x v="2"/>
    <n v="15"/>
    <n v="95"/>
    <n v="0"/>
    <n v="1425"/>
    <x v="71"/>
    <x v="2"/>
    <n v="9"/>
    <x v="2"/>
    <x v="1"/>
  </r>
  <r>
    <n v="10686"/>
    <x v="323"/>
    <n v="17"/>
    <x v="13"/>
    <x v="6"/>
    <n v="30"/>
    <n v="39"/>
    <n v="2"/>
    <n v="1146.5999999999999"/>
    <x v="54"/>
    <x v="6"/>
    <n v="9"/>
    <x v="2"/>
    <x v="1"/>
  </r>
  <r>
    <n v="10686"/>
    <x v="323"/>
    <n v="17"/>
    <x v="13"/>
    <x v="6"/>
    <n v="15"/>
    <n v="3123"/>
    <n v="0"/>
    <n v="46845"/>
    <x v="54"/>
    <x v="6"/>
    <n v="9"/>
    <x v="2"/>
    <x v="1"/>
  </r>
  <r>
    <n v="10687"/>
    <x v="323"/>
    <n v="9"/>
    <x v="61"/>
    <x v="6"/>
    <n v="50"/>
    <n v="97"/>
    <n v="25"/>
    <n v="3637.5"/>
    <x v="34"/>
    <x v="14"/>
    <n v="9"/>
    <x v="2"/>
    <x v="1"/>
  </r>
  <r>
    <n v="10687"/>
    <x v="323"/>
    <n v="9"/>
    <x v="61"/>
    <x v="6"/>
    <n v="10"/>
    <n v="12379"/>
    <n v="0"/>
    <n v="123790"/>
    <x v="34"/>
    <x v="14"/>
    <n v="9"/>
    <x v="2"/>
    <x v="1"/>
  </r>
  <r>
    <n v="10687"/>
    <x v="323"/>
    <n v="9"/>
    <x v="61"/>
    <x v="6"/>
    <n v="6"/>
    <n v="19"/>
    <n v="25"/>
    <n v="85.5"/>
    <x v="34"/>
    <x v="14"/>
    <n v="9"/>
    <x v="2"/>
    <x v="1"/>
  </r>
  <r>
    <n v="10688"/>
    <x v="324"/>
    <n v="10"/>
    <x v="19"/>
    <x v="2"/>
    <n v="18"/>
    <n v="31"/>
    <n v="1"/>
    <n v="552.41999999999996"/>
    <x v="61"/>
    <x v="17"/>
    <n v="10"/>
    <x v="3"/>
    <x v="1"/>
  </r>
  <r>
    <n v="10688"/>
    <x v="324"/>
    <n v="10"/>
    <x v="19"/>
    <x v="2"/>
    <n v="60"/>
    <n v="456"/>
    <n v="1"/>
    <n v="27086.400000000001"/>
    <x v="61"/>
    <x v="17"/>
    <n v="10"/>
    <x v="3"/>
    <x v="1"/>
  </r>
  <r>
    <n v="10688"/>
    <x v="324"/>
    <n v="10"/>
    <x v="19"/>
    <x v="2"/>
    <n v="14"/>
    <n v="14"/>
    <n v="0"/>
    <n v="196"/>
    <x v="61"/>
    <x v="17"/>
    <n v="10"/>
    <x v="3"/>
    <x v="1"/>
  </r>
  <r>
    <n v="10689"/>
    <x v="324"/>
    <n v="1"/>
    <x v="26"/>
    <x v="5"/>
    <n v="35"/>
    <n v="18"/>
    <n v="25"/>
    <n v="472.5"/>
    <x v="25"/>
    <x v="9"/>
    <n v="10"/>
    <x v="3"/>
    <x v="1"/>
  </r>
  <r>
    <n v="10690"/>
    <x v="325"/>
    <n v="56"/>
    <x v="32"/>
    <x v="3"/>
    <n v="20"/>
    <n v="38"/>
    <n v="25"/>
    <n v="570"/>
    <x v="2"/>
    <x v="2"/>
    <n v="10"/>
    <x v="3"/>
    <x v="1"/>
  </r>
  <r>
    <n v="10690"/>
    <x v="325"/>
    <n v="56"/>
    <x v="32"/>
    <x v="3"/>
    <n v="30"/>
    <n v="13"/>
    <n v="25"/>
    <n v="292.5"/>
    <x v="2"/>
    <x v="2"/>
    <n v="10"/>
    <x v="3"/>
    <x v="1"/>
  </r>
  <r>
    <n v="10691"/>
    <x v="326"/>
    <n v="1"/>
    <x v="26"/>
    <x v="5"/>
    <n v="30"/>
    <n v="18"/>
    <n v="0"/>
    <n v="540"/>
    <x v="21"/>
    <x v="1"/>
    <n v="10"/>
    <x v="3"/>
    <x v="1"/>
  </r>
  <r>
    <n v="10691"/>
    <x v="326"/>
    <n v="1"/>
    <x v="26"/>
    <x v="5"/>
    <n v="40"/>
    <n v="12379"/>
    <n v="0"/>
    <n v="495160"/>
    <x v="21"/>
    <x v="1"/>
    <n v="10"/>
    <x v="3"/>
    <x v="1"/>
  </r>
  <r>
    <n v="10691"/>
    <x v="326"/>
    <n v="1"/>
    <x v="26"/>
    <x v="5"/>
    <n v="40"/>
    <n v="46"/>
    <n v="0"/>
    <n v="1840"/>
    <x v="21"/>
    <x v="1"/>
    <n v="10"/>
    <x v="3"/>
    <x v="1"/>
  </r>
  <r>
    <n v="10691"/>
    <x v="326"/>
    <n v="1"/>
    <x v="26"/>
    <x v="5"/>
    <n v="24"/>
    <n v="1945"/>
    <n v="0"/>
    <n v="46680"/>
    <x v="21"/>
    <x v="1"/>
    <n v="10"/>
    <x v="3"/>
    <x v="1"/>
  </r>
  <r>
    <n v="10691"/>
    <x v="326"/>
    <n v="1"/>
    <x v="26"/>
    <x v="5"/>
    <n v="48"/>
    <n v="493"/>
    <n v="0"/>
    <n v="23664"/>
    <x v="21"/>
    <x v="1"/>
    <n v="10"/>
    <x v="3"/>
    <x v="1"/>
  </r>
  <r>
    <n v="10692"/>
    <x v="326"/>
    <n v="63"/>
    <x v="72"/>
    <x v="7"/>
    <n v="20"/>
    <n v="439"/>
    <n v="0"/>
    <n v="8780"/>
    <x v="85"/>
    <x v="1"/>
    <n v="10"/>
    <x v="3"/>
    <x v="1"/>
  </r>
  <r>
    <n v="10693"/>
    <x v="327"/>
    <n v="9"/>
    <x v="61"/>
    <x v="6"/>
    <n v="6"/>
    <n v="97"/>
    <n v="0"/>
    <n v="582"/>
    <x v="19"/>
    <x v="8"/>
    <n v="10"/>
    <x v="3"/>
    <x v="1"/>
  </r>
  <r>
    <n v="10693"/>
    <x v="327"/>
    <n v="9"/>
    <x v="61"/>
    <x v="6"/>
    <n v="60"/>
    <n v="745"/>
    <n v="15"/>
    <n v="37995"/>
    <x v="19"/>
    <x v="8"/>
    <n v="10"/>
    <x v="3"/>
    <x v="1"/>
  </r>
  <r>
    <n v="10693"/>
    <x v="327"/>
    <n v="9"/>
    <x v="61"/>
    <x v="6"/>
    <n v="30"/>
    <n v="36"/>
    <n v="15"/>
    <n v="918"/>
    <x v="19"/>
    <x v="8"/>
    <n v="10"/>
    <x v="3"/>
    <x v="1"/>
  </r>
  <r>
    <n v="10693"/>
    <x v="327"/>
    <n v="9"/>
    <x v="61"/>
    <x v="6"/>
    <n v="15"/>
    <n v="15"/>
    <n v="15"/>
    <n v="191.25"/>
    <x v="19"/>
    <x v="8"/>
    <n v="10"/>
    <x v="3"/>
    <x v="1"/>
  </r>
  <r>
    <n v="10694"/>
    <x v="327"/>
    <n v="7"/>
    <x v="55"/>
    <x v="1"/>
    <n v="90"/>
    <n v="30"/>
    <n v="0"/>
    <n v="2700"/>
    <x v="21"/>
    <x v="1"/>
    <n v="10"/>
    <x v="3"/>
    <x v="1"/>
  </r>
  <r>
    <n v="10694"/>
    <x v="327"/>
    <n v="7"/>
    <x v="55"/>
    <x v="1"/>
    <n v="25"/>
    <n v="55"/>
    <n v="0"/>
    <n v="1375"/>
    <x v="21"/>
    <x v="1"/>
    <n v="10"/>
    <x v="3"/>
    <x v="1"/>
  </r>
  <r>
    <n v="10694"/>
    <x v="327"/>
    <n v="7"/>
    <x v="55"/>
    <x v="1"/>
    <n v="50"/>
    <n v="15"/>
    <n v="0"/>
    <n v="750"/>
    <x v="21"/>
    <x v="1"/>
    <n v="10"/>
    <x v="3"/>
    <x v="1"/>
  </r>
  <r>
    <n v="10695"/>
    <x v="328"/>
    <n v="8"/>
    <x v="48"/>
    <x v="7"/>
    <n v="10"/>
    <n v="40"/>
    <n v="0"/>
    <n v="400"/>
    <x v="83"/>
    <x v="10"/>
    <n v="10"/>
    <x v="3"/>
    <x v="1"/>
  </r>
  <r>
    <n v="10695"/>
    <x v="328"/>
    <n v="8"/>
    <x v="48"/>
    <x v="7"/>
    <n v="4"/>
    <n v="38"/>
    <n v="0"/>
    <n v="152"/>
    <x v="83"/>
    <x v="10"/>
    <n v="10"/>
    <x v="3"/>
    <x v="1"/>
  </r>
  <r>
    <n v="10695"/>
    <x v="328"/>
    <n v="8"/>
    <x v="48"/>
    <x v="7"/>
    <n v="20"/>
    <n v="45"/>
    <n v="0"/>
    <n v="900"/>
    <x v="83"/>
    <x v="10"/>
    <n v="10"/>
    <x v="3"/>
    <x v="1"/>
  </r>
  <r>
    <n v="10696"/>
    <x v="329"/>
    <n v="17"/>
    <x v="13"/>
    <x v="6"/>
    <n v="20"/>
    <n v="39"/>
    <n v="0"/>
    <n v="780"/>
    <x v="19"/>
    <x v="8"/>
    <n v="10"/>
    <x v="3"/>
    <x v="1"/>
  </r>
  <r>
    <n v="10696"/>
    <x v="329"/>
    <n v="17"/>
    <x v="13"/>
    <x v="6"/>
    <n v="18"/>
    <n v="12"/>
    <n v="0"/>
    <n v="216"/>
    <x v="19"/>
    <x v="8"/>
    <n v="10"/>
    <x v="3"/>
    <x v="1"/>
  </r>
  <r>
    <n v="10697"/>
    <x v="329"/>
    <n v="19"/>
    <x v="23"/>
    <x v="4"/>
    <n v="7"/>
    <n v="92"/>
    <n v="25"/>
    <n v="483"/>
    <x v="67"/>
    <x v="5"/>
    <n v="10"/>
    <x v="3"/>
    <x v="1"/>
  </r>
  <r>
    <n v="10697"/>
    <x v="329"/>
    <n v="19"/>
    <x v="23"/>
    <x v="4"/>
    <n v="9"/>
    <n v="18"/>
    <n v="25"/>
    <n v="121.5"/>
    <x v="67"/>
    <x v="5"/>
    <n v="10"/>
    <x v="3"/>
    <x v="1"/>
  </r>
  <r>
    <n v="10697"/>
    <x v="329"/>
    <n v="19"/>
    <x v="23"/>
    <x v="4"/>
    <n v="30"/>
    <n v="1325"/>
    <n v="25"/>
    <n v="29812.5"/>
    <x v="67"/>
    <x v="5"/>
    <n v="10"/>
    <x v="3"/>
    <x v="1"/>
  </r>
  <r>
    <n v="10697"/>
    <x v="329"/>
    <n v="19"/>
    <x v="23"/>
    <x v="4"/>
    <n v="30"/>
    <n v="15"/>
    <n v="25"/>
    <n v="337.5"/>
    <x v="67"/>
    <x v="5"/>
    <n v="10"/>
    <x v="3"/>
    <x v="1"/>
  </r>
  <r>
    <n v="10698"/>
    <x v="330"/>
    <n v="11"/>
    <x v="0"/>
    <x v="0"/>
    <n v="15"/>
    <n v="21"/>
    <n v="0"/>
    <n v="315"/>
    <x v="9"/>
    <x v="6"/>
    <n v="10"/>
    <x v="3"/>
    <x v="1"/>
  </r>
  <r>
    <n v="10698"/>
    <x v="330"/>
    <n v="11"/>
    <x v="0"/>
    <x v="0"/>
    <n v="8"/>
    <n v="39"/>
    <n v="5"/>
    <n v="296.39999999999998"/>
    <x v="9"/>
    <x v="6"/>
    <n v="10"/>
    <x v="3"/>
    <x v="1"/>
  </r>
  <r>
    <n v="10698"/>
    <x v="330"/>
    <n v="11"/>
    <x v="0"/>
    <x v="0"/>
    <n v="12"/>
    <n v="12379"/>
    <n v="5"/>
    <n v="141120.6"/>
    <x v="9"/>
    <x v="6"/>
    <n v="10"/>
    <x v="3"/>
    <x v="1"/>
  </r>
  <r>
    <n v="10698"/>
    <x v="330"/>
    <n v="11"/>
    <x v="0"/>
    <x v="0"/>
    <n v="65"/>
    <n v="2105"/>
    <n v="5"/>
    <n v="129983.75"/>
    <x v="9"/>
    <x v="6"/>
    <n v="10"/>
    <x v="3"/>
    <x v="1"/>
  </r>
  <r>
    <n v="10698"/>
    <x v="330"/>
    <n v="11"/>
    <x v="0"/>
    <x v="0"/>
    <n v="8"/>
    <n v="15"/>
    <n v="5"/>
    <n v="114"/>
    <x v="9"/>
    <x v="6"/>
    <n v="10"/>
    <x v="3"/>
    <x v="1"/>
  </r>
  <r>
    <n v="10699"/>
    <x v="330"/>
    <n v="47"/>
    <x v="64"/>
    <x v="4"/>
    <n v="12"/>
    <n v="95"/>
    <n v="0"/>
    <n v="1140"/>
    <x v="24"/>
    <x v="1"/>
    <n v="10"/>
    <x v="3"/>
    <x v="1"/>
  </r>
  <r>
    <n v="10700"/>
    <x v="331"/>
    <n v="1"/>
    <x v="26"/>
    <x v="5"/>
    <n v="5"/>
    <n v="18"/>
    <n v="2"/>
    <n v="88.2"/>
    <x v="45"/>
    <x v="8"/>
    <n v="10"/>
    <x v="3"/>
    <x v="1"/>
  </r>
  <r>
    <n v="10700"/>
    <x v="331"/>
    <n v="1"/>
    <x v="26"/>
    <x v="5"/>
    <n v="12"/>
    <n v="14"/>
    <n v="2"/>
    <n v="164.64"/>
    <x v="45"/>
    <x v="8"/>
    <n v="10"/>
    <x v="3"/>
    <x v="1"/>
  </r>
  <r>
    <n v="10700"/>
    <x v="331"/>
    <n v="1"/>
    <x v="26"/>
    <x v="5"/>
    <n v="40"/>
    <n v="125"/>
    <n v="2"/>
    <n v="4900"/>
    <x v="45"/>
    <x v="8"/>
    <n v="10"/>
    <x v="3"/>
    <x v="1"/>
  </r>
  <r>
    <n v="10700"/>
    <x v="331"/>
    <n v="1"/>
    <x v="26"/>
    <x v="5"/>
    <n v="60"/>
    <n v="215"/>
    <n v="2"/>
    <n v="12642"/>
    <x v="45"/>
    <x v="8"/>
    <n v="10"/>
    <x v="3"/>
    <x v="1"/>
  </r>
  <r>
    <n v="10701"/>
    <x v="332"/>
    <n v="59"/>
    <x v="44"/>
    <x v="0"/>
    <n v="42"/>
    <n v="55"/>
    <n v="15"/>
    <n v="1963.5"/>
    <x v="34"/>
    <x v="14"/>
    <n v="10"/>
    <x v="3"/>
    <x v="1"/>
  </r>
  <r>
    <n v="10701"/>
    <x v="332"/>
    <n v="59"/>
    <x v="44"/>
    <x v="0"/>
    <n v="20"/>
    <n v="215"/>
    <n v="15"/>
    <n v="3655"/>
    <x v="34"/>
    <x v="14"/>
    <n v="10"/>
    <x v="3"/>
    <x v="1"/>
  </r>
  <r>
    <n v="10701"/>
    <x v="332"/>
    <n v="59"/>
    <x v="44"/>
    <x v="0"/>
    <n v="35"/>
    <n v="18"/>
    <n v="15"/>
    <n v="535.5"/>
    <x v="34"/>
    <x v="14"/>
    <n v="10"/>
    <x v="3"/>
    <x v="1"/>
  </r>
  <r>
    <n v="10702"/>
    <x v="332"/>
    <n v="3"/>
    <x v="29"/>
    <x v="7"/>
    <n v="6"/>
    <n v="10"/>
    <n v="0"/>
    <n v="60"/>
    <x v="85"/>
    <x v="1"/>
    <n v="10"/>
    <x v="3"/>
    <x v="1"/>
  </r>
  <r>
    <n v="10702"/>
    <x v="332"/>
    <n v="3"/>
    <x v="29"/>
    <x v="7"/>
    <n v="15"/>
    <n v="18"/>
    <n v="0"/>
    <n v="270"/>
    <x v="85"/>
    <x v="1"/>
    <n v="10"/>
    <x v="3"/>
    <x v="1"/>
  </r>
  <r>
    <n v="10703"/>
    <x v="333"/>
    <n v="2"/>
    <x v="7"/>
    <x v="5"/>
    <n v="5"/>
    <n v="19"/>
    <n v="0"/>
    <n v="95"/>
    <x v="14"/>
    <x v="9"/>
    <n v="10"/>
    <x v="3"/>
    <x v="1"/>
  </r>
  <r>
    <n v="10703"/>
    <x v="333"/>
    <n v="2"/>
    <x v="7"/>
    <x v="5"/>
    <n v="35"/>
    <n v="55"/>
    <n v="0"/>
    <n v="1925"/>
    <x v="14"/>
    <x v="9"/>
    <n v="10"/>
    <x v="3"/>
    <x v="1"/>
  </r>
  <r>
    <n v="10703"/>
    <x v="333"/>
    <n v="2"/>
    <x v="7"/>
    <x v="5"/>
    <n v="35"/>
    <n v="15"/>
    <n v="0"/>
    <n v="525"/>
    <x v="14"/>
    <x v="9"/>
    <n v="10"/>
    <x v="3"/>
    <x v="1"/>
  </r>
  <r>
    <n v="10704"/>
    <x v="333"/>
    <n v="4"/>
    <x v="38"/>
    <x v="7"/>
    <n v="6"/>
    <n v="22"/>
    <n v="0"/>
    <n v="132"/>
    <x v="62"/>
    <x v="2"/>
    <n v="10"/>
    <x v="3"/>
    <x v="1"/>
  </r>
  <r>
    <n v="10704"/>
    <x v="333"/>
    <n v="4"/>
    <x v="38"/>
    <x v="7"/>
    <n v="35"/>
    <n v="45"/>
    <n v="0"/>
    <n v="1575"/>
    <x v="62"/>
    <x v="2"/>
    <n v="10"/>
    <x v="3"/>
    <x v="1"/>
  </r>
  <r>
    <n v="10704"/>
    <x v="333"/>
    <n v="4"/>
    <x v="38"/>
    <x v="7"/>
    <n v="24"/>
    <n v="1275"/>
    <n v="0"/>
    <n v="30600"/>
    <x v="62"/>
    <x v="2"/>
    <n v="10"/>
    <x v="3"/>
    <x v="1"/>
  </r>
  <r>
    <n v="10705"/>
    <x v="334"/>
    <n v="31"/>
    <x v="5"/>
    <x v="0"/>
    <n v="20"/>
    <n v="125"/>
    <n v="0"/>
    <n v="2500"/>
    <x v="8"/>
    <x v="5"/>
    <n v="10"/>
    <x v="3"/>
    <x v="1"/>
  </r>
  <r>
    <n v="10705"/>
    <x v="334"/>
    <n v="31"/>
    <x v="5"/>
    <x v="0"/>
    <n v="4"/>
    <n v="32"/>
    <n v="0"/>
    <n v="128"/>
    <x v="8"/>
    <x v="5"/>
    <n v="10"/>
    <x v="3"/>
    <x v="1"/>
  </r>
  <r>
    <n v="10706"/>
    <x v="335"/>
    <n v="16"/>
    <x v="12"/>
    <x v="4"/>
    <n v="20"/>
    <n v="1745"/>
    <n v="0"/>
    <n v="34900"/>
    <x v="37"/>
    <x v="8"/>
    <n v="10"/>
    <x v="3"/>
    <x v="1"/>
  </r>
  <r>
    <n v="10706"/>
    <x v="335"/>
    <n v="16"/>
    <x v="12"/>
    <x v="4"/>
    <n v="24"/>
    <n v="46"/>
    <n v="0"/>
    <n v="1104"/>
    <x v="37"/>
    <x v="8"/>
    <n v="10"/>
    <x v="3"/>
    <x v="1"/>
  </r>
  <r>
    <n v="10706"/>
    <x v="335"/>
    <n v="16"/>
    <x v="12"/>
    <x v="4"/>
    <n v="8"/>
    <n v="55"/>
    <n v="0"/>
    <n v="440"/>
    <x v="37"/>
    <x v="8"/>
    <n v="10"/>
    <x v="3"/>
    <x v="1"/>
  </r>
  <r>
    <n v="10707"/>
    <x v="335"/>
    <n v="55"/>
    <x v="62"/>
    <x v="6"/>
    <n v="21"/>
    <n v="24"/>
    <n v="0"/>
    <n v="504"/>
    <x v="55"/>
    <x v="13"/>
    <n v="10"/>
    <x v="3"/>
    <x v="1"/>
  </r>
  <r>
    <n v="10707"/>
    <x v="335"/>
    <n v="55"/>
    <x v="62"/>
    <x v="6"/>
    <n v="40"/>
    <n v="195"/>
    <n v="0"/>
    <n v="7800"/>
    <x v="55"/>
    <x v="13"/>
    <n v="10"/>
    <x v="3"/>
    <x v="1"/>
  </r>
  <r>
    <n v="10707"/>
    <x v="335"/>
    <n v="55"/>
    <x v="62"/>
    <x v="6"/>
    <n v="28"/>
    <n v="15"/>
    <n v="15"/>
    <n v="357"/>
    <x v="55"/>
    <x v="13"/>
    <n v="10"/>
    <x v="3"/>
    <x v="1"/>
  </r>
  <r>
    <n v="10708"/>
    <x v="336"/>
    <n v="5"/>
    <x v="11"/>
    <x v="7"/>
    <n v="4"/>
    <n v="2135"/>
    <n v="0"/>
    <n v="8540"/>
    <x v="40"/>
    <x v="8"/>
    <n v="10"/>
    <x v="3"/>
    <x v="1"/>
  </r>
  <r>
    <n v="10708"/>
    <x v="336"/>
    <n v="5"/>
    <x v="11"/>
    <x v="7"/>
    <n v="5"/>
    <n v="19"/>
    <n v="0"/>
    <n v="95"/>
    <x v="40"/>
    <x v="8"/>
    <n v="10"/>
    <x v="3"/>
    <x v="1"/>
  </r>
  <r>
    <n v="10709"/>
    <x v="336"/>
    <n v="8"/>
    <x v="48"/>
    <x v="7"/>
    <n v="40"/>
    <n v="40"/>
    <n v="0"/>
    <n v="1600"/>
    <x v="71"/>
    <x v="2"/>
    <n v="10"/>
    <x v="3"/>
    <x v="1"/>
  </r>
  <r>
    <n v="10709"/>
    <x v="336"/>
    <n v="8"/>
    <x v="48"/>
    <x v="7"/>
    <n v="28"/>
    <n v="53"/>
    <n v="0"/>
    <n v="1484"/>
    <x v="71"/>
    <x v="2"/>
    <n v="10"/>
    <x v="3"/>
    <x v="1"/>
  </r>
  <r>
    <n v="10709"/>
    <x v="336"/>
    <n v="8"/>
    <x v="48"/>
    <x v="7"/>
    <n v="10"/>
    <n v="34"/>
    <n v="0"/>
    <n v="340"/>
    <x v="71"/>
    <x v="2"/>
    <n v="10"/>
    <x v="3"/>
    <x v="1"/>
  </r>
  <r>
    <n v="10710"/>
    <x v="337"/>
    <n v="19"/>
    <x v="23"/>
    <x v="4"/>
    <n v="5"/>
    <n v="92"/>
    <n v="0"/>
    <n v="460"/>
    <x v="70"/>
    <x v="11"/>
    <n v="10"/>
    <x v="3"/>
    <x v="1"/>
  </r>
  <r>
    <n v="10710"/>
    <x v="337"/>
    <n v="19"/>
    <x v="23"/>
    <x v="4"/>
    <n v="5"/>
    <n v="95"/>
    <n v="0"/>
    <n v="475"/>
    <x v="70"/>
    <x v="11"/>
    <n v="10"/>
    <x v="3"/>
    <x v="1"/>
  </r>
  <r>
    <n v="10711"/>
    <x v="338"/>
    <n v="19"/>
    <x v="23"/>
    <x v="4"/>
    <n v="12"/>
    <n v="92"/>
    <n v="0"/>
    <n v="1104"/>
    <x v="45"/>
    <x v="8"/>
    <n v="10"/>
    <x v="3"/>
    <x v="1"/>
  </r>
  <r>
    <n v="10711"/>
    <x v="338"/>
    <n v="19"/>
    <x v="23"/>
    <x v="4"/>
    <n v="42"/>
    <n v="965"/>
    <n v="0"/>
    <n v="40530"/>
    <x v="45"/>
    <x v="8"/>
    <n v="10"/>
    <x v="3"/>
    <x v="1"/>
  </r>
  <r>
    <n v="10711"/>
    <x v="338"/>
    <n v="19"/>
    <x v="23"/>
    <x v="4"/>
    <n v="120"/>
    <n v="328"/>
    <n v="0"/>
    <n v="39360"/>
    <x v="45"/>
    <x v="8"/>
    <n v="10"/>
    <x v="3"/>
    <x v="1"/>
  </r>
  <r>
    <n v="10712"/>
    <x v="338"/>
    <n v="53"/>
    <x v="8"/>
    <x v="6"/>
    <n v="3"/>
    <n v="328"/>
    <n v="5"/>
    <n v="934.8"/>
    <x v="34"/>
    <x v="14"/>
    <n v="10"/>
    <x v="3"/>
    <x v="1"/>
  </r>
  <r>
    <n v="10712"/>
    <x v="338"/>
    <n v="53"/>
    <x v="8"/>
    <x v="6"/>
    <n v="30"/>
    <n v="38"/>
    <n v="0"/>
    <n v="1140"/>
    <x v="34"/>
    <x v="14"/>
    <n v="10"/>
    <x v="3"/>
    <x v="1"/>
  </r>
  <r>
    <n v="10713"/>
    <x v="339"/>
    <n v="10"/>
    <x v="19"/>
    <x v="2"/>
    <n v="18"/>
    <n v="31"/>
    <n v="0"/>
    <n v="558"/>
    <x v="45"/>
    <x v="8"/>
    <n v="10"/>
    <x v="3"/>
    <x v="1"/>
  </r>
  <r>
    <n v="10713"/>
    <x v="339"/>
    <n v="10"/>
    <x v="19"/>
    <x v="2"/>
    <n v="30"/>
    <n v="3123"/>
    <n v="0"/>
    <n v="93690"/>
    <x v="45"/>
    <x v="8"/>
    <n v="10"/>
    <x v="3"/>
    <x v="1"/>
  </r>
  <r>
    <n v="10713"/>
    <x v="339"/>
    <n v="10"/>
    <x v="19"/>
    <x v="2"/>
    <n v="110"/>
    <n v="95"/>
    <n v="0"/>
    <n v="10450"/>
    <x v="45"/>
    <x v="8"/>
    <n v="10"/>
    <x v="3"/>
    <x v="1"/>
  </r>
  <r>
    <n v="10713"/>
    <x v="339"/>
    <n v="10"/>
    <x v="19"/>
    <x v="2"/>
    <n v="24"/>
    <n v="12"/>
    <n v="0"/>
    <n v="288"/>
    <x v="45"/>
    <x v="8"/>
    <n v="10"/>
    <x v="3"/>
    <x v="1"/>
  </r>
  <r>
    <n v="10714"/>
    <x v="339"/>
    <n v="2"/>
    <x v="7"/>
    <x v="5"/>
    <n v="30"/>
    <n v="19"/>
    <n v="25"/>
    <n v="427.5"/>
    <x v="45"/>
    <x v="8"/>
    <n v="10"/>
    <x v="3"/>
    <x v="1"/>
  </r>
  <r>
    <n v="10714"/>
    <x v="339"/>
    <n v="2"/>
    <x v="7"/>
    <x v="5"/>
    <n v="27"/>
    <n v="39"/>
    <n v="25"/>
    <n v="789.75"/>
    <x v="45"/>
    <x v="8"/>
    <n v="10"/>
    <x v="3"/>
    <x v="1"/>
  </r>
  <r>
    <n v="10714"/>
    <x v="339"/>
    <n v="2"/>
    <x v="7"/>
    <x v="5"/>
    <n v="50"/>
    <n v="95"/>
    <n v="25"/>
    <n v="3562.5"/>
    <x v="45"/>
    <x v="8"/>
    <n v="10"/>
    <x v="3"/>
    <x v="1"/>
  </r>
  <r>
    <n v="10714"/>
    <x v="339"/>
    <n v="2"/>
    <x v="7"/>
    <x v="5"/>
    <n v="18"/>
    <n v="38"/>
    <n v="25"/>
    <n v="513"/>
    <x v="45"/>
    <x v="8"/>
    <n v="10"/>
    <x v="3"/>
    <x v="1"/>
  </r>
  <r>
    <n v="10714"/>
    <x v="339"/>
    <n v="2"/>
    <x v="7"/>
    <x v="5"/>
    <n v="12"/>
    <n v="1325"/>
    <n v="25"/>
    <n v="11925"/>
    <x v="45"/>
    <x v="8"/>
    <n v="10"/>
    <x v="3"/>
    <x v="1"/>
  </r>
  <r>
    <n v="10715"/>
    <x v="340"/>
    <n v="10"/>
    <x v="19"/>
    <x v="2"/>
    <n v="21"/>
    <n v="31"/>
    <n v="0"/>
    <n v="651"/>
    <x v="48"/>
    <x v="0"/>
    <n v="10"/>
    <x v="3"/>
    <x v="1"/>
  </r>
  <r>
    <n v="10715"/>
    <x v="340"/>
    <n v="10"/>
    <x v="19"/>
    <x v="2"/>
    <n v="30"/>
    <n v="215"/>
    <n v="0"/>
    <n v="6450"/>
    <x v="48"/>
    <x v="0"/>
    <n v="10"/>
    <x v="3"/>
    <x v="1"/>
  </r>
  <r>
    <n v="10716"/>
    <x v="341"/>
    <n v="21"/>
    <x v="10"/>
    <x v="4"/>
    <n v="5"/>
    <n v="10"/>
    <n v="0"/>
    <n v="50"/>
    <x v="73"/>
    <x v="20"/>
    <n v="10"/>
    <x v="3"/>
    <x v="1"/>
  </r>
  <r>
    <n v="10716"/>
    <x v="341"/>
    <n v="21"/>
    <x v="10"/>
    <x v="4"/>
    <n v="7"/>
    <n v="53"/>
    <n v="0"/>
    <n v="371"/>
    <x v="73"/>
    <x v="20"/>
    <n v="10"/>
    <x v="3"/>
    <x v="1"/>
  </r>
  <r>
    <n v="10716"/>
    <x v="341"/>
    <n v="21"/>
    <x v="10"/>
    <x v="4"/>
    <n v="10"/>
    <n v="285"/>
    <n v="0"/>
    <n v="2850"/>
    <x v="73"/>
    <x v="20"/>
    <n v="10"/>
    <x v="3"/>
    <x v="1"/>
  </r>
  <r>
    <n v="10717"/>
    <x v="341"/>
    <n v="21"/>
    <x v="10"/>
    <x v="4"/>
    <n v="32"/>
    <n v="10"/>
    <n v="5"/>
    <n v="304"/>
    <x v="17"/>
    <x v="1"/>
    <n v="10"/>
    <x v="3"/>
    <x v="1"/>
  </r>
  <r>
    <n v="10717"/>
    <x v="341"/>
    <n v="21"/>
    <x v="10"/>
    <x v="4"/>
    <n v="15"/>
    <n v="745"/>
    <n v="0"/>
    <n v="11175"/>
    <x v="17"/>
    <x v="1"/>
    <n v="10"/>
    <x v="3"/>
    <x v="1"/>
  </r>
  <r>
    <n v="10717"/>
    <x v="341"/>
    <n v="21"/>
    <x v="10"/>
    <x v="4"/>
    <n v="25"/>
    <n v="36"/>
    <n v="5"/>
    <n v="855"/>
    <x v="17"/>
    <x v="1"/>
    <n v="10"/>
    <x v="3"/>
    <x v="1"/>
  </r>
  <r>
    <n v="10718"/>
    <x v="342"/>
    <n v="12"/>
    <x v="14"/>
    <x v="0"/>
    <n v="36"/>
    <n v="38"/>
    <n v="0"/>
    <n v="1368"/>
    <x v="44"/>
    <x v="1"/>
    <n v="10"/>
    <x v="3"/>
    <x v="1"/>
  </r>
  <r>
    <n v="10718"/>
    <x v="342"/>
    <n v="12"/>
    <x v="14"/>
    <x v="0"/>
    <n v="20"/>
    <n v="1745"/>
    <n v="0"/>
    <n v="34900"/>
    <x v="44"/>
    <x v="1"/>
    <n v="10"/>
    <x v="3"/>
    <x v="1"/>
  </r>
  <r>
    <n v="10718"/>
    <x v="342"/>
    <n v="12"/>
    <x v="14"/>
    <x v="0"/>
    <n v="40"/>
    <n v="19"/>
    <n v="0"/>
    <n v="760"/>
    <x v="44"/>
    <x v="1"/>
    <n v="10"/>
    <x v="3"/>
    <x v="1"/>
  </r>
  <r>
    <n v="10718"/>
    <x v="342"/>
    <n v="12"/>
    <x v="14"/>
    <x v="0"/>
    <n v="20"/>
    <n v="493"/>
    <n v="0"/>
    <n v="9860"/>
    <x v="44"/>
    <x v="1"/>
    <n v="10"/>
    <x v="3"/>
    <x v="1"/>
  </r>
  <r>
    <n v="10719"/>
    <x v="342"/>
    <n v="18"/>
    <x v="31"/>
    <x v="2"/>
    <n v="12"/>
    <n v="625"/>
    <n v="25"/>
    <n v="5625"/>
    <x v="82"/>
    <x v="8"/>
    <n v="10"/>
    <x v="3"/>
    <x v="1"/>
  </r>
  <r>
    <n v="10719"/>
    <x v="342"/>
    <n v="18"/>
    <x v="31"/>
    <x v="2"/>
    <n v="3"/>
    <n v="2589"/>
    <n v="25"/>
    <n v="5825.25"/>
    <x v="82"/>
    <x v="8"/>
    <n v="10"/>
    <x v="3"/>
    <x v="1"/>
  </r>
  <r>
    <n v="10719"/>
    <x v="342"/>
    <n v="18"/>
    <x v="31"/>
    <x v="2"/>
    <n v="40"/>
    <n v="745"/>
    <n v="25"/>
    <n v="22350"/>
    <x v="82"/>
    <x v="8"/>
    <n v="10"/>
    <x v="3"/>
    <x v="1"/>
  </r>
  <r>
    <n v="10720"/>
    <x v="343"/>
    <n v="35"/>
    <x v="27"/>
    <x v="5"/>
    <n v="21"/>
    <n v="18"/>
    <n v="0"/>
    <n v="378"/>
    <x v="12"/>
    <x v="2"/>
    <n v="10"/>
    <x v="3"/>
    <x v="1"/>
  </r>
  <r>
    <n v="10720"/>
    <x v="343"/>
    <n v="35"/>
    <x v="27"/>
    <x v="5"/>
    <n v="8"/>
    <n v="215"/>
    <n v="0"/>
    <n v="1720"/>
    <x v="12"/>
    <x v="2"/>
    <n v="10"/>
    <x v="3"/>
    <x v="1"/>
  </r>
  <r>
    <n v="10721"/>
    <x v="344"/>
    <n v="44"/>
    <x v="22"/>
    <x v="7"/>
    <n v="50"/>
    <n v="1945"/>
    <n v="5"/>
    <n v="92387.5"/>
    <x v="21"/>
    <x v="1"/>
    <n v="10"/>
    <x v="3"/>
    <x v="1"/>
  </r>
  <r>
    <n v="10722"/>
    <x v="344"/>
    <n v="2"/>
    <x v="7"/>
    <x v="5"/>
    <n v="3"/>
    <n v="19"/>
    <n v="0"/>
    <n v="57"/>
    <x v="45"/>
    <x v="8"/>
    <n v="10"/>
    <x v="3"/>
    <x v="1"/>
  </r>
  <r>
    <n v="10722"/>
    <x v="344"/>
    <n v="2"/>
    <x v="7"/>
    <x v="5"/>
    <n v="50"/>
    <n v="125"/>
    <n v="0"/>
    <n v="6250"/>
    <x v="45"/>
    <x v="8"/>
    <n v="10"/>
    <x v="3"/>
    <x v="1"/>
  </r>
  <r>
    <n v="10722"/>
    <x v="344"/>
    <n v="2"/>
    <x v="7"/>
    <x v="5"/>
    <n v="45"/>
    <n v="125"/>
    <n v="0"/>
    <n v="5625"/>
    <x v="45"/>
    <x v="8"/>
    <n v="10"/>
    <x v="3"/>
    <x v="1"/>
  </r>
  <r>
    <n v="10722"/>
    <x v="344"/>
    <n v="2"/>
    <x v="7"/>
    <x v="5"/>
    <n v="42"/>
    <n v="775"/>
    <n v="0"/>
    <n v="32550"/>
    <x v="45"/>
    <x v="8"/>
    <n v="10"/>
    <x v="3"/>
    <x v="1"/>
  </r>
  <r>
    <n v="10723"/>
    <x v="345"/>
    <n v="26"/>
    <x v="45"/>
    <x v="4"/>
    <n v="15"/>
    <n v="3123"/>
    <n v="0"/>
    <n v="46845"/>
    <x v="19"/>
    <x v="8"/>
    <n v="10"/>
    <x v="3"/>
    <x v="1"/>
  </r>
  <r>
    <n v="10724"/>
    <x v="345"/>
    <n v="10"/>
    <x v="19"/>
    <x v="2"/>
    <n v="16"/>
    <n v="31"/>
    <n v="0"/>
    <n v="496"/>
    <x v="49"/>
    <x v="16"/>
    <n v="10"/>
    <x v="3"/>
    <x v="1"/>
  </r>
  <r>
    <n v="10724"/>
    <x v="345"/>
    <n v="10"/>
    <x v="19"/>
    <x v="2"/>
    <n v="5"/>
    <n v="285"/>
    <n v="0"/>
    <n v="1425"/>
    <x v="49"/>
    <x v="16"/>
    <n v="10"/>
    <x v="3"/>
    <x v="1"/>
  </r>
  <r>
    <n v="10725"/>
    <x v="346"/>
    <n v="41"/>
    <x v="2"/>
    <x v="2"/>
    <n v="12"/>
    <n v="965"/>
    <n v="0"/>
    <n v="11580"/>
    <x v="52"/>
    <x v="2"/>
    <n v="10"/>
    <x v="3"/>
    <x v="1"/>
  </r>
  <r>
    <n v="10725"/>
    <x v="346"/>
    <n v="41"/>
    <x v="2"/>
    <x v="2"/>
    <n v="4"/>
    <n v="7"/>
    <n v="0"/>
    <n v="28"/>
    <x v="52"/>
    <x v="2"/>
    <n v="10"/>
    <x v="3"/>
    <x v="1"/>
  </r>
  <r>
    <n v="10725"/>
    <x v="346"/>
    <n v="41"/>
    <x v="2"/>
    <x v="2"/>
    <n v="6"/>
    <n v="24"/>
    <n v="0"/>
    <n v="144"/>
    <x v="52"/>
    <x v="2"/>
    <n v="10"/>
    <x v="3"/>
    <x v="1"/>
  </r>
  <r>
    <n v="10726"/>
    <x v="347"/>
    <n v="4"/>
    <x v="38"/>
    <x v="7"/>
    <n v="25"/>
    <n v="22"/>
    <n v="0"/>
    <n v="550"/>
    <x v="58"/>
    <x v="13"/>
    <n v="11"/>
    <x v="4"/>
    <x v="1"/>
  </r>
  <r>
    <n v="10726"/>
    <x v="347"/>
    <n v="4"/>
    <x v="38"/>
    <x v="7"/>
    <n v="5"/>
    <n v="21"/>
    <n v="0"/>
    <n v="105"/>
    <x v="58"/>
    <x v="13"/>
    <n v="11"/>
    <x v="4"/>
    <x v="1"/>
  </r>
  <r>
    <n v="10727"/>
    <x v="347"/>
    <n v="17"/>
    <x v="13"/>
    <x v="6"/>
    <n v="20"/>
    <n v="39"/>
    <n v="5"/>
    <n v="741"/>
    <x v="30"/>
    <x v="11"/>
    <n v="11"/>
    <x v="4"/>
    <x v="1"/>
  </r>
  <r>
    <n v="10727"/>
    <x v="347"/>
    <n v="17"/>
    <x v="13"/>
    <x v="6"/>
    <n v="10"/>
    <n v="38"/>
    <n v="5"/>
    <n v="361"/>
    <x v="30"/>
    <x v="11"/>
    <n v="11"/>
    <x v="4"/>
    <x v="1"/>
  </r>
  <r>
    <n v="10727"/>
    <x v="347"/>
    <n v="17"/>
    <x v="13"/>
    <x v="6"/>
    <n v="10"/>
    <n v="55"/>
    <n v="5"/>
    <n v="522.5"/>
    <x v="30"/>
    <x v="11"/>
    <n v="11"/>
    <x v="4"/>
    <x v="1"/>
  </r>
  <r>
    <n v="10728"/>
    <x v="348"/>
    <n v="30"/>
    <x v="24"/>
    <x v="2"/>
    <n v="15"/>
    <n v="2589"/>
    <n v="0"/>
    <n v="38835"/>
    <x v="62"/>
    <x v="2"/>
    <n v="11"/>
    <x v="4"/>
    <x v="1"/>
  </r>
  <r>
    <n v="10728"/>
    <x v="348"/>
    <n v="30"/>
    <x v="24"/>
    <x v="2"/>
    <n v="6"/>
    <n v="184"/>
    <n v="0"/>
    <n v="1104"/>
    <x v="62"/>
    <x v="2"/>
    <n v="11"/>
    <x v="4"/>
    <x v="1"/>
  </r>
  <r>
    <n v="10728"/>
    <x v="348"/>
    <n v="30"/>
    <x v="24"/>
    <x v="2"/>
    <n v="12"/>
    <n v="24"/>
    <n v="0"/>
    <n v="288"/>
    <x v="62"/>
    <x v="2"/>
    <n v="11"/>
    <x v="4"/>
    <x v="1"/>
  </r>
  <r>
    <n v="10728"/>
    <x v="348"/>
    <n v="30"/>
    <x v="24"/>
    <x v="2"/>
    <n v="15"/>
    <n v="34"/>
    <n v="0"/>
    <n v="510"/>
    <x v="62"/>
    <x v="2"/>
    <n v="11"/>
    <x v="4"/>
    <x v="1"/>
  </r>
  <r>
    <n v="10729"/>
    <x v="348"/>
    <n v="1"/>
    <x v="26"/>
    <x v="5"/>
    <n v="50"/>
    <n v="18"/>
    <n v="0"/>
    <n v="900"/>
    <x v="67"/>
    <x v="5"/>
    <n v="11"/>
    <x v="4"/>
    <x v="1"/>
  </r>
  <r>
    <n v="10729"/>
    <x v="348"/>
    <n v="1"/>
    <x v="26"/>
    <x v="5"/>
    <n v="30"/>
    <n v="10"/>
    <n v="0"/>
    <n v="300"/>
    <x v="67"/>
    <x v="5"/>
    <n v="11"/>
    <x v="4"/>
    <x v="1"/>
  </r>
  <r>
    <n v="10729"/>
    <x v="348"/>
    <n v="1"/>
    <x v="26"/>
    <x v="5"/>
    <n v="40"/>
    <n v="1625"/>
    <n v="0"/>
    <n v="65000"/>
    <x v="67"/>
    <x v="5"/>
    <n v="11"/>
    <x v="4"/>
    <x v="1"/>
  </r>
  <r>
    <n v="10730"/>
    <x v="349"/>
    <n v="16"/>
    <x v="12"/>
    <x v="4"/>
    <n v="15"/>
    <n v="1745"/>
    <n v="5"/>
    <n v="24866.25"/>
    <x v="48"/>
    <x v="0"/>
    <n v="11"/>
    <x v="4"/>
    <x v="1"/>
  </r>
  <r>
    <n v="10730"/>
    <x v="349"/>
    <n v="16"/>
    <x v="12"/>
    <x v="4"/>
    <n v="3"/>
    <n v="125"/>
    <n v="5"/>
    <n v="356.25"/>
    <x v="48"/>
    <x v="0"/>
    <n v="11"/>
    <x v="4"/>
    <x v="1"/>
  </r>
  <r>
    <n v="10730"/>
    <x v="349"/>
    <n v="16"/>
    <x v="12"/>
    <x v="4"/>
    <n v="10"/>
    <n v="2105"/>
    <n v="5"/>
    <n v="19997.5"/>
    <x v="48"/>
    <x v="0"/>
    <n v="11"/>
    <x v="4"/>
    <x v="1"/>
  </r>
  <r>
    <n v="10731"/>
    <x v="350"/>
    <n v="21"/>
    <x v="10"/>
    <x v="4"/>
    <n v="40"/>
    <n v="10"/>
    <n v="5"/>
    <n v="380"/>
    <x v="5"/>
    <x v="4"/>
    <n v="11"/>
    <x v="4"/>
    <x v="1"/>
  </r>
  <r>
    <n v="10731"/>
    <x v="350"/>
    <n v="21"/>
    <x v="10"/>
    <x v="4"/>
    <n v="30"/>
    <n v="53"/>
    <n v="5"/>
    <n v="1510.5"/>
    <x v="5"/>
    <x v="4"/>
    <n v="11"/>
    <x v="4"/>
    <x v="1"/>
  </r>
  <r>
    <n v="10732"/>
    <x v="350"/>
    <n v="76"/>
    <x v="73"/>
    <x v="5"/>
    <n v="20"/>
    <n v="18"/>
    <n v="0"/>
    <n v="360"/>
    <x v="48"/>
    <x v="0"/>
    <n v="11"/>
    <x v="4"/>
    <x v="1"/>
  </r>
  <r>
    <n v="10733"/>
    <x v="351"/>
    <n v="14"/>
    <x v="1"/>
    <x v="1"/>
    <n v="16"/>
    <n v="2325"/>
    <n v="0"/>
    <n v="37200"/>
    <x v="25"/>
    <x v="9"/>
    <n v="11"/>
    <x v="4"/>
    <x v="1"/>
  </r>
  <r>
    <n v="10733"/>
    <x v="351"/>
    <n v="14"/>
    <x v="1"/>
    <x v="1"/>
    <n v="20"/>
    <n v="456"/>
    <n v="0"/>
    <n v="9120"/>
    <x v="25"/>
    <x v="9"/>
    <n v="11"/>
    <x v="4"/>
    <x v="1"/>
  </r>
  <r>
    <n v="10733"/>
    <x v="351"/>
    <n v="14"/>
    <x v="1"/>
    <x v="1"/>
    <n v="25"/>
    <n v="7"/>
    <n v="0"/>
    <n v="175"/>
    <x v="25"/>
    <x v="9"/>
    <n v="11"/>
    <x v="4"/>
    <x v="1"/>
  </r>
  <r>
    <n v="10734"/>
    <x v="351"/>
    <n v="6"/>
    <x v="43"/>
    <x v="7"/>
    <n v="30"/>
    <n v="25"/>
    <n v="0"/>
    <n v="750"/>
    <x v="71"/>
    <x v="2"/>
    <n v="11"/>
    <x v="4"/>
    <x v="1"/>
  </r>
  <r>
    <n v="10734"/>
    <x v="351"/>
    <n v="6"/>
    <x v="43"/>
    <x v="7"/>
    <n v="15"/>
    <n v="2589"/>
    <n v="0"/>
    <n v="38835"/>
    <x v="71"/>
    <x v="2"/>
    <n v="11"/>
    <x v="4"/>
    <x v="1"/>
  </r>
  <r>
    <n v="10734"/>
    <x v="351"/>
    <n v="6"/>
    <x v="43"/>
    <x v="7"/>
    <n v="20"/>
    <n v="18"/>
    <n v="0"/>
    <n v="360"/>
    <x v="71"/>
    <x v="2"/>
    <n v="11"/>
    <x v="4"/>
    <x v="1"/>
  </r>
  <r>
    <n v="10735"/>
    <x v="352"/>
    <n v="61"/>
    <x v="74"/>
    <x v="7"/>
    <n v="20"/>
    <n v="285"/>
    <n v="1"/>
    <n v="5643"/>
    <x v="82"/>
    <x v="8"/>
    <n v="11"/>
    <x v="4"/>
    <x v="1"/>
  </r>
  <r>
    <n v="10735"/>
    <x v="352"/>
    <n v="61"/>
    <x v="74"/>
    <x v="7"/>
    <n v="2"/>
    <n v="13"/>
    <n v="1"/>
    <n v="25.74"/>
    <x v="82"/>
    <x v="8"/>
    <n v="11"/>
    <x v="4"/>
    <x v="1"/>
  </r>
  <r>
    <n v="10736"/>
    <x v="353"/>
    <n v="65"/>
    <x v="52"/>
    <x v="7"/>
    <n v="40"/>
    <n v="2105"/>
    <n v="0"/>
    <n v="84200"/>
    <x v="34"/>
    <x v="14"/>
    <n v="11"/>
    <x v="4"/>
    <x v="1"/>
  </r>
  <r>
    <n v="10736"/>
    <x v="353"/>
    <n v="65"/>
    <x v="52"/>
    <x v="7"/>
    <n v="20"/>
    <n v="775"/>
    <n v="0"/>
    <n v="15500"/>
    <x v="34"/>
    <x v="14"/>
    <n v="11"/>
    <x v="4"/>
    <x v="1"/>
  </r>
  <r>
    <n v="10737"/>
    <x v="353"/>
    <n v="13"/>
    <x v="30"/>
    <x v="2"/>
    <n v="4"/>
    <n v="6"/>
    <n v="0"/>
    <n v="24"/>
    <x v="0"/>
    <x v="0"/>
    <n v="11"/>
    <x v="4"/>
    <x v="1"/>
  </r>
  <r>
    <n v="10737"/>
    <x v="353"/>
    <n v="13"/>
    <x v="30"/>
    <x v="2"/>
    <n v="12"/>
    <n v="965"/>
    <n v="0"/>
    <n v="11580"/>
    <x v="0"/>
    <x v="0"/>
    <n v="11"/>
    <x v="4"/>
    <x v="1"/>
  </r>
  <r>
    <n v="10738"/>
    <x v="354"/>
    <n v="16"/>
    <x v="12"/>
    <x v="4"/>
    <n v="3"/>
    <n v="1745"/>
    <n v="0"/>
    <n v="5235"/>
    <x v="87"/>
    <x v="0"/>
    <n v="11"/>
    <x v="4"/>
    <x v="1"/>
  </r>
  <r>
    <n v="10739"/>
    <x v="354"/>
    <n v="36"/>
    <x v="18"/>
    <x v="2"/>
    <n v="6"/>
    <n v="19"/>
    <n v="0"/>
    <n v="114"/>
    <x v="0"/>
    <x v="0"/>
    <n v="11"/>
    <x v="4"/>
    <x v="1"/>
  </r>
  <r>
    <n v="10739"/>
    <x v="354"/>
    <n v="36"/>
    <x v="18"/>
    <x v="2"/>
    <n v="18"/>
    <n v="7"/>
    <n v="0"/>
    <n v="126"/>
    <x v="0"/>
    <x v="0"/>
    <n v="11"/>
    <x v="4"/>
    <x v="1"/>
  </r>
  <r>
    <n v="10740"/>
    <x v="355"/>
    <n v="28"/>
    <x v="21"/>
    <x v="1"/>
    <n v="5"/>
    <n v="456"/>
    <n v="2"/>
    <n v="2234.4"/>
    <x v="19"/>
    <x v="8"/>
    <n v="11"/>
    <x v="4"/>
    <x v="1"/>
  </r>
  <r>
    <n v="10740"/>
    <x v="355"/>
    <n v="28"/>
    <x v="21"/>
    <x v="1"/>
    <n v="35"/>
    <n v="18"/>
    <n v="2"/>
    <n v="617.4"/>
    <x v="19"/>
    <x v="8"/>
    <n v="11"/>
    <x v="4"/>
    <x v="1"/>
  </r>
  <r>
    <n v="10740"/>
    <x v="355"/>
    <n v="28"/>
    <x v="21"/>
    <x v="1"/>
    <n v="40"/>
    <n v="95"/>
    <n v="2"/>
    <n v="3724"/>
    <x v="19"/>
    <x v="8"/>
    <n v="11"/>
    <x v="4"/>
    <x v="1"/>
  </r>
  <r>
    <n v="10740"/>
    <x v="355"/>
    <n v="28"/>
    <x v="21"/>
    <x v="1"/>
    <n v="14"/>
    <n v="38"/>
    <n v="2"/>
    <n v="521.36"/>
    <x v="19"/>
    <x v="8"/>
    <n v="11"/>
    <x v="4"/>
    <x v="1"/>
  </r>
  <r>
    <n v="10741"/>
    <x v="356"/>
    <n v="2"/>
    <x v="7"/>
    <x v="5"/>
    <n v="15"/>
    <n v="19"/>
    <n v="2"/>
    <n v="279.3"/>
    <x v="55"/>
    <x v="13"/>
    <n v="11"/>
    <x v="4"/>
    <x v="1"/>
  </r>
  <r>
    <n v="10742"/>
    <x v="356"/>
    <n v="3"/>
    <x v="29"/>
    <x v="7"/>
    <n v="20"/>
    <n v="10"/>
    <n v="0"/>
    <n v="200"/>
    <x v="66"/>
    <x v="16"/>
    <n v="11"/>
    <x v="4"/>
    <x v="1"/>
  </r>
  <r>
    <n v="10742"/>
    <x v="356"/>
    <n v="3"/>
    <x v="29"/>
    <x v="7"/>
    <n v="50"/>
    <n v="34"/>
    <n v="0"/>
    <n v="1700"/>
    <x v="66"/>
    <x v="16"/>
    <n v="11"/>
    <x v="4"/>
    <x v="1"/>
  </r>
  <r>
    <n v="10742"/>
    <x v="356"/>
    <n v="3"/>
    <x v="29"/>
    <x v="7"/>
    <n v="35"/>
    <n v="348"/>
    <n v="0"/>
    <n v="12180"/>
    <x v="66"/>
    <x v="16"/>
    <n v="11"/>
    <x v="4"/>
    <x v="1"/>
  </r>
  <r>
    <n v="10743"/>
    <x v="357"/>
    <n v="46"/>
    <x v="57"/>
    <x v="2"/>
    <n v="28"/>
    <n v="12"/>
    <n v="5"/>
    <n v="319.2"/>
    <x v="55"/>
    <x v="13"/>
    <n v="11"/>
    <x v="4"/>
    <x v="1"/>
  </r>
  <r>
    <n v="10744"/>
    <x v="357"/>
    <n v="40"/>
    <x v="15"/>
    <x v="2"/>
    <n v="50"/>
    <n v="184"/>
    <n v="2"/>
    <n v="9016"/>
    <x v="61"/>
    <x v="17"/>
    <n v="11"/>
    <x v="4"/>
    <x v="1"/>
  </r>
  <r>
    <n v="10745"/>
    <x v="358"/>
    <n v="18"/>
    <x v="31"/>
    <x v="2"/>
    <n v="24"/>
    <n v="625"/>
    <n v="0"/>
    <n v="15000"/>
    <x v="21"/>
    <x v="1"/>
    <n v="11"/>
    <x v="4"/>
    <x v="1"/>
  </r>
  <r>
    <n v="10745"/>
    <x v="358"/>
    <n v="18"/>
    <x v="31"/>
    <x v="2"/>
    <n v="16"/>
    <n v="1945"/>
    <n v="0"/>
    <n v="31120"/>
    <x v="21"/>
    <x v="1"/>
    <n v="11"/>
    <x v="4"/>
    <x v="1"/>
  </r>
  <r>
    <n v="10745"/>
    <x v="358"/>
    <n v="18"/>
    <x v="31"/>
    <x v="2"/>
    <n v="45"/>
    <n v="55"/>
    <n v="0"/>
    <n v="2475"/>
    <x v="21"/>
    <x v="1"/>
    <n v="11"/>
    <x v="4"/>
    <x v="1"/>
  </r>
  <r>
    <n v="10745"/>
    <x v="358"/>
    <n v="18"/>
    <x v="31"/>
    <x v="2"/>
    <n v="7"/>
    <n v="348"/>
    <n v="0"/>
    <n v="2436"/>
    <x v="21"/>
    <x v="1"/>
    <n v="11"/>
    <x v="4"/>
    <x v="1"/>
  </r>
  <r>
    <n v="10746"/>
    <x v="359"/>
    <n v="13"/>
    <x v="30"/>
    <x v="2"/>
    <n v="6"/>
    <n v="6"/>
    <n v="0"/>
    <n v="36"/>
    <x v="5"/>
    <x v="4"/>
    <n v="11"/>
    <x v="4"/>
    <x v="1"/>
  </r>
  <r>
    <n v="10746"/>
    <x v="359"/>
    <n v="13"/>
    <x v="30"/>
    <x v="2"/>
    <n v="28"/>
    <n v="14"/>
    <n v="0"/>
    <n v="392"/>
    <x v="5"/>
    <x v="4"/>
    <n v="11"/>
    <x v="4"/>
    <x v="1"/>
  </r>
  <r>
    <n v="10746"/>
    <x v="359"/>
    <n v="13"/>
    <x v="30"/>
    <x v="2"/>
    <n v="9"/>
    <n v="493"/>
    <n v="0"/>
    <n v="4437"/>
    <x v="5"/>
    <x v="4"/>
    <n v="11"/>
    <x v="4"/>
    <x v="1"/>
  </r>
  <r>
    <n v="10746"/>
    <x v="359"/>
    <n v="13"/>
    <x v="30"/>
    <x v="2"/>
    <n v="40"/>
    <n v="36"/>
    <n v="0"/>
    <n v="1440"/>
    <x v="5"/>
    <x v="4"/>
    <n v="11"/>
    <x v="4"/>
    <x v="1"/>
  </r>
  <r>
    <n v="10747"/>
    <x v="359"/>
    <n v="31"/>
    <x v="5"/>
    <x v="0"/>
    <n v="8"/>
    <n v="125"/>
    <n v="0"/>
    <n v="1000"/>
    <x v="54"/>
    <x v="6"/>
    <n v="11"/>
    <x v="4"/>
    <x v="1"/>
  </r>
  <r>
    <n v="10747"/>
    <x v="359"/>
    <n v="31"/>
    <x v="5"/>
    <x v="0"/>
    <n v="35"/>
    <n v="965"/>
    <n v="0"/>
    <n v="33775"/>
    <x v="54"/>
    <x v="6"/>
    <n v="11"/>
    <x v="4"/>
    <x v="1"/>
  </r>
  <r>
    <n v="10747"/>
    <x v="359"/>
    <n v="31"/>
    <x v="5"/>
    <x v="0"/>
    <n v="9"/>
    <n v="439"/>
    <n v="0"/>
    <n v="3951"/>
    <x v="54"/>
    <x v="6"/>
    <n v="11"/>
    <x v="4"/>
    <x v="1"/>
  </r>
  <r>
    <n v="10747"/>
    <x v="359"/>
    <n v="31"/>
    <x v="5"/>
    <x v="0"/>
    <n v="30"/>
    <n v="36"/>
    <n v="0"/>
    <n v="1080"/>
    <x v="54"/>
    <x v="6"/>
    <n v="11"/>
    <x v="4"/>
    <x v="1"/>
  </r>
  <r>
    <n v="10748"/>
    <x v="360"/>
    <n v="23"/>
    <x v="46"/>
    <x v="3"/>
    <n v="44"/>
    <n v="9"/>
    <n v="0"/>
    <n v="396"/>
    <x v="45"/>
    <x v="8"/>
    <n v="11"/>
    <x v="4"/>
    <x v="1"/>
  </r>
  <r>
    <n v="10748"/>
    <x v="360"/>
    <n v="23"/>
    <x v="46"/>
    <x v="3"/>
    <n v="40"/>
    <n v="184"/>
    <n v="0"/>
    <n v="7360"/>
    <x v="45"/>
    <x v="8"/>
    <n v="11"/>
    <x v="4"/>
    <x v="1"/>
  </r>
  <r>
    <n v="10748"/>
    <x v="360"/>
    <n v="23"/>
    <x v="46"/>
    <x v="3"/>
    <n v="28"/>
    <n v="38"/>
    <n v="0"/>
    <n v="1064"/>
    <x v="45"/>
    <x v="8"/>
    <n v="11"/>
    <x v="4"/>
    <x v="1"/>
  </r>
  <r>
    <n v="10749"/>
    <x v="360"/>
    <n v="56"/>
    <x v="32"/>
    <x v="3"/>
    <n v="15"/>
    <n v="38"/>
    <n v="0"/>
    <n v="570"/>
    <x v="42"/>
    <x v="13"/>
    <n v="11"/>
    <x v="4"/>
    <x v="1"/>
  </r>
  <r>
    <n v="10749"/>
    <x v="360"/>
    <n v="56"/>
    <x v="32"/>
    <x v="3"/>
    <n v="6"/>
    <n v="55"/>
    <n v="0"/>
    <n v="330"/>
    <x v="42"/>
    <x v="13"/>
    <n v="11"/>
    <x v="4"/>
    <x v="1"/>
  </r>
  <r>
    <n v="10749"/>
    <x v="360"/>
    <n v="56"/>
    <x v="32"/>
    <x v="3"/>
    <n v="10"/>
    <n v="18"/>
    <n v="0"/>
    <n v="180"/>
    <x v="42"/>
    <x v="13"/>
    <n v="11"/>
    <x v="4"/>
    <x v="1"/>
  </r>
  <r>
    <n v="10750"/>
    <x v="361"/>
    <n v="14"/>
    <x v="1"/>
    <x v="1"/>
    <n v="5"/>
    <n v="2325"/>
    <n v="15"/>
    <n v="9881.25"/>
    <x v="16"/>
    <x v="10"/>
    <n v="11"/>
    <x v="4"/>
    <x v="1"/>
  </r>
  <r>
    <n v="10750"/>
    <x v="361"/>
    <n v="14"/>
    <x v="1"/>
    <x v="1"/>
    <n v="40"/>
    <n v="95"/>
    <n v="15"/>
    <n v="3230"/>
    <x v="16"/>
    <x v="10"/>
    <n v="11"/>
    <x v="4"/>
    <x v="1"/>
  </r>
  <r>
    <n v="10750"/>
    <x v="361"/>
    <n v="14"/>
    <x v="1"/>
    <x v="1"/>
    <n v="25"/>
    <n v="55"/>
    <n v="15"/>
    <n v="1168.75"/>
    <x v="16"/>
    <x v="10"/>
    <n v="11"/>
    <x v="4"/>
    <x v="1"/>
  </r>
  <r>
    <n v="10751"/>
    <x v="362"/>
    <n v="26"/>
    <x v="45"/>
    <x v="4"/>
    <n v="12"/>
    <n v="3123"/>
    <n v="1"/>
    <n v="37101.24"/>
    <x v="6"/>
    <x v="4"/>
    <n v="11"/>
    <x v="4"/>
    <x v="1"/>
  </r>
  <r>
    <n v="10751"/>
    <x v="362"/>
    <n v="26"/>
    <x v="45"/>
    <x v="4"/>
    <n v="30"/>
    <n v="2589"/>
    <n v="0"/>
    <n v="77670"/>
    <x v="6"/>
    <x v="4"/>
    <n v="11"/>
    <x v="4"/>
    <x v="1"/>
  </r>
  <r>
    <n v="10751"/>
    <x v="362"/>
    <n v="26"/>
    <x v="45"/>
    <x v="4"/>
    <n v="20"/>
    <n v="1625"/>
    <n v="1"/>
    <n v="32175"/>
    <x v="6"/>
    <x v="4"/>
    <n v="11"/>
    <x v="4"/>
    <x v="1"/>
  </r>
  <r>
    <n v="10751"/>
    <x v="362"/>
    <n v="26"/>
    <x v="45"/>
    <x v="4"/>
    <n v="15"/>
    <n v="15"/>
    <n v="0"/>
    <n v="225"/>
    <x v="6"/>
    <x v="4"/>
    <n v="11"/>
    <x v="4"/>
    <x v="1"/>
  </r>
  <r>
    <n v="10752"/>
    <x v="362"/>
    <n v="1"/>
    <x v="26"/>
    <x v="5"/>
    <n v="8"/>
    <n v="18"/>
    <n v="0"/>
    <n v="144"/>
    <x v="77"/>
    <x v="13"/>
    <n v="11"/>
    <x v="4"/>
    <x v="1"/>
  </r>
  <r>
    <n v="10752"/>
    <x v="362"/>
    <n v="1"/>
    <x v="26"/>
    <x v="5"/>
    <n v="3"/>
    <n v="36"/>
    <n v="0"/>
    <n v="108"/>
    <x v="77"/>
    <x v="13"/>
    <n v="11"/>
    <x v="4"/>
    <x v="1"/>
  </r>
  <r>
    <n v="10753"/>
    <x v="363"/>
    <n v="45"/>
    <x v="56"/>
    <x v="2"/>
    <n v="4"/>
    <n v="95"/>
    <n v="0"/>
    <n v="380"/>
    <x v="70"/>
    <x v="11"/>
    <n v="11"/>
    <x v="4"/>
    <x v="1"/>
  </r>
  <r>
    <n v="10753"/>
    <x v="363"/>
    <n v="45"/>
    <x v="56"/>
    <x v="2"/>
    <n v="5"/>
    <n v="10"/>
    <n v="0"/>
    <n v="50"/>
    <x v="70"/>
    <x v="11"/>
    <n v="11"/>
    <x v="4"/>
    <x v="1"/>
  </r>
  <r>
    <n v="10754"/>
    <x v="363"/>
    <n v="40"/>
    <x v="15"/>
    <x v="2"/>
    <n v="3"/>
    <n v="184"/>
    <n v="0"/>
    <n v="552"/>
    <x v="22"/>
    <x v="11"/>
    <n v="11"/>
    <x v="4"/>
    <x v="1"/>
  </r>
  <r>
    <n v="10755"/>
    <x v="364"/>
    <n v="47"/>
    <x v="64"/>
    <x v="4"/>
    <n v="30"/>
    <n v="95"/>
    <n v="25"/>
    <n v="2137.5"/>
    <x v="48"/>
    <x v="0"/>
    <n v="11"/>
    <x v="4"/>
    <x v="1"/>
  </r>
  <r>
    <n v="10755"/>
    <x v="364"/>
    <n v="47"/>
    <x v="64"/>
    <x v="4"/>
    <n v="30"/>
    <n v="38"/>
    <n v="25"/>
    <n v="855"/>
    <x v="48"/>
    <x v="0"/>
    <n v="11"/>
    <x v="4"/>
    <x v="1"/>
  </r>
  <r>
    <n v="10755"/>
    <x v="364"/>
    <n v="47"/>
    <x v="64"/>
    <x v="4"/>
    <n v="14"/>
    <n v="195"/>
    <n v="25"/>
    <n v="2047.5"/>
    <x v="48"/>
    <x v="0"/>
    <n v="11"/>
    <x v="4"/>
    <x v="1"/>
  </r>
  <r>
    <n v="10755"/>
    <x v="364"/>
    <n v="47"/>
    <x v="64"/>
    <x v="4"/>
    <n v="25"/>
    <n v="36"/>
    <n v="25"/>
    <n v="675"/>
    <x v="48"/>
    <x v="0"/>
    <n v="11"/>
    <x v="4"/>
    <x v="1"/>
  </r>
  <r>
    <n v="10756"/>
    <x v="365"/>
    <n v="18"/>
    <x v="31"/>
    <x v="2"/>
    <n v="21"/>
    <n v="625"/>
    <n v="2"/>
    <n v="12862.5"/>
    <x v="20"/>
    <x v="8"/>
    <n v="11"/>
    <x v="4"/>
    <x v="1"/>
  </r>
  <r>
    <n v="10756"/>
    <x v="365"/>
    <n v="18"/>
    <x v="31"/>
    <x v="2"/>
    <n v="20"/>
    <n v="19"/>
    <n v="2"/>
    <n v="372.4"/>
    <x v="20"/>
    <x v="8"/>
    <n v="11"/>
    <x v="4"/>
    <x v="1"/>
  </r>
  <r>
    <n v="10756"/>
    <x v="365"/>
    <n v="18"/>
    <x v="31"/>
    <x v="2"/>
    <n v="6"/>
    <n v="125"/>
    <n v="2"/>
    <n v="735"/>
    <x v="20"/>
    <x v="8"/>
    <n v="11"/>
    <x v="4"/>
    <x v="1"/>
  </r>
  <r>
    <n v="10756"/>
    <x v="365"/>
    <n v="18"/>
    <x v="31"/>
    <x v="2"/>
    <n v="20"/>
    <n v="36"/>
    <n v="2"/>
    <n v="705.6"/>
    <x v="20"/>
    <x v="8"/>
    <n v="11"/>
    <x v="4"/>
    <x v="1"/>
  </r>
  <r>
    <n v="10757"/>
    <x v="365"/>
    <n v="34"/>
    <x v="41"/>
    <x v="5"/>
    <n v="30"/>
    <n v="14"/>
    <n v="0"/>
    <n v="420"/>
    <x v="45"/>
    <x v="8"/>
    <n v="11"/>
    <x v="4"/>
    <x v="1"/>
  </r>
  <r>
    <n v="10757"/>
    <x v="365"/>
    <n v="34"/>
    <x v="41"/>
    <x v="5"/>
    <n v="7"/>
    <n v="55"/>
    <n v="0"/>
    <n v="385"/>
    <x v="45"/>
    <x v="8"/>
    <n v="11"/>
    <x v="4"/>
    <x v="1"/>
  </r>
  <r>
    <n v="10757"/>
    <x v="365"/>
    <n v="34"/>
    <x v="41"/>
    <x v="5"/>
    <n v="30"/>
    <n v="493"/>
    <n v="0"/>
    <n v="14790"/>
    <x v="45"/>
    <x v="8"/>
    <n v="11"/>
    <x v="4"/>
    <x v="1"/>
  </r>
  <r>
    <n v="10757"/>
    <x v="365"/>
    <n v="34"/>
    <x v="41"/>
    <x v="5"/>
    <n v="24"/>
    <n v="3325"/>
    <n v="0"/>
    <n v="79800"/>
    <x v="45"/>
    <x v="8"/>
    <n v="11"/>
    <x v="4"/>
    <x v="1"/>
  </r>
  <r>
    <n v="10758"/>
    <x v="366"/>
    <n v="26"/>
    <x v="45"/>
    <x v="4"/>
    <n v="20"/>
    <n v="3123"/>
    <n v="0"/>
    <n v="62460"/>
    <x v="6"/>
    <x v="4"/>
    <n v="11"/>
    <x v="4"/>
    <x v="1"/>
  </r>
  <r>
    <n v="10758"/>
    <x v="366"/>
    <n v="26"/>
    <x v="45"/>
    <x v="4"/>
    <n v="60"/>
    <n v="7"/>
    <n v="0"/>
    <n v="420"/>
    <x v="6"/>
    <x v="4"/>
    <n v="11"/>
    <x v="4"/>
    <x v="1"/>
  </r>
  <r>
    <n v="10758"/>
    <x v="366"/>
    <n v="26"/>
    <x v="45"/>
    <x v="4"/>
    <n v="40"/>
    <n v="15"/>
    <n v="0"/>
    <n v="600"/>
    <x v="6"/>
    <x v="4"/>
    <n v="11"/>
    <x v="4"/>
    <x v="1"/>
  </r>
  <r>
    <n v="10759"/>
    <x v="366"/>
    <n v="32"/>
    <x v="40"/>
    <x v="0"/>
    <n v="10"/>
    <n v="32"/>
    <n v="0"/>
    <n v="320"/>
    <x v="39"/>
    <x v="7"/>
    <n v="11"/>
    <x v="4"/>
    <x v="1"/>
  </r>
  <r>
    <n v="10760"/>
    <x v="367"/>
    <n v="25"/>
    <x v="49"/>
    <x v="4"/>
    <n v="12"/>
    <n v="14"/>
    <n v="25"/>
    <n v="126"/>
    <x v="80"/>
    <x v="3"/>
    <n v="12"/>
    <x v="5"/>
    <x v="1"/>
  </r>
  <r>
    <n v="10760"/>
    <x v="367"/>
    <n v="25"/>
    <x v="49"/>
    <x v="4"/>
    <n v="40"/>
    <n v="439"/>
    <n v="0"/>
    <n v="17560"/>
    <x v="80"/>
    <x v="3"/>
    <n v="12"/>
    <x v="5"/>
    <x v="1"/>
  </r>
  <r>
    <n v="10760"/>
    <x v="367"/>
    <n v="25"/>
    <x v="49"/>
    <x v="4"/>
    <n v="30"/>
    <n v="46"/>
    <n v="25"/>
    <n v="1035"/>
    <x v="80"/>
    <x v="3"/>
    <n v="12"/>
    <x v="5"/>
    <x v="1"/>
  </r>
  <r>
    <n v="10761"/>
    <x v="368"/>
    <n v="25"/>
    <x v="49"/>
    <x v="4"/>
    <n v="35"/>
    <n v="14"/>
    <n v="25"/>
    <n v="367.5"/>
    <x v="13"/>
    <x v="8"/>
    <n v="12"/>
    <x v="5"/>
    <x v="1"/>
  </r>
  <r>
    <n v="10761"/>
    <x v="368"/>
    <n v="25"/>
    <x v="49"/>
    <x v="4"/>
    <n v="18"/>
    <n v="775"/>
    <n v="0"/>
    <n v="13950"/>
    <x v="13"/>
    <x v="8"/>
    <n v="12"/>
    <x v="5"/>
    <x v="1"/>
  </r>
  <r>
    <n v="10762"/>
    <x v="368"/>
    <n v="39"/>
    <x v="33"/>
    <x v="5"/>
    <n v="16"/>
    <n v="18"/>
    <n v="0"/>
    <n v="288"/>
    <x v="14"/>
    <x v="9"/>
    <n v="12"/>
    <x v="5"/>
    <x v="1"/>
  </r>
  <r>
    <n v="10762"/>
    <x v="368"/>
    <n v="39"/>
    <x v="33"/>
    <x v="5"/>
    <n v="30"/>
    <n v="95"/>
    <n v="0"/>
    <n v="2850"/>
    <x v="14"/>
    <x v="9"/>
    <n v="12"/>
    <x v="5"/>
    <x v="1"/>
  </r>
  <r>
    <n v="10762"/>
    <x v="368"/>
    <n v="39"/>
    <x v="33"/>
    <x v="5"/>
    <n v="28"/>
    <n v="53"/>
    <n v="0"/>
    <n v="1484"/>
    <x v="14"/>
    <x v="9"/>
    <n v="12"/>
    <x v="5"/>
    <x v="1"/>
  </r>
  <r>
    <n v="10762"/>
    <x v="368"/>
    <n v="39"/>
    <x v="33"/>
    <x v="5"/>
    <n v="60"/>
    <n v="38"/>
    <n v="0"/>
    <n v="2280"/>
    <x v="14"/>
    <x v="9"/>
    <n v="12"/>
    <x v="5"/>
    <x v="1"/>
  </r>
  <r>
    <n v="10763"/>
    <x v="369"/>
    <n v="21"/>
    <x v="10"/>
    <x v="4"/>
    <n v="40"/>
    <n v="10"/>
    <n v="0"/>
    <n v="400"/>
    <x v="68"/>
    <x v="0"/>
    <n v="12"/>
    <x v="5"/>
    <x v="1"/>
  </r>
  <r>
    <n v="10763"/>
    <x v="369"/>
    <n v="21"/>
    <x v="10"/>
    <x v="4"/>
    <n v="6"/>
    <n v="21"/>
    <n v="0"/>
    <n v="126"/>
    <x v="68"/>
    <x v="0"/>
    <n v="12"/>
    <x v="5"/>
    <x v="1"/>
  </r>
  <r>
    <n v="10763"/>
    <x v="369"/>
    <n v="21"/>
    <x v="10"/>
    <x v="4"/>
    <n v="20"/>
    <n v="45"/>
    <n v="0"/>
    <n v="900"/>
    <x v="68"/>
    <x v="0"/>
    <n v="12"/>
    <x v="5"/>
    <x v="1"/>
  </r>
  <r>
    <n v="10764"/>
    <x v="369"/>
    <n v="3"/>
    <x v="29"/>
    <x v="7"/>
    <n v="20"/>
    <n v="10"/>
    <n v="1"/>
    <n v="198"/>
    <x v="9"/>
    <x v="6"/>
    <n v="12"/>
    <x v="5"/>
    <x v="1"/>
  </r>
  <r>
    <n v="10764"/>
    <x v="369"/>
    <n v="3"/>
    <x v="29"/>
    <x v="7"/>
    <n v="130"/>
    <n v="18"/>
    <n v="1"/>
    <n v="2316.6"/>
    <x v="9"/>
    <x v="6"/>
    <n v="12"/>
    <x v="5"/>
    <x v="1"/>
  </r>
  <r>
    <n v="10765"/>
    <x v="370"/>
    <n v="65"/>
    <x v="52"/>
    <x v="7"/>
    <n v="80"/>
    <n v="2105"/>
    <n v="1"/>
    <n v="166716"/>
    <x v="21"/>
    <x v="1"/>
    <n v="12"/>
    <x v="5"/>
    <x v="1"/>
  </r>
  <r>
    <n v="10766"/>
    <x v="371"/>
    <n v="2"/>
    <x v="7"/>
    <x v="5"/>
    <n v="40"/>
    <n v="19"/>
    <n v="0"/>
    <n v="760"/>
    <x v="11"/>
    <x v="1"/>
    <n v="12"/>
    <x v="5"/>
    <x v="1"/>
  </r>
  <r>
    <n v="10766"/>
    <x v="371"/>
    <n v="2"/>
    <x v="7"/>
    <x v="5"/>
    <n v="35"/>
    <n v="30"/>
    <n v="0"/>
    <n v="1050"/>
    <x v="11"/>
    <x v="1"/>
    <n v="12"/>
    <x v="5"/>
    <x v="1"/>
  </r>
  <r>
    <n v="10766"/>
    <x v="371"/>
    <n v="2"/>
    <x v="7"/>
    <x v="5"/>
    <n v="40"/>
    <n v="125"/>
    <n v="0"/>
    <n v="5000"/>
    <x v="11"/>
    <x v="1"/>
    <n v="12"/>
    <x v="5"/>
    <x v="1"/>
  </r>
  <r>
    <n v="10767"/>
    <x v="371"/>
    <n v="42"/>
    <x v="39"/>
    <x v="3"/>
    <n v="2"/>
    <n v="14"/>
    <n v="0"/>
    <n v="28"/>
    <x v="4"/>
    <x v="3"/>
    <n v="12"/>
    <x v="5"/>
    <x v="1"/>
  </r>
  <r>
    <n v="10768"/>
    <x v="372"/>
    <n v="22"/>
    <x v="3"/>
    <x v="3"/>
    <n v="4"/>
    <n v="21"/>
    <n v="0"/>
    <n v="84"/>
    <x v="55"/>
    <x v="13"/>
    <n v="12"/>
    <x v="5"/>
    <x v="1"/>
  </r>
  <r>
    <n v="10768"/>
    <x v="372"/>
    <n v="22"/>
    <x v="3"/>
    <x v="3"/>
    <n v="50"/>
    <n v="125"/>
    <n v="0"/>
    <n v="6250"/>
    <x v="55"/>
    <x v="13"/>
    <n v="12"/>
    <x v="5"/>
    <x v="1"/>
  </r>
  <r>
    <n v="10768"/>
    <x v="372"/>
    <n v="22"/>
    <x v="3"/>
    <x v="3"/>
    <n v="15"/>
    <n v="34"/>
    <n v="0"/>
    <n v="510"/>
    <x v="55"/>
    <x v="13"/>
    <n v="12"/>
    <x v="5"/>
    <x v="1"/>
  </r>
  <r>
    <n v="10768"/>
    <x v="372"/>
    <n v="22"/>
    <x v="3"/>
    <x v="3"/>
    <n v="12"/>
    <n v="215"/>
    <n v="0"/>
    <n v="2580"/>
    <x v="55"/>
    <x v="13"/>
    <n v="12"/>
    <x v="5"/>
    <x v="1"/>
  </r>
  <r>
    <n v="10769"/>
    <x v="372"/>
    <n v="41"/>
    <x v="2"/>
    <x v="2"/>
    <n v="30"/>
    <n v="965"/>
    <n v="5"/>
    <n v="27502.5"/>
    <x v="61"/>
    <x v="17"/>
    <n v="12"/>
    <x v="5"/>
    <x v="1"/>
  </r>
  <r>
    <n v="10769"/>
    <x v="372"/>
    <n v="41"/>
    <x v="2"/>
    <x v="2"/>
    <n v="15"/>
    <n v="7"/>
    <n v="5"/>
    <n v="99.75"/>
    <x v="61"/>
    <x v="17"/>
    <n v="12"/>
    <x v="5"/>
    <x v="1"/>
  </r>
  <r>
    <n v="10769"/>
    <x v="372"/>
    <n v="41"/>
    <x v="2"/>
    <x v="2"/>
    <n v="20"/>
    <n v="285"/>
    <n v="0"/>
    <n v="5700"/>
    <x v="61"/>
    <x v="17"/>
    <n v="12"/>
    <x v="5"/>
    <x v="1"/>
  </r>
  <r>
    <n v="10769"/>
    <x v="372"/>
    <n v="41"/>
    <x v="2"/>
    <x v="2"/>
    <n v="15"/>
    <n v="493"/>
    <n v="0"/>
    <n v="7395"/>
    <x v="61"/>
    <x v="17"/>
    <n v="12"/>
    <x v="5"/>
    <x v="1"/>
  </r>
  <r>
    <n v="10770"/>
    <x v="373"/>
    <n v="11"/>
    <x v="0"/>
    <x v="0"/>
    <n v="15"/>
    <n v="21"/>
    <n v="25"/>
    <n v="236.25"/>
    <x v="2"/>
    <x v="2"/>
    <n v="12"/>
    <x v="5"/>
    <x v="1"/>
  </r>
  <r>
    <n v="10771"/>
    <x v="374"/>
    <n v="71"/>
    <x v="20"/>
    <x v="0"/>
    <n v="16"/>
    <n v="215"/>
    <n v="0"/>
    <n v="3440"/>
    <x v="9"/>
    <x v="6"/>
    <n v="12"/>
    <x v="5"/>
    <x v="1"/>
  </r>
  <r>
    <n v="10772"/>
    <x v="374"/>
    <n v="29"/>
    <x v="16"/>
    <x v="6"/>
    <n v="18"/>
    <n v="12379"/>
    <n v="0"/>
    <n v="222822"/>
    <x v="26"/>
    <x v="1"/>
    <n v="12"/>
    <x v="5"/>
    <x v="1"/>
  </r>
  <r>
    <n v="10772"/>
    <x v="374"/>
    <n v="29"/>
    <x v="16"/>
    <x v="6"/>
    <n v="25"/>
    <n v="55"/>
    <n v="0"/>
    <n v="1375"/>
    <x v="26"/>
    <x v="1"/>
    <n v="12"/>
    <x v="5"/>
    <x v="1"/>
  </r>
  <r>
    <n v="10773"/>
    <x v="375"/>
    <n v="17"/>
    <x v="13"/>
    <x v="6"/>
    <n v="33"/>
    <n v="39"/>
    <n v="0"/>
    <n v="1287"/>
    <x v="9"/>
    <x v="6"/>
    <n v="12"/>
    <x v="5"/>
    <x v="1"/>
  </r>
  <r>
    <n v="10773"/>
    <x v="375"/>
    <n v="17"/>
    <x v="13"/>
    <x v="6"/>
    <n v="70"/>
    <n v="125"/>
    <n v="2"/>
    <n v="8575"/>
    <x v="9"/>
    <x v="6"/>
    <n v="12"/>
    <x v="5"/>
    <x v="1"/>
  </r>
  <r>
    <n v="10773"/>
    <x v="375"/>
    <n v="17"/>
    <x v="13"/>
    <x v="6"/>
    <n v="7"/>
    <n v="775"/>
    <n v="2"/>
    <n v="5316.5"/>
    <x v="9"/>
    <x v="6"/>
    <n v="12"/>
    <x v="5"/>
    <x v="1"/>
  </r>
  <r>
    <n v="10774"/>
    <x v="375"/>
    <n v="31"/>
    <x v="5"/>
    <x v="0"/>
    <n v="2"/>
    <n v="125"/>
    <n v="25"/>
    <n v="187.5"/>
    <x v="14"/>
    <x v="9"/>
    <n v="12"/>
    <x v="5"/>
    <x v="1"/>
  </r>
  <r>
    <n v="10774"/>
    <x v="375"/>
    <n v="31"/>
    <x v="5"/>
    <x v="0"/>
    <n v="50"/>
    <n v="17"/>
    <n v="0"/>
    <n v="850"/>
    <x v="14"/>
    <x v="9"/>
    <n v="12"/>
    <x v="5"/>
    <x v="1"/>
  </r>
  <r>
    <n v="10775"/>
    <x v="376"/>
    <n v="10"/>
    <x v="19"/>
    <x v="2"/>
    <n v="6"/>
    <n v="31"/>
    <n v="0"/>
    <n v="186"/>
    <x v="84"/>
    <x v="8"/>
    <n v="12"/>
    <x v="5"/>
    <x v="1"/>
  </r>
  <r>
    <n v="10775"/>
    <x v="376"/>
    <n v="10"/>
    <x v="19"/>
    <x v="2"/>
    <n v="3"/>
    <n v="14"/>
    <n v="0"/>
    <n v="42"/>
    <x v="84"/>
    <x v="8"/>
    <n v="12"/>
    <x v="5"/>
    <x v="1"/>
  </r>
  <r>
    <n v="10776"/>
    <x v="377"/>
    <n v="31"/>
    <x v="5"/>
    <x v="0"/>
    <n v="16"/>
    <n v="125"/>
    <n v="5"/>
    <n v="1900"/>
    <x v="9"/>
    <x v="6"/>
    <n v="12"/>
    <x v="5"/>
    <x v="1"/>
  </r>
  <r>
    <n v="10776"/>
    <x v="377"/>
    <n v="31"/>
    <x v="5"/>
    <x v="0"/>
    <n v="12"/>
    <n v="14"/>
    <n v="5"/>
    <n v="159.6"/>
    <x v="9"/>
    <x v="6"/>
    <n v="12"/>
    <x v="5"/>
    <x v="1"/>
  </r>
  <r>
    <n v="10776"/>
    <x v="377"/>
    <n v="31"/>
    <x v="5"/>
    <x v="0"/>
    <n v="27"/>
    <n v="95"/>
    <n v="5"/>
    <n v="2436.75"/>
    <x v="9"/>
    <x v="6"/>
    <n v="12"/>
    <x v="5"/>
    <x v="1"/>
  </r>
  <r>
    <n v="10776"/>
    <x v="377"/>
    <n v="31"/>
    <x v="5"/>
    <x v="0"/>
    <n v="120"/>
    <n v="53"/>
    <n v="5"/>
    <n v="6042"/>
    <x v="9"/>
    <x v="6"/>
    <n v="12"/>
    <x v="5"/>
    <x v="1"/>
  </r>
  <r>
    <n v="10777"/>
    <x v="377"/>
    <n v="42"/>
    <x v="39"/>
    <x v="3"/>
    <n v="20"/>
    <n v="14"/>
    <n v="2"/>
    <n v="274.39999999999998"/>
    <x v="71"/>
    <x v="2"/>
    <n v="12"/>
    <x v="5"/>
    <x v="1"/>
  </r>
  <r>
    <n v="10778"/>
    <x v="378"/>
    <n v="41"/>
    <x v="2"/>
    <x v="2"/>
    <n v="10"/>
    <n v="965"/>
    <n v="0"/>
    <n v="9650"/>
    <x v="25"/>
    <x v="9"/>
    <n v="12"/>
    <x v="5"/>
    <x v="1"/>
  </r>
  <r>
    <n v="10779"/>
    <x v="378"/>
    <n v="16"/>
    <x v="12"/>
    <x v="4"/>
    <n v="20"/>
    <n v="1745"/>
    <n v="0"/>
    <n v="34900"/>
    <x v="24"/>
    <x v="1"/>
    <n v="12"/>
    <x v="5"/>
    <x v="1"/>
  </r>
  <r>
    <n v="10779"/>
    <x v="378"/>
    <n v="16"/>
    <x v="12"/>
    <x v="4"/>
    <n v="20"/>
    <n v="493"/>
    <n v="0"/>
    <n v="9860"/>
    <x v="24"/>
    <x v="1"/>
    <n v="12"/>
    <x v="5"/>
    <x v="1"/>
  </r>
  <r>
    <n v="10780"/>
    <x v="378"/>
    <n v="70"/>
    <x v="66"/>
    <x v="5"/>
    <n v="35"/>
    <n v="15"/>
    <n v="0"/>
    <n v="525"/>
    <x v="28"/>
    <x v="5"/>
    <n v="12"/>
    <x v="5"/>
    <x v="1"/>
  </r>
  <r>
    <n v="10780"/>
    <x v="378"/>
    <n v="70"/>
    <x v="66"/>
    <x v="5"/>
    <n v="15"/>
    <n v="13"/>
    <n v="0"/>
    <n v="195"/>
    <x v="28"/>
    <x v="5"/>
    <n v="12"/>
    <x v="5"/>
    <x v="1"/>
  </r>
  <r>
    <n v="10781"/>
    <x v="379"/>
    <n v="54"/>
    <x v="28"/>
    <x v="6"/>
    <n v="3"/>
    <n v="745"/>
    <n v="2"/>
    <n v="2190.3000000000002"/>
    <x v="16"/>
    <x v="10"/>
    <n v="12"/>
    <x v="5"/>
    <x v="1"/>
  </r>
  <r>
    <n v="10781"/>
    <x v="379"/>
    <n v="54"/>
    <x v="28"/>
    <x v="6"/>
    <n v="20"/>
    <n v="38"/>
    <n v="2"/>
    <n v="744.8"/>
    <x v="16"/>
    <x v="10"/>
    <n v="12"/>
    <x v="5"/>
    <x v="1"/>
  </r>
  <r>
    <n v="10781"/>
    <x v="379"/>
    <n v="54"/>
    <x v="28"/>
    <x v="6"/>
    <n v="35"/>
    <n v="10"/>
    <n v="0"/>
    <n v="350"/>
    <x v="16"/>
    <x v="10"/>
    <n v="12"/>
    <x v="5"/>
    <x v="1"/>
  </r>
  <r>
    <n v="10782"/>
    <x v="379"/>
    <n v="31"/>
    <x v="5"/>
    <x v="0"/>
    <n v="1"/>
    <n v="125"/>
    <n v="0"/>
    <n v="125"/>
    <x v="78"/>
    <x v="20"/>
    <n v="12"/>
    <x v="5"/>
    <x v="1"/>
  </r>
  <r>
    <n v="10783"/>
    <x v="380"/>
    <n v="31"/>
    <x v="5"/>
    <x v="0"/>
    <n v="10"/>
    <n v="125"/>
    <n v="0"/>
    <n v="1250"/>
    <x v="2"/>
    <x v="2"/>
    <n v="12"/>
    <x v="5"/>
    <x v="1"/>
  </r>
  <r>
    <n v="10783"/>
    <x v="380"/>
    <n v="31"/>
    <x v="5"/>
    <x v="0"/>
    <n v="5"/>
    <n v="2635"/>
    <n v="0"/>
    <n v="13175"/>
    <x v="2"/>
    <x v="2"/>
    <n v="12"/>
    <x v="5"/>
    <x v="1"/>
  </r>
  <r>
    <n v="10784"/>
    <x v="380"/>
    <n v="36"/>
    <x v="18"/>
    <x v="2"/>
    <n v="30"/>
    <n v="19"/>
    <n v="0"/>
    <n v="570"/>
    <x v="22"/>
    <x v="11"/>
    <n v="12"/>
    <x v="5"/>
    <x v="1"/>
  </r>
  <r>
    <n v="10784"/>
    <x v="380"/>
    <n v="36"/>
    <x v="18"/>
    <x v="2"/>
    <n v="2"/>
    <n v="18"/>
    <n v="15"/>
    <n v="30.599999999999998"/>
    <x v="22"/>
    <x v="11"/>
    <n v="12"/>
    <x v="5"/>
    <x v="1"/>
  </r>
  <r>
    <n v="10784"/>
    <x v="380"/>
    <n v="36"/>
    <x v="18"/>
    <x v="2"/>
    <n v="30"/>
    <n v="348"/>
    <n v="15"/>
    <n v="8874"/>
    <x v="22"/>
    <x v="11"/>
    <n v="12"/>
    <x v="5"/>
    <x v="1"/>
  </r>
  <r>
    <n v="10785"/>
    <x v="380"/>
    <n v="10"/>
    <x v="19"/>
    <x v="2"/>
    <n v="10"/>
    <n v="31"/>
    <n v="0"/>
    <n v="310"/>
    <x v="18"/>
    <x v="5"/>
    <n v="12"/>
    <x v="5"/>
    <x v="1"/>
  </r>
  <r>
    <n v="10785"/>
    <x v="380"/>
    <n v="10"/>
    <x v="19"/>
    <x v="2"/>
    <n v="10"/>
    <n v="775"/>
    <n v="0"/>
    <n v="7750"/>
    <x v="18"/>
    <x v="5"/>
    <n v="12"/>
    <x v="5"/>
    <x v="1"/>
  </r>
  <r>
    <n v="10786"/>
    <x v="381"/>
    <n v="8"/>
    <x v="48"/>
    <x v="7"/>
    <n v="30"/>
    <n v="40"/>
    <n v="2"/>
    <n v="1176"/>
    <x v="62"/>
    <x v="2"/>
    <n v="12"/>
    <x v="5"/>
    <x v="1"/>
  </r>
  <r>
    <n v="10786"/>
    <x v="381"/>
    <n v="8"/>
    <x v="48"/>
    <x v="7"/>
    <n v="15"/>
    <n v="2589"/>
    <n v="2"/>
    <n v="38058.300000000003"/>
    <x v="62"/>
    <x v="2"/>
    <n v="12"/>
    <x v="5"/>
    <x v="1"/>
  </r>
  <r>
    <n v="10786"/>
    <x v="381"/>
    <n v="8"/>
    <x v="48"/>
    <x v="7"/>
    <n v="42"/>
    <n v="775"/>
    <n v="2"/>
    <n v="31899"/>
    <x v="62"/>
    <x v="2"/>
    <n v="12"/>
    <x v="5"/>
    <x v="1"/>
  </r>
  <r>
    <n v="10787"/>
    <x v="381"/>
    <n v="2"/>
    <x v="7"/>
    <x v="5"/>
    <n v="15"/>
    <n v="19"/>
    <n v="5"/>
    <n v="270.75"/>
    <x v="53"/>
    <x v="0"/>
    <n v="12"/>
    <x v="5"/>
    <x v="1"/>
  </r>
  <r>
    <n v="10787"/>
    <x v="381"/>
    <n v="2"/>
    <x v="7"/>
    <x v="5"/>
    <n v="20"/>
    <n v="12379"/>
    <n v="5"/>
    <n v="235201"/>
    <x v="53"/>
    <x v="0"/>
    <n v="12"/>
    <x v="5"/>
    <x v="1"/>
  </r>
  <r>
    <n v="10788"/>
    <x v="382"/>
    <n v="19"/>
    <x v="23"/>
    <x v="4"/>
    <n v="50"/>
    <n v="92"/>
    <n v="5"/>
    <n v="4370"/>
    <x v="21"/>
    <x v="1"/>
    <n v="12"/>
    <x v="5"/>
    <x v="1"/>
  </r>
  <r>
    <n v="10788"/>
    <x v="382"/>
    <n v="19"/>
    <x v="23"/>
    <x v="4"/>
    <n v="40"/>
    <n v="775"/>
    <n v="5"/>
    <n v="29450"/>
    <x v="21"/>
    <x v="1"/>
    <n v="12"/>
    <x v="5"/>
    <x v="1"/>
  </r>
  <r>
    <n v="10789"/>
    <x v="382"/>
    <n v="18"/>
    <x v="31"/>
    <x v="2"/>
    <n v="30"/>
    <n v="625"/>
    <n v="0"/>
    <n v="18750"/>
    <x v="68"/>
    <x v="0"/>
    <n v="12"/>
    <x v="5"/>
    <x v="1"/>
  </r>
  <r>
    <n v="10789"/>
    <x v="382"/>
    <n v="18"/>
    <x v="31"/>
    <x v="2"/>
    <n v="15"/>
    <n v="18"/>
    <n v="0"/>
    <n v="270"/>
    <x v="68"/>
    <x v="0"/>
    <n v="12"/>
    <x v="5"/>
    <x v="1"/>
  </r>
  <r>
    <n v="10789"/>
    <x v="382"/>
    <n v="18"/>
    <x v="31"/>
    <x v="2"/>
    <n v="30"/>
    <n v="439"/>
    <n v="0"/>
    <n v="13170"/>
    <x v="68"/>
    <x v="0"/>
    <n v="12"/>
    <x v="5"/>
    <x v="1"/>
  </r>
  <r>
    <n v="10789"/>
    <x v="382"/>
    <n v="18"/>
    <x v="31"/>
    <x v="2"/>
    <n v="18"/>
    <n v="125"/>
    <n v="0"/>
    <n v="2250"/>
    <x v="68"/>
    <x v="0"/>
    <n v="12"/>
    <x v="5"/>
    <x v="1"/>
  </r>
  <r>
    <n v="10790"/>
    <x v="382"/>
    <n v="7"/>
    <x v="55"/>
    <x v="1"/>
    <n v="3"/>
    <n v="30"/>
    <n v="15"/>
    <n v="76.5"/>
    <x v="71"/>
    <x v="2"/>
    <n v="12"/>
    <x v="5"/>
    <x v="1"/>
  </r>
  <r>
    <n v="10790"/>
    <x v="382"/>
    <n v="7"/>
    <x v="55"/>
    <x v="1"/>
    <n v="20"/>
    <n v="38"/>
    <n v="15"/>
    <n v="646"/>
    <x v="71"/>
    <x v="2"/>
    <n v="12"/>
    <x v="5"/>
    <x v="1"/>
  </r>
  <r>
    <n v="10791"/>
    <x v="383"/>
    <n v="29"/>
    <x v="16"/>
    <x v="6"/>
    <n v="14"/>
    <n v="12379"/>
    <n v="5"/>
    <n v="164640.69999999998"/>
    <x v="17"/>
    <x v="1"/>
    <n v="12"/>
    <x v="5"/>
    <x v="1"/>
  </r>
  <r>
    <n v="10791"/>
    <x v="383"/>
    <n v="29"/>
    <x v="16"/>
    <x v="6"/>
    <n v="20"/>
    <n v="965"/>
    <n v="5"/>
    <n v="18335"/>
    <x v="17"/>
    <x v="1"/>
    <n v="12"/>
    <x v="5"/>
    <x v="1"/>
  </r>
  <r>
    <n v="10792"/>
    <x v="383"/>
    <n v="2"/>
    <x v="7"/>
    <x v="5"/>
    <n v="10"/>
    <n v="19"/>
    <n v="0"/>
    <n v="190"/>
    <x v="63"/>
    <x v="18"/>
    <n v="12"/>
    <x v="5"/>
    <x v="1"/>
  </r>
  <r>
    <n v="10792"/>
    <x v="383"/>
    <n v="2"/>
    <x v="7"/>
    <x v="5"/>
    <n v="3"/>
    <n v="745"/>
    <n v="0"/>
    <n v="2235"/>
    <x v="63"/>
    <x v="18"/>
    <n v="12"/>
    <x v="5"/>
    <x v="1"/>
  </r>
  <r>
    <n v="10792"/>
    <x v="383"/>
    <n v="2"/>
    <x v="7"/>
    <x v="5"/>
    <n v="15"/>
    <n v="125"/>
    <n v="0"/>
    <n v="1875"/>
    <x v="63"/>
    <x v="18"/>
    <n v="12"/>
    <x v="5"/>
    <x v="1"/>
  </r>
  <r>
    <n v="10793"/>
    <x v="384"/>
    <n v="41"/>
    <x v="2"/>
    <x v="2"/>
    <n v="14"/>
    <n v="965"/>
    <n v="0"/>
    <n v="13510"/>
    <x v="55"/>
    <x v="13"/>
    <n v="12"/>
    <x v="5"/>
    <x v="1"/>
  </r>
  <r>
    <n v="10793"/>
    <x v="384"/>
    <n v="41"/>
    <x v="2"/>
    <x v="2"/>
    <n v="8"/>
    <n v="7"/>
    <n v="0"/>
    <n v="56"/>
    <x v="55"/>
    <x v="13"/>
    <n v="12"/>
    <x v="5"/>
    <x v="1"/>
  </r>
  <r>
    <n v="10794"/>
    <x v="384"/>
    <n v="14"/>
    <x v="1"/>
    <x v="1"/>
    <n v="15"/>
    <n v="2325"/>
    <n v="2"/>
    <n v="34177.5"/>
    <x v="12"/>
    <x v="2"/>
    <n v="12"/>
    <x v="5"/>
    <x v="1"/>
  </r>
  <r>
    <n v="10794"/>
    <x v="384"/>
    <n v="14"/>
    <x v="1"/>
    <x v="1"/>
    <n v="6"/>
    <n v="745"/>
    <n v="2"/>
    <n v="4380.6000000000004"/>
    <x v="12"/>
    <x v="2"/>
    <n v="12"/>
    <x v="5"/>
    <x v="1"/>
  </r>
  <r>
    <n v="10795"/>
    <x v="384"/>
    <n v="16"/>
    <x v="12"/>
    <x v="4"/>
    <n v="65"/>
    <n v="1745"/>
    <n v="0"/>
    <n v="113425"/>
    <x v="9"/>
    <x v="6"/>
    <n v="12"/>
    <x v="5"/>
    <x v="1"/>
  </r>
  <r>
    <n v="10795"/>
    <x v="384"/>
    <n v="16"/>
    <x v="12"/>
    <x v="4"/>
    <n v="35"/>
    <n v="39"/>
    <n v="25"/>
    <n v="1023.75"/>
    <x v="9"/>
    <x v="6"/>
    <n v="12"/>
    <x v="5"/>
    <x v="1"/>
  </r>
  <r>
    <n v="10796"/>
    <x v="385"/>
    <n v="26"/>
    <x v="45"/>
    <x v="4"/>
    <n v="21"/>
    <n v="3123"/>
    <n v="2"/>
    <n v="64271.34"/>
    <x v="8"/>
    <x v="5"/>
    <n v="12"/>
    <x v="5"/>
    <x v="1"/>
  </r>
  <r>
    <n v="10796"/>
    <x v="385"/>
    <n v="26"/>
    <x v="45"/>
    <x v="4"/>
    <n v="10"/>
    <n v="1945"/>
    <n v="0"/>
    <n v="19450"/>
    <x v="8"/>
    <x v="5"/>
    <n v="12"/>
    <x v="5"/>
    <x v="1"/>
  </r>
  <r>
    <n v="10796"/>
    <x v="385"/>
    <n v="26"/>
    <x v="45"/>
    <x v="4"/>
    <n v="35"/>
    <n v="3325"/>
    <n v="2"/>
    <n v="114047.5"/>
    <x v="8"/>
    <x v="5"/>
    <n v="12"/>
    <x v="5"/>
    <x v="1"/>
  </r>
  <r>
    <n v="10796"/>
    <x v="385"/>
    <n v="26"/>
    <x v="45"/>
    <x v="4"/>
    <n v="24"/>
    <n v="36"/>
    <n v="2"/>
    <n v="846.72"/>
    <x v="8"/>
    <x v="5"/>
    <n v="12"/>
    <x v="5"/>
    <x v="1"/>
  </r>
  <r>
    <n v="10797"/>
    <x v="385"/>
    <n v="11"/>
    <x v="0"/>
    <x v="0"/>
    <n v="20"/>
    <n v="21"/>
    <n v="0"/>
    <n v="420"/>
    <x v="57"/>
    <x v="1"/>
    <n v="12"/>
    <x v="5"/>
    <x v="1"/>
  </r>
  <r>
    <n v="10798"/>
    <x v="386"/>
    <n v="62"/>
    <x v="36"/>
    <x v="4"/>
    <n v="2"/>
    <n v="493"/>
    <n v="0"/>
    <n v="986"/>
    <x v="42"/>
    <x v="13"/>
    <n v="12"/>
    <x v="5"/>
    <x v="1"/>
  </r>
  <r>
    <n v="10798"/>
    <x v="386"/>
    <n v="62"/>
    <x v="36"/>
    <x v="4"/>
    <n v="10"/>
    <n v="348"/>
    <n v="0"/>
    <n v="3480"/>
    <x v="42"/>
    <x v="13"/>
    <n v="12"/>
    <x v="5"/>
    <x v="1"/>
  </r>
  <r>
    <n v="10799"/>
    <x v="386"/>
    <n v="13"/>
    <x v="30"/>
    <x v="2"/>
    <n v="20"/>
    <n v="6"/>
    <n v="15"/>
    <n v="102"/>
    <x v="44"/>
    <x v="1"/>
    <n v="12"/>
    <x v="5"/>
    <x v="1"/>
  </r>
  <r>
    <n v="10799"/>
    <x v="386"/>
    <n v="13"/>
    <x v="30"/>
    <x v="2"/>
    <n v="20"/>
    <n v="45"/>
    <n v="15"/>
    <n v="765"/>
    <x v="44"/>
    <x v="1"/>
    <n v="12"/>
    <x v="5"/>
    <x v="1"/>
  </r>
  <r>
    <n v="10799"/>
    <x v="386"/>
    <n v="13"/>
    <x v="30"/>
    <x v="2"/>
    <n v="25"/>
    <n v="55"/>
    <n v="0"/>
    <n v="1375"/>
    <x v="44"/>
    <x v="1"/>
    <n v="12"/>
    <x v="5"/>
    <x v="1"/>
  </r>
  <r>
    <n v="10800"/>
    <x v="386"/>
    <n v="11"/>
    <x v="0"/>
    <x v="0"/>
    <n v="50"/>
    <n v="21"/>
    <n v="1"/>
    <n v="1039.5"/>
    <x v="56"/>
    <x v="13"/>
    <n v="12"/>
    <x v="5"/>
    <x v="1"/>
  </r>
  <r>
    <n v="10800"/>
    <x v="386"/>
    <n v="11"/>
    <x v="0"/>
    <x v="0"/>
    <n v="10"/>
    <n v="53"/>
    <n v="1"/>
    <n v="524.70000000000005"/>
    <x v="56"/>
    <x v="13"/>
    <n v="12"/>
    <x v="5"/>
    <x v="1"/>
  </r>
  <r>
    <n v="10800"/>
    <x v="386"/>
    <n v="11"/>
    <x v="0"/>
    <x v="0"/>
    <n v="7"/>
    <n v="745"/>
    <n v="1"/>
    <n v="5162.8500000000004"/>
    <x v="56"/>
    <x v="13"/>
    <n v="12"/>
    <x v="5"/>
    <x v="1"/>
  </r>
  <r>
    <n v="10801"/>
    <x v="387"/>
    <n v="17"/>
    <x v="13"/>
    <x v="6"/>
    <n v="40"/>
    <n v="39"/>
    <n v="25"/>
    <n v="1170"/>
    <x v="46"/>
    <x v="12"/>
    <n v="12"/>
    <x v="5"/>
    <x v="1"/>
  </r>
  <r>
    <n v="10801"/>
    <x v="387"/>
    <n v="17"/>
    <x v="13"/>
    <x v="6"/>
    <n v="20"/>
    <n v="12379"/>
    <n v="25"/>
    <n v="185685"/>
    <x v="46"/>
    <x v="12"/>
    <n v="12"/>
    <x v="5"/>
    <x v="1"/>
  </r>
  <r>
    <n v="10802"/>
    <x v="387"/>
    <n v="30"/>
    <x v="24"/>
    <x v="2"/>
    <n v="25"/>
    <n v="2589"/>
    <n v="25"/>
    <n v="48543.75"/>
    <x v="51"/>
    <x v="17"/>
    <n v="12"/>
    <x v="5"/>
    <x v="1"/>
  </r>
  <r>
    <n v="10802"/>
    <x v="387"/>
    <n v="30"/>
    <x v="24"/>
    <x v="2"/>
    <n v="30"/>
    <n v="53"/>
    <n v="25"/>
    <n v="1192.5"/>
    <x v="51"/>
    <x v="17"/>
    <n v="12"/>
    <x v="5"/>
    <x v="1"/>
  </r>
  <r>
    <n v="10802"/>
    <x v="387"/>
    <n v="30"/>
    <x v="24"/>
    <x v="2"/>
    <n v="60"/>
    <n v="24"/>
    <n v="25"/>
    <n v="1080"/>
    <x v="51"/>
    <x v="17"/>
    <n v="12"/>
    <x v="5"/>
    <x v="1"/>
  </r>
  <r>
    <n v="10802"/>
    <x v="387"/>
    <n v="30"/>
    <x v="24"/>
    <x v="2"/>
    <n v="5"/>
    <n v="493"/>
    <n v="25"/>
    <n v="1848.75"/>
    <x v="51"/>
    <x v="17"/>
    <n v="12"/>
    <x v="5"/>
    <x v="1"/>
  </r>
  <r>
    <n v="10803"/>
    <x v="388"/>
    <n v="19"/>
    <x v="23"/>
    <x v="4"/>
    <n v="24"/>
    <n v="92"/>
    <n v="5"/>
    <n v="2097.6"/>
    <x v="7"/>
    <x v="2"/>
    <n v="12"/>
    <x v="5"/>
    <x v="1"/>
  </r>
  <r>
    <n v="10803"/>
    <x v="388"/>
    <n v="19"/>
    <x v="23"/>
    <x v="4"/>
    <n v="15"/>
    <n v="14"/>
    <n v="5"/>
    <n v="199.5"/>
    <x v="7"/>
    <x v="2"/>
    <n v="12"/>
    <x v="5"/>
    <x v="1"/>
  </r>
  <r>
    <n v="10803"/>
    <x v="388"/>
    <n v="19"/>
    <x v="23"/>
    <x v="4"/>
    <n v="15"/>
    <n v="55"/>
    <n v="5"/>
    <n v="783.75"/>
    <x v="7"/>
    <x v="2"/>
    <n v="12"/>
    <x v="5"/>
    <x v="1"/>
  </r>
  <r>
    <n v="10804"/>
    <x v="388"/>
    <n v="10"/>
    <x v="19"/>
    <x v="2"/>
    <n v="36"/>
    <n v="31"/>
    <n v="0"/>
    <n v="1116"/>
    <x v="56"/>
    <x v="13"/>
    <n v="12"/>
    <x v="5"/>
    <x v="1"/>
  </r>
  <r>
    <n v="10804"/>
    <x v="388"/>
    <n v="10"/>
    <x v="19"/>
    <x v="2"/>
    <n v="24"/>
    <n v="456"/>
    <n v="0"/>
    <n v="10944"/>
    <x v="56"/>
    <x v="13"/>
    <n v="12"/>
    <x v="5"/>
    <x v="1"/>
  </r>
  <r>
    <n v="10804"/>
    <x v="388"/>
    <n v="10"/>
    <x v="19"/>
    <x v="2"/>
    <n v="4"/>
    <n v="20"/>
    <n v="15"/>
    <n v="68"/>
    <x v="56"/>
    <x v="13"/>
    <n v="12"/>
    <x v="5"/>
    <x v="1"/>
  </r>
  <r>
    <n v="10805"/>
    <x v="388"/>
    <n v="34"/>
    <x v="41"/>
    <x v="5"/>
    <n v="10"/>
    <n v="14"/>
    <n v="0"/>
    <n v="140"/>
    <x v="40"/>
    <x v="8"/>
    <n v="12"/>
    <x v="5"/>
    <x v="1"/>
  </r>
  <r>
    <n v="10805"/>
    <x v="388"/>
    <n v="34"/>
    <x v="41"/>
    <x v="5"/>
    <n v="10"/>
    <n v="2635"/>
    <n v="0"/>
    <n v="26350"/>
    <x v="40"/>
    <x v="8"/>
    <n v="12"/>
    <x v="5"/>
    <x v="1"/>
  </r>
  <r>
    <n v="10806"/>
    <x v="389"/>
    <n v="2"/>
    <x v="7"/>
    <x v="5"/>
    <n v="20"/>
    <n v="19"/>
    <n v="25"/>
    <n v="285"/>
    <x v="3"/>
    <x v="0"/>
    <n v="12"/>
    <x v="5"/>
    <x v="1"/>
  </r>
  <r>
    <n v="10806"/>
    <x v="389"/>
    <n v="2"/>
    <x v="7"/>
    <x v="5"/>
    <n v="2"/>
    <n v="2105"/>
    <n v="0"/>
    <n v="4210"/>
    <x v="3"/>
    <x v="0"/>
    <n v="12"/>
    <x v="5"/>
    <x v="1"/>
  </r>
  <r>
    <n v="10806"/>
    <x v="389"/>
    <n v="2"/>
    <x v="7"/>
    <x v="5"/>
    <n v="15"/>
    <n v="10"/>
    <n v="25"/>
    <n v="112.5"/>
    <x v="3"/>
    <x v="0"/>
    <n v="12"/>
    <x v="5"/>
    <x v="1"/>
  </r>
  <r>
    <n v="10807"/>
    <x v="389"/>
    <n v="40"/>
    <x v="15"/>
    <x v="2"/>
    <n v="1"/>
    <n v="184"/>
    <n v="0"/>
    <n v="184"/>
    <x v="70"/>
    <x v="11"/>
    <n v="12"/>
    <x v="5"/>
    <x v="1"/>
  </r>
  <r>
    <n v="10808"/>
    <x v="390"/>
    <n v="56"/>
    <x v="32"/>
    <x v="3"/>
    <n v="20"/>
    <n v="38"/>
    <n v="15"/>
    <n v="646"/>
    <x v="37"/>
    <x v="8"/>
    <n v="1"/>
    <x v="6"/>
    <x v="2"/>
  </r>
  <r>
    <n v="10808"/>
    <x v="390"/>
    <n v="56"/>
    <x v="32"/>
    <x v="3"/>
    <n v="50"/>
    <n v="18"/>
    <n v="15"/>
    <n v="765"/>
    <x v="37"/>
    <x v="8"/>
    <n v="1"/>
    <x v="6"/>
    <x v="2"/>
  </r>
  <r>
    <n v="10809"/>
    <x v="390"/>
    <n v="52"/>
    <x v="42"/>
    <x v="3"/>
    <n v="20"/>
    <n v="7"/>
    <n v="0"/>
    <n v="140"/>
    <x v="7"/>
    <x v="2"/>
    <n v="1"/>
    <x v="6"/>
    <x v="2"/>
  </r>
  <r>
    <n v="10810"/>
    <x v="390"/>
    <n v="13"/>
    <x v="30"/>
    <x v="2"/>
    <n v="7"/>
    <n v="6"/>
    <n v="0"/>
    <n v="42"/>
    <x v="75"/>
    <x v="16"/>
    <n v="1"/>
    <x v="6"/>
    <x v="2"/>
  </r>
  <r>
    <n v="10810"/>
    <x v="390"/>
    <n v="13"/>
    <x v="30"/>
    <x v="2"/>
    <n v="5"/>
    <n v="14"/>
    <n v="0"/>
    <n v="70"/>
    <x v="75"/>
    <x v="16"/>
    <n v="1"/>
    <x v="6"/>
    <x v="2"/>
  </r>
  <r>
    <n v="10810"/>
    <x v="390"/>
    <n v="13"/>
    <x v="30"/>
    <x v="2"/>
    <n v="5"/>
    <n v="15"/>
    <n v="0"/>
    <n v="75"/>
    <x v="75"/>
    <x v="16"/>
    <n v="1"/>
    <x v="6"/>
    <x v="2"/>
  </r>
  <r>
    <n v="10811"/>
    <x v="391"/>
    <n v="19"/>
    <x v="23"/>
    <x v="4"/>
    <n v="15"/>
    <n v="92"/>
    <n v="0"/>
    <n v="1380"/>
    <x v="67"/>
    <x v="5"/>
    <n v="1"/>
    <x v="6"/>
    <x v="2"/>
  </r>
  <r>
    <n v="10811"/>
    <x v="391"/>
    <n v="19"/>
    <x v="23"/>
    <x v="4"/>
    <n v="18"/>
    <n v="9"/>
    <n v="0"/>
    <n v="162"/>
    <x v="67"/>
    <x v="5"/>
    <n v="1"/>
    <x v="6"/>
    <x v="2"/>
  </r>
  <r>
    <n v="10811"/>
    <x v="391"/>
    <n v="19"/>
    <x v="23"/>
    <x v="4"/>
    <n v="30"/>
    <n v="184"/>
    <n v="0"/>
    <n v="5520"/>
    <x v="67"/>
    <x v="5"/>
    <n v="1"/>
    <x v="6"/>
    <x v="2"/>
  </r>
  <r>
    <n v="10812"/>
    <x v="391"/>
    <n v="31"/>
    <x v="5"/>
    <x v="0"/>
    <n v="16"/>
    <n v="125"/>
    <n v="1"/>
    <n v="1980"/>
    <x v="30"/>
    <x v="11"/>
    <n v="1"/>
    <x v="6"/>
    <x v="2"/>
  </r>
  <r>
    <n v="10812"/>
    <x v="391"/>
    <n v="31"/>
    <x v="5"/>
    <x v="0"/>
    <n v="40"/>
    <n v="348"/>
    <n v="1"/>
    <n v="13780.8"/>
    <x v="30"/>
    <x v="11"/>
    <n v="1"/>
    <x v="6"/>
    <x v="2"/>
  </r>
  <r>
    <n v="10812"/>
    <x v="391"/>
    <n v="31"/>
    <x v="5"/>
    <x v="0"/>
    <n v="20"/>
    <n v="13"/>
    <n v="0"/>
    <n v="260"/>
    <x v="30"/>
    <x v="11"/>
    <n v="1"/>
    <x v="6"/>
    <x v="2"/>
  </r>
  <r>
    <n v="10813"/>
    <x v="392"/>
    <n v="2"/>
    <x v="7"/>
    <x v="5"/>
    <n v="12"/>
    <n v="19"/>
    <n v="2"/>
    <n v="223.44"/>
    <x v="29"/>
    <x v="2"/>
    <n v="1"/>
    <x v="6"/>
    <x v="2"/>
  </r>
  <r>
    <n v="10813"/>
    <x v="392"/>
    <n v="2"/>
    <x v="7"/>
    <x v="5"/>
    <n v="35"/>
    <n v="12"/>
    <n v="0"/>
    <n v="420"/>
    <x v="29"/>
    <x v="2"/>
    <n v="1"/>
    <x v="6"/>
    <x v="2"/>
  </r>
  <r>
    <n v="10814"/>
    <x v="392"/>
    <n v="41"/>
    <x v="2"/>
    <x v="2"/>
    <n v="20"/>
    <n v="965"/>
    <n v="0"/>
    <n v="19300"/>
    <x v="3"/>
    <x v="0"/>
    <n v="1"/>
    <x v="6"/>
    <x v="2"/>
  </r>
  <r>
    <n v="10814"/>
    <x v="392"/>
    <n v="41"/>
    <x v="2"/>
    <x v="2"/>
    <n v="20"/>
    <n v="46"/>
    <n v="15"/>
    <n v="782"/>
    <x v="3"/>
    <x v="0"/>
    <n v="1"/>
    <x v="6"/>
    <x v="2"/>
  </r>
  <r>
    <n v="10814"/>
    <x v="392"/>
    <n v="41"/>
    <x v="2"/>
    <x v="2"/>
    <n v="8"/>
    <n v="1275"/>
    <n v="15"/>
    <n v="8670"/>
    <x v="3"/>
    <x v="0"/>
    <n v="1"/>
    <x v="6"/>
    <x v="2"/>
  </r>
  <r>
    <n v="10814"/>
    <x v="392"/>
    <n v="41"/>
    <x v="2"/>
    <x v="2"/>
    <n v="30"/>
    <n v="285"/>
    <n v="15"/>
    <n v="7267.5"/>
    <x v="3"/>
    <x v="0"/>
    <n v="1"/>
    <x v="6"/>
    <x v="2"/>
  </r>
  <r>
    <n v="10815"/>
    <x v="392"/>
    <n v="33"/>
    <x v="17"/>
    <x v="0"/>
    <n v="16"/>
    <n v="25"/>
    <n v="0"/>
    <n v="400"/>
    <x v="45"/>
    <x v="8"/>
    <n v="1"/>
    <x v="6"/>
    <x v="2"/>
  </r>
  <r>
    <n v="10816"/>
    <x v="393"/>
    <n v="38"/>
    <x v="51"/>
    <x v="5"/>
    <n v="30"/>
    <n v="2635"/>
    <n v="5"/>
    <n v="75097.5"/>
    <x v="79"/>
    <x v="8"/>
    <n v="1"/>
    <x v="6"/>
    <x v="2"/>
  </r>
  <r>
    <n v="10816"/>
    <x v="393"/>
    <n v="38"/>
    <x v="51"/>
    <x v="5"/>
    <n v="20"/>
    <n v="493"/>
    <n v="5"/>
    <n v="9367"/>
    <x v="79"/>
    <x v="8"/>
    <n v="1"/>
    <x v="6"/>
    <x v="2"/>
  </r>
  <r>
    <n v="10817"/>
    <x v="393"/>
    <n v="26"/>
    <x v="45"/>
    <x v="4"/>
    <n v="40"/>
    <n v="3123"/>
    <n v="15"/>
    <n v="106182"/>
    <x v="44"/>
    <x v="1"/>
    <n v="1"/>
    <x v="6"/>
    <x v="2"/>
  </r>
  <r>
    <n v="10817"/>
    <x v="393"/>
    <n v="26"/>
    <x v="45"/>
    <x v="4"/>
    <n v="30"/>
    <n v="2635"/>
    <n v="0"/>
    <n v="79050"/>
    <x v="44"/>
    <x v="1"/>
    <n v="1"/>
    <x v="6"/>
    <x v="2"/>
  </r>
  <r>
    <n v="10817"/>
    <x v="393"/>
    <n v="26"/>
    <x v="45"/>
    <x v="4"/>
    <n v="60"/>
    <n v="184"/>
    <n v="15"/>
    <n v="9384"/>
    <x v="44"/>
    <x v="1"/>
    <n v="1"/>
    <x v="6"/>
    <x v="2"/>
  </r>
  <r>
    <n v="10817"/>
    <x v="393"/>
    <n v="26"/>
    <x v="45"/>
    <x v="4"/>
    <n v="25"/>
    <n v="493"/>
    <n v="15"/>
    <n v="10476.25"/>
    <x v="44"/>
    <x v="1"/>
    <n v="1"/>
    <x v="6"/>
    <x v="2"/>
  </r>
  <r>
    <n v="10818"/>
    <x v="394"/>
    <n v="32"/>
    <x v="40"/>
    <x v="0"/>
    <n v="20"/>
    <n v="32"/>
    <n v="0"/>
    <n v="640"/>
    <x v="22"/>
    <x v="11"/>
    <n v="1"/>
    <x v="6"/>
    <x v="2"/>
  </r>
  <r>
    <n v="10818"/>
    <x v="394"/>
    <n v="32"/>
    <x v="40"/>
    <x v="0"/>
    <n v="20"/>
    <n v="965"/>
    <n v="0"/>
    <n v="19300"/>
    <x v="22"/>
    <x v="11"/>
    <n v="1"/>
    <x v="6"/>
    <x v="2"/>
  </r>
  <r>
    <n v="10819"/>
    <x v="394"/>
    <n v="43"/>
    <x v="65"/>
    <x v="5"/>
    <n v="7"/>
    <n v="46"/>
    <n v="0"/>
    <n v="322"/>
    <x v="78"/>
    <x v="20"/>
    <n v="1"/>
    <x v="6"/>
    <x v="2"/>
  </r>
  <r>
    <n v="10819"/>
    <x v="394"/>
    <n v="43"/>
    <x v="65"/>
    <x v="5"/>
    <n v="20"/>
    <n v="775"/>
    <n v="0"/>
    <n v="15500"/>
    <x v="78"/>
    <x v="20"/>
    <n v="1"/>
    <x v="6"/>
    <x v="2"/>
  </r>
  <r>
    <n v="10820"/>
    <x v="394"/>
    <n v="56"/>
    <x v="32"/>
    <x v="3"/>
    <n v="30"/>
    <n v="38"/>
    <n v="0"/>
    <n v="1140"/>
    <x v="13"/>
    <x v="8"/>
    <n v="1"/>
    <x v="6"/>
    <x v="2"/>
  </r>
  <r>
    <n v="10821"/>
    <x v="395"/>
    <n v="35"/>
    <x v="27"/>
    <x v="5"/>
    <n v="20"/>
    <n v="18"/>
    <n v="0"/>
    <n v="360"/>
    <x v="20"/>
    <x v="8"/>
    <n v="1"/>
    <x v="6"/>
    <x v="2"/>
  </r>
  <r>
    <n v="10821"/>
    <x v="395"/>
    <n v="35"/>
    <x v="27"/>
    <x v="5"/>
    <n v="6"/>
    <n v="53"/>
    <n v="0"/>
    <n v="318"/>
    <x v="20"/>
    <x v="8"/>
    <n v="1"/>
    <x v="6"/>
    <x v="2"/>
  </r>
  <r>
    <n v="10822"/>
    <x v="395"/>
    <n v="62"/>
    <x v="36"/>
    <x v="4"/>
    <n v="3"/>
    <n v="493"/>
    <n v="0"/>
    <n v="1479"/>
    <x v="81"/>
    <x v="8"/>
    <n v="1"/>
    <x v="6"/>
    <x v="2"/>
  </r>
  <r>
    <n v="10822"/>
    <x v="395"/>
    <n v="62"/>
    <x v="36"/>
    <x v="4"/>
    <n v="6"/>
    <n v="15"/>
    <n v="0"/>
    <n v="90"/>
    <x v="81"/>
    <x v="8"/>
    <n v="1"/>
    <x v="6"/>
    <x v="2"/>
  </r>
  <r>
    <n v="10823"/>
    <x v="396"/>
    <n v="11"/>
    <x v="0"/>
    <x v="0"/>
    <n v="20"/>
    <n v="21"/>
    <n v="1"/>
    <n v="415.8"/>
    <x v="28"/>
    <x v="5"/>
    <n v="1"/>
    <x v="6"/>
    <x v="2"/>
  </r>
  <r>
    <n v="10823"/>
    <x v="396"/>
    <n v="11"/>
    <x v="0"/>
    <x v="0"/>
    <n v="15"/>
    <n v="195"/>
    <n v="0"/>
    <n v="2925"/>
    <x v="28"/>
    <x v="5"/>
    <n v="1"/>
    <x v="6"/>
    <x v="2"/>
  </r>
  <r>
    <n v="10823"/>
    <x v="396"/>
    <n v="11"/>
    <x v="0"/>
    <x v="0"/>
    <n v="40"/>
    <n v="55"/>
    <n v="1"/>
    <n v="2178"/>
    <x v="28"/>
    <x v="5"/>
    <n v="1"/>
    <x v="6"/>
    <x v="2"/>
  </r>
  <r>
    <n v="10823"/>
    <x v="396"/>
    <n v="11"/>
    <x v="0"/>
    <x v="0"/>
    <n v="15"/>
    <n v="13"/>
    <n v="1"/>
    <n v="193.05"/>
    <x v="28"/>
    <x v="5"/>
    <n v="1"/>
    <x v="6"/>
    <x v="2"/>
  </r>
  <r>
    <n v="10824"/>
    <x v="396"/>
    <n v="41"/>
    <x v="2"/>
    <x v="2"/>
    <n v="12"/>
    <n v="965"/>
    <n v="0"/>
    <n v="11580"/>
    <x v="14"/>
    <x v="9"/>
    <n v="1"/>
    <x v="6"/>
    <x v="2"/>
  </r>
  <r>
    <n v="10824"/>
    <x v="396"/>
    <n v="41"/>
    <x v="2"/>
    <x v="2"/>
    <n v="9"/>
    <n v="15"/>
    <n v="0"/>
    <n v="135"/>
    <x v="14"/>
    <x v="9"/>
    <n v="1"/>
    <x v="6"/>
    <x v="2"/>
  </r>
  <r>
    <n v="10825"/>
    <x v="396"/>
    <n v="26"/>
    <x v="45"/>
    <x v="4"/>
    <n v="12"/>
    <n v="3123"/>
    <n v="0"/>
    <n v="37476"/>
    <x v="57"/>
    <x v="1"/>
    <n v="1"/>
    <x v="6"/>
    <x v="2"/>
  </r>
  <r>
    <n v="10825"/>
    <x v="396"/>
    <n v="26"/>
    <x v="45"/>
    <x v="4"/>
    <n v="20"/>
    <n v="328"/>
    <n v="0"/>
    <n v="6560"/>
    <x v="57"/>
    <x v="1"/>
    <n v="1"/>
    <x v="6"/>
    <x v="2"/>
  </r>
  <r>
    <n v="10826"/>
    <x v="397"/>
    <n v="31"/>
    <x v="5"/>
    <x v="0"/>
    <n v="35"/>
    <n v="125"/>
    <n v="0"/>
    <n v="4375"/>
    <x v="15"/>
    <x v="0"/>
    <n v="1"/>
    <x v="6"/>
    <x v="2"/>
  </r>
  <r>
    <n v="10826"/>
    <x v="397"/>
    <n v="31"/>
    <x v="5"/>
    <x v="0"/>
    <n v="15"/>
    <n v="195"/>
    <n v="0"/>
    <n v="2925"/>
    <x v="15"/>
    <x v="0"/>
    <n v="1"/>
    <x v="6"/>
    <x v="2"/>
  </r>
  <r>
    <n v="10827"/>
    <x v="397"/>
    <n v="10"/>
    <x v="19"/>
    <x v="2"/>
    <n v="15"/>
    <n v="31"/>
    <n v="0"/>
    <n v="465"/>
    <x v="48"/>
    <x v="0"/>
    <n v="1"/>
    <x v="6"/>
    <x v="2"/>
  </r>
  <r>
    <n v="10827"/>
    <x v="397"/>
    <n v="10"/>
    <x v="19"/>
    <x v="2"/>
    <n v="21"/>
    <n v="18"/>
    <n v="0"/>
    <n v="378"/>
    <x v="48"/>
    <x v="0"/>
    <n v="1"/>
    <x v="6"/>
    <x v="2"/>
  </r>
  <r>
    <n v="10828"/>
    <x v="398"/>
    <n v="20"/>
    <x v="4"/>
    <x v="4"/>
    <n v="5"/>
    <n v="81"/>
    <n v="0"/>
    <n v="405"/>
    <x v="73"/>
    <x v="20"/>
    <n v="1"/>
    <x v="6"/>
    <x v="2"/>
  </r>
  <r>
    <n v="10828"/>
    <x v="398"/>
    <n v="20"/>
    <x v="4"/>
    <x v="4"/>
    <n v="2"/>
    <n v="2635"/>
    <n v="0"/>
    <n v="5270"/>
    <x v="73"/>
    <x v="20"/>
    <n v="1"/>
    <x v="6"/>
    <x v="2"/>
  </r>
  <r>
    <n v="10829"/>
    <x v="398"/>
    <n v="2"/>
    <x v="7"/>
    <x v="5"/>
    <n v="10"/>
    <n v="19"/>
    <n v="0"/>
    <n v="190"/>
    <x v="42"/>
    <x v="13"/>
    <n v="1"/>
    <x v="6"/>
    <x v="2"/>
  </r>
  <r>
    <n v="10829"/>
    <x v="398"/>
    <n v="2"/>
    <x v="7"/>
    <x v="5"/>
    <n v="20"/>
    <n v="40"/>
    <n v="0"/>
    <n v="800"/>
    <x v="42"/>
    <x v="13"/>
    <n v="1"/>
    <x v="6"/>
    <x v="2"/>
  </r>
  <r>
    <n v="10829"/>
    <x v="398"/>
    <n v="2"/>
    <x v="7"/>
    <x v="5"/>
    <n v="10"/>
    <n v="6"/>
    <n v="0"/>
    <n v="60"/>
    <x v="42"/>
    <x v="13"/>
    <n v="1"/>
    <x v="6"/>
    <x v="2"/>
  </r>
  <r>
    <n v="10829"/>
    <x v="398"/>
    <n v="2"/>
    <x v="7"/>
    <x v="5"/>
    <n v="21"/>
    <n v="34"/>
    <n v="0"/>
    <n v="714"/>
    <x v="42"/>
    <x v="13"/>
    <n v="1"/>
    <x v="6"/>
    <x v="2"/>
  </r>
  <r>
    <n v="10830"/>
    <x v="398"/>
    <n v="6"/>
    <x v="43"/>
    <x v="7"/>
    <n v="6"/>
    <n v="25"/>
    <n v="0"/>
    <n v="150"/>
    <x v="33"/>
    <x v="2"/>
    <n v="1"/>
    <x v="6"/>
    <x v="2"/>
  </r>
  <r>
    <n v="10830"/>
    <x v="398"/>
    <n v="6"/>
    <x v="43"/>
    <x v="7"/>
    <n v="28"/>
    <n v="18"/>
    <n v="0"/>
    <n v="504"/>
    <x v="33"/>
    <x v="2"/>
    <n v="1"/>
    <x v="6"/>
    <x v="2"/>
  </r>
  <r>
    <n v="10830"/>
    <x v="398"/>
    <n v="6"/>
    <x v="43"/>
    <x v="7"/>
    <n v="30"/>
    <n v="34"/>
    <n v="0"/>
    <n v="1020"/>
    <x v="33"/>
    <x v="2"/>
    <n v="1"/>
    <x v="6"/>
    <x v="2"/>
  </r>
  <r>
    <n v="10830"/>
    <x v="398"/>
    <n v="6"/>
    <x v="43"/>
    <x v="7"/>
    <n v="24"/>
    <n v="125"/>
    <n v="0"/>
    <n v="3000"/>
    <x v="33"/>
    <x v="2"/>
    <n v="1"/>
    <x v="6"/>
    <x v="2"/>
  </r>
  <r>
    <n v="10831"/>
    <x v="399"/>
    <n v="19"/>
    <x v="23"/>
    <x v="4"/>
    <n v="2"/>
    <n v="92"/>
    <n v="0"/>
    <n v="184"/>
    <x v="65"/>
    <x v="19"/>
    <n v="1"/>
    <x v="6"/>
    <x v="2"/>
  </r>
  <r>
    <n v="10831"/>
    <x v="399"/>
    <n v="19"/>
    <x v="23"/>
    <x v="4"/>
    <n v="8"/>
    <n v="18"/>
    <n v="0"/>
    <n v="144"/>
    <x v="65"/>
    <x v="19"/>
    <n v="1"/>
    <x v="6"/>
    <x v="2"/>
  </r>
  <r>
    <n v="10831"/>
    <x v="399"/>
    <n v="19"/>
    <x v="23"/>
    <x v="4"/>
    <n v="8"/>
    <n v="2635"/>
    <n v="0"/>
    <n v="21080"/>
    <x v="65"/>
    <x v="19"/>
    <n v="1"/>
    <x v="6"/>
    <x v="2"/>
  </r>
  <r>
    <n v="10831"/>
    <x v="399"/>
    <n v="19"/>
    <x v="23"/>
    <x v="4"/>
    <n v="9"/>
    <n v="46"/>
    <n v="0"/>
    <n v="414"/>
    <x v="65"/>
    <x v="19"/>
    <n v="1"/>
    <x v="6"/>
    <x v="2"/>
  </r>
  <r>
    <n v="10832"/>
    <x v="399"/>
    <n v="13"/>
    <x v="30"/>
    <x v="2"/>
    <n v="3"/>
    <n v="6"/>
    <n v="2"/>
    <n v="17.64"/>
    <x v="53"/>
    <x v="0"/>
    <n v="1"/>
    <x v="6"/>
    <x v="2"/>
  </r>
  <r>
    <n v="10832"/>
    <x v="399"/>
    <n v="13"/>
    <x v="30"/>
    <x v="2"/>
    <n v="10"/>
    <n v="14"/>
    <n v="2"/>
    <n v="137.19999999999999"/>
    <x v="53"/>
    <x v="0"/>
    <n v="1"/>
    <x v="6"/>
    <x v="2"/>
  </r>
  <r>
    <n v="10832"/>
    <x v="399"/>
    <n v="13"/>
    <x v="30"/>
    <x v="2"/>
    <n v="16"/>
    <n v="1945"/>
    <n v="2"/>
    <n v="30497.599999999999"/>
    <x v="53"/>
    <x v="0"/>
    <n v="1"/>
    <x v="6"/>
    <x v="2"/>
  </r>
  <r>
    <n v="10832"/>
    <x v="399"/>
    <n v="13"/>
    <x v="30"/>
    <x v="2"/>
    <n v="3"/>
    <n v="3325"/>
    <n v="0"/>
    <n v="9975"/>
    <x v="53"/>
    <x v="0"/>
    <n v="1"/>
    <x v="6"/>
    <x v="2"/>
  </r>
  <r>
    <n v="10833"/>
    <x v="400"/>
    <n v="7"/>
    <x v="55"/>
    <x v="1"/>
    <n v="20"/>
    <n v="30"/>
    <n v="1"/>
    <n v="594"/>
    <x v="11"/>
    <x v="1"/>
    <n v="1"/>
    <x v="6"/>
    <x v="2"/>
  </r>
  <r>
    <n v="10833"/>
    <x v="400"/>
    <n v="7"/>
    <x v="55"/>
    <x v="1"/>
    <n v="9"/>
    <n v="125"/>
    <n v="1"/>
    <n v="1113.75"/>
    <x v="11"/>
    <x v="1"/>
    <n v="1"/>
    <x v="6"/>
    <x v="2"/>
  </r>
  <r>
    <n v="10833"/>
    <x v="400"/>
    <n v="7"/>
    <x v="55"/>
    <x v="1"/>
    <n v="9"/>
    <n v="328"/>
    <n v="1"/>
    <n v="2922.48"/>
    <x v="11"/>
    <x v="1"/>
    <n v="1"/>
    <x v="6"/>
    <x v="2"/>
  </r>
  <r>
    <n v="10834"/>
    <x v="400"/>
    <n v="29"/>
    <x v="16"/>
    <x v="6"/>
    <n v="8"/>
    <n v="12379"/>
    <n v="5"/>
    <n v="94080.4"/>
    <x v="33"/>
    <x v="2"/>
    <n v="1"/>
    <x v="6"/>
    <x v="2"/>
  </r>
  <r>
    <n v="10834"/>
    <x v="400"/>
    <n v="29"/>
    <x v="16"/>
    <x v="6"/>
    <n v="20"/>
    <n v="2589"/>
    <n v="5"/>
    <n v="49191"/>
    <x v="33"/>
    <x v="2"/>
    <n v="1"/>
    <x v="6"/>
    <x v="2"/>
  </r>
  <r>
    <n v="10835"/>
    <x v="400"/>
    <n v="59"/>
    <x v="44"/>
    <x v="0"/>
    <n v="15"/>
    <n v="55"/>
    <n v="0"/>
    <n v="825"/>
    <x v="85"/>
    <x v="1"/>
    <n v="1"/>
    <x v="6"/>
    <x v="2"/>
  </r>
  <r>
    <n v="10835"/>
    <x v="400"/>
    <n v="59"/>
    <x v="44"/>
    <x v="0"/>
    <n v="2"/>
    <n v="13"/>
    <n v="2"/>
    <n v="25.48"/>
    <x v="85"/>
    <x v="1"/>
    <n v="1"/>
    <x v="6"/>
    <x v="2"/>
  </r>
  <r>
    <n v="10836"/>
    <x v="401"/>
    <n v="22"/>
    <x v="3"/>
    <x v="3"/>
    <n v="52"/>
    <n v="21"/>
    <n v="0"/>
    <n v="1092"/>
    <x v="9"/>
    <x v="6"/>
    <n v="1"/>
    <x v="6"/>
    <x v="2"/>
  </r>
  <r>
    <n v="10836"/>
    <x v="401"/>
    <n v="22"/>
    <x v="3"/>
    <x v="3"/>
    <n v="6"/>
    <n v="18"/>
    <n v="0"/>
    <n v="108"/>
    <x v="9"/>
    <x v="6"/>
    <n v="1"/>
    <x v="6"/>
    <x v="2"/>
  </r>
  <r>
    <n v="10836"/>
    <x v="401"/>
    <n v="22"/>
    <x v="3"/>
    <x v="3"/>
    <n v="24"/>
    <n v="195"/>
    <n v="0"/>
    <n v="4680"/>
    <x v="9"/>
    <x v="6"/>
    <n v="1"/>
    <x v="6"/>
    <x v="2"/>
  </r>
  <r>
    <n v="10836"/>
    <x v="401"/>
    <n v="22"/>
    <x v="3"/>
    <x v="3"/>
    <n v="60"/>
    <n v="34"/>
    <n v="0"/>
    <n v="2040"/>
    <x v="9"/>
    <x v="6"/>
    <n v="1"/>
    <x v="6"/>
    <x v="2"/>
  </r>
  <r>
    <n v="10836"/>
    <x v="401"/>
    <n v="22"/>
    <x v="3"/>
    <x v="3"/>
    <n v="30"/>
    <n v="3325"/>
    <n v="0"/>
    <n v="99750"/>
    <x v="9"/>
    <x v="6"/>
    <n v="1"/>
    <x v="6"/>
    <x v="2"/>
  </r>
  <r>
    <n v="10837"/>
    <x v="401"/>
    <n v="13"/>
    <x v="30"/>
    <x v="2"/>
    <n v="6"/>
    <n v="6"/>
    <n v="0"/>
    <n v="36"/>
    <x v="25"/>
    <x v="9"/>
    <n v="1"/>
    <x v="6"/>
    <x v="2"/>
  </r>
  <r>
    <n v="10837"/>
    <x v="401"/>
    <n v="13"/>
    <x v="30"/>
    <x v="2"/>
    <n v="25"/>
    <n v="184"/>
    <n v="0"/>
    <n v="4600"/>
    <x v="25"/>
    <x v="9"/>
    <n v="1"/>
    <x v="6"/>
    <x v="2"/>
  </r>
  <r>
    <n v="10837"/>
    <x v="401"/>
    <n v="13"/>
    <x v="30"/>
    <x v="2"/>
    <n v="40"/>
    <n v="95"/>
    <n v="25"/>
    <n v="2850"/>
    <x v="25"/>
    <x v="9"/>
    <n v="1"/>
    <x v="6"/>
    <x v="2"/>
  </r>
  <r>
    <n v="10837"/>
    <x v="401"/>
    <n v="13"/>
    <x v="30"/>
    <x v="2"/>
    <n v="21"/>
    <n v="18"/>
    <n v="25"/>
    <n v="283.5"/>
    <x v="25"/>
    <x v="9"/>
    <n v="1"/>
    <x v="6"/>
    <x v="2"/>
  </r>
  <r>
    <n v="10838"/>
    <x v="402"/>
    <n v="1"/>
    <x v="26"/>
    <x v="5"/>
    <n v="4"/>
    <n v="18"/>
    <n v="25"/>
    <n v="54"/>
    <x v="67"/>
    <x v="5"/>
    <n v="1"/>
    <x v="6"/>
    <x v="2"/>
  </r>
  <r>
    <n v="10838"/>
    <x v="402"/>
    <n v="1"/>
    <x v="26"/>
    <x v="5"/>
    <n v="25"/>
    <n v="625"/>
    <n v="25"/>
    <n v="11718.75"/>
    <x v="67"/>
    <x v="5"/>
    <n v="1"/>
    <x v="6"/>
    <x v="2"/>
  </r>
  <r>
    <n v="10838"/>
    <x v="402"/>
    <n v="1"/>
    <x v="26"/>
    <x v="5"/>
    <n v="50"/>
    <n v="19"/>
    <n v="25"/>
    <n v="712.5"/>
    <x v="67"/>
    <x v="5"/>
    <n v="1"/>
    <x v="6"/>
    <x v="2"/>
  </r>
  <r>
    <n v="10839"/>
    <x v="402"/>
    <n v="58"/>
    <x v="53"/>
    <x v="2"/>
    <n v="30"/>
    <n v="1325"/>
    <n v="1"/>
    <n v="39352.5"/>
    <x v="33"/>
    <x v="2"/>
    <n v="1"/>
    <x v="6"/>
    <x v="2"/>
  </r>
  <r>
    <n v="10839"/>
    <x v="402"/>
    <n v="58"/>
    <x v="53"/>
    <x v="2"/>
    <n v="15"/>
    <n v="348"/>
    <n v="1"/>
    <n v="5167.8"/>
    <x v="33"/>
    <x v="2"/>
    <n v="1"/>
    <x v="6"/>
    <x v="2"/>
  </r>
  <r>
    <n v="10840"/>
    <x v="402"/>
    <n v="25"/>
    <x v="49"/>
    <x v="4"/>
    <n v="6"/>
    <n v="14"/>
    <n v="2"/>
    <n v="82.32"/>
    <x v="67"/>
    <x v="5"/>
    <n v="1"/>
    <x v="6"/>
    <x v="2"/>
  </r>
  <r>
    <n v="10840"/>
    <x v="402"/>
    <n v="25"/>
    <x v="49"/>
    <x v="4"/>
    <n v="10"/>
    <n v="18"/>
    <n v="2"/>
    <n v="176.4"/>
    <x v="67"/>
    <x v="5"/>
    <n v="1"/>
    <x v="6"/>
    <x v="2"/>
  </r>
  <r>
    <n v="10841"/>
    <x v="403"/>
    <n v="10"/>
    <x v="19"/>
    <x v="2"/>
    <n v="16"/>
    <n v="31"/>
    <n v="0"/>
    <n v="496"/>
    <x v="4"/>
    <x v="3"/>
    <n v="1"/>
    <x v="6"/>
    <x v="2"/>
  </r>
  <r>
    <n v="10841"/>
    <x v="403"/>
    <n v="10"/>
    <x v="19"/>
    <x v="2"/>
    <n v="30"/>
    <n v="38"/>
    <n v="0"/>
    <n v="1140"/>
    <x v="4"/>
    <x v="3"/>
    <n v="1"/>
    <x v="6"/>
    <x v="2"/>
  </r>
  <r>
    <n v="10841"/>
    <x v="403"/>
    <n v="10"/>
    <x v="19"/>
    <x v="2"/>
    <n v="50"/>
    <n v="55"/>
    <n v="0"/>
    <n v="2750"/>
    <x v="4"/>
    <x v="3"/>
    <n v="1"/>
    <x v="6"/>
    <x v="2"/>
  </r>
  <r>
    <n v="10841"/>
    <x v="403"/>
    <n v="10"/>
    <x v="19"/>
    <x v="2"/>
    <n v="15"/>
    <n v="13"/>
    <n v="0"/>
    <n v="195"/>
    <x v="4"/>
    <x v="3"/>
    <n v="1"/>
    <x v="6"/>
    <x v="2"/>
  </r>
  <r>
    <n v="10842"/>
    <x v="403"/>
    <n v="11"/>
    <x v="0"/>
    <x v="0"/>
    <n v="15"/>
    <n v="21"/>
    <n v="0"/>
    <n v="315"/>
    <x v="23"/>
    <x v="7"/>
    <n v="1"/>
    <x v="6"/>
    <x v="2"/>
  </r>
  <r>
    <n v="10842"/>
    <x v="403"/>
    <n v="11"/>
    <x v="0"/>
    <x v="0"/>
    <n v="5"/>
    <n v="46"/>
    <n v="0"/>
    <n v="230"/>
    <x v="23"/>
    <x v="7"/>
    <n v="1"/>
    <x v="6"/>
    <x v="2"/>
  </r>
  <r>
    <n v="10842"/>
    <x v="403"/>
    <n v="11"/>
    <x v="0"/>
    <x v="0"/>
    <n v="20"/>
    <n v="125"/>
    <n v="0"/>
    <n v="2500"/>
    <x v="23"/>
    <x v="7"/>
    <n v="1"/>
    <x v="6"/>
    <x v="2"/>
  </r>
  <r>
    <n v="10842"/>
    <x v="403"/>
    <n v="11"/>
    <x v="0"/>
    <x v="0"/>
    <n v="12"/>
    <n v="15"/>
    <n v="0"/>
    <n v="180"/>
    <x v="23"/>
    <x v="7"/>
    <n v="1"/>
    <x v="6"/>
    <x v="2"/>
  </r>
  <r>
    <n v="10843"/>
    <x v="404"/>
    <n v="51"/>
    <x v="71"/>
    <x v="1"/>
    <n v="4"/>
    <n v="53"/>
    <n v="25"/>
    <n v="159"/>
    <x v="3"/>
    <x v="0"/>
    <n v="1"/>
    <x v="6"/>
    <x v="2"/>
  </r>
  <r>
    <n v="10844"/>
    <x v="404"/>
    <n v="22"/>
    <x v="3"/>
    <x v="3"/>
    <n v="35"/>
    <n v="21"/>
    <n v="0"/>
    <n v="735"/>
    <x v="54"/>
    <x v="6"/>
    <n v="1"/>
    <x v="6"/>
    <x v="2"/>
  </r>
  <r>
    <n v="10845"/>
    <x v="404"/>
    <n v="23"/>
    <x v="46"/>
    <x v="3"/>
    <n v="70"/>
    <n v="9"/>
    <n v="1"/>
    <n v="623.70000000000005"/>
    <x v="21"/>
    <x v="1"/>
    <n v="1"/>
    <x v="6"/>
    <x v="2"/>
  </r>
  <r>
    <n v="10845"/>
    <x v="404"/>
    <n v="23"/>
    <x v="46"/>
    <x v="3"/>
    <n v="25"/>
    <n v="18"/>
    <n v="1"/>
    <n v="445.5"/>
    <x v="21"/>
    <x v="1"/>
    <n v="1"/>
    <x v="6"/>
    <x v="2"/>
  </r>
  <r>
    <n v="10845"/>
    <x v="404"/>
    <n v="23"/>
    <x v="46"/>
    <x v="3"/>
    <n v="42"/>
    <n v="14"/>
    <n v="1"/>
    <n v="582.12"/>
    <x v="21"/>
    <x v="1"/>
    <n v="1"/>
    <x v="6"/>
    <x v="2"/>
  </r>
  <r>
    <n v="10845"/>
    <x v="404"/>
    <n v="23"/>
    <x v="46"/>
    <x v="3"/>
    <n v="60"/>
    <n v="1325"/>
    <n v="1"/>
    <n v="78705"/>
    <x v="21"/>
    <x v="1"/>
    <n v="1"/>
    <x v="6"/>
    <x v="2"/>
  </r>
  <r>
    <n v="10845"/>
    <x v="404"/>
    <n v="23"/>
    <x v="46"/>
    <x v="3"/>
    <n v="48"/>
    <n v="3325"/>
    <n v="0"/>
    <n v="159600"/>
    <x v="21"/>
    <x v="1"/>
    <n v="1"/>
    <x v="6"/>
    <x v="2"/>
  </r>
  <r>
    <n v="10846"/>
    <x v="405"/>
    <n v="4"/>
    <x v="38"/>
    <x v="7"/>
    <n v="21"/>
    <n v="22"/>
    <n v="0"/>
    <n v="462"/>
    <x v="4"/>
    <x v="3"/>
    <n v="1"/>
    <x v="6"/>
    <x v="2"/>
  </r>
  <r>
    <n v="10846"/>
    <x v="405"/>
    <n v="4"/>
    <x v="38"/>
    <x v="7"/>
    <n v="30"/>
    <n v="15"/>
    <n v="0"/>
    <n v="450"/>
    <x v="4"/>
    <x v="3"/>
    <n v="1"/>
    <x v="6"/>
    <x v="2"/>
  </r>
  <r>
    <n v="10846"/>
    <x v="405"/>
    <n v="4"/>
    <x v="38"/>
    <x v="7"/>
    <n v="20"/>
    <n v="10"/>
    <n v="0"/>
    <n v="200"/>
    <x v="4"/>
    <x v="3"/>
    <n v="1"/>
    <x v="6"/>
    <x v="2"/>
  </r>
  <r>
    <n v="10847"/>
    <x v="405"/>
    <n v="1"/>
    <x v="26"/>
    <x v="5"/>
    <n v="80"/>
    <n v="18"/>
    <n v="2"/>
    <n v="1411.2"/>
    <x v="45"/>
    <x v="8"/>
    <n v="1"/>
    <x v="6"/>
    <x v="2"/>
  </r>
  <r>
    <n v="10847"/>
    <x v="405"/>
    <n v="1"/>
    <x v="26"/>
    <x v="5"/>
    <n v="12"/>
    <n v="92"/>
    <n v="2"/>
    <n v="1081.92"/>
    <x v="45"/>
    <x v="8"/>
    <n v="1"/>
    <x v="6"/>
    <x v="2"/>
  </r>
  <r>
    <n v="10847"/>
    <x v="405"/>
    <n v="1"/>
    <x v="26"/>
    <x v="5"/>
    <n v="60"/>
    <n v="26"/>
    <n v="2"/>
    <n v="1528.8"/>
    <x v="45"/>
    <x v="8"/>
    <n v="1"/>
    <x v="6"/>
    <x v="2"/>
  </r>
  <r>
    <n v="10847"/>
    <x v="405"/>
    <n v="1"/>
    <x v="26"/>
    <x v="5"/>
    <n v="36"/>
    <n v="95"/>
    <n v="2"/>
    <n v="3351.6"/>
    <x v="45"/>
    <x v="8"/>
    <n v="1"/>
    <x v="6"/>
    <x v="2"/>
  </r>
  <r>
    <n v="10847"/>
    <x v="405"/>
    <n v="1"/>
    <x v="26"/>
    <x v="5"/>
    <n v="45"/>
    <n v="34"/>
    <n v="2"/>
    <n v="1499.3999999999999"/>
    <x v="45"/>
    <x v="8"/>
    <n v="1"/>
    <x v="6"/>
    <x v="2"/>
  </r>
  <r>
    <n v="10847"/>
    <x v="405"/>
    <n v="1"/>
    <x v="26"/>
    <x v="5"/>
    <n v="55"/>
    <n v="215"/>
    <n v="2"/>
    <n v="11588.5"/>
    <x v="45"/>
    <x v="8"/>
    <n v="1"/>
    <x v="6"/>
    <x v="2"/>
  </r>
  <r>
    <n v="10848"/>
    <x v="406"/>
    <n v="5"/>
    <x v="11"/>
    <x v="7"/>
    <n v="30"/>
    <n v="2135"/>
    <n v="0"/>
    <n v="64050"/>
    <x v="72"/>
    <x v="13"/>
    <n v="1"/>
    <x v="6"/>
    <x v="2"/>
  </r>
  <r>
    <n v="10848"/>
    <x v="406"/>
    <n v="5"/>
    <x v="11"/>
    <x v="7"/>
    <n v="3"/>
    <n v="97"/>
    <n v="0"/>
    <n v="291"/>
    <x v="72"/>
    <x v="13"/>
    <n v="1"/>
    <x v="6"/>
    <x v="2"/>
  </r>
  <r>
    <n v="10849"/>
    <x v="406"/>
    <n v="3"/>
    <x v="29"/>
    <x v="7"/>
    <n v="49"/>
    <n v="10"/>
    <n v="0"/>
    <n v="490"/>
    <x v="44"/>
    <x v="1"/>
    <n v="1"/>
    <x v="6"/>
    <x v="2"/>
  </r>
  <r>
    <n v="10849"/>
    <x v="406"/>
    <n v="3"/>
    <x v="29"/>
    <x v="7"/>
    <n v="18"/>
    <n v="3123"/>
    <n v="15"/>
    <n v="47781.9"/>
    <x v="44"/>
    <x v="1"/>
    <n v="1"/>
    <x v="6"/>
    <x v="2"/>
  </r>
  <r>
    <n v="10850"/>
    <x v="406"/>
    <n v="25"/>
    <x v="49"/>
    <x v="4"/>
    <n v="20"/>
    <n v="14"/>
    <n v="15"/>
    <n v="238"/>
    <x v="3"/>
    <x v="0"/>
    <n v="1"/>
    <x v="6"/>
    <x v="2"/>
  </r>
  <r>
    <n v="10850"/>
    <x v="406"/>
    <n v="25"/>
    <x v="49"/>
    <x v="4"/>
    <n v="4"/>
    <n v="25"/>
    <n v="15"/>
    <n v="85"/>
    <x v="3"/>
    <x v="0"/>
    <n v="1"/>
    <x v="6"/>
    <x v="2"/>
  </r>
  <r>
    <n v="10850"/>
    <x v="406"/>
    <n v="25"/>
    <x v="49"/>
    <x v="4"/>
    <n v="30"/>
    <n v="15"/>
    <n v="15"/>
    <n v="382.5"/>
    <x v="3"/>
    <x v="0"/>
    <n v="1"/>
    <x v="6"/>
    <x v="2"/>
  </r>
  <r>
    <n v="10851"/>
    <x v="407"/>
    <n v="2"/>
    <x v="7"/>
    <x v="5"/>
    <n v="5"/>
    <n v="19"/>
    <n v="5"/>
    <n v="90.25"/>
    <x v="29"/>
    <x v="2"/>
    <n v="1"/>
    <x v="6"/>
    <x v="2"/>
  </r>
  <r>
    <n v="10851"/>
    <x v="407"/>
    <n v="2"/>
    <x v="7"/>
    <x v="5"/>
    <n v="10"/>
    <n v="14"/>
    <n v="5"/>
    <n v="133"/>
    <x v="29"/>
    <x v="2"/>
    <n v="1"/>
    <x v="6"/>
    <x v="2"/>
  </r>
  <r>
    <n v="10851"/>
    <x v="407"/>
    <n v="2"/>
    <x v="7"/>
    <x v="5"/>
    <n v="10"/>
    <n v="195"/>
    <n v="5"/>
    <n v="1852.5"/>
    <x v="29"/>
    <x v="2"/>
    <n v="1"/>
    <x v="6"/>
    <x v="2"/>
  </r>
  <r>
    <n v="10851"/>
    <x v="407"/>
    <n v="2"/>
    <x v="7"/>
    <x v="5"/>
    <n v="42"/>
    <n v="55"/>
    <n v="5"/>
    <n v="2194.5"/>
    <x v="29"/>
    <x v="2"/>
    <n v="1"/>
    <x v="6"/>
    <x v="2"/>
  </r>
  <r>
    <n v="10852"/>
    <x v="407"/>
    <n v="2"/>
    <x v="7"/>
    <x v="5"/>
    <n v="15"/>
    <n v="19"/>
    <n v="0"/>
    <n v="285"/>
    <x v="13"/>
    <x v="8"/>
    <n v="1"/>
    <x v="6"/>
    <x v="2"/>
  </r>
  <r>
    <n v="10852"/>
    <x v="407"/>
    <n v="2"/>
    <x v="7"/>
    <x v="5"/>
    <n v="6"/>
    <n v="39"/>
    <n v="0"/>
    <n v="234"/>
    <x v="13"/>
    <x v="8"/>
    <n v="1"/>
    <x v="6"/>
    <x v="2"/>
  </r>
  <r>
    <n v="10852"/>
    <x v="407"/>
    <n v="2"/>
    <x v="7"/>
    <x v="5"/>
    <n v="50"/>
    <n v="493"/>
    <n v="0"/>
    <n v="24650"/>
    <x v="13"/>
    <x v="8"/>
    <n v="1"/>
    <x v="6"/>
    <x v="2"/>
  </r>
  <r>
    <n v="10853"/>
    <x v="408"/>
    <n v="18"/>
    <x v="31"/>
    <x v="2"/>
    <n v="10"/>
    <n v="625"/>
    <n v="0"/>
    <n v="6250"/>
    <x v="76"/>
    <x v="1"/>
    <n v="1"/>
    <x v="6"/>
    <x v="2"/>
  </r>
  <r>
    <n v="10854"/>
    <x v="408"/>
    <n v="10"/>
    <x v="19"/>
    <x v="2"/>
    <n v="100"/>
    <n v="31"/>
    <n v="15"/>
    <n v="2635"/>
    <x v="9"/>
    <x v="6"/>
    <n v="1"/>
    <x v="6"/>
    <x v="2"/>
  </r>
  <r>
    <n v="10854"/>
    <x v="408"/>
    <n v="10"/>
    <x v="19"/>
    <x v="2"/>
    <n v="65"/>
    <n v="6"/>
    <n v="15"/>
    <n v="331.5"/>
    <x v="9"/>
    <x v="6"/>
    <n v="1"/>
    <x v="6"/>
    <x v="2"/>
  </r>
  <r>
    <n v="10855"/>
    <x v="408"/>
    <n v="16"/>
    <x v="12"/>
    <x v="4"/>
    <n v="50"/>
    <n v="1745"/>
    <n v="0"/>
    <n v="87250"/>
    <x v="37"/>
    <x v="8"/>
    <n v="1"/>
    <x v="6"/>
    <x v="2"/>
  </r>
  <r>
    <n v="10855"/>
    <x v="408"/>
    <n v="16"/>
    <x v="12"/>
    <x v="4"/>
    <n v="14"/>
    <n v="125"/>
    <n v="0"/>
    <n v="1750"/>
    <x v="37"/>
    <x v="8"/>
    <n v="1"/>
    <x v="6"/>
    <x v="2"/>
  </r>
  <r>
    <n v="10855"/>
    <x v="408"/>
    <n v="16"/>
    <x v="12"/>
    <x v="4"/>
    <n v="24"/>
    <n v="38"/>
    <n v="0"/>
    <n v="912"/>
    <x v="37"/>
    <x v="8"/>
    <n v="1"/>
    <x v="6"/>
    <x v="2"/>
  </r>
  <r>
    <n v="10855"/>
    <x v="408"/>
    <n v="16"/>
    <x v="12"/>
    <x v="4"/>
    <n v="15"/>
    <n v="2105"/>
    <n v="15"/>
    <n v="26838.75"/>
    <x v="37"/>
    <x v="8"/>
    <n v="1"/>
    <x v="6"/>
    <x v="2"/>
  </r>
  <r>
    <n v="10856"/>
    <x v="409"/>
    <n v="2"/>
    <x v="7"/>
    <x v="5"/>
    <n v="20"/>
    <n v="19"/>
    <n v="0"/>
    <n v="380"/>
    <x v="59"/>
    <x v="7"/>
    <n v="1"/>
    <x v="6"/>
    <x v="2"/>
  </r>
  <r>
    <n v="10856"/>
    <x v="409"/>
    <n v="2"/>
    <x v="7"/>
    <x v="5"/>
    <n v="20"/>
    <n v="14"/>
    <n v="0"/>
    <n v="280"/>
    <x v="59"/>
    <x v="7"/>
    <n v="1"/>
    <x v="6"/>
    <x v="2"/>
  </r>
  <r>
    <n v="10857"/>
    <x v="409"/>
    <n v="3"/>
    <x v="29"/>
    <x v="7"/>
    <n v="30"/>
    <n v="10"/>
    <n v="0"/>
    <n v="300"/>
    <x v="25"/>
    <x v="9"/>
    <n v="1"/>
    <x v="6"/>
    <x v="2"/>
  </r>
  <r>
    <n v="10857"/>
    <x v="409"/>
    <n v="3"/>
    <x v="29"/>
    <x v="7"/>
    <n v="35"/>
    <n v="3123"/>
    <n v="25"/>
    <n v="81978.75"/>
    <x v="25"/>
    <x v="9"/>
    <n v="1"/>
    <x v="6"/>
    <x v="2"/>
  </r>
  <r>
    <n v="10857"/>
    <x v="409"/>
    <n v="3"/>
    <x v="29"/>
    <x v="7"/>
    <n v="10"/>
    <n v="12379"/>
    <n v="25"/>
    <n v="92842.5"/>
    <x v="25"/>
    <x v="9"/>
    <n v="1"/>
    <x v="6"/>
    <x v="2"/>
  </r>
  <r>
    <n v="10858"/>
    <x v="410"/>
    <n v="7"/>
    <x v="55"/>
    <x v="1"/>
    <n v="5"/>
    <n v="30"/>
    <n v="0"/>
    <n v="150"/>
    <x v="88"/>
    <x v="0"/>
    <n v="1"/>
    <x v="6"/>
    <x v="2"/>
  </r>
  <r>
    <n v="10858"/>
    <x v="410"/>
    <n v="7"/>
    <x v="55"/>
    <x v="1"/>
    <n v="10"/>
    <n v="439"/>
    <n v="0"/>
    <n v="4390"/>
    <x v="88"/>
    <x v="0"/>
    <n v="1"/>
    <x v="6"/>
    <x v="2"/>
  </r>
  <r>
    <n v="10858"/>
    <x v="410"/>
    <n v="7"/>
    <x v="55"/>
    <x v="1"/>
    <n v="4"/>
    <n v="15"/>
    <n v="0"/>
    <n v="60"/>
    <x v="88"/>
    <x v="0"/>
    <n v="1"/>
    <x v="6"/>
    <x v="2"/>
  </r>
  <r>
    <n v="10859"/>
    <x v="410"/>
    <n v="24"/>
    <x v="6"/>
    <x v="5"/>
    <n v="40"/>
    <n v="45"/>
    <n v="25"/>
    <n v="1350"/>
    <x v="17"/>
    <x v="1"/>
    <n v="1"/>
    <x v="6"/>
    <x v="2"/>
  </r>
  <r>
    <n v="10859"/>
    <x v="410"/>
    <n v="24"/>
    <x v="6"/>
    <x v="5"/>
    <n v="35"/>
    <n v="745"/>
    <n v="25"/>
    <n v="19556.25"/>
    <x v="17"/>
    <x v="1"/>
    <n v="1"/>
    <x v="6"/>
    <x v="2"/>
  </r>
  <r>
    <n v="10859"/>
    <x v="410"/>
    <n v="24"/>
    <x v="6"/>
    <x v="5"/>
    <n v="30"/>
    <n v="3325"/>
    <n v="25"/>
    <n v="74812.5"/>
    <x v="17"/>
    <x v="1"/>
    <n v="1"/>
    <x v="6"/>
    <x v="2"/>
  </r>
  <r>
    <n v="10860"/>
    <x v="410"/>
    <n v="51"/>
    <x v="71"/>
    <x v="1"/>
    <n v="3"/>
    <n v="53"/>
    <n v="0"/>
    <n v="159"/>
    <x v="86"/>
    <x v="0"/>
    <n v="1"/>
    <x v="6"/>
    <x v="2"/>
  </r>
  <r>
    <n v="10860"/>
    <x v="410"/>
    <n v="51"/>
    <x v="71"/>
    <x v="1"/>
    <n v="20"/>
    <n v="18"/>
    <n v="0"/>
    <n v="360"/>
    <x v="86"/>
    <x v="0"/>
    <n v="1"/>
    <x v="6"/>
    <x v="2"/>
  </r>
  <r>
    <n v="10861"/>
    <x v="411"/>
    <n v="17"/>
    <x v="13"/>
    <x v="6"/>
    <n v="42"/>
    <n v="39"/>
    <n v="0"/>
    <n v="1638"/>
    <x v="19"/>
    <x v="8"/>
    <n v="1"/>
    <x v="6"/>
    <x v="2"/>
  </r>
  <r>
    <n v="10861"/>
    <x v="411"/>
    <n v="17"/>
    <x v="13"/>
    <x v="6"/>
    <n v="20"/>
    <n v="625"/>
    <n v="0"/>
    <n v="12500"/>
    <x v="19"/>
    <x v="8"/>
    <n v="1"/>
    <x v="6"/>
    <x v="2"/>
  </r>
  <r>
    <n v="10861"/>
    <x v="411"/>
    <n v="17"/>
    <x v="13"/>
    <x v="6"/>
    <n v="40"/>
    <n v="10"/>
    <n v="0"/>
    <n v="400"/>
    <x v="19"/>
    <x v="8"/>
    <n v="1"/>
    <x v="6"/>
    <x v="2"/>
  </r>
  <r>
    <n v="10861"/>
    <x v="411"/>
    <n v="17"/>
    <x v="13"/>
    <x v="6"/>
    <n v="35"/>
    <n v="25"/>
    <n v="0"/>
    <n v="875"/>
    <x v="19"/>
    <x v="8"/>
    <n v="1"/>
    <x v="6"/>
    <x v="2"/>
  </r>
  <r>
    <n v="10861"/>
    <x v="411"/>
    <n v="17"/>
    <x v="13"/>
    <x v="6"/>
    <n v="3"/>
    <n v="493"/>
    <n v="0"/>
    <n v="1479"/>
    <x v="19"/>
    <x v="8"/>
    <n v="1"/>
    <x v="6"/>
    <x v="2"/>
  </r>
  <r>
    <n v="10862"/>
    <x v="411"/>
    <n v="11"/>
    <x v="0"/>
    <x v="0"/>
    <n v="25"/>
    <n v="21"/>
    <n v="0"/>
    <n v="525"/>
    <x v="26"/>
    <x v="1"/>
    <n v="1"/>
    <x v="6"/>
    <x v="2"/>
  </r>
  <r>
    <n v="10862"/>
    <x v="411"/>
    <n v="11"/>
    <x v="0"/>
    <x v="0"/>
    <n v="8"/>
    <n v="7"/>
    <n v="0"/>
    <n v="56"/>
    <x v="26"/>
    <x v="1"/>
    <n v="1"/>
    <x v="6"/>
    <x v="2"/>
  </r>
  <r>
    <n v="10863"/>
    <x v="412"/>
    <n v="1"/>
    <x v="26"/>
    <x v="5"/>
    <n v="20"/>
    <n v="18"/>
    <n v="15"/>
    <n v="306"/>
    <x v="8"/>
    <x v="5"/>
    <n v="2"/>
    <x v="7"/>
    <x v="2"/>
  </r>
  <r>
    <n v="10863"/>
    <x v="412"/>
    <n v="1"/>
    <x v="26"/>
    <x v="5"/>
    <n v="12"/>
    <n v="1325"/>
    <n v="15"/>
    <n v="13515"/>
    <x v="8"/>
    <x v="5"/>
    <n v="2"/>
    <x v="7"/>
    <x v="2"/>
  </r>
  <r>
    <n v="10864"/>
    <x v="412"/>
    <n v="35"/>
    <x v="27"/>
    <x v="5"/>
    <n v="4"/>
    <n v="18"/>
    <n v="0"/>
    <n v="72"/>
    <x v="55"/>
    <x v="13"/>
    <n v="2"/>
    <x v="7"/>
    <x v="2"/>
  </r>
  <r>
    <n v="10864"/>
    <x v="412"/>
    <n v="35"/>
    <x v="27"/>
    <x v="5"/>
    <n v="15"/>
    <n v="14"/>
    <n v="0"/>
    <n v="210"/>
    <x v="55"/>
    <x v="13"/>
    <n v="2"/>
    <x v="7"/>
    <x v="2"/>
  </r>
  <r>
    <n v="10865"/>
    <x v="412"/>
    <n v="38"/>
    <x v="51"/>
    <x v="5"/>
    <n v="60"/>
    <n v="2635"/>
    <n v="5"/>
    <n v="150195"/>
    <x v="21"/>
    <x v="1"/>
    <n v="2"/>
    <x v="7"/>
    <x v="2"/>
  </r>
  <r>
    <n v="10865"/>
    <x v="412"/>
    <n v="38"/>
    <x v="51"/>
    <x v="5"/>
    <n v="80"/>
    <n v="18"/>
    <n v="5"/>
    <n v="1368"/>
    <x v="21"/>
    <x v="1"/>
    <n v="2"/>
    <x v="7"/>
    <x v="2"/>
  </r>
  <r>
    <n v="10866"/>
    <x v="413"/>
    <n v="2"/>
    <x v="7"/>
    <x v="5"/>
    <n v="21"/>
    <n v="19"/>
    <n v="25"/>
    <n v="299.25"/>
    <x v="25"/>
    <x v="9"/>
    <n v="2"/>
    <x v="7"/>
    <x v="2"/>
  </r>
  <r>
    <n v="10866"/>
    <x v="413"/>
    <n v="2"/>
    <x v="7"/>
    <x v="5"/>
    <n v="6"/>
    <n v="45"/>
    <n v="25"/>
    <n v="202.5"/>
    <x v="25"/>
    <x v="9"/>
    <n v="2"/>
    <x v="7"/>
    <x v="2"/>
  </r>
  <r>
    <n v="10866"/>
    <x v="413"/>
    <n v="2"/>
    <x v="7"/>
    <x v="5"/>
    <n v="40"/>
    <n v="2589"/>
    <n v="25"/>
    <n v="77670"/>
    <x v="25"/>
    <x v="9"/>
    <n v="2"/>
    <x v="7"/>
    <x v="2"/>
  </r>
  <r>
    <n v="10867"/>
    <x v="413"/>
    <n v="53"/>
    <x v="8"/>
    <x v="6"/>
    <n v="3"/>
    <n v="328"/>
    <n v="0"/>
    <n v="984"/>
    <x v="38"/>
    <x v="8"/>
    <n v="2"/>
    <x v="7"/>
    <x v="2"/>
  </r>
  <r>
    <n v="10868"/>
    <x v="414"/>
    <n v="26"/>
    <x v="45"/>
    <x v="4"/>
    <n v="20"/>
    <n v="3123"/>
    <n v="0"/>
    <n v="62460"/>
    <x v="62"/>
    <x v="2"/>
    <n v="2"/>
    <x v="7"/>
    <x v="2"/>
  </r>
  <r>
    <n v="10868"/>
    <x v="414"/>
    <n v="26"/>
    <x v="45"/>
    <x v="4"/>
    <n v="30"/>
    <n v="18"/>
    <n v="0"/>
    <n v="540"/>
    <x v="62"/>
    <x v="2"/>
    <n v="2"/>
    <x v="7"/>
    <x v="2"/>
  </r>
  <r>
    <n v="10868"/>
    <x v="414"/>
    <n v="26"/>
    <x v="45"/>
    <x v="4"/>
    <n v="42"/>
    <n v="20"/>
    <n v="1"/>
    <n v="831.6"/>
    <x v="62"/>
    <x v="2"/>
    <n v="2"/>
    <x v="7"/>
    <x v="2"/>
  </r>
  <r>
    <n v="10869"/>
    <x v="414"/>
    <n v="1"/>
    <x v="26"/>
    <x v="5"/>
    <n v="40"/>
    <n v="18"/>
    <n v="0"/>
    <n v="720"/>
    <x v="56"/>
    <x v="13"/>
    <n v="2"/>
    <x v="7"/>
    <x v="2"/>
  </r>
  <r>
    <n v="10869"/>
    <x v="414"/>
    <n v="1"/>
    <x v="26"/>
    <x v="5"/>
    <n v="10"/>
    <n v="21"/>
    <n v="0"/>
    <n v="210"/>
    <x v="56"/>
    <x v="13"/>
    <n v="2"/>
    <x v="7"/>
    <x v="2"/>
  </r>
  <r>
    <n v="10869"/>
    <x v="414"/>
    <n v="1"/>
    <x v="26"/>
    <x v="5"/>
    <n v="50"/>
    <n v="9"/>
    <n v="0"/>
    <n v="450"/>
    <x v="56"/>
    <x v="13"/>
    <n v="2"/>
    <x v="7"/>
    <x v="2"/>
  </r>
  <r>
    <n v="10869"/>
    <x v="414"/>
    <n v="1"/>
    <x v="26"/>
    <x v="5"/>
    <n v="20"/>
    <n v="125"/>
    <n v="0"/>
    <n v="2500"/>
    <x v="56"/>
    <x v="13"/>
    <n v="2"/>
    <x v="7"/>
    <x v="2"/>
  </r>
  <r>
    <n v="10870"/>
    <x v="414"/>
    <n v="35"/>
    <x v="27"/>
    <x v="5"/>
    <n v="3"/>
    <n v="18"/>
    <n v="0"/>
    <n v="54"/>
    <x v="63"/>
    <x v="18"/>
    <n v="2"/>
    <x v="7"/>
    <x v="2"/>
  </r>
  <r>
    <n v="10870"/>
    <x v="414"/>
    <n v="35"/>
    <x v="27"/>
    <x v="5"/>
    <n v="2"/>
    <n v="53"/>
    <n v="0"/>
    <n v="106"/>
    <x v="63"/>
    <x v="18"/>
    <n v="2"/>
    <x v="7"/>
    <x v="2"/>
  </r>
  <r>
    <n v="10871"/>
    <x v="415"/>
    <n v="6"/>
    <x v="43"/>
    <x v="7"/>
    <n v="50"/>
    <n v="25"/>
    <n v="5"/>
    <n v="1187.5"/>
    <x v="48"/>
    <x v="0"/>
    <n v="2"/>
    <x v="7"/>
    <x v="2"/>
  </r>
  <r>
    <n v="10871"/>
    <x v="415"/>
    <n v="6"/>
    <x v="43"/>
    <x v="7"/>
    <n v="12"/>
    <n v="1745"/>
    <n v="5"/>
    <n v="19893"/>
    <x v="48"/>
    <x v="0"/>
    <n v="2"/>
    <x v="7"/>
    <x v="2"/>
  </r>
  <r>
    <n v="10871"/>
    <x v="415"/>
    <n v="6"/>
    <x v="43"/>
    <x v="7"/>
    <n v="16"/>
    <n v="39"/>
    <n v="5"/>
    <n v="592.79999999999995"/>
    <x v="48"/>
    <x v="0"/>
    <n v="2"/>
    <x v="7"/>
    <x v="2"/>
  </r>
  <r>
    <n v="10872"/>
    <x v="415"/>
    <n v="55"/>
    <x v="62"/>
    <x v="6"/>
    <n v="10"/>
    <n v="24"/>
    <n v="5"/>
    <n v="228"/>
    <x v="36"/>
    <x v="12"/>
    <n v="2"/>
    <x v="7"/>
    <x v="2"/>
  </r>
  <r>
    <n v="10872"/>
    <x v="415"/>
    <n v="55"/>
    <x v="62"/>
    <x v="6"/>
    <n v="20"/>
    <n v="493"/>
    <n v="5"/>
    <n v="9367"/>
    <x v="36"/>
    <x v="12"/>
    <n v="2"/>
    <x v="7"/>
    <x v="2"/>
  </r>
  <r>
    <n v="10872"/>
    <x v="415"/>
    <n v="55"/>
    <x v="62"/>
    <x v="6"/>
    <n v="15"/>
    <n v="3325"/>
    <n v="5"/>
    <n v="47381.25"/>
    <x v="36"/>
    <x v="12"/>
    <n v="2"/>
    <x v="7"/>
    <x v="2"/>
  </r>
  <r>
    <n v="10872"/>
    <x v="415"/>
    <n v="55"/>
    <x v="62"/>
    <x v="6"/>
    <n v="21"/>
    <n v="2105"/>
    <n v="5"/>
    <n v="41994.75"/>
    <x v="36"/>
    <x v="12"/>
    <n v="2"/>
    <x v="7"/>
    <x v="2"/>
  </r>
  <r>
    <n v="10873"/>
    <x v="416"/>
    <n v="21"/>
    <x v="10"/>
    <x v="4"/>
    <n v="20"/>
    <n v="10"/>
    <n v="0"/>
    <n v="200"/>
    <x v="83"/>
    <x v="10"/>
    <n v="2"/>
    <x v="7"/>
    <x v="2"/>
  </r>
  <r>
    <n v="10873"/>
    <x v="416"/>
    <n v="21"/>
    <x v="10"/>
    <x v="4"/>
    <n v="3"/>
    <n v="456"/>
    <n v="0"/>
    <n v="1368"/>
    <x v="83"/>
    <x v="10"/>
    <n v="2"/>
    <x v="7"/>
    <x v="2"/>
  </r>
  <r>
    <n v="10874"/>
    <x v="416"/>
    <n v="10"/>
    <x v="19"/>
    <x v="2"/>
    <n v="10"/>
    <n v="31"/>
    <n v="0"/>
    <n v="310"/>
    <x v="36"/>
    <x v="12"/>
    <n v="2"/>
    <x v="7"/>
    <x v="2"/>
  </r>
  <r>
    <n v="10875"/>
    <x v="416"/>
    <n v="19"/>
    <x v="23"/>
    <x v="4"/>
    <n v="25"/>
    <n v="92"/>
    <n v="0"/>
    <n v="2300"/>
    <x v="25"/>
    <x v="9"/>
    <n v="2"/>
    <x v="7"/>
    <x v="2"/>
  </r>
  <r>
    <n v="10875"/>
    <x v="416"/>
    <n v="19"/>
    <x v="23"/>
    <x v="4"/>
    <n v="21"/>
    <n v="95"/>
    <n v="1"/>
    <n v="1975.05"/>
    <x v="25"/>
    <x v="9"/>
    <n v="2"/>
    <x v="7"/>
    <x v="2"/>
  </r>
  <r>
    <n v="10875"/>
    <x v="416"/>
    <n v="19"/>
    <x v="23"/>
    <x v="4"/>
    <n v="15"/>
    <n v="20"/>
    <n v="0"/>
    <n v="300"/>
    <x v="25"/>
    <x v="9"/>
    <n v="2"/>
    <x v="7"/>
    <x v="2"/>
  </r>
  <r>
    <n v="10876"/>
    <x v="417"/>
    <n v="46"/>
    <x v="57"/>
    <x v="2"/>
    <n v="21"/>
    <n v="12"/>
    <n v="0"/>
    <n v="252"/>
    <x v="48"/>
    <x v="0"/>
    <n v="2"/>
    <x v="7"/>
    <x v="2"/>
  </r>
  <r>
    <n v="10876"/>
    <x v="417"/>
    <n v="46"/>
    <x v="57"/>
    <x v="2"/>
    <n v="20"/>
    <n v="3325"/>
    <n v="0"/>
    <n v="66500"/>
    <x v="48"/>
    <x v="0"/>
    <n v="2"/>
    <x v="7"/>
    <x v="2"/>
  </r>
  <r>
    <n v="10877"/>
    <x v="417"/>
    <n v="16"/>
    <x v="12"/>
    <x v="4"/>
    <n v="30"/>
    <n v="1745"/>
    <n v="25"/>
    <n v="39262.5"/>
    <x v="29"/>
    <x v="2"/>
    <n v="2"/>
    <x v="7"/>
    <x v="2"/>
  </r>
  <r>
    <n v="10877"/>
    <x v="417"/>
    <n v="16"/>
    <x v="12"/>
    <x v="4"/>
    <n v="25"/>
    <n v="625"/>
    <n v="0"/>
    <n v="15625"/>
    <x v="29"/>
    <x v="2"/>
    <n v="2"/>
    <x v="7"/>
    <x v="2"/>
  </r>
  <r>
    <n v="10878"/>
    <x v="418"/>
    <n v="20"/>
    <x v="4"/>
    <x v="4"/>
    <n v="20"/>
    <n v="81"/>
    <n v="5"/>
    <n v="1539"/>
    <x v="21"/>
    <x v="1"/>
    <n v="2"/>
    <x v="7"/>
    <x v="2"/>
  </r>
  <r>
    <n v="10879"/>
    <x v="418"/>
    <n v="40"/>
    <x v="15"/>
    <x v="2"/>
    <n v="12"/>
    <n v="184"/>
    <n v="0"/>
    <n v="2208"/>
    <x v="83"/>
    <x v="10"/>
    <n v="2"/>
    <x v="7"/>
    <x v="2"/>
  </r>
  <r>
    <n v="10879"/>
    <x v="418"/>
    <n v="40"/>
    <x v="15"/>
    <x v="2"/>
    <n v="10"/>
    <n v="2105"/>
    <n v="0"/>
    <n v="21050"/>
    <x v="83"/>
    <x v="10"/>
    <n v="2"/>
    <x v="7"/>
    <x v="2"/>
  </r>
  <r>
    <n v="10879"/>
    <x v="418"/>
    <n v="40"/>
    <x v="15"/>
    <x v="2"/>
    <n v="10"/>
    <n v="18"/>
    <n v="0"/>
    <n v="180"/>
    <x v="83"/>
    <x v="10"/>
    <n v="2"/>
    <x v="7"/>
    <x v="2"/>
  </r>
  <r>
    <n v="10880"/>
    <x v="418"/>
    <n v="23"/>
    <x v="46"/>
    <x v="3"/>
    <n v="30"/>
    <n v="9"/>
    <n v="2"/>
    <n v="264.60000000000002"/>
    <x v="14"/>
    <x v="9"/>
    <n v="2"/>
    <x v="7"/>
    <x v="2"/>
  </r>
  <r>
    <n v="10880"/>
    <x v="418"/>
    <n v="23"/>
    <x v="46"/>
    <x v="3"/>
    <n v="30"/>
    <n v="285"/>
    <n v="2"/>
    <n v="8379"/>
    <x v="14"/>
    <x v="9"/>
    <n v="2"/>
    <x v="7"/>
    <x v="2"/>
  </r>
  <r>
    <n v="10880"/>
    <x v="418"/>
    <n v="23"/>
    <x v="46"/>
    <x v="3"/>
    <n v="50"/>
    <n v="15"/>
    <n v="2"/>
    <n v="735"/>
    <x v="14"/>
    <x v="9"/>
    <n v="2"/>
    <x v="7"/>
    <x v="2"/>
  </r>
  <r>
    <n v="10881"/>
    <x v="419"/>
    <n v="73"/>
    <x v="75"/>
    <x v="2"/>
    <n v="10"/>
    <n v="15"/>
    <n v="0"/>
    <n v="150"/>
    <x v="78"/>
    <x v="20"/>
    <n v="2"/>
    <x v="7"/>
    <x v="2"/>
  </r>
  <r>
    <n v="10882"/>
    <x v="419"/>
    <n v="42"/>
    <x v="39"/>
    <x v="3"/>
    <n v="25"/>
    <n v="14"/>
    <n v="0"/>
    <n v="350"/>
    <x v="45"/>
    <x v="8"/>
    <n v="2"/>
    <x v="7"/>
    <x v="2"/>
  </r>
  <r>
    <n v="10882"/>
    <x v="419"/>
    <n v="42"/>
    <x v="39"/>
    <x v="3"/>
    <n v="20"/>
    <n v="20"/>
    <n v="15"/>
    <n v="340"/>
    <x v="45"/>
    <x v="8"/>
    <n v="2"/>
    <x v="7"/>
    <x v="2"/>
  </r>
  <r>
    <n v="10882"/>
    <x v="419"/>
    <n v="42"/>
    <x v="39"/>
    <x v="3"/>
    <n v="32"/>
    <n v="745"/>
    <n v="15"/>
    <n v="20264"/>
    <x v="45"/>
    <x v="8"/>
    <n v="2"/>
    <x v="7"/>
    <x v="2"/>
  </r>
  <r>
    <n v="10883"/>
    <x v="420"/>
    <n v="24"/>
    <x v="6"/>
    <x v="5"/>
    <n v="8"/>
    <n v="45"/>
    <n v="0"/>
    <n v="360"/>
    <x v="38"/>
    <x v="8"/>
    <n v="2"/>
    <x v="7"/>
    <x v="2"/>
  </r>
  <r>
    <n v="10884"/>
    <x v="420"/>
    <n v="21"/>
    <x v="10"/>
    <x v="4"/>
    <n v="40"/>
    <n v="10"/>
    <n v="5"/>
    <n v="380"/>
    <x v="82"/>
    <x v="8"/>
    <n v="2"/>
    <x v="7"/>
    <x v="2"/>
  </r>
  <r>
    <n v="10884"/>
    <x v="420"/>
    <n v="21"/>
    <x v="10"/>
    <x v="4"/>
    <n v="21"/>
    <n v="38"/>
    <n v="5"/>
    <n v="758.09999999999991"/>
    <x v="82"/>
    <x v="8"/>
    <n v="2"/>
    <x v="7"/>
    <x v="2"/>
  </r>
  <r>
    <n v="10884"/>
    <x v="420"/>
    <n v="21"/>
    <x v="10"/>
    <x v="4"/>
    <n v="12"/>
    <n v="2105"/>
    <n v="5"/>
    <n v="23997"/>
    <x v="82"/>
    <x v="8"/>
    <n v="2"/>
    <x v="7"/>
    <x v="2"/>
  </r>
  <r>
    <n v="10885"/>
    <x v="420"/>
    <n v="2"/>
    <x v="7"/>
    <x v="5"/>
    <n v="20"/>
    <n v="19"/>
    <n v="0"/>
    <n v="380"/>
    <x v="4"/>
    <x v="3"/>
    <n v="2"/>
    <x v="7"/>
    <x v="2"/>
  </r>
  <r>
    <n v="10885"/>
    <x v="420"/>
    <n v="2"/>
    <x v="7"/>
    <x v="5"/>
    <n v="12"/>
    <n v="45"/>
    <n v="0"/>
    <n v="540"/>
    <x v="4"/>
    <x v="3"/>
    <n v="2"/>
    <x v="7"/>
    <x v="2"/>
  </r>
  <r>
    <n v="10885"/>
    <x v="420"/>
    <n v="2"/>
    <x v="7"/>
    <x v="5"/>
    <n v="30"/>
    <n v="15"/>
    <n v="0"/>
    <n v="450"/>
    <x v="4"/>
    <x v="3"/>
    <n v="2"/>
    <x v="7"/>
    <x v="2"/>
  </r>
  <r>
    <n v="10885"/>
    <x v="420"/>
    <n v="2"/>
    <x v="7"/>
    <x v="5"/>
    <n v="25"/>
    <n v="13"/>
    <n v="0"/>
    <n v="325"/>
    <x v="4"/>
    <x v="3"/>
    <n v="2"/>
    <x v="7"/>
    <x v="2"/>
  </r>
  <r>
    <n v="10886"/>
    <x v="421"/>
    <n v="10"/>
    <x v="19"/>
    <x v="2"/>
    <n v="70"/>
    <n v="31"/>
    <n v="0"/>
    <n v="2170"/>
    <x v="2"/>
    <x v="2"/>
    <n v="2"/>
    <x v="7"/>
    <x v="2"/>
  </r>
  <r>
    <n v="10886"/>
    <x v="421"/>
    <n v="10"/>
    <x v="19"/>
    <x v="2"/>
    <n v="35"/>
    <n v="125"/>
    <n v="0"/>
    <n v="4375"/>
    <x v="2"/>
    <x v="2"/>
    <n v="2"/>
    <x v="7"/>
    <x v="2"/>
  </r>
  <r>
    <n v="10886"/>
    <x v="421"/>
    <n v="10"/>
    <x v="19"/>
    <x v="2"/>
    <n v="40"/>
    <n v="13"/>
    <n v="0"/>
    <n v="520"/>
    <x v="2"/>
    <x v="2"/>
    <n v="2"/>
    <x v="7"/>
    <x v="2"/>
  </r>
  <r>
    <n v="10887"/>
    <x v="421"/>
    <n v="25"/>
    <x v="49"/>
    <x v="4"/>
    <n v="5"/>
    <n v="14"/>
    <n v="0"/>
    <n v="70"/>
    <x v="60"/>
    <x v="12"/>
    <n v="2"/>
    <x v="7"/>
    <x v="2"/>
  </r>
  <r>
    <n v="10888"/>
    <x v="422"/>
    <n v="2"/>
    <x v="7"/>
    <x v="5"/>
    <n v="20"/>
    <n v="19"/>
    <n v="0"/>
    <n v="380"/>
    <x v="36"/>
    <x v="12"/>
    <n v="2"/>
    <x v="7"/>
    <x v="2"/>
  </r>
  <r>
    <n v="10888"/>
    <x v="422"/>
    <n v="2"/>
    <x v="7"/>
    <x v="5"/>
    <n v="18"/>
    <n v="125"/>
    <n v="0"/>
    <n v="2250"/>
    <x v="36"/>
    <x v="12"/>
    <n v="2"/>
    <x v="7"/>
    <x v="2"/>
  </r>
  <r>
    <n v="10889"/>
    <x v="422"/>
    <n v="11"/>
    <x v="0"/>
    <x v="0"/>
    <n v="40"/>
    <n v="21"/>
    <n v="0"/>
    <n v="840"/>
    <x v="13"/>
    <x v="8"/>
    <n v="2"/>
    <x v="7"/>
    <x v="2"/>
  </r>
  <r>
    <n v="10889"/>
    <x v="422"/>
    <n v="11"/>
    <x v="0"/>
    <x v="0"/>
    <n v="40"/>
    <n v="2635"/>
    <n v="0"/>
    <n v="105400"/>
    <x v="13"/>
    <x v="8"/>
    <n v="2"/>
    <x v="7"/>
    <x v="2"/>
  </r>
  <r>
    <n v="10890"/>
    <x v="422"/>
    <n v="17"/>
    <x v="13"/>
    <x v="6"/>
    <n v="15"/>
    <n v="39"/>
    <n v="0"/>
    <n v="585"/>
    <x v="41"/>
    <x v="0"/>
    <n v="2"/>
    <x v="7"/>
    <x v="2"/>
  </r>
  <r>
    <n v="10890"/>
    <x v="422"/>
    <n v="17"/>
    <x v="13"/>
    <x v="6"/>
    <n v="10"/>
    <n v="14"/>
    <n v="0"/>
    <n v="140"/>
    <x v="41"/>
    <x v="0"/>
    <n v="2"/>
    <x v="7"/>
    <x v="2"/>
  </r>
  <r>
    <n v="10890"/>
    <x v="422"/>
    <n v="17"/>
    <x v="13"/>
    <x v="6"/>
    <n v="14"/>
    <n v="965"/>
    <n v="0"/>
    <n v="13510"/>
    <x v="41"/>
    <x v="0"/>
    <n v="2"/>
    <x v="7"/>
    <x v="2"/>
  </r>
  <r>
    <n v="10891"/>
    <x v="423"/>
    <n v="30"/>
    <x v="24"/>
    <x v="2"/>
    <n v="15"/>
    <n v="2589"/>
    <n v="5"/>
    <n v="36893.25"/>
    <x v="26"/>
    <x v="1"/>
    <n v="2"/>
    <x v="7"/>
    <x v="2"/>
  </r>
  <r>
    <n v="10892"/>
    <x v="423"/>
    <n v="59"/>
    <x v="44"/>
    <x v="0"/>
    <n v="40"/>
    <n v="55"/>
    <n v="5"/>
    <n v="2090"/>
    <x v="80"/>
    <x v="3"/>
    <n v="2"/>
    <x v="7"/>
    <x v="2"/>
  </r>
  <r>
    <n v="10893"/>
    <x v="424"/>
    <n v="8"/>
    <x v="48"/>
    <x v="7"/>
    <n v="30"/>
    <n v="40"/>
    <n v="0"/>
    <n v="1200"/>
    <x v="44"/>
    <x v="1"/>
    <n v="2"/>
    <x v="7"/>
    <x v="2"/>
  </r>
  <r>
    <n v="10893"/>
    <x v="424"/>
    <n v="8"/>
    <x v="48"/>
    <x v="7"/>
    <n v="10"/>
    <n v="45"/>
    <n v="0"/>
    <n v="450"/>
    <x v="44"/>
    <x v="1"/>
    <n v="2"/>
    <x v="7"/>
    <x v="2"/>
  </r>
  <r>
    <n v="10893"/>
    <x v="424"/>
    <n v="8"/>
    <x v="48"/>
    <x v="7"/>
    <n v="24"/>
    <n v="12379"/>
    <n v="0"/>
    <n v="297096"/>
    <x v="44"/>
    <x v="1"/>
    <n v="2"/>
    <x v="7"/>
    <x v="2"/>
  </r>
  <r>
    <n v="10893"/>
    <x v="424"/>
    <n v="8"/>
    <x v="48"/>
    <x v="7"/>
    <n v="35"/>
    <n v="2589"/>
    <n v="0"/>
    <n v="90615"/>
    <x v="44"/>
    <x v="1"/>
    <n v="2"/>
    <x v="7"/>
    <x v="2"/>
  </r>
  <r>
    <n v="10893"/>
    <x v="424"/>
    <n v="8"/>
    <x v="48"/>
    <x v="7"/>
    <n v="20"/>
    <n v="19"/>
    <n v="0"/>
    <n v="380"/>
    <x v="44"/>
    <x v="1"/>
    <n v="2"/>
    <x v="7"/>
    <x v="2"/>
  </r>
  <r>
    <n v="10894"/>
    <x v="424"/>
    <n v="13"/>
    <x v="30"/>
    <x v="2"/>
    <n v="28"/>
    <n v="6"/>
    <n v="5"/>
    <n v="159.6"/>
    <x v="45"/>
    <x v="8"/>
    <n v="2"/>
    <x v="7"/>
    <x v="2"/>
  </r>
  <r>
    <n v="10894"/>
    <x v="424"/>
    <n v="13"/>
    <x v="30"/>
    <x v="2"/>
    <n v="50"/>
    <n v="36"/>
    <n v="5"/>
    <n v="1710"/>
    <x v="45"/>
    <x v="8"/>
    <n v="2"/>
    <x v="7"/>
    <x v="2"/>
  </r>
  <r>
    <n v="10894"/>
    <x v="424"/>
    <n v="13"/>
    <x v="30"/>
    <x v="2"/>
    <n v="120"/>
    <n v="775"/>
    <n v="5"/>
    <n v="88350"/>
    <x v="45"/>
    <x v="8"/>
    <n v="2"/>
    <x v="7"/>
    <x v="2"/>
  </r>
  <r>
    <n v="10895"/>
    <x v="424"/>
    <n v="24"/>
    <x v="6"/>
    <x v="5"/>
    <n v="110"/>
    <n v="45"/>
    <n v="0"/>
    <n v="4950"/>
    <x v="9"/>
    <x v="6"/>
    <n v="2"/>
    <x v="7"/>
    <x v="2"/>
  </r>
  <r>
    <n v="10895"/>
    <x v="424"/>
    <n v="24"/>
    <x v="6"/>
    <x v="5"/>
    <n v="45"/>
    <n v="18"/>
    <n v="0"/>
    <n v="810"/>
    <x v="9"/>
    <x v="6"/>
    <n v="2"/>
    <x v="7"/>
    <x v="2"/>
  </r>
  <r>
    <n v="10895"/>
    <x v="424"/>
    <n v="24"/>
    <x v="6"/>
    <x v="5"/>
    <n v="91"/>
    <n v="184"/>
    <n v="0"/>
    <n v="16744"/>
    <x v="9"/>
    <x v="6"/>
    <n v="2"/>
    <x v="7"/>
    <x v="2"/>
  </r>
  <r>
    <n v="10895"/>
    <x v="424"/>
    <n v="24"/>
    <x v="6"/>
    <x v="5"/>
    <n v="100"/>
    <n v="34"/>
    <n v="0"/>
    <n v="3400"/>
    <x v="9"/>
    <x v="6"/>
    <n v="2"/>
    <x v="7"/>
    <x v="2"/>
  </r>
  <r>
    <n v="10896"/>
    <x v="425"/>
    <n v="45"/>
    <x v="56"/>
    <x v="2"/>
    <n v="15"/>
    <n v="95"/>
    <n v="0"/>
    <n v="1425"/>
    <x v="80"/>
    <x v="3"/>
    <n v="2"/>
    <x v="7"/>
    <x v="2"/>
  </r>
  <r>
    <n v="10896"/>
    <x v="425"/>
    <n v="45"/>
    <x v="56"/>
    <x v="2"/>
    <n v="16"/>
    <n v="38"/>
    <n v="0"/>
    <n v="608"/>
    <x v="80"/>
    <x v="3"/>
    <n v="2"/>
    <x v="7"/>
    <x v="2"/>
  </r>
  <r>
    <n v="10897"/>
    <x v="425"/>
    <n v="29"/>
    <x v="16"/>
    <x v="6"/>
    <n v="80"/>
    <n v="12379"/>
    <n v="0"/>
    <n v="990320"/>
    <x v="34"/>
    <x v="14"/>
    <n v="2"/>
    <x v="7"/>
    <x v="2"/>
  </r>
  <r>
    <n v="10897"/>
    <x v="425"/>
    <n v="29"/>
    <x v="16"/>
    <x v="6"/>
    <n v="36"/>
    <n v="2589"/>
    <n v="0"/>
    <n v="93204"/>
    <x v="34"/>
    <x v="14"/>
    <n v="2"/>
    <x v="7"/>
    <x v="2"/>
  </r>
  <r>
    <n v="10898"/>
    <x v="426"/>
    <n v="13"/>
    <x v="30"/>
    <x v="2"/>
    <n v="5"/>
    <n v="6"/>
    <n v="0"/>
    <n v="30"/>
    <x v="69"/>
    <x v="20"/>
    <n v="2"/>
    <x v="7"/>
    <x v="2"/>
  </r>
  <r>
    <n v="10899"/>
    <x v="426"/>
    <n v="39"/>
    <x v="33"/>
    <x v="5"/>
    <n v="8"/>
    <n v="18"/>
    <n v="15"/>
    <n v="122.39999999999999"/>
    <x v="28"/>
    <x v="5"/>
    <n v="2"/>
    <x v="7"/>
    <x v="2"/>
  </r>
  <r>
    <n v="10900"/>
    <x v="426"/>
    <n v="70"/>
    <x v="66"/>
    <x v="5"/>
    <n v="3"/>
    <n v="15"/>
    <n v="25"/>
    <n v="33.75"/>
    <x v="7"/>
    <x v="2"/>
    <n v="2"/>
    <x v="7"/>
    <x v="2"/>
  </r>
  <r>
    <n v="10901"/>
    <x v="427"/>
    <n v="41"/>
    <x v="2"/>
    <x v="2"/>
    <n v="30"/>
    <n v="965"/>
    <n v="0"/>
    <n v="28950"/>
    <x v="8"/>
    <x v="5"/>
    <n v="2"/>
    <x v="7"/>
    <x v="2"/>
  </r>
  <r>
    <n v="10901"/>
    <x v="427"/>
    <n v="41"/>
    <x v="2"/>
    <x v="2"/>
    <n v="30"/>
    <n v="215"/>
    <n v="0"/>
    <n v="6450"/>
    <x v="8"/>
    <x v="5"/>
    <n v="2"/>
    <x v="7"/>
    <x v="2"/>
  </r>
  <r>
    <n v="10902"/>
    <x v="427"/>
    <n v="55"/>
    <x v="62"/>
    <x v="6"/>
    <n v="30"/>
    <n v="24"/>
    <n v="15"/>
    <n v="612"/>
    <x v="14"/>
    <x v="9"/>
    <n v="2"/>
    <x v="7"/>
    <x v="2"/>
  </r>
  <r>
    <n v="10902"/>
    <x v="427"/>
    <n v="55"/>
    <x v="62"/>
    <x v="6"/>
    <n v="6"/>
    <n v="493"/>
    <n v="15"/>
    <n v="2514.2999999999997"/>
    <x v="14"/>
    <x v="9"/>
    <n v="2"/>
    <x v="7"/>
    <x v="2"/>
  </r>
  <r>
    <n v="10903"/>
    <x v="428"/>
    <n v="13"/>
    <x v="30"/>
    <x v="2"/>
    <n v="40"/>
    <n v="6"/>
    <n v="0"/>
    <n v="240"/>
    <x v="2"/>
    <x v="2"/>
    <n v="2"/>
    <x v="7"/>
    <x v="2"/>
  </r>
  <r>
    <n v="10903"/>
    <x v="428"/>
    <n v="13"/>
    <x v="30"/>
    <x v="2"/>
    <n v="21"/>
    <n v="2105"/>
    <n v="0"/>
    <n v="44205"/>
    <x v="2"/>
    <x v="2"/>
    <n v="2"/>
    <x v="7"/>
    <x v="2"/>
  </r>
  <r>
    <n v="10903"/>
    <x v="428"/>
    <n v="13"/>
    <x v="30"/>
    <x v="2"/>
    <n v="20"/>
    <n v="125"/>
    <n v="0"/>
    <n v="2500"/>
    <x v="2"/>
    <x v="2"/>
    <n v="2"/>
    <x v="7"/>
    <x v="2"/>
  </r>
  <r>
    <n v="10904"/>
    <x v="428"/>
    <n v="58"/>
    <x v="53"/>
    <x v="2"/>
    <n v="15"/>
    <n v="1325"/>
    <n v="0"/>
    <n v="19875"/>
    <x v="19"/>
    <x v="8"/>
    <n v="2"/>
    <x v="7"/>
    <x v="2"/>
  </r>
  <r>
    <n v="10904"/>
    <x v="428"/>
    <n v="58"/>
    <x v="53"/>
    <x v="2"/>
    <n v="35"/>
    <n v="493"/>
    <n v="0"/>
    <n v="17255"/>
    <x v="19"/>
    <x v="8"/>
    <n v="2"/>
    <x v="7"/>
    <x v="2"/>
  </r>
  <r>
    <n v="10905"/>
    <x v="428"/>
    <n v="1"/>
    <x v="26"/>
    <x v="5"/>
    <n v="20"/>
    <n v="18"/>
    <n v="5"/>
    <n v="342"/>
    <x v="7"/>
    <x v="2"/>
    <n v="2"/>
    <x v="7"/>
    <x v="2"/>
  </r>
  <r>
    <n v="10906"/>
    <x v="429"/>
    <n v="61"/>
    <x v="74"/>
    <x v="7"/>
    <n v="15"/>
    <n v="285"/>
    <n v="0"/>
    <n v="4275"/>
    <x v="63"/>
    <x v="18"/>
    <n v="2"/>
    <x v="7"/>
    <x v="2"/>
  </r>
  <r>
    <n v="10907"/>
    <x v="429"/>
    <n v="75"/>
    <x v="68"/>
    <x v="5"/>
    <n v="14"/>
    <n v="775"/>
    <n v="0"/>
    <n v="10850"/>
    <x v="87"/>
    <x v="0"/>
    <n v="2"/>
    <x v="7"/>
    <x v="2"/>
  </r>
  <r>
    <n v="10908"/>
    <x v="430"/>
    <n v="7"/>
    <x v="55"/>
    <x v="1"/>
    <n v="20"/>
    <n v="30"/>
    <n v="5"/>
    <n v="570"/>
    <x v="30"/>
    <x v="11"/>
    <n v="2"/>
    <x v="7"/>
    <x v="2"/>
  </r>
  <r>
    <n v="10908"/>
    <x v="430"/>
    <n v="7"/>
    <x v="55"/>
    <x v="1"/>
    <n v="14"/>
    <n v="7"/>
    <n v="5"/>
    <n v="93.1"/>
    <x v="30"/>
    <x v="11"/>
    <n v="2"/>
    <x v="7"/>
    <x v="2"/>
  </r>
  <r>
    <n v="10909"/>
    <x v="430"/>
    <n v="7"/>
    <x v="55"/>
    <x v="1"/>
    <n v="12"/>
    <n v="30"/>
    <n v="0"/>
    <n v="360"/>
    <x v="65"/>
    <x v="19"/>
    <n v="2"/>
    <x v="7"/>
    <x v="2"/>
  </r>
  <r>
    <n v="10909"/>
    <x v="430"/>
    <n v="7"/>
    <x v="55"/>
    <x v="1"/>
    <n v="15"/>
    <n v="1745"/>
    <n v="0"/>
    <n v="26175"/>
    <x v="65"/>
    <x v="19"/>
    <n v="2"/>
    <x v="7"/>
    <x v="2"/>
  </r>
  <r>
    <n v="10909"/>
    <x v="430"/>
    <n v="7"/>
    <x v="55"/>
    <x v="1"/>
    <n v="5"/>
    <n v="965"/>
    <n v="0"/>
    <n v="4825"/>
    <x v="65"/>
    <x v="19"/>
    <n v="2"/>
    <x v="7"/>
    <x v="2"/>
  </r>
  <r>
    <n v="10910"/>
    <x v="430"/>
    <n v="19"/>
    <x v="23"/>
    <x v="4"/>
    <n v="12"/>
    <n v="92"/>
    <n v="0"/>
    <n v="1104"/>
    <x v="83"/>
    <x v="10"/>
    <n v="2"/>
    <x v="7"/>
    <x v="2"/>
  </r>
  <r>
    <n v="10910"/>
    <x v="430"/>
    <n v="19"/>
    <x v="23"/>
    <x v="4"/>
    <n v="10"/>
    <n v="20"/>
    <n v="0"/>
    <n v="200"/>
    <x v="83"/>
    <x v="10"/>
    <n v="2"/>
    <x v="7"/>
    <x v="2"/>
  </r>
  <r>
    <n v="10910"/>
    <x v="430"/>
    <n v="19"/>
    <x v="23"/>
    <x v="4"/>
    <n v="5"/>
    <n v="285"/>
    <n v="0"/>
    <n v="1425"/>
    <x v="83"/>
    <x v="10"/>
    <n v="2"/>
    <x v="7"/>
    <x v="2"/>
  </r>
  <r>
    <n v="10911"/>
    <x v="430"/>
    <n v="1"/>
    <x v="26"/>
    <x v="5"/>
    <n v="10"/>
    <n v="18"/>
    <n v="0"/>
    <n v="180"/>
    <x v="36"/>
    <x v="12"/>
    <n v="2"/>
    <x v="7"/>
    <x v="2"/>
  </r>
  <r>
    <n v="10911"/>
    <x v="430"/>
    <n v="1"/>
    <x v="26"/>
    <x v="5"/>
    <n v="12"/>
    <n v="39"/>
    <n v="0"/>
    <n v="468"/>
    <x v="36"/>
    <x v="12"/>
    <n v="2"/>
    <x v="7"/>
    <x v="2"/>
  </r>
  <r>
    <n v="10911"/>
    <x v="430"/>
    <n v="1"/>
    <x v="26"/>
    <x v="5"/>
    <n v="15"/>
    <n v="14"/>
    <n v="0"/>
    <n v="210"/>
    <x v="36"/>
    <x v="12"/>
    <n v="2"/>
    <x v="7"/>
    <x v="2"/>
  </r>
  <r>
    <n v="10912"/>
    <x v="430"/>
    <n v="11"/>
    <x v="0"/>
    <x v="0"/>
    <n v="40"/>
    <n v="21"/>
    <n v="25"/>
    <n v="630"/>
    <x v="34"/>
    <x v="14"/>
    <n v="2"/>
    <x v="7"/>
    <x v="2"/>
  </r>
  <r>
    <n v="10912"/>
    <x v="430"/>
    <n v="11"/>
    <x v="0"/>
    <x v="0"/>
    <n v="60"/>
    <n v="12379"/>
    <n v="25"/>
    <n v="557055"/>
    <x v="34"/>
    <x v="14"/>
    <n v="2"/>
    <x v="7"/>
    <x v="2"/>
  </r>
  <r>
    <n v="10913"/>
    <x v="430"/>
    <n v="4"/>
    <x v="38"/>
    <x v="7"/>
    <n v="30"/>
    <n v="22"/>
    <n v="25"/>
    <n v="495"/>
    <x v="62"/>
    <x v="2"/>
    <n v="2"/>
    <x v="7"/>
    <x v="2"/>
  </r>
  <r>
    <n v="10913"/>
    <x v="430"/>
    <n v="4"/>
    <x v="38"/>
    <x v="7"/>
    <n v="40"/>
    <n v="25"/>
    <n v="25"/>
    <n v="750"/>
    <x v="62"/>
    <x v="2"/>
    <n v="2"/>
    <x v="7"/>
    <x v="2"/>
  </r>
  <r>
    <n v="10913"/>
    <x v="430"/>
    <n v="4"/>
    <x v="38"/>
    <x v="7"/>
    <n v="15"/>
    <n v="1325"/>
    <n v="0"/>
    <n v="19875"/>
    <x v="62"/>
    <x v="2"/>
    <n v="2"/>
    <x v="7"/>
    <x v="2"/>
  </r>
  <r>
    <n v="10914"/>
    <x v="431"/>
    <n v="71"/>
    <x v="20"/>
    <x v="0"/>
    <n v="25"/>
    <n v="215"/>
    <n v="0"/>
    <n v="5375"/>
    <x v="62"/>
    <x v="2"/>
    <n v="2"/>
    <x v="7"/>
    <x v="2"/>
  </r>
  <r>
    <n v="10915"/>
    <x v="431"/>
    <n v="17"/>
    <x v="13"/>
    <x v="6"/>
    <n v="10"/>
    <n v="39"/>
    <n v="0"/>
    <n v="390"/>
    <x v="23"/>
    <x v="7"/>
    <n v="2"/>
    <x v="7"/>
    <x v="2"/>
  </r>
  <r>
    <n v="10915"/>
    <x v="431"/>
    <n v="17"/>
    <x v="13"/>
    <x v="6"/>
    <n v="30"/>
    <n v="25"/>
    <n v="0"/>
    <n v="750"/>
    <x v="23"/>
    <x v="7"/>
    <n v="2"/>
    <x v="7"/>
    <x v="2"/>
  </r>
  <r>
    <n v="10915"/>
    <x v="431"/>
    <n v="17"/>
    <x v="13"/>
    <x v="6"/>
    <n v="10"/>
    <n v="745"/>
    <n v="0"/>
    <n v="7450"/>
    <x v="23"/>
    <x v="7"/>
    <n v="2"/>
    <x v="7"/>
    <x v="2"/>
  </r>
  <r>
    <n v="10916"/>
    <x v="431"/>
    <n v="16"/>
    <x v="12"/>
    <x v="4"/>
    <n v="6"/>
    <n v="1745"/>
    <n v="0"/>
    <n v="10470"/>
    <x v="73"/>
    <x v="20"/>
    <n v="2"/>
    <x v="7"/>
    <x v="2"/>
  </r>
  <r>
    <n v="10916"/>
    <x v="431"/>
    <n v="16"/>
    <x v="12"/>
    <x v="4"/>
    <n v="6"/>
    <n v="32"/>
    <n v="0"/>
    <n v="192"/>
    <x v="73"/>
    <x v="20"/>
    <n v="2"/>
    <x v="7"/>
    <x v="2"/>
  </r>
  <r>
    <n v="10916"/>
    <x v="431"/>
    <n v="16"/>
    <x v="12"/>
    <x v="4"/>
    <n v="20"/>
    <n v="195"/>
    <n v="0"/>
    <n v="3900"/>
    <x v="73"/>
    <x v="20"/>
    <n v="2"/>
    <x v="7"/>
    <x v="2"/>
  </r>
  <r>
    <n v="10917"/>
    <x v="432"/>
    <n v="30"/>
    <x v="24"/>
    <x v="2"/>
    <n v="1"/>
    <n v="2589"/>
    <n v="0"/>
    <n v="2589"/>
    <x v="27"/>
    <x v="12"/>
    <n v="3"/>
    <x v="8"/>
    <x v="2"/>
  </r>
  <r>
    <n v="10917"/>
    <x v="432"/>
    <n v="30"/>
    <x v="24"/>
    <x v="2"/>
    <n v="10"/>
    <n v="34"/>
    <n v="0"/>
    <n v="340"/>
    <x v="27"/>
    <x v="12"/>
    <n v="3"/>
    <x v="8"/>
    <x v="2"/>
  </r>
  <r>
    <n v="10918"/>
    <x v="432"/>
    <n v="1"/>
    <x v="26"/>
    <x v="5"/>
    <n v="60"/>
    <n v="18"/>
    <n v="25"/>
    <n v="810"/>
    <x v="66"/>
    <x v="16"/>
    <n v="3"/>
    <x v="8"/>
    <x v="2"/>
  </r>
  <r>
    <n v="10918"/>
    <x v="432"/>
    <n v="1"/>
    <x v="26"/>
    <x v="5"/>
    <n v="25"/>
    <n v="34"/>
    <n v="25"/>
    <n v="637.5"/>
    <x v="66"/>
    <x v="16"/>
    <n v="3"/>
    <x v="8"/>
    <x v="2"/>
  </r>
  <r>
    <n v="10919"/>
    <x v="432"/>
    <n v="16"/>
    <x v="12"/>
    <x v="4"/>
    <n v="24"/>
    <n v="1745"/>
    <n v="0"/>
    <n v="41880"/>
    <x v="67"/>
    <x v="5"/>
    <n v="3"/>
    <x v="8"/>
    <x v="2"/>
  </r>
  <r>
    <n v="10919"/>
    <x v="432"/>
    <n v="16"/>
    <x v="12"/>
    <x v="4"/>
    <n v="24"/>
    <n v="14"/>
    <n v="0"/>
    <n v="336"/>
    <x v="67"/>
    <x v="5"/>
    <n v="3"/>
    <x v="8"/>
    <x v="2"/>
  </r>
  <r>
    <n v="10919"/>
    <x v="432"/>
    <n v="16"/>
    <x v="12"/>
    <x v="4"/>
    <n v="20"/>
    <n v="184"/>
    <n v="0"/>
    <n v="3680"/>
    <x v="67"/>
    <x v="5"/>
    <n v="3"/>
    <x v="8"/>
    <x v="2"/>
  </r>
  <r>
    <n v="10920"/>
    <x v="433"/>
    <n v="50"/>
    <x v="50"/>
    <x v="4"/>
    <n v="24"/>
    <n v="1625"/>
    <n v="0"/>
    <n v="39000"/>
    <x v="55"/>
    <x v="13"/>
    <n v="3"/>
    <x v="8"/>
    <x v="2"/>
  </r>
  <r>
    <n v="10921"/>
    <x v="433"/>
    <n v="35"/>
    <x v="27"/>
    <x v="5"/>
    <n v="10"/>
    <n v="18"/>
    <n v="0"/>
    <n v="180"/>
    <x v="61"/>
    <x v="17"/>
    <n v="3"/>
    <x v="8"/>
    <x v="2"/>
  </r>
  <r>
    <n v="10921"/>
    <x v="433"/>
    <n v="35"/>
    <x v="27"/>
    <x v="5"/>
    <n v="40"/>
    <n v="439"/>
    <n v="0"/>
    <n v="17560"/>
    <x v="61"/>
    <x v="17"/>
    <n v="3"/>
    <x v="8"/>
    <x v="2"/>
  </r>
  <r>
    <n v="10922"/>
    <x v="433"/>
    <n v="17"/>
    <x v="13"/>
    <x v="6"/>
    <n v="15"/>
    <n v="39"/>
    <n v="0"/>
    <n v="585"/>
    <x v="2"/>
    <x v="2"/>
    <n v="3"/>
    <x v="8"/>
    <x v="2"/>
  </r>
  <r>
    <n v="10922"/>
    <x v="433"/>
    <n v="17"/>
    <x v="13"/>
    <x v="6"/>
    <n v="35"/>
    <n v="45"/>
    <n v="0"/>
    <n v="1575"/>
    <x v="2"/>
    <x v="2"/>
    <n v="3"/>
    <x v="8"/>
    <x v="2"/>
  </r>
  <r>
    <n v="10923"/>
    <x v="433"/>
    <n v="42"/>
    <x v="39"/>
    <x v="3"/>
    <n v="10"/>
    <n v="14"/>
    <n v="2"/>
    <n v="137.19999999999999"/>
    <x v="53"/>
    <x v="0"/>
    <n v="3"/>
    <x v="8"/>
    <x v="2"/>
  </r>
  <r>
    <n v="10923"/>
    <x v="433"/>
    <n v="42"/>
    <x v="39"/>
    <x v="3"/>
    <n v="10"/>
    <n v="46"/>
    <n v="2"/>
    <n v="450.8"/>
    <x v="53"/>
    <x v="0"/>
    <n v="3"/>
    <x v="8"/>
    <x v="2"/>
  </r>
  <r>
    <n v="10923"/>
    <x v="433"/>
    <n v="42"/>
    <x v="39"/>
    <x v="3"/>
    <n v="24"/>
    <n v="14"/>
    <n v="2"/>
    <n v="329.28"/>
    <x v="53"/>
    <x v="0"/>
    <n v="3"/>
    <x v="8"/>
    <x v="2"/>
  </r>
  <r>
    <n v="10924"/>
    <x v="434"/>
    <n v="10"/>
    <x v="19"/>
    <x v="2"/>
    <n v="20"/>
    <n v="31"/>
    <n v="1"/>
    <n v="613.79999999999995"/>
    <x v="25"/>
    <x v="9"/>
    <n v="3"/>
    <x v="8"/>
    <x v="2"/>
  </r>
  <r>
    <n v="10924"/>
    <x v="434"/>
    <n v="10"/>
    <x v="19"/>
    <x v="2"/>
    <n v="30"/>
    <n v="456"/>
    <n v="1"/>
    <n v="13543.2"/>
    <x v="25"/>
    <x v="9"/>
    <n v="3"/>
    <x v="8"/>
    <x v="2"/>
  </r>
  <r>
    <n v="10924"/>
    <x v="434"/>
    <n v="10"/>
    <x v="19"/>
    <x v="2"/>
    <n v="6"/>
    <n v="775"/>
    <n v="0"/>
    <n v="4650"/>
    <x v="25"/>
    <x v="9"/>
    <n v="3"/>
    <x v="8"/>
    <x v="2"/>
  </r>
  <r>
    <n v="10925"/>
    <x v="434"/>
    <n v="36"/>
    <x v="18"/>
    <x v="2"/>
    <n v="25"/>
    <n v="19"/>
    <n v="15"/>
    <n v="403.75"/>
    <x v="2"/>
    <x v="2"/>
    <n v="3"/>
    <x v="8"/>
    <x v="2"/>
  </r>
  <r>
    <n v="10925"/>
    <x v="434"/>
    <n v="36"/>
    <x v="18"/>
    <x v="2"/>
    <n v="12"/>
    <n v="7"/>
    <n v="15"/>
    <n v="71.399999999999991"/>
    <x v="2"/>
    <x v="2"/>
    <n v="3"/>
    <x v="8"/>
    <x v="2"/>
  </r>
  <r>
    <n v="10926"/>
    <x v="434"/>
    <n v="11"/>
    <x v="0"/>
    <x v="0"/>
    <n v="2"/>
    <n v="21"/>
    <n v="0"/>
    <n v="42"/>
    <x v="39"/>
    <x v="7"/>
    <n v="3"/>
    <x v="8"/>
    <x v="2"/>
  </r>
  <r>
    <n v="10926"/>
    <x v="434"/>
    <n v="11"/>
    <x v="0"/>
    <x v="0"/>
    <n v="10"/>
    <n v="6"/>
    <n v="0"/>
    <n v="60"/>
    <x v="39"/>
    <x v="7"/>
    <n v="3"/>
    <x v="8"/>
    <x v="2"/>
  </r>
  <r>
    <n v="10926"/>
    <x v="434"/>
    <n v="11"/>
    <x v="0"/>
    <x v="0"/>
    <n v="7"/>
    <n v="92"/>
    <n v="0"/>
    <n v="644"/>
    <x v="39"/>
    <x v="7"/>
    <n v="3"/>
    <x v="8"/>
    <x v="2"/>
  </r>
  <r>
    <n v="10926"/>
    <x v="434"/>
    <n v="11"/>
    <x v="0"/>
    <x v="0"/>
    <n v="10"/>
    <n v="348"/>
    <n v="0"/>
    <n v="3480"/>
    <x v="39"/>
    <x v="7"/>
    <n v="3"/>
    <x v="8"/>
    <x v="2"/>
  </r>
  <r>
    <n v="10927"/>
    <x v="435"/>
    <n v="20"/>
    <x v="4"/>
    <x v="4"/>
    <n v="5"/>
    <n v="81"/>
    <n v="0"/>
    <n v="405"/>
    <x v="88"/>
    <x v="0"/>
    <n v="3"/>
    <x v="8"/>
    <x v="2"/>
  </r>
  <r>
    <n v="10927"/>
    <x v="435"/>
    <n v="20"/>
    <x v="4"/>
    <x v="4"/>
    <n v="5"/>
    <n v="7"/>
    <n v="0"/>
    <n v="35"/>
    <x v="88"/>
    <x v="0"/>
    <n v="3"/>
    <x v="8"/>
    <x v="2"/>
  </r>
  <r>
    <n v="10927"/>
    <x v="435"/>
    <n v="20"/>
    <x v="4"/>
    <x v="4"/>
    <n v="20"/>
    <n v="18"/>
    <n v="0"/>
    <n v="360"/>
    <x v="88"/>
    <x v="0"/>
    <n v="3"/>
    <x v="8"/>
    <x v="2"/>
  </r>
  <r>
    <n v="10928"/>
    <x v="435"/>
    <n v="47"/>
    <x v="64"/>
    <x v="4"/>
    <n v="5"/>
    <n v="95"/>
    <n v="0"/>
    <n v="475"/>
    <x v="60"/>
    <x v="12"/>
    <n v="3"/>
    <x v="8"/>
    <x v="2"/>
  </r>
  <r>
    <n v="10928"/>
    <x v="435"/>
    <n v="47"/>
    <x v="64"/>
    <x v="4"/>
    <n v="5"/>
    <n v="18"/>
    <n v="0"/>
    <n v="90"/>
    <x v="60"/>
    <x v="12"/>
    <n v="3"/>
    <x v="8"/>
    <x v="2"/>
  </r>
  <r>
    <n v="10929"/>
    <x v="435"/>
    <n v="21"/>
    <x v="10"/>
    <x v="4"/>
    <n v="60"/>
    <n v="10"/>
    <n v="0"/>
    <n v="600"/>
    <x v="17"/>
    <x v="1"/>
    <n v="3"/>
    <x v="8"/>
    <x v="2"/>
  </r>
  <r>
    <n v="10929"/>
    <x v="435"/>
    <n v="21"/>
    <x v="10"/>
    <x v="4"/>
    <n v="49"/>
    <n v="775"/>
    <n v="0"/>
    <n v="37975"/>
    <x v="17"/>
    <x v="1"/>
    <n v="3"/>
    <x v="8"/>
    <x v="2"/>
  </r>
  <r>
    <n v="10929"/>
    <x v="435"/>
    <n v="21"/>
    <x v="10"/>
    <x v="4"/>
    <n v="15"/>
    <n v="13"/>
    <n v="0"/>
    <n v="195"/>
    <x v="17"/>
    <x v="1"/>
    <n v="3"/>
    <x v="8"/>
    <x v="2"/>
  </r>
  <r>
    <n v="10930"/>
    <x v="436"/>
    <n v="21"/>
    <x v="10"/>
    <x v="4"/>
    <n v="36"/>
    <n v="10"/>
    <n v="0"/>
    <n v="360"/>
    <x v="4"/>
    <x v="3"/>
    <n v="3"/>
    <x v="8"/>
    <x v="2"/>
  </r>
  <r>
    <n v="10930"/>
    <x v="436"/>
    <n v="21"/>
    <x v="10"/>
    <x v="4"/>
    <n v="25"/>
    <n v="439"/>
    <n v="0"/>
    <n v="10975"/>
    <x v="4"/>
    <x v="3"/>
    <n v="3"/>
    <x v="8"/>
    <x v="2"/>
  </r>
  <r>
    <n v="10930"/>
    <x v="436"/>
    <n v="21"/>
    <x v="10"/>
    <x v="4"/>
    <n v="25"/>
    <n v="24"/>
    <n v="2"/>
    <n v="588"/>
    <x v="4"/>
    <x v="3"/>
    <n v="3"/>
    <x v="8"/>
    <x v="2"/>
  </r>
  <r>
    <n v="10930"/>
    <x v="436"/>
    <n v="21"/>
    <x v="10"/>
    <x v="4"/>
    <n v="30"/>
    <n v="1325"/>
    <n v="2"/>
    <n v="38955"/>
    <x v="4"/>
    <x v="3"/>
    <n v="3"/>
    <x v="8"/>
    <x v="2"/>
  </r>
  <r>
    <n v="10931"/>
    <x v="436"/>
    <n v="13"/>
    <x v="30"/>
    <x v="2"/>
    <n v="42"/>
    <n v="6"/>
    <n v="15"/>
    <n v="214.2"/>
    <x v="6"/>
    <x v="4"/>
    <n v="3"/>
    <x v="8"/>
    <x v="2"/>
  </r>
  <r>
    <n v="10931"/>
    <x v="436"/>
    <n v="13"/>
    <x v="30"/>
    <x v="2"/>
    <n v="30"/>
    <n v="195"/>
    <n v="0"/>
    <n v="5850"/>
    <x v="6"/>
    <x v="4"/>
    <n v="3"/>
    <x v="8"/>
    <x v="2"/>
  </r>
  <r>
    <n v="10932"/>
    <x v="436"/>
    <n v="16"/>
    <x v="12"/>
    <x v="4"/>
    <n v="30"/>
    <n v="1745"/>
    <n v="1"/>
    <n v="51826.5"/>
    <x v="48"/>
    <x v="0"/>
    <n v="3"/>
    <x v="8"/>
    <x v="2"/>
  </r>
  <r>
    <n v="10932"/>
    <x v="436"/>
    <n v="16"/>
    <x v="12"/>
    <x v="4"/>
    <n v="14"/>
    <n v="493"/>
    <n v="1"/>
    <n v="6832.98"/>
    <x v="48"/>
    <x v="0"/>
    <n v="3"/>
    <x v="8"/>
    <x v="2"/>
  </r>
  <r>
    <n v="10932"/>
    <x v="436"/>
    <n v="16"/>
    <x v="12"/>
    <x v="4"/>
    <n v="16"/>
    <n v="348"/>
    <n v="0"/>
    <n v="5568"/>
    <x v="48"/>
    <x v="0"/>
    <n v="3"/>
    <x v="8"/>
    <x v="2"/>
  </r>
  <r>
    <n v="10932"/>
    <x v="436"/>
    <n v="16"/>
    <x v="12"/>
    <x v="4"/>
    <n v="20"/>
    <n v="775"/>
    <n v="1"/>
    <n v="15345"/>
    <x v="48"/>
    <x v="0"/>
    <n v="3"/>
    <x v="8"/>
    <x v="2"/>
  </r>
  <r>
    <n v="10933"/>
    <x v="436"/>
    <n v="53"/>
    <x v="8"/>
    <x v="6"/>
    <n v="2"/>
    <n v="328"/>
    <n v="0"/>
    <n v="656"/>
    <x v="42"/>
    <x v="13"/>
    <n v="3"/>
    <x v="8"/>
    <x v="2"/>
  </r>
  <r>
    <n v="10933"/>
    <x v="436"/>
    <n v="53"/>
    <x v="8"/>
    <x v="6"/>
    <n v="30"/>
    <n v="285"/>
    <n v="0"/>
    <n v="8550"/>
    <x v="42"/>
    <x v="13"/>
    <n v="3"/>
    <x v="8"/>
    <x v="2"/>
  </r>
  <r>
    <n v="10934"/>
    <x v="437"/>
    <n v="6"/>
    <x v="43"/>
    <x v="7"/>
    <n v="20"/>
    <n v="25"/>
    <n v="0"/>
    <n v="500"/>
    <x v="26"/>
    <x v="1"/>
    <n v="3"/>
    <x v="8"/>
    <x v="2"/>
  </r>
  <r>
    <n v="10935"/>
    <x v="437"/>
    <n v="1"/>
    <x v="26"/>
    <x v="5"/>
    <n v="21"/>
    <n v="18"/>
    <n v="0"/>
    <n v="378"/>
    <x v="7"/>
    <x v="2"/>
    <n v="3"/>
    <x v="8"/>
    <x v="2"/>
  </r>
  <r>
    <n v="10935"/>
    <x v="437"/>
    <n v="1"/>
    <x v="26"/>
    <x v="5"/>
    <n v="4"/>
    <n v="625"/>
    <n v="25"/>
    <n v="1875"/>
    <x v="7"/>
    <x v="2"/>
    <n v="3"/>
    <x v="8"/>
    <x v="2"/>
  </r>
  <r>
    <n v="10935"/>
    <x v="437"/>
    <n v="1"/>
    <x v="26"/>
    <x v="5"/>
    <n v="8"/>
    <n v="9"/>
    <n v="25"/>
    <n v="54"/>
    <x v="7"/>
    <x v="2"/>
    <n v="3"/>
    <x v="8"/>
    <x v="2"/>
  </r>
  <r>
    <n v="10936"/>
    <x v="437"/>
    <n v="36"/>
    <x v="18"/>
    <x v="2"/>
    <n v="30"/>
    <n v="19"/>
    <n v="2"/>
    <n v="558.6"/>
    <x v="79"/>
    <x v="8"/>
    <n v="3"/>
    <x v="8"/>
    <x v="2"/>
  </r>
  <r>
    <n v="10937"/>
    <x v="438"/>
    <n v="28"/>
    <x v="21"/>
    <x v="1"/>
    <n v="8"/>
    <n v="456"/>
    <n v="0"/>
    <n v="3648"/>
    <x v="78"/>
    <x v="20"/>
    <n v="3"/>
    <x v="8"/>
    <x v="2"/>
  </r>
  <r>
    <n v="10937"/>
    <x v="438"/>
    <n v="28"/>
    <x v="21"/>
    <x v="1"/>
    <n v="20"/>
    <n v="14"/>
    <n v="0"/>
    <n v="280"/>
    <x v="78"/>
    <x v="20"/>
    <n v="3"/>
    <x v="8"/>
    <x v="2"/>
  </r>
  <r>
    <n v="10938"/>
    <x v="438"/>
    <n v="13"/>
    <x v="30"/>
    <x v="2"/>
    <n v="20"/>
    <n v="6"/>
    <n v="25"/>
    <n v="90"/>
    <x v="21"/>
    <x v="1"/>
    <n v="3"/>
    <x v="8"/>
    <x v="2"/>
  </r>
  <r>
    <n v="10938"/>
    <x v="438"/>
    <n v="13"/>
    <x v="30"/>
    <x v="2"/>
    <n v="24"/>
    <n v="46"/>
    <n v="25"/>
    <n v="828"/>
    <x v="21"/>
    <x v="1"/>
    <n v="3"/>
    <x v="8"/>
    <x v="2"/>
  </r>
  <r>
    <n v="10938"/>
    <x v="438"/>
    <n v="13"/>
    <x v="30"/>
    <x v="2"/>
    <n v="49"/>
    <n v="34"/>
    <n v="25"/>
    <n v="1249.5"/>
    <x v="21"/>
    <x v="1"/>
    <n v="3"/>
    <x v="8"/>
    <x v="2"/>
  </r>
  <r>
    <n v="10938"/>
    <x v="438"/>
    <n v="13"/>
    <x v="30"/>
    <x v="2"/>
    <n v="35"/>
    <n v="215"/>
    <n v="25"/>
    <n v="5643.75"/>
    <x v="21"/>
    <x v="1"/>
    <n v="3"/>
    <x v="8"/>
    <x v="2"/>
  </r>
  <r>
    <n v="10939"/>
    <x v="438"/>
    <n v="2"/>
    <x v="7"/>
    <x v="5"/>
    <n v="10"/>
    <n v="19"/>
    <n v="15"/>
    <n v="161.5"/>
    <x v="22"/>
    <x v="11"/>
    <n v="3"/>
    <x v="8"/>
    <x v="2"/>
  </r>
  <r>
    <n v="10939"/>
    <x v="438"/>
    <n v="2"/>
    <x v="7"/>
    <x v="5"/>
    <n v="40"/>
    <n v="14"/>
    <n v="15"/>
    <n v="476"/>
    <x v="22"/>
    <x v="11"/>
    <n v="3"/>
    <x v="8"/>
    <x v="2"/>
  </r>
  <r>
    <n v="10940"/>
    <x v="439"/>
    <n v="7"/>
    <x v="55"/>
    <x v="1"/>
    <n v="8"/>
    <n v="30"/>
    <n v="0"/>
    <n v="240"/>
    <x v="48"/>
    <x v="0"/>
    <n v="3"/>
    <x v="8"/>
    <x v="2"/>
  </r>
  <r>
    <n v="10940"/>
    <x v="439"/>
    <n v="7"/>
    <x v="55"/>
    <x v="1"/>
    <n v="20"/>
    <n v="6"/>
    <n v="0"/>
    <n v="120"/>
    <x v="48"/>
    <x v="0"/>
    <n v="3"/>
    <x v="8"/>
    <x v="2"/>
  </r>
  <r>
    <n v="10941"/>
    <x v="439"/>
    <n v="31"/>
    <x v="5"/>
    <x v="0"/>
    <n v="44"/>
    <n v="125"/>
    <n v="25"/>
    <n v="4125"/>
    <x v="45"/>
    <x v="8"/>
    <n v="3"/>
    <x v="8"/>
    <x v="2"/>
  </r>
  <r>
    <n v="10941"/>
    <x v="439"/>
    <n v="31"/>
    <x v="5"/>
    <x v="0"/>
    <n v="30"/>
    <n v="493"/>
    <n v="25"/>
    <n v="11092.5"/>
    <x v="45"/>
    <x v="8"/>
    <n v="3"/>
    <x v="8"/>
    <x v="2"/>
  </r>
  <r>
    <n v="10941"/>
    <x v="439"/>
    <n v="31"/>
    <x v="5"/>
    <x v="0"/>
    <n v="80"/>
    <n v="125"/>
    <n v="25"/>
    <n v="7500"/>
    <x v="45"/>
    <x v="8"/>
    <n v="3"/>
    <x v="8"/>
    <x v="2"/>
  </r>
  <r>
    <n v="10941"/>
    <x v="439"/>
    <n v="31"/>
    <x v="5"/>
    <x v="0"/>
    <n v="50"/>
    <n v="348"/>
    <n v="0"/>
    <n v="17400"/>
    <x v="45"/>
    <x v="8"/>
    <n v="3"/>
    <x v="8"/>
    <x v="2"/>
  </r>
  <r>
    <n v="10942"/>
    <x v="439"/>
    <n v="49"/>
    <x v="35"/>
    <x v="4"/>
    <n v="28"/>
    <n v="20"/>
    <n v="0"/>
    <n v="560"/>
    <x v="30"/>
    <x v="11"/>
    <n v="3"/>
    <x v="8"/>
    <x v="2"/>
  </r>
  <r>
    <n v="10943"/>
    <x v="439"/>
    <n v="13"/>
    <x v="30"/>
    <x v="2"/>
    <n v="15"/>
    <n v="6"/>
    <n v="0"/>
    <n v="90"/>
    <x v="31"/>
    <x v="13"/>
    <n v="3"/>
    <x v="8"/>
    <x v="2"/>
  </r>
  <r>
    <n v="10943"/>
    <x v="439"/>
    <n v="13"/>
    <x v="30"/>
    <x v="2"/>
    <n v="21"/>
    <n v="21"/>
    <n v="0"/>
    <n v="441"/>
    <x v="31"/>
    <x v="13"/>
    <n v="3"/>
    <x v="8"/>
    <x v="2"/>
  </r>
  <r>
    <n v="10943"/>
    <x v="439"/>
    <n v="13"/>
    <x v="30"/>
    <x v="2"/>
    <n v="15"/>
    <n v="12"/>
    <n v="0"/>
    <n v="180"/>
    <x v="31"/>
    <x v="13"/>
    <n v="3"/>
    <x v="8"/>
    <x v="2"/>
  </r>
  <r>
    <n v="10944"/>
    <x v="440"/>
    <n v="11"/>
    <x v="0"/>
    <x v="0"/>
    <n v="5"/>
    <n v="21"/>
    <n v="25"/>
    <n v="78.75"/>
    <x v="66"/>
    <x v="16"/>
    <n v="3"/>
    <x v="8"/>
    <x v="2"/>
  </r>
  <r>
    <n v="10944"/>
    <x v="440"/>
    <n v="11"/>
    <x v="0"/>
    <x v="0"/>
    <n v="18"/>
    <n v="1945"/>
    <n v="25"/>
    <n v="26257.5"/>
    <x v="66"/>
    <x v="16"/>
    <n v="3"/>
    <x v="8"/>
    <x v="2"/>
  </r>
  <r>
    <n v="10944"/>
    <x v="440"/>
    <n v="11"/>
    <x v="0"/>
    <x v="0"/>
    <n v="18"/>
    <n v="38"/>
    <n v="0"/>
    <n v="684"/>
    <x v="66"/>
    <x v="16"/>
    <n v="3"/>
    <x v="8"/>
    <x v="2"/>
  </r>
  <r>
    <n v="10945"/>
    <x v="440"/>
    <n v="13"/>
    <x v="30"/>
    <x v="2"/>
    <n v="20"/>
    <n v="6"/>
    <n v="0"/>
    <n v="120"/>
    <x v="24"/>
    <x v="1"/>
    <n v="3"/>
    <x v="8"/>
    <x v="2"/>
  </r>
  <r>
    <n v="10945"/>
    <x v="440"/>
    <n v="13"/>
    <x v="30"/>
    <x v="2"/>
    <n v="10"/>
    <n v="125"/>
    <n v="0"/>
    <n v="1250"/>
    <x v="24"/>
    <x v="1"/>
    <n v="3"/>
    <x v="8"/>
    <x v="2"/>
  </r>
  <r>
    <n v="10946"/>
    <x v="440"/>
    <n v="10"/>
    <x v="19"/>
    <x v="2"/>
    <n v="25"/>
    <n v="31"/>
    <n v="0"/>
    <n v="775"/>
    <x v="61"/>
    <x v="17"/>
    <n v="3"/>
    <x v="8"/>
    <x v="2"/>
  </r>
  <r>
    <n v="10946"/>
    <x v="440"/>
    <n v="10"/>
    <x v="19"/>
    <x v="2"/>
    <n v="25"/>
    <n v="45"/>
    <n v="0"/>
    <n v="1125"/>
    <x v="61"/>
    <x v="17"/>
    <n v="3"/>
    <x v="8"/>
    <x v="2"/>
  </r>
  <r>
    <n v="10946"/>
    <x v="440"/>
    <n v="10"/>
    <x v="19"/>
    <x v="2"/>
    <n v="40"/>
    <n v="13"/>
    <n v="0"/>
    <n v="520"/>
    <x v="61"/>
    <x v="17"/>
    <n v="3"/>
    <x v="8"/>
    <x v="2"/>
  </r>
  <r>
    <n v="10947"/>
    <x v="441"/>
    <n v="59"/>
    <x v="44"/>
    <x v="0"/>
    <n v="4"/>
    <n v="55"/>
    <n v="0"/>
    <n v="220"/>
    <x v="31"/>
    <x v="13"/>
    <n v="3"/>
    <x v="8"/>
    <x v="2"/>
  </r>
  <r>
    <n v="10948"/>
    <x v="441"/>
    <n v="50"/>
    <x v="50"/>
    <x v="4"/>
    <n v="9"/>
    <n v="1625"/>
    <n v="0"/>
    <n v="14625"/>
    <x v="36"/>
    <x v="12"/>
    <n v="3"/>
    <x v="8"/>
    <x v="2"/>
  </r>
  <r>
    <n v="10948"/>
    <x v="441"/>
    <n v="50"/>
    <x v="50"/>
    <x v="4"/>
    <n v="40"/>
    <n v="53"/>
    <n v="0"/>
    <n v="2120"/>
    <x v="36"/>
    <x v="12"/>
    <n v="3"/>
    <x v="8"/>
    <x v="2"/>
  </r>
  <r>
    <n v="10948"/>
    <x v="441"/>
    <n v="50"/>
    <x v="50"/>
    <x v="4"/>
    <n v="4"/>
    <n v="24"/>
    <n v="0"/>
    <n v="96"/>
    <x v="36"/>
    <x v="12"/>
    <n v="3"/>
    <x v="8"/>
    <x v="2"/>
  </r>
  <r>
    <n v="10949"/>
    <x v="441"/>
    <n v="6"/>
    <x v="43"/>
    <x v="7"/>
    <n v="12"/>
    <n v="25"/>
    <n v="0"/>
    <n v="300"/>
    <x v="66"/>
    <x v="16"/>
    <n v="3"/>
    <x v="8"/>
    <x v="2"/>
  </r>
  <r>
    <n v="10949"/>
    <x v="441"/>
    <n v="6"/>
    <x v="43"/>
    <x v="7"/>
    <n v="30"/>
    <n v="31"/>
    <n v="0"/>
    <n v="930"/>
    <x v="66"/>
    <x v="16"/>
    <n v="3"/>
    <x v="8"/>
    <x v="2"/>
  </r>
  <r>
    <n v="10949"/>
    <x v="441"/>
    <n v="6"/>
    <x v="43"/>
    <x v="7"/>
    <n v="6"/>
    <n v="39"/>
    <n v="0"/>
    <n v="234"/>
    <x v="66"/>
    <x v="16"/>
    <n v="3"/>
    <x v="8"/>
    <x v="2"/>
  </r>
  <r>
    <n v="10949"/>
    <x v="441"/>
    <n v="6"/>
    <x v="43"/>
    <x v="7"/>
    <n v="60"/>
    <n v="493"/>
    <n v="0"/>
    <n v="29580"/>
    <x v="66"/>
    <x v="16"/>
    <n v="3"/>
    <x v="8"/>
    <x v="2"/>
  </r>
  <r>
    <n v="10950"/>
    <x v="442"/>
    <n v="4"/>
    <x v="38"/>
    <x v="7"/>
    <n v="5"/>
    <n v="22"/>
    <n v="0"/>
    <n v="110"/>
    <x v="22"/>
    <x v="11"/>
    <n v="3"/>
    <x v="8"/>
    <x v="2"/>
  </r>
  <r>
    <n v="10951"/>
    <x v="442"/>
    <n v="33"/>
    <x v="17"/>
    <x v="0"/>
    <n v="15"/>
    <n v="25"/>
    <n v="5"/>
    <n v="356.25"/>
    <x v="6"/>
    <x v="4"/>
    <n v="3"/>
    <x v="8"/>
    <x v="2"/>
  </r>
  <r>
    <n v="10951"/>
    <x v="442"/>
    <n v="33"/>
    <x v="17"/>
    <x v="0"/>
    <n v="6"/>
    <n v="965"/>
    <n v="5"/>
    <n v="5500.5"/>
    <x v="6"/>
    <x v="4"/>
    <n v="3"/>
    <x v="8"/>
    <x v="2"/>
  </r>
  <r>
    <n v="10951"/>
    <x v="442"/>
    <n v="33"/>
    <x v="17"/>
    <x v="0"/>
    <n v="50"/>
    <n v="775"/>
    <n v="5"/>
    <n v="36812.5"/>
    <x v="6"/>
    <x v="4"/>
    <n v="3"/>
    <x v="8"/>
    <x v="2"/>
  </r>
  <r>
    <n v="10952"/>
    <x v="442"/>
    <n v="6"/>
    <x v="43"/>
    <x v="7"/>
    <n v="16"/>
    <n v="25"/>
    <n v="5"/>
    <n v="380"/>
    <x v="85"/>
    <x v="1"/>
    <n v="3"/>
    <x v="8"/>
    <x v="2"/>
  </r>
  <r>
    <n v="10952"/>
    <x v="442"/>
    <n v="6"/>
    <x v="43"/>
    <x v="7"/>
    <n v="2"/>
    <n v="456"/>
    <n v="0"/>
    <n v="912"/>
    <x v="85"/>
    <x v="1"/>
    <n v="3"/>
    <x v="8"/>
    <x v="2"/>
  </r>
  <r>
    <n v="10953"/>
    <x v="442"/>
    <n v="20"/>
    <x v="4"/>
    <x v="4"/>
    <n v="50"/>
    <n v="81"/>
    <n v="5"/>
    <n v="3847.5"/>
    <x v="55"/>
    <x v="13"/>
    <n v="3"/>
    <x v="8"/>
    <x v="2"/>
  </r>
  <r>
    <n v="10953"/>
    <x v="442"/>
    <n v="20"/>
    <x v="4"/>
    <x v="4"/>
    <n v="50"/>
    <n v="125"/>
    <n v="5"/>
    <n v="5937.5"/>
    <x v="55"/>
    <x v="13"/>
    <n v="3"/>
    <x v="8"/>
    <x v="2"/>
  </r>
  <r>
    <n v="10954"/>
    <x v="443"/>
    <n v="16"/>
    <x v="12"/>
    <x v="4"/>
    <n v="28"/>
    <n v="1745"/>
    <n v="15"/>
    <n v="41531"/>
    <x v="67"/>
    <x v="5"/>
    <n v="3"/>
    <x v="8"/>
    <x v="2"/>
  </r>
  <r>
    <n v="10954"/>
    <x v="443"/>
    <n v="16"/>
    <x v="12"/>
    <x v="4"/>
    <n v="25"/>
    <n v="125"/>
    <n v="15"/>
    <n v="2656.25"/>
    <x v="67"/>
    <x v="5"/>
    <n v="3"/>
    <x v="8"/>
    <x v="2"/>
  </r>
  <r>
    <n v="10954"/>
    <x v="443"/>
    <n v="16"/>
    <x v="12"/>
    <x v="4"/>
    <n v="30"/>
    <n v="95"/>
    <n v="0"/>
    <n v="2850"/>
    <x v="67"/>
    <x v="5"/>
    <n v="3"/>
    <x v="8"/>
    <x v="2"/>
  </r>
  <r>
    <n v="10954"/>
    <x v="443"/>
    <n v="16"/>
    <x v="12"/>
    <x v="4"/>
    <n v="24"/>
    <n v="34"/>
    <n v="15"/>
    <n v="693.6"/>
    <x v="67"/>
    <x v="5"/>
    <n v="3"/>
    <x v="8"/>
    <x v="2"/>
  </r>
  <r>
    <n v="10955"/>
    <x v="443"/>
    <n v="75"/>
    <x v="68"/>
    <x v="5"/>
    <n v="12"/>
    <n v="775"/>
    <n v="2"/>
    <n v="9114"/>
    <x v="14"/>
    <x v="9"/>
    <n v="3"/>
    <x v="8"/>
    <x v="2"/>
  </r>
  <r>
    <n v="10956"/>
    <x v="443"/>
    <n v="21"/>
    <x v="10"/>
    <x v="4"/>
    <n v="12"/>
    <n v="10"/>
    <n v="0"/>
    <n v="120"/>
    <x v="76"/>
    <x v="1"/>
    <n v="3"/>
    <x v="8"/>
    <x v="2"/>
  </r>
  <r>
    <n v="10956"/>
    <x v="443"/>
    <n v="21"/>
    <x v="10"/>
    <x v="4"/>
    <n v="14"/>
    <n v="95"/>
    <n v="0"/>
    <n v="1330"/>
    <x v="76"/>
    <x v="1"/>
    <n v="3"/>
    <x v="8"/>
    <x v="2"/>
  </r>
  <r>
    <n v="10956"/>
    <x v="443"/>
    <n v="21"/>
    <x v="10"/>
    <x v="4"/>
    <n v="8"/>
    <n v="53"/>
    <n v="0"/>
    <n v="424"/>
    <x v="76"/>
    <x v="1"/>
    <n v="3"/>
    <x v="8"/>
    <x v="2"/>
  </r>
  <r>
    <n v="10957"/>
    <x v="444"/>
    <n v="30"/>
    <x v="24"/>
    <x v="2"/>
    <n v="30"/>
    <n v="2589"/>
    <n v="0"/>
    <n v="77670"/>
    <x v="8"/>
    <x v="5"/>
    <n v="3"/>
    <x v="8"/>
    <x v="2"/>
  </r>
  <r>
    <n v="10957"/>
    <x v="444"/>
    <n v="30"/>
    <x v="24"/>
    <x v="2"/>
    <n v="40"/>
    <n v="18"/>
    <n v="0"/>
    <n v="720"/>
    <x v="8"/>
    <x v="5"/>
    <n v="3"/>
    <x v="8"/>
    <x v="2"/>
  </r>
  <r>
    <n v="10957"/>
    <x v="444"/>
    <n v="30"/>
    <x v="24"/>
    <x v="2"/>
    <n v="8"/>
    <n v="3325"/>
    <n v="0"/>
    <n v="26600"/>
    <x v="8"/>
    <x v="5"/>
    <n v="3"/>
    <x v="8"/>
    <x v="2"/>
  </r>
  <r>
    <n v="10958"/>
    <x v="444"/>
    <n v="5"/>
    <x v="11"/>
    <x v="7"/>
    <n v="20"/>
    <n v="2135"/>
    <n v="0"/>
    <n v="42700"/>
    <x v="69"/>
    <x v="20"/>
    <n v="3"/>
    <x v="8"/>
    <x v="2"/>
  </r>
  <r>
    <n v="10958"/>
    <x v="444"/>
    <n v="5"/>
    <x v="11"/>
    <x v="7"/>
    <n v="6"/>
    <n v="30"/>
    <n v="0"/>
    <n v="180"/>
    <x v="69"/>
    <x v="20"/>
    <n v="3"/>
    <x v="8"/>
    <x v="2"/>
  </r>
  <r>
    <n v="10958"/>
    <x v="444"/>
    <n v="5"/>
    <x v="11"/>
    <x v="7"/>
    <n v="5"/>
    <n v="348"/>
    <n v="0"/>
    <n v="1740"/>
    <x v="69"/>
    <x v="20"/>
    <n v="3"/>
    <x v="8"/>
    <x v="2"/>
  </r>
  <r>
    <n v="10959"/>
    <x v="444"/>
    <n v="75"/>
    <x v="68"/>
    <x v="5"/>
    <n v="20"/>
    <n v="775"/>
    <n v="15"/>
    <n v="13175"/>
    <x v="71"/>
    <x v="2"/>
    <n v="3"/>
    <x v="8"/>
    <x v="2"/>
  </r>
  <r>
    <n v="10960"/>
    <x v="445"/>
    <n v="24"/>
    <x v="6"/>
    <x v="5"/>
    <n v="10"/>
    <n v="45"/>
    <n v="25"/>
    <n v="337.5"/>
    <x v="8"/>
    <x v="5"/>
    <n v="3"/>
    <x v="8"/>
    <x v="2"/>
  </r>
  <r>
    <n v="10960"/>
    <x v="445"/>
    <n v="24"/>
    <x v="6"/>
    <x v="5"/>
    <n v="24"/>
    <n v="965"/>
    <n v="0"/>
    <n v="23160"/>
    <x v="8"/>
    <x v="5"/>
    <n v="3"/>
    <x v="8"/>
    <x v="2"/>
  </r>
  <r>
    <n v="10961"/>
    <x v="445"/>
    <n v="52"/>
    <x v="42"/>
    <x v="3"/>
    <n v="6"/>
    <n v="7"/>
    <n v="5"/>
    <n v="39.9"/>
    <x v="62"/>
    <x v="2"/>
    <n v="3"/>
    <x v="8"/>
    <x v="2"/>
  </r>
  <r>
    <n v="10961"/>
    <x v="445"/>
    <n v="52"/>
    <x v="42"/>
    <x v="3"/>
    <n v="60"/>
    <n v="18"/>
    <n v="0"/>
    <n v="1080"/>
    <x v="62"/>
    <x v="2"/>
    <n v="3"/>
    <x v="8"/>
    <x v="2"/>
  </r>
  <r>
    <n v="10962"/>
    <x v="445"/>
    <n v="7"/>
    <x v="55"/>
    <x v="1"/>
    <n v="45"/>
    <n v="30"/>
    <n v="0"/>
    <n v="1350"/>
    <x v="21"/>
    <x v="1"/>
    <n v="3"/>
    <x v="8"/>
    <x v="2"/>
  </r>
  <r>
    <n v="10962"/>
    <x v="445"/>
    <n v="7"/>
    <x v="55"/>
    <x v="1"/>
    <n v="77"/>
    <n v="6"/>
    <n v="0"/>
    <n v="462"/>
    <x v="21"/>
    <x v="1"/>
    <n v="3"/>
    <x v="8"/>
    <x v="2"/>
  </r>
  <r>
    <n v="10962"/>
    <x v="445"/>
    <n v="7"/>
    <x v="55"/>
    <x v="1"/>
    <n v="20"/>
    <n v="328"/>
    <n v="0"/>
    <n v="6560"/>
    <x v="21"/>
    <x v="1"/>
    <n v="3"/>
    <x v="8"/>
    <x v="2"/>
  </r>
  <r>
    <n v="10962"/>
    <x v="445"/>
    <n v="7"/>
    <x v="55"/>
    <x v="1"/>
    <n v="9"/>
    <n v="36"/>
    <n v="0"/>
    <n v="324"/>
    <x v="21"/>
    <x v="1"/>
    <n v="3"/>
    <x v="8"/>
    <x v="2"/>
  </r>
  <r>
    <n v="10962"/>
    <x v="445"/>
    <n v="7"/>
    <x v="55"/>
    <x v="1"/>
    <n v="44"/>
    <n v="18"/>
    <n v="0"/>
    <n v="792"/>
    <x v="21"/>
    <x v="1"/>
    <n v="3"/>
    <x v="8"/>
    <x v="2"/>
  </r>
  <r>
    <n v="10963"/>
    <x v="445"/>
    <n v="60"/>
    <x v="60"/>
    <x v="0"/>
    <n v="2"/>
    <n v="34"/>
    <n v="15"/>
    <n v="57.8"/>
    <x v="47"/>
    <x v="15"/>
    <n v="3"/>
    <x v="8"/>
    <x v="2"/>
  </r>
  <r>
    <n v="10964"/>
    <x v="446"/>
    <n v="18"/>
    <x v="31"/>
    <x v="2"/>
    <n v="6"/>
    <n v="625"/>
    <n v="0"/>
    <n v="3750"/>
    <x v="87"/>
    <x v="0"/>
    <n v="3"/>
    <x v="8"/>
    <x v="2"/>
  </r>
  <r>
    <n v="10964"/>
    <x v="446"/>
    <n v="18"/>
    <x v="31"/>
    <x v="2"/>
    <n v="5"/>
    <n v="2635"/>
    <n v="0"/>
    <n v="13175"/>
    <x v="87"/>
    <x v="0"/>
    <n v="3"/>
    <x v="8"/>
    <x v="2"/>
  </r>
  <r>
    <n v="10964"/>
    <x v="446"/>
    <n v="18"/>
    <x v="31"/>
    <x v="2"/>
    <n v="10"/>
    <n v="36"/>
    <n v="0"/>
    <n v="360"/>
    <x v="87"/>
    <x v="0"/>
    <n v="3"/>
    <x v="8"/>
    <x v="2"/>
  </r>
  <r>
    <n v="10965"/>
    <x v="446"/>
    <n v="51"/>
    <x v="71"/>
    <x v="1"/>
    <n v="16"/>
    <n v="53"/>
    <n v="0"/>
    <n v="848"/>
    <x v="37"/>
    <x v="8"/>
    <n v="3"/>
    <x v="8"/>
    <x v="2"/>
  </r>
  <r>
    <n v="10966"/>
    <x v="446"/>
    <n v="37"/>
    <x v="59"/>
    <x v="2"/>
    <n v="8"/>
    <n v="26"/>
    <n v="0"/>
    <n v="208"/>
    <x v="5"/>
    <x v="4"/>
    <n v="3"/>
    <x v="8"/>
    <x v="2"/>
  </r>
  <r>
    <n v="10966"/>
    <x v="446"/>
    <n v="37"/>
    <x v="59"/>
    <x v="2"/>
    <n v="12"/>
    <n v="38"/>
    <n v="15"/>
    <n v="387.59999999999997"/>
    <x v="5"/>
    <x v="4"/>
    <n v="3"/>
    <x v="8"/>
    <x v="2"/>
  </r>
  <r>
    <n v="10966"/>
    <x v="446"/>
    <n v="37"/>
    <x v="59"/>
    <x v="2"/>
    <n v="12"/>
    <n v="493"/>
    <n v="15"/>
    <n v="5028.5999999999995"/>
    <x v="5"/>
    <x v="4"/>
    <n v="3"/>
    <x v="8"/>
    <x v="2"/>
  </r>
  <r>
    <n v="10967"/>
    <x v="447"/>
    <n v="19"/>
    <x v="23"/>
    <x v="4"/>
    <n v="12"/>
    <n v="92"/>
    <n v="0"/>
    <n v="1104"/>
    <x v="1"/>
    <x v="1"/>
    <n v="3"/>
    <x v="8"/>
    <x v="2"/>
  </r>
  <r>
    <n v="10967"/>
    <x v="447"/>
    <n v="19"/>
    <x v="23"/>
    <x v="4"/>
    <n v="40"/>
    <n v="20"/>
    <n v="0"/>
    <n v="800"/>
    <x v="1"/>
    <x v="1"/>
    <n v="3"/>
    <x v="8"/>
    <x v="2"/>
  </r>
  <r>
    <n v="10968"/>
    <x v="447"/>
    <n v="12"/>
    <x v="14"/>
    <x v="0"/>
    <n v="30"/>
    <n v="38"/>
    <n v="0"/>
    <n v="1140"/>
    <x v="9"/>
    <x v="6"/>
    <n v="3"/>
    <x v="8"/>
    <x v="2"/>
  </r>
  <r>
    <n v="10968"/>
    <x v="447"/>
    <n v="12"/>
    <x v="14"/>
    <x v="0"/>
    <n v="30"/>
    <n v="45"/>
    <n v="0"/>
    <n v="1350"/>
    <x v="9"/>
    <x v="6"/>
    <n v="3"/>
    <x v="8"/>
    <x v="2"/>
  </r>
  <r>
    <n v="10968"/>
    <x v="447"/>
    <n v="12"/>
    <x v="14"/>
    <x v="0"/>
    <n v="4"/>
    <n v="3325"/>
    <n v="0"/>
    <n v="13300"/>
    <x v="9"/>
    <x v="6"/>
    <n v="3"/>
    <x v="8"/>
    <x v="2"/>
  </r>
  <r>
    <n v="10969"/>
    <x v="447"/>
    <n v="46"/>
    <x v="57"/>
    <x v="2"/>
    <n v="9"/>
    <n v="12"/>
    <n v="0"/>
    <n v="108"/>
    <x v="32"/>
    <x v="2"/>
    <n v="3"/>
    <x v="8"/>
    <x v="2"/>
  </r>
  <r>
    <n v="10970"/>
    <x v="448"/>
    <n v="52"/>
    <x v="42"/>
    <x v="3"/>
    <n v="40"/>
    <n v="7"/>
    <n v="2"/>
    <n v="274.39999999999998"/>
    <x v="46"/>
    <x v="12"/>
    <n v="3"/>
    <x v="8"/>
    <x v="2"/>
  </r>
  <r>
    <n v="10971"/>
    <x v="448"/>
    <n v="29"/>
    <x v="16"/>
    <x v="6"/>
    <n v="14"/>
    <n v="12379"/>
    <n v="0"/>
    <n v="173306"/>
    <x v="86"/>
    <x v="0"/>
    <n v="3"/>
    <x v="8"/>
    <x v="2"/>
  </r>
  <r>
    <n v="10972"/>
    <x v="448"/>
    <n v="17"/>
    <x v="13"/>
    <x v="6"/>
    <n v="6"/>
    <n v="39"/>
    <n v="0"/>
    <n v="234"/>
    <x v="88"/>
    <x v="0"/>
    <n v="3"/>
    <x v="8"/>
    <x v="2"/>
  </r>
  <r>
    <n v="10972"/>
    <x v="448"/>
    <n v="17"/>
    <x v="13"/>
    <x v="6"/>
    <n v="7"/>
    <n v="25"/>
    <n v="0"/>
    <n v="175"/>
    <x v="88"/>
    <x v="0"/>
    <n v="3"/>
    <x v="8"/>
    <x v="2"/>
  </r>
  <r>
    <n v="10973"/>
    <x v="448"/>
    <n v="26"/>
    <x v="45"/>
    <x v="4"/>
    <n v="5"/>
    <n v="3123"/>
    <n v="0"/>
    <n v="15615"/>
    <x v="88"/>
    <x v="0"/>
    <n v="3"/>
    <x v="8"/>
    <x v="2"/>
  </r>
  <r>
    <n v="10973"/>
    <x v="448"/>
    <n v="26"/>
    <x v="45"/>
    <x v="4"/>
    <n v="6"/>
    <n v="965"/>
    <n v="0"/>
    <n v="5790"/>
    <x v="88"/>
    <x v="0"/>
    <n v="3"/>
    <x v="8"/>
    <x v="2"/>
  </r>
  <r>
    <n v="10973"/>
    <x v="448"/>
    <n v="26"/>
    <x v="45"/>
    <x v="4"/>
    <n v="10"/>
    <n v="775"/>
    <n v="0"/>
    <n v="7750"/>
    <x v="88"/>
    <x v="0"/>
    <n v="3"/>
    <x v="8"/>
    <x v="2"/>
  </r>
  <r>
    <n v="10974"/>
    <x v="449"/>
    <n v="63"/>
    <x v="72"/>
    <x v="7"/>
    <n v="10"/>
    <n v="439"/>
    <n v="0"/>
    <n v="4390"/>
    <x v="20"/>
    <x v="8"/>
    <n v="3"/>
    <x v="8"/>
    <x v="2"/>
  </r>
  <r>
    <n v="10975"/>
    <x v="449"/>
    <n v="8"/>
    <x v="48"/>
    <x v="7"/>
    <n v="16"/>
    <n v="40"/>
    <n v="0"/>
    <n v="640"/>
    <x v="66"/>
    <x v="16"/>
    <n v="3"/>
    <x v="8"/>
    <x v="2"/>
  </r>
  <r>
    <n v="10975"/>
    <x v="449"/>
    <n v="8"/>
    <x v="48"/>
    <x v="7"/>
    <n v="10"/>
    <n v="775"/>
    <n v="0"/>
    <n v="7750"/>
    <x v="66"/>
    <x v="16"/>
    <n v="3"/>
    <x v="8"/>
    <x v="2"/>
  </r>
  <r>
    <n v="10976"/>
    <x v="449"/>
    <n v="28"/>
    <x v="21"/>
    <x v="1"/>
    <n v="20"/>
    <n v="456"/>
    <n v="0"/>
    <n v="9120"/>
    <x v="8"/>
    <x v="5"/>
    <n v="3"/>
    <x v="8"/>
    <x v="2"/>
  </r>
  <r>
    <n v="10977"/>
    <x v="450"/>
    <n v="39"/>
    <x v="33"/>
    <x v="5"/>
    <n v="30"/>
    <n v="18"/>
    <n v="0"/>
    <n v="540"/>
    <x v="14"/>
    <x v="9"/>
    <n v="3"/>
    <x v="8"/>
    <x v="2"/>
  </r>
  <r>
    <n v="10977"/>
    <x v="450"/>
    <n v="39"/>
    <x v="33"/>
    <x v="5"/>
    <n v="30"/>
    <n v="95"/>
    <n v="0"/>
    <n v="2850"/>
    <x v="14"/>
    <x v="9"/>
    <n v="3"/>
    <x v="8"/>
    <x v="2"/>
  </r>
  <r>
    <n v="10977"/>
    <x v="450"/>
    <n v="39"/>
    <x v="33"/>
    <x v="5"/>
    <n v="10"/>
    <n v="53"/>
    <n v="0"/>
    <n v="530"/>
    <x v="14"/>
    <x v="9"/>
    <n v="3"/>
    <x v="8"/>
    <x v="2"/>
  </r>
  <r>
    <n v="10977"/>
    <x v="450"/>
    <n v="39"/>
    <x v="33"/>
    <x v="5"/>
    <n v="20"/>
    <n v="439"/>
    <n v="0"/>
    <n v="8780"/>
    <x v="14"/>
    <x v="9"/>
    <n v="3"/>
    <x v="8"/>
    <x v="2"/>
  </r>
  <r>
    <n v="10978"/>
    <x v="450"/>
    <n v="8"/>
    <x v="48"/>
    <x v="7"/>
    <n v="20"/>
    <n v="40"/>
    <n v="15"/>
    <n v="680"/>
    <x v="80"/>
    <x v="3"/>
    <n v="3"/>
    <x v="8"/>
    <x v="2"/>
  </r>
  <r>
    <n v="10978"/>
    <x v="450"/>
    <n v="8"/>
    <x v="48"/>
    <x v="7"/>
    <n v="40"/>
    <n v="10"/>
    <n v="15"/>
    <n v="340"/>
    <x v="80"/>
    <x v="3"/>
    <n v="3"/>
    <x v="8"/>
    <x v="2"/>
  </r>
  <r>
    <n v="10978"/>
    <x v="450"/>
    <n v="8"/>
    <x v="48"/>
    <x v="7"/>
    <n v="10"/>
    <n v="184"/>
    <n v="0"/>
    <n v="1840"/>
    <x v="80"/>
    <x v="3"/>
    <n v="3"/>
    <x v="8"/>
    <x v="2"/>
  </r>
  <r>
    <n v="10978"/>
    <x v="450"/>
    <n v="8"/>
    <x v="48"/>
    <x v="7"/>
    <n v="6"/>
    <n v="1945"/>
    <n v="15"/>
    <n v="9919.5"/>
    <x v="80"/>
    <x v="3"/>
    <n v="3"/>
    <x v="8"/>
    <x v="2"/>
  </r>
  <r>
    <n v="10979"/>
    <x v="450"/>
    <n v="7"/>
    <x v="55"/>
    <x v="1"/>
    <n v="18"/>
    <n v="30"/>
    <n v="0"/>
    <n v="540"/>
    <x v="9"/>
    <x v="6"/>
    <n v="3"/>
    <x v="8"/>
    <x v="2"/>
  </r>
  <r>
    <n v="10979"/>
    <x v="450"/>
    <n v="7"/>
    <x v="55"/>
    <x v="1"/>
    <n v="20"/>
    <n v="38"/>
    <n v="0"/>
    <n v="760"/>
    <x v="9"/>
    <x v="6"/>
    <n v="3"/>
    <x v="8"/>
    <x v="2"/>
  </r>
  <r>
    <n v="10979"/>
    <x v="450"/>
    <n v="7"/>
    <x v="55"/>
    <x v="1"/>
    <n v="80"/>
    <n v="45"/>
    <n v="0"/>
    <n v="3600"/>
    <x v="9"/>
    <x v="6"/>
    <n v="3"/>
    <x v="8"/>
    <x v="2"/>
  </r>
  <r>
    <n v="10979"/>
    <x v="450"/>
    <n v="7"/>
    <x v="55"/>
    <x v="1"/>
    <n v="30"/>
    <n v="439"/>
    <n v="0"/>
    <n v="13170"/>
    <x v="9"/>
    <x v="6"/>
    <n v="3"/>
    <x v="8"/>
    <x v="2"/>
  </r>
  <r>
    <n v="10979"/>
    <x v="450"/>
    <n v="7"/>
    <x v="55"/>
    <x v="1"/>
    <n v="24"/>
    <n v="125"/>
    <n v="0"/>
    <n v="3000"/>
    <x v="9"/>
    <x v="6"/>
    <n v="3"/>
    <x v="8"/>
    <x v="2"/>
  </r>
  <r>
    <n v="10979"/>
    <x v="450"/>
    <n v="7"/>
    <x v="55"/>
    <x v="1"/>
    <n v="35"/>
    <n v="439"/>
    <n v="0"/>
    <n v="15365"/>
    <x v="9"/>
    <x v="6"/>
    <n v="3"/>
    <x v="8"/>
    <x v="2"/>
  </r>
  <r>
    <n v="10980"/>
    <x v="451"/>
    <n v="75"/>
    <x v="68"/>
    <x v="5"/>
    <n v="40"/>
    <n v="775"/>
    <n v="2"/>
    <n v="30380"/>
    <x v="14"/>
    <x v="9"/>
    <n v="3"/>
    <x v="8"/>
    <x v="2"/>
  </r>
  <r>
    <n v="10981"/>
    <x v="451"/>
    <n v="38"/>
    <x v="51"/>
    <x v="5"/>
    <n v="60"/>
    <n v="2635"/>
    <n v="0"/>
    <n v="158100"/>
    <x v="2"/>
    <x v="2"/>
    <n v="3"/>
    <x v="8"/>
    <x v="2"/>
  </r>
  <r>
    <n v="10982"/>
    <x v="451"/>
    <n v="7"/>
    <x v="55"/>
    <x v="1"/>
    <n v="20"/>
    <n v="30"/>
    <n v="0"/>
    <n v="600"/>
    <x v="66"/>
    <x v="16"/>
    <n v="3"/>
    <x v="8"/>
    <x v="2"/>
  </r>
  <r>
    <n v="10982"/>
    <x v="451"/>
    <n v="7"/>
    <x v="55"/>
    <x v="1"/>
    <n v="9"/>
    <n v="46"/>
    <n v="0"/>
    <n v="414"/>
    <x v="66"/>
    <x v="16"/>
    <n v="3"/>
    <x v="8"/>
    <x v="2"/>
  </r>
  <r>
    <n v="10983"/>
    <x v="451"/>
    <n v="13"/>
    <x v="30"/>
    <x v="2"/>
    <n v="84"/>
    <n v="6"/>
    <n v="15"/>
    <n v="428.4"/>
    <x v="45"/>
    <x v="8"/>
    <n v="3"/>
    <x v="8"/>
    <x v="2"/>
  </r>
  <r>
    <n v="10983"/>
    <x v="451"/>
    <n v="13"/>
    <x v="30"/>
    <x v="2"/>
    <n v="15"/>
    <n v="195"/>
    <n v="0"/>
    <n v="2925"/>
    <x v="45"/>
    <x v="8"/>
    <n v="3"/>
    <x v="8"/>
    <x v="2"/>
  </r>
  <r>
    <n v="10984"/>
    <x v="452"/>
    <n v="16"/>
    <x v="12"/>
    <x v="4"/>
    <n v="55"/>
    <n v="1745"/>
    <n v="0"/>
    <n v="95975"/>
    <x v="45"/>
    <x v="8"/>
    <n v="3"/>
    <x v="8"/>
    <x v="2"/>
  </r>
  <r>
    <n v="10984"/>
    <x v="452"/>
    <n v="16"/>
    <x v="12"/>
    <x v="4"/>
    <n v="20"/>
    <n v="45"/>
    <n v="0"/>
    <n v="900"/>
    <x v="45"/>
    <x v="8"/>
    <n v="3"/>
    <x v="8"/>
    <x v="2"/>
  </r>
  <r>
    <n v="10984"/>
    <x v="452"/>
    <n v="16"/>
    <x v="12"/>
    <x v="4"/>
    <n v="40"/>
    <n v="19"/>
    <n v="0"/>
    <n v="760"/>
    <x v="45"/>
    <x v="8"/>
    <n v="3"/>
    <x v="8"/>
    <x v="2"/>
  </r>
  <r>
    <n v="10985"/>
    <x v="452"/>
    <n v="16"/>
    <x v="12"/>
    <x v="4"/>
    <n v="36"/>
    <n v="1745"/>
    <n v="1"/>
    <n v="62191.8"/>
    <x v="34"/>
    <x v="14"/>
    <n v="3"/>
    <x v="8"/>
    <x v="2"/>
  </r>
  <r>
    <n v="10985"/>
    <x v="452"/>
    <n v="16"/>
    <x v="12"/>
    <x v="4"/>
    <n v="8"/>
    <n v="625"/>
    <n v="1"/>
    <n v="4950"/>
    <x v="34"/>
    <x v="14"/>
    <n v="3"/>
    <x v="8"/>
    <x v="2"/>
  </r>
  <r>
    <n v="10985"/>
    <x v="452"/>
    <n v="16"/>
    <x v="12"/>
    <x v="4"/>
    <n v="35"/>
    <n v="32"/>
    <n v="1"/>
    <n v="1108.8"/>
    <x v="34"/>
    <x v="14"/>
    <n v="3"/>
    <x v="8"/>
    <x v="2"/>
  </r>
  <r>
    <n v="10986"/>
    <x v="452"/>
    <n v="11"/>
    <x v="0"/>
    <x v="0"/>
    <n v="30"/>
    <n v="21"/>
    <n v="0"/>
    <n v="630"/>
    <x v="69"/>
    <x v="20"/>
    <n v="3"/>
    <x v="8"/>
    <x v="2"/>
  </r>
  <r>
    <n v="10986"/>
    <x v="452"/>
    <n v="11"/>
    <x v="0"/>
    <x v="0"/>
    <n v="15"/>
    <n v="81"/>
    <n v="0"/>
    <n v="1215"/>
    <x v="69"/>
    <x v="20"/>
    <n v="3"/>
    <x v="8"/>
    <x v="2"/>
  </r>
  <r>
    <n v="10986"/>
    <x v="452"/>
    <n v="11"/>
    <x v="0"/>
    <x v="0"/>
    <n v="10"/>
    <n v="18"/>
    <n v="0"/>
    <n v="180"/>
    <x v="69"/>
    <x v="20"/>
    <n v="3"/>
    <x v="8"/>
    <x v="2"/>
  </r>
  <r>
    <n v="10986"/>
    <x v="452"/>
    <n v="11"/>
    <x v="0"/>
    <x v="0"/>
    <n v="15"/>
    <n v="13"/>
    <n v="0"/>
    <n v="195"/>
    <x v="69"/>
    <x v="20"/>
    <n v="3"/>
    <x v="8"/>
    <x v="2"/>
  </r>
  <r>
    <n v="10987"/>
    <x v="453"/>
    <n v="7"/>
    <x v="55"/>
    <x v="1"/>
    <n v="60"/>
    <n v="30"/>
    <n v="0"/>
    <n v="1800"/>
    <x v="58"/>
    <x v="13"/>
    <n v="3"/>
    <x v="8"/>
    <x v="2"/>
  </r>
  <r>
    <n v="10987"/>
    <x v="453"/>
    <n v="7"/>
    <x v="55"/>
    <x v="1"/>
    <n v="6"/>
    <n v="46"/>
    <n v="0"/>
    <n v="276"/>
    <x v="58"/>
    <x v="13"/>
    <n v="3"/>
    <x v="8"/>
    <x v="2"/>
  </r>
  <r>
    <n v="10987"/>
    <x v="453"/>
    <n v="7"/>
    <x v="55"/>
    <x v="1"/>
    <n v="20"/>
    <n v="348"/>
    <n v="0"/>
    <n v="6960"/>
    <x v="58"/>
    <x v="13"/>
    <n v="3"/>
    <x v="8"/>
    <x v="2"/>
  </r>
  <r>
    <n v="10988"/>
    <x v="453"/>
    <n v="7"/>
    <x v="55"/>
    <x v="1"/>
    <n v="60"/>
    <n v="30"/>
    <n v="0"/>
    <n v="1800"/>
    <x v="13"/>
    <x v="8"/>
    <n v="3"/>
    <x v="8"/>
    <x v="2"/>
  </r>
  <r>
    <n v="10988"/>
    <x v="453"/>
    <n v="7"/>
    <x v="55"/>
    <x v="1"/>
    <n v="40"/>
    <n v="493"/>
    <n v="1"/>
    <n v="19522.8"/>
    <x v="13"/>
    <x v="8"/>
    <n v="3"/>
    <x v="8"/>
    <x v="2"/>
  </r>
  <r>
    <n v="10989"/>
    <x v="453"/>
    <n v="6"/>
    <x v="43"/>
    <x v="7"/>
    <n v="40"/>
    <n v="25"/>
    <n v="0"/>
    <n v="1000"/>
    <x v="12"/>
    <x v="2"/>
    <n v="3"/>
    <x v="8"/>
    <x v="2"/>
  </r>
  <r>
    <n v="10989"/>
    <x v="453"/>
    <n v="6"/>
    <x v="43"/>
    <x v="7"/>
    <n v="15"/>
    <n v="21"/>
    <n v="0"/>
    <n v="315"/>
    <x v="12"/>
    <x v="2"/>
    <n v="3"/>
    <x v="8"/>
    <x v="2"/>
  </r>
  <r>
    <n v="10989"/>
    <x v="453"/>
    <n v="6"/>
    <x v="43"/>
    <x v="7"/>
    <n v="4"/>
    <n v="965"/>
    <n v="0"/>
    <n v="3860"/>
    <x v="12"/>
    <x v="2"/>
    <n v="3"/>
    <x v="8"/>
    <x v="2"/>
  </r>
  <r>
    <n v="10990"/>
    <x v="454"/>
    <n v="21"/>
    <x v="10"/>
    <x v="4"/>
    <n v="65"/>
    <n v="10"/>
    <n v="0"/>
    <n v="650"/>
    <x v="9"/>
    <x v="6"/>
    <n v="4"/>
    <x v="9"/>
    <x v="2"/>
  </r>
  <r>
    <n v="10990"/>
    <x v="454"/>
    <n v="21"/>
    <x v="10"/>
    <x v="4"/>
    <n v="60"/>
    <n v="14"/>
    <n v="15"/>
    <n v="714"/>
    <x v="9"/>
    <x v="6"/>
    <n v="4"/>
    <x v="9"/>
    <x v="2"/>
  </r>
  <r>
    <n v="10990"/>
    <x v="454"/>
    <n v="21"/>
    <x v="10"/>
    <x v="4"/>
    <n v="65"/>
    <n v="24"/>
    <n v="15"/>
    <n v="1326"/>
    <x v="9"/>
    <x v="6"/>
    <n v="4"/>
    <x v="9"/>
    <x v="2"/>
  </r>
  <r>
    <n v="10990"/>
    <x v="454"/>
    <n v="21"/>
    <x v="10"/>
    <x v="4"/>
    <n v="66"/>
    <n v="285"/>
    <n v="15"/>
    <n v="15988.5"/>
    <x v="9"/>
    <x v="6"/>
    <n v="4"/>
    <x v="9"/>
    <x v="2"/>
  </r>
  <r>
    <n v="10991"/>
    <x v="454"/>
    <n v="2"/>
    <x v="7"/>
    <x v="5"/>
    <n v="50"/>
    <n v="19"/>
    <n v="2"/>
    <n v="931"/>
    <x v="21"/>
    <x v="1"/>
    <n v="4"/>
    <x v="9"/>
    <x v="2"/>
  </r>
  <r>
    <n v="10991"/>
    <x v="454"/>
    <n v="2"/>
    <x v="7"/>
    <x v="5"/>
    <n v="20"/>
    <n v="15"/>
    <n v="2"/>
    <n v="294"/>
    <x v="21"/>
    <x v="1"/>
    <n v="4"/>
    <x v="9"/>
    <x v="2"/>
  </r>
  <r>
    <n v="10991"/>
    <x v="454"/>
    <n v="2"/>
    <x v="7"/>
    <x v="5"/>
    <n v="90"/>
    <n v="18"/>
    <n v="2"/>
    <n v="1587.6"/>
    <x v="21"/>
    <x v="1"/>
    <n v="4"/>
    <x v="9"/>
    <x v="2"/>
  </r>
  <r>
    <n v="10992"/>
    <x v="454"/>
    <n v="72"/>
    <x v="67"/>
    <x v="0"/>
    <n v="2"/>
    <n v="348"/>
    <n v="0"/>
    <n v="696"/>
    <x v="40"/>
    <x v="8"/>
    <n v="4"/>
    <x v="9"/>
    <x v="2"/>
  </r>
  <r>
    <n v="10993"/>
    <x v="454"/>
    <n v="29"/>
    <x v="16"/>
    <x v="6"/>
    <n v="50"/>
    <n v="12379"/>
    <n v="25"/>
    <n v="464212.5"/>
    <x v="14"/>
    <x v="9"/>
    <n v="4"/>
    <x v="9"/>
    <x v="2"/>
  </r>
  <r>
    <n v="10993"/>
    <x v="454"/>
    <n v="29"/>
    <x v="16"/>
    <x v="6"/>
    <n v="35"/>
    <n v="965"/>
    <n v="25"/>
    <n v="25331.25"/>
    <x v="14"/>
    <x v="9"/>
    <n v="4"/>
    <x v="9"/>
    <x v="2"/>
  </r>
  <r>
    <n v="10994"/>
    <x v="455"/>
    <n v="59"/>
    <x v="44"/>
    <x v="0"/>
    <n v="18"/>
    <n v="55"/>
    <n v="5"/>
    <n v="940.5"/>
    <x v="61"/>
    <x v="17"/>
    <n v="4"/>
    <x v="9"/>
    <x v="2"/>
  </r>
  <r>
    <n v="10995"/>
    <x v="455"/>
    <n v="51"/>
    <x v="71"/>
    <x v="1"/>
    <n v="20"/>
    <n v="53"/>
    <n v="0"/>
    <n v="1060"/>
    <x v="43"/>
    <x v="7"/>
    <n v="4"/>
    <x v="9"/>
    <x v="2"/>
  </r>
  <r>
    <n v="10995"/>
    <x v="455"/>
    <n v="51"/>
    <x v="71"/>
    <x v="1"/>
    <n v="4"/>
    <n v="34"/>
    <n v="0"/>
    <n v="136"/>
    <x v="43"/>
    <x v="7"/>
    <n v="4"/>
    <x v="9"/>
    <x v="2"/>
  </r>
  <r>
    <n v="10996"/>
    <x v="455"/>
    <n v="42"/>
    <x v="39"/>
    <x v="3"/>
    <n v="40"/>
    <n v="14"/>
    <n v="0"/>
    <n v="560"/>
    <x v="21"/>
    <x v="1"/>
    <n v="4"/>
    <x v="9"/>
    <x v="2"/>
  </r>
  <r>
    <n v="10997"/>
    <x v="456"/>
    <n v="32"/>
    <x v="40"/>
    <x v="0"/>
    <n v="50"/>
    <n v="32"/>
    <n v="0"/>
    <n v="1600"/>
    <x v="28"/>
    <x v="5"/>
    <n v="4"/>
    <x v="9"/>
    <x v="2"/>
  </r>
  <r>
    <n v="10997"/>
    <x v="456"/>
    <n v="32"/>
    <x v="40"/>
    <x v="0"/>
    <n v="20"/>
    <n v="12"/>
    <n v="25"/>
    <n v="180"/>
    <x v="28"/>
    <x v="5"/>
    <n v="4"/>
    <x v="9"/>
    <x v="2"/>
  </r>
  <r>
    <n v="10997"/>
    <x v="456"/>
    <n v="32"/>
    <x v="40"/>
    <x v="0"/>
    <n v="20"/>
    <n v="7"/>
    <n v="25"/>
    <n v="105"/>
    <x v="28"/>
    <x v="5"/>
    <n v="4"/>
    <x v="9"/>
    <x v="2"/>
  </r>
  <r>
    <n v="10998"/>
    <x v="456"/>
    <n v="24"/>
    <x v="6"/>
    <x v="5"/>
    <n v="12"/>
    <n v="45"/>
    <n v="0"/>
    <n v="540"/>
    <x v="63"/>
    <x v="18"/>
    <n v="4"/>
    <x v="9"/>
    <x v="2"/>
  </r>
  <r>
    <n v="10998"/>
    <x v="456"/>
    <n v="24"/>
    <x v="6"/>
    <x v="5"/>
    <n v="7"/>
    <n v="285"/>
    <n v="0"/>
    <n v="1995"/>
    <x v="63"/>
    <x v="18"/>
    <n v="4"/>
    <x v="9"/>
    <x v="2"/>
  </r>
  <r>
    <n v="10998"/>
    <x v="456"/>
    <n v="24"/>
    <x v="6"/>
    <x v="5"/>
    <n v="20"/>
    <n v="10"/>
    <n v="0"/>
    <n v="200"/>
    <x v="63"/>
    <x v="18"/>
    <n v="4"/>
    <x v="9"/>
    <x v="2"/>
  </r>
  <r>
    <n v="10998"/>
    <x v="456"/>
    <n v="24"/>
    <x v="6"/>
    <x v="5"/>
    <n v="30"/>
    <n v="775"/>
    <n v="0"/>
    <n v="23250"/>
    <x v="63"/>
    <x v="18"/>
    <n v="4"/>
    <x v="9"/>
    <x v="2"/>
  </r>
  <r>
    <n v="10999"/>
    <x v="456"/>
    <n v="41"/>
    <x v="2"/>
    <x v="2"/>
    <n v="20"/>
    <n v="965"/>
    <n v="5"/>
    <n v="18335"/>
    <x v="11"/>
    <x v="1"/>
    <n v="4"/>
    <x v="9"/>
    <x v="2"/>
  </r>
  <r>
    <n v="10999"/>
    <x v="456"/>
    <n v="41"/>
    <x v="2"/>
    <x v="2"/>
    <n v="15"/>
    <n v="53"/>
    <n v="5"/>
    <n v="755.25"/>
    <x v="11"/>
    <x v="1"/>
    <n v="4"/>
    <x v="9"/>
    <x v="2"/>
  </r>
  <r>
    <n v="10999"/>
    <x v="456"/>
    <n v="41"/>
    <x v="2"/>
    <x v="2"/>
    <n v="21"/>
    <n v="13"/>
    <n v="5"/>
    <n v="259.34999999999997"/>
    <x v="11"/>
    <x v="1"/>
    <n v="4"/>
    <x v="9"/>
    <x v="2"/>
  </r>
  <r>
    <n v="11000"/>
    <x v="457"/>
    <n v="4"/>
    <x v="38"/>
    <x v="7"/>
    <n v="25"/>
    <n v="22"/>
    <n v="25"/>
    <n v="412.5"/>
    <x v="13"/>
    <x v="8"/>
    <n v="4"/>
    <x v="9"/>
    <x v="2"/>
  </r>
  <r>
    <n v="11000"/>
    <x v="457"/>
    <n v="4"/>
    <x v="38"/>
    <x v="7"/>
    <n v="30"/>
    <n v="45"/>
    <n v="25"/>
    <n v="1012.5"/>
    <x v="13"/>
    <x v="8"/>
    <n v="4"/>
    <x v="9"/>
    <x v="2"/>
  </r>
  <r>
    <n v="11000"/>
    <x v="457"/>
    <n v="4"/>
    <x v="38"/>
    <x v="7"/>
    <n v="30"/>
    <n v="13"/>
    <n v="0"/>
    <n v="390"/>
    <x v="13"/>
    <x v="8"/>
    <n v="4"/>
    <x v="9"/>
    <x v="2"/>
  </r>
  <r>
    <n v="11001"/>
    <x v="457"/>
    <n v="7"/>
    <x v="55"/>
    <x v="1"/>
    <n v="60"/>
    <n v="30"/>
    <n v="0"/>
    <n v="1800"/>
    <x v="14"/>
    <x v="9"/>
    <n v="4"/>
    <x v="9"/>
    <x v="2"/>
  </r>
  <r>
    <n v="11001"/>
    <x v="457"/>
    <n v="7"/>
    <x v="55"/>
    <x v="1"/>
    <n v="25"/>
    <n v="21"/>
    <n v="0"/>
    <n v="525"/>
    <x v="14"/>
    <x v="9"/>
    <n v="4"/>
    <x v="9"/>
    <x v="2"/>
  </r>
  <r>
    <n v="11001"/>
    <x v="457"/>
    <n v="7"/>
    <x v="55"/>
    <x v="1"/>
    <n v="25"/>
    <n v="12"/>
    <n v="0"/>
    <n v="300"/>
    <x v="14"/>
    <x v="9"/>
    <n v="4"/>
    <x v="9"/>
    <x v="2"/>
  </r>
  <r>
    <n v="11001"/>
    <x v="457"/>
    <n v="7"/>
    <x v="55"/>
    <x v="1"/>
    <n v="6"/>
    <n v="24"/>
    <n v="0"/>
    <n v="144"/>
    <x v="14"/>
    <x v="9"/>
    <n v="4"/>
    <x v="9"/>
    <x v="2"/>
  </r>
  <r>
    <n v="11002"/>
    <x v="457"/>
    <n v="13"/>
    <x v="30"/>
    <x v="2"/>
    <n v="56"/>
    <n v="6"/>
    <n v="0"/>
    <n v="336"/>
    <x v="45"/>
    <x v="8"/>
    <n v="4"/>
    <x v="9"/>
    <x v="2"/>
  </r>
  <r>
    <n v="11002"/>
    <x v="457"/>
    <n v="13"/>
    <x v="30"/>
    <x v="2"/>
    <n v="15"/>
    <n v="18"/>
    <n v="15"/>
    <n v="229.5"/>
    <x v="45"/>
    <x v="8"/>
    <n v="4"/>
    <x v="9"/>
    <x v="2"/>
  </r>
  <r>
    <n v="11002"/>
    <x v="457"/>
    <n v="13"/>
    <x v="30"/>
    <x v="2"/>
    <n v="24"/>
    <n v="14"/>
    <n v="15"/>
    <n v="285.59999999999997"/>
    <x v="45"/>
    <x v="8"/>
    <n v="4"/>
    <x v="9"/>
    <x v="2"/>
  </r>
  <r>
    <n v="11002"/>
    <x v="457"/>
    <n v="13"/>
    <x v="30"/>
    <x v="2"/>
    <n v="40"/>
    <n v="24"/>
    <n v="0"/>
    <n v="960"/>
    <x v="45"/>
    <x v="8"/>
    <n v="4"/>
    <x v="9"/>
    <x v="2"/>
  </r>
  <r>
    <n v="11003"/>
    <x v="457"/>
    <n v="1"/>
    <x v="26"/>
    <x v="5"/>
    <n v="4"/>
    <n v="18"/>
    <n v="0"/>
    <n v="72"/>
    <x v="84"/>
    <x v="8"/>
    <n v="4"/>
    <x v="9"/>
    <x v="2"/>
  </r>
  <r>
    <n v="11003"/>
    <x v="457"/>
    <n v="1"/>
    <x v="26"/>
    <x v="5"/>
    <n v="10"/>
    <n v="184"/>
    <n v="0"/>
    <n v="1840"/>
    <x v="84"/>
    <x v="8"/>
    <n v="4"/>
    <x v="9"/>
    <x v="2"/>
  </r>
  <r>
    <n v="11003"/>
    <x v="457"/>
    <n v="1"/>
    <x v="26"/>
    <x v="5"/>
    <n v="10"/>
    <n v="7"/>
    <n v="0"/>
    <n v="70"/>
    <x v="84"/>
    <x v="8"/>
    <n v="4"/>
    <x v="9"/>
    <x v="2"/>
  </r>
  <r>
    <n v="11004"/>
    <x v="458"/>
    <n v="26"/>
    <x v="45"/>
    <x v="4"/>
    <n v="6"/>
    <n v="3123"/>
    <n v="0"/>
    <n v="18738"/>
    <x v="80"/>
    <x v="3"/>
    <n v="4"/>
    <x v="9"/>
    <x v="2"/>
  </r>
  <r>
    <n v="11004"/>
    <x v="458"/>
    <n v="26"/>
    <x v="45"/>
    <x v="4"/>
    <n v="6"/>
    <n v="18"/>
    <n v="0"/>
    <n v="108"/>
    <x v="80"/>
    <x v="3"/>
    <n v="4"/>
    <x v="9"/>
    <x v="2"/>
  </r>
  <r>
    <n v="11005"/>
    <x v="458"/>
    <n v="1"/>
    <x v="26"/>
    <x v="5"/>
    <n v="2"/>
    <n v="18"/>
    <n v="0"/>
    <n v="36"/>
    <x v="83"/>
    <x v="10"/>
    <n v="4"/>
    <x v="9"/>
    <x v="2"/>
  </r>
  <r>
    <n v="11005"/>
    <x v="458"/>
    <n v="1"/>
    <x v="26"/>
    <x v="5"/>
    <n v="10"/>
    <n v="55"/>
    <n v="0"/>
    <n v="550"/>
    <x v="83"/>
    <x v="10"/>
    <n v="4"/>
    <x v="9"/>
    <x v="2"/>
  </r>
  <r>
    <n v="11006"/>
    <x v="458"/>
    <n v="1"/>
    <x v="26"/>
    <x v="5"/>
    <n v="8"/>
    <n v="18"/>
    <n v="0"/>
    <n v="144"/>
    <x v="79"/>
    <x v="8"/>
    <n v="4"/>
    <x v="9"/>
    <x v="2"/>
  </r>
  <r>
    <n v="11006"/>
    <x v="458"/>
    <n v="1"/>
    <x v="26"/>
    <x v="5"/>
    <n v="2"/>
    <n v="12379"/>
    <n v="25"/>
    <n v="18568.5"/>
    <x v="79"/>
    <x v="8"/>
    <n v="4"/>
    <x v="9"/>
    <x v="2"/>
  </r>
  <r>
    <n v="11007"/>
    <x v="459"/>
    <n v="8"/>
    <x v="48"/>
    <x v="7"/>
    <n v="30"/>
    <n v="40"/>
    <n v="0"/>
    <n v="1200"/>
    <x v="50"/>
    <x v="15"/>
    <n v="4"/>
    <x v="9"/>
    <x v="2"/>
  </r>
  <r>
    <n v="11007"/>
    <x v="459"/>
    <n v="8"/>
    <x v="48"/>
    <x v="7"/>
    <n v="10"/>
    <n v="12379"/>
    <n v="0"/>
    <n v="123790"/>
    <x v="50"/>
    <x v="15"/>
    <n v="4"/>
    <x v="9"/>
    <x v="2"/>
  </r>
  <r>
    <n v="11007"/>
    <x v="459"/>
    <n v="8"/>
    <x v="48"/>
    <x v="7"/>
    <n v="14"/>
    <n v="14"/>
    <n v="0"/>
    <n v="196"/>
    <x v="50"/>
    <x v="15"/>
    <n v="4"/>
    <x v="9"/>
    <x v="2"/>
  </r>
  <r>
    <n v="11008"/>
    <x v="459"/>
    <n v="28"/>
    <x v="21"/>
    <x v="1"/>
    <n v="70"/>
    <n v="456"/>
    <n v="5"/>
    <n v="30324"/>
    <x v="9"/>
    <x v="6"/>
    <n v="4"/>
    <x v="9"/>
    <x v="2"/>
  </r>
  <r>
    <n v="11008"/>
    <x v="459"/>
    <n v="28"/>
    <x v="21"/>
    <x v="1"/>
    <n v="90"/>
    <n v="14"/>
    <n v="5"/>
    <n v="1197"/>
    <x v="9"/>
    <x v="6"/>
    <n v="4"/>
    <x v="9"/>
    <x v="2"/>
  </r>
  <r>
    <n v="11008"/>
    <x v="459"/>
    <n v="28"/>
    <x v="21"/>
    <x v="1"/>
    <n v="21"/>
    <n v="215"/>
    <n v="0"/>
    <n v="4515"/>
    <x v="9"/>
    <x v="6"/>
    <n v="4"/>
    <x v="9"/>
    <x v="2"/>
  </r>
  <r>
    <n v="11009"/>
    <x v="459"/>
    <n v="24"/>
    <x v="6"/>
    <x v="5"/>
    <n v="12"/>
    <n v="45"/>
    <n v="0"/>
    <n v="540"/>
    <x v="36"/>
    <x v="12"/>
    <n v="4"/>
    <x v="9"/>
    <x v="2"/>
  </r>
  <r>
    <n v="11009"/>
    <x v="459"/>
    <n v="24"/>
    <x v="6"/>
    <x v="5"/>
    <n v="18"/>
    <n v="19"/>
    <n v="25"/>
    <n v="256.5"/>
    <x v="36"/>
    <x v="12"/>
    <n v="4"/>
    <x v="9"/>
    <x v="2"/>
  </r>
  <r>
    <n v="11009"/>
    <x v="459"/>
    <n v="24"/>
    <x v="6"/>
    <x v="5"/>
    <n v="9"/>
    <n v="34"/>
    <n v="0"/>
    <n v="306"/>
    <x v="36"/>
    <x v="12"/>
    <n v="4"/>
    <x v="9"/>
    <x v="2"/>
  </r>
  <r>
    <n v="11010"/>
    <x v="460"/>
    <n v="7"/>
    <x v="55"/>
    <x v="1"/>
    <n v="20"/>
    <n v="30"/>
    <n v="0"/>
    <n v="600"/>
    <x v="30"/>
    <x v="11"/>
    <n v="4"/>
    <x v="9"/>
    <x v="2"/>
  </r>
  <r>
    <n v="11010"/>
    <x v="460"/>
    <n v="7"/>
    <x v="55"/>
    <x v="1"/>
    <n v="10"/>
    <n v="45"/>
    <n v="0"/>
    <n v="450"/>
    <x v="30"/>
    <x v="11"/>
    <n v="4"/>
    <x v="9"/>
    <x v="2"/>
  </r>
  <r>
    <n v="11011"/>
    <x v="460"/>
    <n v="58"/>
    <x v="53"/>
    <x v="2"/>
    <n v="40"/>
    <n v="1325"/>
    <n v="5"/>
    <n v="50350"/>
    <x v="85"/>
    <x v="1"/>
    <n v="4"/>
    <x v="9"/>
    <x v="2"/>
  </r>
  <r>
    <n v="11011"/>
    <x v="460"/>
    <n v="58"/>
    <x v="53"/>
    <x v="2"/>
    <n v="20"/>
    <n v="215"/>
    <n v="0"/>
    <n v="4300"/>
    <x v="85"/>
    <x v="1"/>
    <n v="4"/>
    <x v="9"/>
    <x v="2"/>
  </r>
  <r>
    <n v="11012"/>
    <x v="460"/>
    <n v="19"/>
    <x v="23"/>
    <x v="4"/>
    <n v="50"/>
    <n v="92"/>
    <n v="5"/>
    <n v="4370"/>
    <x v="17"/>
    <x v="1"/>
    <n v="4"/>
    <x v="9"/>
    <x v="2"/>
  </r>
  <r>
    <n v="11012"/>
    <x v="460"/>
    <n v="19"/>
    <x v="23"/>
    <x v="4"/>
    <n v="36"/>
    <n v="34"/>
    <n v="5"/>
    <n v="1162.8"/>
    <x v="17"/>
    <x v="1"/>
    <n v="4"/>
    <x v="9"/>
    <x v="2"/>
  </r>
  <r>
    <n v="11012"/>
    <x v="460"/>
    <n v="19"/>
    <x v="23"/>
    <x v="4"/>
    <n v="60"/>
    <n v="215"/>
    <n v="5"/>
    <n v="12255"/>
    <x v="17"/>
    <x v="1"/>
    <n v="4"/>
    <x v="9"/>
    <x v="2"/>
  </r>
  <r>
    <n v="11013"/>
    <x v="460"/>
    <n v="23"/>
    <x v="46"/>
    <x v="3"/>
    <n v="10"/>
    <n v="9"/>
    <n v="0"/>
    <n v="90"/>
    <x v="27"/>
    <x v="12"/>
    <n v="4"/>
    <x v="9"/>
    <x v="2"/>
  </r>
  <r>
    <n v="11013"/>
    <x v="460"/>
    <n v="23"/>
    <x v="46"/>
    <x v="3"/>
    <n v="4"/>
    <n v="14"/>
    <n v="0"/>
    <n v="56"/>
    <x v="27"/>
    <x v="12"/>
    <n v="4"/>
    <x v="9"/>
    <x v="2"/>
  </r>
  <r>
    <n v="11013"/>
    <x v="460"/>
    <n v="23"/>
    <x v="46"/>
    <x v="3"/>
    <n v="20"/>
    <n v="95"/>
    <n v="0"/>
    <n v="1900"/>
    <x v="27"/>
    <x v="12"/>
    <n v="4"/>
    <x v="9"/>
    <x v="2"/>
  </r>
  <r>
    <n v="11013"/>
    <x v="460"/>
    <n v="23"/>
    <x v="46"/>
    <x v="3"/>
    <n v="2"/>
    <n v="125"/>
    <n v="0"/>
    <n v="250"/>
    <x v="27"/>
    <x v="12"/>
    <n v="4"/>
    <x v="9"/>
    <x v="2"/>
  </r>
  <r>
    <n v="11014"/>
    <x v="461"/>
    <n v="41"/>
    <x v="2"/>
    <x v="2"/>
    <n v="28"/>
    <n v="965"/>
    <n v="1"/>
    <n v="26749.8"/>
    <x v="67"/>
    <x v="5"/>
    <n v="4"/>
    <x v="9"/>
    <x v="2"/>
  </r>
  <r>
    <n v="11015"/>
    <x v="461"/>
    <n v="30"/>
    <x v="24"/>
    <x v="2"/>
    <n v="15"/>
    <n v="2589"/>
    <n v="0"/>
    <n v="38835"/>
    <x v="65"/>
    <x v="19"/>
    <n v="4"/>
    <x v="9"/>
    <x v="2"/>
  </r>
  <r>
    <n v="11015"/>
    <x v="461"/>
    <n v="30"/>
    <x v="24"/>
    <x v="2"/>
    <n v="18"/>
    <n v="13"/>
    <n v="0"/>
    <n v="234"/>
    <x v="65"/>
    <x v="19"/>
    <n v="4"/>
    <x v="9"/>
    <x v="2"/>
  </r>
  <r>
    <n v="11016"/>
    <x v="461"/>
    <n v="31"/>
    <x v="5"/>
    <x v="0"/>
    <n v="15"/>
    <n v="125"/>
    <n v="0"/>
    <n v="1875"/>
    <x v="55"/>
    <x v="13"/>
    <n v="4"/>
    <x v="9"/>
    <x v="2"/>
  </r>
  <r>
    <n v="11016"/>
    <x v="461"/>
    <n v="31"/>
    <x v="5"/>
    <x v="0"/>
    <n v="16"/>
    <n v="19"/>
    <n v="0"/>
    <n v="304"/>
    <x v="55"/>
    <x v="13"/>
    <n v="4"/>
    <x v="9"/>
    <x v="2"/>
  </r>
  <r>
    <n v="11017"/>
    <x v="462"/>
    <n v="3"/>
    <x v="29"/>
    <x v="7"/>
    <n v="25"/>
    <n v="10"/>
    <n v="0"/>
    <n v="250"/>
    <x v="9"/>
    <x v="6"/>
    <n v="4"/>
    <x v="9"/>
    <x v="2"/>
  </r>
  <r>
    <n v="11017"/>
    <x v="462"/>
    <n v="3"/>
    <x v="29"/>
    <x v="7"/>
    <n v="110"/>
    <n v="55"/>
    <n v="0"/>
    <n v="6050"/>
    <x v="9"/>
    <x v="6"/>
    <n v="4"/>
    <x v="9"/>
    <x v="2"/>
  </r>
  <r>
    <n v="11017"/>
    <x v="462"/>
    <n v="3"/>
    <x v="29"/>
    <x v="7"/>
    <n v="30"/>
    <n v="15"/>
    <n v="0"/>
    <n v="450"/>
    <x v="9"/>
    <x v="6"/>
    <n v="4"/>
    <x v="9"/>
    <x v="2"/>
  </r>
  <r>
    <n v="11018"/>
    <x v="462"/>
    <n v="12"/>
    <x v="14"/>
    <x v="0"/>
    <n v="20"/>
    <n v="38"/>
    <n v="0"/>
    <n v="760"/>
    <x v="38"/>
    <x v="8"/>
    <n v="4"/>
    <x v="9"/>
    <x v="2"/>
  </r>
  <r>
    <n v="11018"/>
    <x v="462"/>
    <n v="12"/>
    <x v="14"/>
    <x v="0"/>
    <n v="10"/>
    <n v="625"/>
    <n v="0"/>
    <n v="6250"/>
    <x v="38"/>
    <x v="8"/>
    <n v="4"/>
    <x v="9"/>
    <x v="2"/>
  </r>
  <r>
    <n v="11018"/>
    <x v="462"/>
    <n v="12"/>
    <x v="14"/>
    <x v="0"/>
    <n v="5"/>
    <n v="38"/>
    <n v="0"/>
    <n v="190"/>
    <x v="38"/>
    <x v="8"/>
    <n v="4"/>
    <x v="9"/>
    <x v="2"/>
  </r>
  <r>
    <n v="11019"/>
    <x v="462"/>
    <n v="46"/>
    <x v="57"/>
    <x v="2"/>
    <n v="3"/>
    <n v="12"/>
    <n v="0"/>
    <n v="36"/>
    <x v="73"/>
    <x v="20"/>
    <n v="4"/>
    <x v="9"/>
    <x v="2"/>
  </r>
  <r>
    <n v="11019"/>
    <x v="462"/>
    <n v="46"/>
    <x v="57"/>
    <x v="2"/>
    <n v="2"/>
    <n v="20"/>
    <n v="0"/>
    <n v="40"/>
    <x v="73"/>
    <x v="20"/>
    <n v="4"/>
    <x v="9"/>
    <x v="2"/>
  </r>
  <r>
    <n v="11020"/>
    <x v="463"/>
    <n v="10"/>
    <x v="19"/>
    <x v="2"/>
    <n v="24"/>
    <n v="31"/>
    <n v="15"/>
    <n v="632.4"/>
    <x v="11"/>
    <x v="1"/>
    <n v="4"/>
    <x v="9"/>
    <x v="2"/>
  </r>
  <r>
    <n v="11021"/>
    <x v="463"/>
    <n v="2"/>
    <x v="7"/>
    <x v="5"/>
    <n v="11"/>
    <n v="19"/>
    <n v="25"/>
    <n v="156.75"/>
    <x v="21"/>
    <x v="1"/>
    <n v="4"/>
    <x v="9"/>
    <x v="2"/>
  </r>
  <r>
    <n v="11021"/>
    <x v="463"/>
    <n v="2"/>
    <x v="7"/>
    <x v="5"/>
    <n v="15"/>
    <n v="81"/>
    <n v="0"/>
    <n v="1215"/>
    <x v="21"/>
    <x v="1"/>
    <n v="4"/>
    <x v="9"/>
    <x v="2"/>
  </r>
  <r>
    <n v="11021"/>
    <x v="463"/>
    <n v="2"/>
    <x v="7"/>
    <x v="5"/>
    <n v="63"/>
    <n v="3123"/>
    <n v="0"/>
    <n v="196749"/>
    <x v="21"/>
    <x v="1"/>
    <n v="4"/>
    <x v="9"/>
    <x v="2"/>
  </r>
  <r>
    <n v="11021"/>
    <x v="463"/>
    <n v="2"/>
    <x v="7"/>
    <x v="5"/>
    <n v="44"/>
    <n v="53"/>
    <n v="25"/>
    <n v="1749"/>
    <x v="21"/>
    <x v="1"/>
    <n v="4"/>
    <x v="9"/>
    <x v="2"/>
  </r>
  <r>
    <n v="11021"/>
    <x v="463"/>
    <n v="2"/>
    <x v="7"/>
    <x v="5"/>
    <n v="35"/>
    <n v="348"/>
    <n v="0"/>
    <n v="12180"/>
    <x v="21"/>
    <x v="1"/>
    <n v="4"/>
    <x v="9"/>
    <x v="2"/>
  </r>
  <r>
    <n v="11022"/>
    <x v="463"/>
    <n v="19"/>
    <x v="23"/>
    <x v="4"/>
    <n v="35"/>
    <n v="92"/>
    <n v="0"/>
    <n v="3220"/>
    <x v="2"/>
    <x v="2"/>
    <n v="4"/>
    <x v="9"/>
    <x v="2"/>
  </r>
  <r>
    <n v="11022"/>
    <x v="463"/>
    <n v="19"/>
    <x v="23"/>
    <x v="4"/>
    <n v="30"/>
    <n v="36"/>
    <n v="0"/>
    <n v="1080"/>
    <x v="2"/>
    <x v="2"/>
    <n v="4"/>
    <x v="9"/>
    <x v="2"/>
  </r>
  <r>
    <n v="11023"/>
    <x v="463"/>
    <n v="7"/>
    <x v="55"/>
    <x v="1"/>
    <n v="4"/>
    <n v="30"/>
    <n v="0"/>
    <n v="120"/>
    <x v="31"/>
    <x v="13"/>
    <n v="4"/>
    <x v="9"/>
    <x v="2"/>
  </r>
  <r>
    <n v="11023"/>
    <x v="463"/>
    <n v="7"/>
    <x v="55"/>
    <x v="1"/>
    <n v="30"/>
    <n v="46"/>
    <n v="0"/>
    <n v="1380"/>
    <x v="31"/>
    <x v="13"/>
    <n v="4"/>
    <x v="9"/>
    <x v="2"/>
  </r>
  <r>
    <n v="11024"/>
    <x v="464"/>
    <n v="26"/>
    <x v="45"/>
    <x v="4"/>
    <n v="12"/>
    <n v="3123"/>
    <n v="0"/>
    <n v="37476"/>
    <x v="58"/>
    <x v="13"/>
    <n v="4"/>
    <x v="9"/>
    <x v="2"/>
  </r>
  <r>
    <n v="11024"/>
    <x v="464"/>
    <n v="26"/>
    <x v="45"/>
    <x v="4"/>
    <n v="30"/>
    <n v="25"/>
    <n v="0"/>
    <n v="750"/>
    <x v="58"/>
    <x v="13"/>
    <n v="4"/>
    <x v="9"/>
    <x v="2"/>
  </r>
  <r>
    <n v="11024"/>
    <x v="464"/>
    <n v="26"/>
    <x v="45"/>
    <x v="4"/>
    <n v="21"/>
    <n v="2105"/>
    <n v="0"/>
    <n v="44205"/>
    <x v="58"/>
    <x v="13"/>
    <n v="4"/>
    <x v="9"/>
    <x v="2"/>
  </r>
  <r>
    <n v="11024"/>
    <x v="464"/>
    <n v="26"/>
    <x v="45"/>
    <x v="4"/>
    <n v="50"/>
    <n v="215"/>
    <n v="0"/>
    <n v="10750"/>
    <x v="58"/>
    <x v="13"/>
    <n v="4"/>
    <x v="9"/>
    <x v="2"/>
  </r>
  <r>
    <n v="11025"/>
    <x v="464"/>
    <n v="1"/>
    <x v="26"/>
    <x v="5"/>
    <n v="10"/>
    <n v="18"/>
    <n v="1"/>
    <n v="178.2"/>
    <x v="16"/>
    <x v="10"/>
    <n v="4"/>
    <x v="9"/>
    <x v="2"/>
  </r>
  <r>
    <n v="11025"/>
    <x v="464"/>
    <n v="1"/>
    <x v="26"/>
    <x v="5"/>
    <n v="20"/>
    <n v="6"/>
    <n v="1"/>
    <n v="118.8"/>
    <x v="16"/>
    <x v="10"/>
    <n v="4"/>
    <x v="9"/>
    <x v="2"/>
  </r>
  <r>
    <n v="11026"/>
    <x v="464"/>
    <n v="18"/>
    <x v="31"/>
    <x v="2"/>
    <n v="8"/>
    <n v="625"/>
    <n v="0"/>
    <n v="5000"/>
    <x v="70"/>
    <x v="11"/>
    <n v="4"/>
    <x v="9"/>
    <x v="2"/>
  </r>
  <r>
    <n v="11026"/>
    <x v="464"/>
    <n v="18"/>
    <x v="31"/>
    <x v="2"/>
    <n v="10"/>
    <n v="53"/>
    <n v="0"/>
    <n v="530"/>
    <x v="70"/>
    <x v="11"/>
    <n v="4"/>
    <x v="9"/>
    <x v="2"/>
  </r>
  <r>
    <n v="11027"/>
    <x v="465"/>
    <n v="24"/>
    <x v="6"/>
    <x v="5"/>
    <n v="30"/>
    <n v="45"/>
    <n v="25"/>
    <n v="1012.5"/>
    <x v="66"/>
    <x v="16"/>
    <n v="4"/>
    <x v="9"/>
    <x v="2"/>
  </r>
  <r>
    <n v="11027"/>
    <x v="465"/>
    <n v="24"/>
    <x v="6"/>
    <x v="5"/>
    <n v="21"/>
    <n v="493"/>
    <n v="25"/>
    <n v="7764.75"/>
    <x v="66"/>
    <x v="16"/>
    <n v="4"/>
    <x v="9"/>
    <x v="2"/>
  </r>
  <r>
    <n v="11028"/>
    <x v="465"/>
    <n v="55"/>
    <x v="62"/>
    <x v="6"/>
    <n v="35"/>
    <n v="24"/>
    <n v="0"/>
    <n v="840"/>
    <x v="44"/>
    <x v="1"/>
    <n v="4"/>
    <x v="9"/>
    <x v="2"/>
  </r>
  <r>
    <n v="11028"/>
    <x v="465"/>
    <n v="55"/>
    <x v="62"/>
    <x v="6"/>
    <n v="24"/>
    <n v="55"/>
    <n v="0"/>
    <n v="1320"/>
    <x v="44"/>
    <x v="1"/>
    <n v="4"/>
    <x v="9"/>
    <x v="2"/>
  </r>
  <r>
    <n v="11029"/>
    <x v="465"/>
    <n v="56"/>
    <x v="32"/>
    <x v="3"/>
    <n v="20"/>
    <n v="38"/>
    <n v="0"/>
    <n v="760"/>
    <x v="5"/>
    <x v="4"/>
    <n v="4"/>
    <x v="9"/>
    <x v="2"/>
  </r>
  <r>
    <n v="11029"/>
    <x v="465"/>
    <n v="56"/>
    <x v="32"/>
    <x v="3"/>
    <n v="12"/>
    <n v="439"/>
    <n v="0"/>
    <n v="5268"/>
    <x v="5"/>
    <x v="4"/>
    <n v="4"/>
    <x v="9"/>
    <x v="2"/>
  </r>
  <r>
    <n v="11030"/>
    <x v="466"/>
    <n v="2"/>
    <x v="7"/>
    <x v="5"/>
    <n v="100"/>
    <n v="19"/>
    <n v="25"/>
    <n v="1425"/>
    <x v="45"/>
    <x v="8"/>
    <n v="4"/>
    <x v="9"/>
    <x v="2"/>
  </r>
  <r>
    <n v="11030"/>
    <x v="466"/>
    <n v="2"/>
    <x v="7"/>
    <x v="5"/>
    <n v="70"/>
    <n v="2135"/>
    <n v="0"/>
    <n v="149450"/>
    <x v="45"/>
    <x v="8"/>
    <n v="4"/>
    <x v="9"/>
    <x v="2"/>
  </r>
  <r>
    <n v="11030"/>
    <x v="466"/>
    <n v="2"/>
    <x v="7"/>
    <x v="5"/>
    <n v="60"/>
    <n v="12379"/>
    <n v="25"/>
    <n v="557055"/>
    <x v="45"/>
    <x v="8"/>
    <n v="4"/>
    <x v="9"/>
    <x v="2"/>
  </r>
  <r>
    <n v="11030"/>
    <x v="466"/>
    <n v="2"/>
    <x v="7"/>
    <x v="5"/>
    <n v="100"/>
    <n v="55"/>
    <n v="25"/>
    <n v="4125"/>
    <x v="45"/>
    <x v="8"/>
    <n v="4"/>
    <x v="9"/>
    <x v="2"/>
  </r>
  <r>
    <n v="11031"/>
    <x v="466"/>
    <n v="1"/>
    <x v="26"/>
    <x v="5"/>
    <n v="45"/>
    <n v="18"/>
    <n v="0"/>
    <n v="810"/>
    <x v="45"/>
    <x v="8"/>
    <n v="4"/>
    <x v="9"/>
    <x v="2"/>
  </r>
  <r>
    <n v="11031"/>
    <x v="466"/>
    <n v="1"/>
    <x v="26"/>
    <x v="5"/>
    <n v="80"/>
    <n v="6"/>
    <n v="0"/>
    <n v="480"/>
    <x v="45"/>
    <x v="8"/>
    <n v="4"/>
    <x v="9"/>
    <x v="2"/>
  </r>
  <r>
    <n v="11031"/>
    <x v="466"/>
    <n v="1"/>
    <x v="26"/>
    <x v="5"/>
    <n v="21"/>
    <n v="45"/>
    <n v="0"/>
    <n v="945"/>
    <x v="45"/>
    <x v="8"/>
    <n v="4"/>
    <x v="9"/>
    <x v="2"/>
  </r>
  <r>
    <n v="11031"/>
    <x v="466"/>
    <n v="1"/>
    <x v="26"/>
    <x v="5"/>
    <n v="20"/>
    <n v="3325"/>
    <n v="0"/>
    <n v="66500"/>
    <x v="45"/>
    <x v="8"/>
    <n v="4"/>
    <x v="9"/>
    <x v="2"/>
  </r>
  <r>
    <n v="11031"/>
    <x v="466"/>
    <n v="1"/>
    <x v="26"/>
    <x v="5"/>
    <n v="16"/>
    <n v="215"/>
    <n v="0"/>
    <n v="3440"/>
    <x v="45"/>
    <x v="8"/>
    <n v="4"/>
    <x v="9"/>
    <x v="2"/>
  </r>
  <r>
    <n v="11032"/>
    <x v="466"/>
    <n v="36"/>
    <x v="18"/>
    <x v="2"/>
    <n v="35"/>
    <n v="19"/>
    <n v="0"/>
    <n v="665"/>
    <x v="19"/>
    <x v="8"/>
    <n v="4"/>
    <x v="9"/>
    <x v="2"/>
  </r>
  <r>
    <n v="11032"/>
    <x v="466"/>
    <n v="36"/>
    <x v="18"/>
    <x v="2"/>
    <n v="25"/>
    <n v="2635"/>
    <n v="0"/>
    <n v="65875"/>
    <x v="19"/>
    <x v="8"/>
    <n v="4"/>
    <x v="9"/>
    <x v="2"/>
  </r>
  <r>
    <n v="11032"/>
    <x v="466"/>
    <n v="36"/>
    <x v="18"/>
    <x v="2"/>
    <n v="30"/>
    <n v="55"/>
    <n v="0"/>
    <n v="1650"/>
    <x v="19"/>
    <x v="8"/>
    <n v="4"/>
    <x v="9"/>
    <x v="2"/>
  </r>
  <r>
    <n v="11033"/>
    <x v="466"/>
    <n v="53"/>
    <x v="8"/>
    <x v="6"/>
    <n v="70"/>
    <n v="328"/>
    <n v="1"/>
    <n v="22730.400000000001"/>
    <x v="6"/>
    <x v="4"/>
    <n v="4"/>
    <x v="9"/>
    <x v="2"/>
  </r>
  <r>
    <n v="11033"/>
    <x v="466"/>
    <n v="53"/>
    <x v="8"/>
    <x v="6"/>
    <n v="36"/>
    <n v="36"/>
    <n v="1"/>
    <n v="1283.04"/>
    <x v="6"/>
    <x v="4"/>
    <n v="4"/>
    <x v="9"/>
    <x v="2"/>
  </r>
  <r>
    <n v="11034"/>
    <x v="467"/>
    <n v="21"/>
    <x v="10"/>
    <x v="4"/>
    <n v="15"/>
    <n v="10"/>
    <n v="1"/>
    <n v="148.5"/>
    <x v="37"/>
    <x v="8"/>
    <n v="4"/>
    <x v="9"/>
    <x v="2"/>
  </r>
  <r>
    <n v="11034"/>
    <x v="467"/>
    <n v="21"/>
    <x v="10"/>
    <x v="4"/>
    <n v="12"/>
    <n v="1945"/>
    <n v="0"/>
    <n v="23340"/>
    <x v="37"/>
    <x v="8"/>
    <n v="4"/>
    <x v="9"/>
    <x v="2"/>
  </r>
  <r>
    <n v="11034"/>
    <x v="467"/>
    <n v="21"/>
    <x v="10"/>
    <x v="4"/>
    <n v="6"/>
    <n v="285"/>
    <n v="0"/>
    <n v="1710"/>
    <x v="37"/>
    <x v="8"/>
    <n v="4"/>
    <x v="9"/>
    <x v="2"/>
  </r>
  <r>
    <n v="11035"/>
    <x v="467"/>
    <n v="1"/>
    <x v="26"/>
    <x v="5"/>
    <n v="10"/>
    <n v="18"/>
    <n v="0"/>
    <n v="180"/>
    <x v="4"/>
    <x v="3"/>
    <n v="4"/>
    <x v="9"/>
    <x v="2"/>
  </r>
  <r>
    <n v="11035"/>
    <x v="467"/>
    <n v="1"/>
    <x v="26"/>
    <x v="5"/>
    <n v="60"/>
    <n v="18"/>
    <n v="0"/>
    <n v="1080"/>
    <x v="4"/>
    <x v="3"/>
    <n v="4"/>
    <x v="9"/>
    <x v="2"/>
  </r>
  <r>
    <n v="11035"/>
    <x v="467"/>
    <n v="1"/>
    <x v="26"/>
    <x v="5"/>
    <n v="30"/>
    <n v="14"/>
    <n v="0"/>
    <n v="420"/>
    <x v="4"/>
    <x v="3"/>
    <n v="4"/>
    <x v="9"/>
    <x v="2"/>
  </r>
  <r>
    <n v="11035"/>
    <x v="467"/>
    <n v="1"/>
    <x v="26"/>
    <x v="5"/>
    <n v="10"/>
    <n v="745"/>
    <n v="0"/>
    <n v="7450"/>
    <x v="4"/>
    <x v="3"/>
    <n v="4"/>
    <x v="9"/>
    <x v="2"/>
  </r>
  <r>
    <n v="11036"/>
    <x v="467"/>
    <n v="13"/>
    <x v="30"/>
    <x v="2"/>
    <n v="7"/>
    <n v="6"/>
    <n v="0"/>
    <n v="42"/>
    <x v="57"/>
    <x v="1"/>
    <n v="4"/>
    <x v="9"/>
    <x v="2"/>
  </r>
  <r>
    <n v="11036"/>
    <x v="467"/>
    <n v="13"/>
    <x v="30"/>
    <x v="2"/>
    <n v="30"/>
    <n v="55"/>
    <n v="0"/>
    <n v="1650"/>
    <x v="57"/>
    <x v="1"/>
    <n v="4"/>
    <x v="9"/>
    <x v="2"/>
  </r>
  <r>
    <n v="11037"/>
    <x v="468"/>
    <n v="70"/>
    <x v="66"/>
    <x v="5"/>
    <n v="4"/>
    <n v="15"/>
    <n v="0"/>
    <n v="60"/>
    <x v="36"/>
    <x v="12"/>
    <n v="4"/>
    <x v="9"/>
    <x v="2"/>
  </r>
  <r>
    <n v="11038"/>
    <x v="468"/>
    <n v="40"/>
    <x v="15"/>
    <x v="2"/>
    <n v="5"/>
    <n v="184"/>
    <n v="2"/>
    <n v="901.6"/>
    <x v="4"/>
    <x v="3"/>
    <n v="4"/>
    <x v="9"/>
    <x v="2"/>
  </r>
  <r>
    <n v="11038"/>
    <x v="468"/>
    <n v="40"/>
    <x v="15"/>
    <x v="2"/>
    <n v="2"/>
    <n v="7"/>
    <n v="0"/>
    <n v="14"/>
    <x v="4"/>
    <x v="3"/>
    <n v="4"/>
    <x v="9"/>
    <x v="2"/>
  </r>
  <r>
    <n v="11038"/>
    <x v="468"/>
    <n v="40"/>
    <x v="15"/>
    <x v="2"/>
    <n v="30"/>
    <n v="215"/>
    <n v="0"/>
    <n v="6450"/>
    <x v="4"/>
    <x v="3"/>
    <n v="4"/>
    <x v="9"/>
    <x v="2"/>
  </r>
  <r>
    <n v="11039"/>
    <x v="468"/>
    <n v="28"/>
    <x v="21"/>
    <x v="1"/>
    <n v="20"/>
    <n v="456"/>
    <n v="0"/>
    <n v="9120"/>
    <x v="67"/>
    <x v="5"/>
    <n v="4"/>
    <x v="9"/>
    <x v="2"/>
  </r>
  <r>
    <n v="11039"/>
    <x v="468"/>
    <n v="28"/>
    <x v="21"/>
    <x v="1"/>
    <n v="24"/>
    <n v="18"/>
    <n v="0"/>
    <n v="432"/>
    <x v="67"/>
    <x v="5"/>
    <n v="4"/>
    <x v="9"/>
    <x v="2"/>
  </r>
  <r>
    <n v="11039"/>
    <x v="468"/>
    <n v="28"/>
    <x v="21"/>
    <x v="1"/>
    <n v="60"/>
    <n v="20"/>
    <n v="0"/>
    <n v="1200"/>
    <x v="67"/>
    <x v="5"/>
    <n v="4"/>
    <x v="9"/>
    <x v="2"/>
  </r>
  <r>
    <n v="11039"/>
    <x v="468"/>
    <n v="28"/>
    <x v="21"/>
    <x v="1"/>
    <n v="28"/>
    <n v="195"/>
    <n v="0"/>
    <n v="5460"/>
    <x v="67"/>
    <x v="5"/>
    <n v="4"/>
    <x v="9"/>
    <x v="2"/>
  </r>
  <r>
    <n v="11040"/>
    <x v="469"/>
    <n v="21"/>
    <x v="10"/>
    <x v="4"/>
    <n v="20"/>
    <n v="10"/>
    <n v="0"/>
    <n v="200"/>
    <x v="79"/>
    <x v="8"/>
    <n v="4"/>
    <x v="9"/>
    <x v="2"/>
  </r>
  <r>
    <n v="11041"/>
    <x v="469"/>
    <n v="2"/>
    <x v="7"/>
    <x v="5"/>
    <n v="30"/>
    <n v="19"/>
    <n v="2"/>
    <n v="558.6"/>
    <x v="5"/>
    <x v="4"/>
    <n v="4"/>
    <x v="9"/>
    <x v="2"/>
  </r>
  <r>
    <n v="11041"/>
    <x v="469"/>
    <n v="2"/>
    <x v="7"/>
    <x v="5"/>
    <n v="30"/>
    <n v="439"/>
    <n v="0"/>
    <n v="13170"/>
    <x v="5"/>
    <x v="4"/>
    <n v="4"/>
    <x v="9"/>
    <x v="2"/>
  </r>
  <r>
    <n v="11042"/>
    <x v="469"/>
    <n v="44"/>
    <x v="22"/>
    <x v="7"/>
    <n v="15"/>
    <n v="1945"/>
    <n v="0"/>
    <n v="29175"/>
    <x v="32"/>
    <x v="2"/>
    <n v="4"/>
    <x v="9"/>
    <x v="2"/>
  </r>
  <r>
    <n v="11042"/>
    <x v="469"/>
    <n v="44"/>
    <x v="22"/>
    <x v="7"/>
    <n v="4"/>
    <n v="285"/>
    <n v="0"/>
    <n v="1140"/>
    <x v="32"/>
    <x v="2"/>
    <n v="4"/>
    <x v="9"/>
    <x v="2"/>
  </r>
  <r>
    <n v="11043"/>
    <x v="469"/>
    <n v="11"/>
    <x v="0"/>
    <x v="0"/>
    <n v="10"/>
    <n v="21"/>
    <n v="0"/>
    <n v="210"/>
    <x v="87"/>
    <x v="0"/>
    <n v="4"/>
    <x v="9"/>
    <x v="2"/>
  </r>
  <r>
    <n v="11044"/>
    <x v="470"/>
    <n v="62"/>
    <x v="36"/>
    <x v="4"/>
    <n v="12"/>
    <n v="493"/>
    <n v="0"/>
    <n v="5916"/>
    <x v="63"/>
    <x v="18"/>
    <n v="4"/>
    <x v="9"/>
    <x v="2"/>
  </r>
  <r>
    <n v="11045"/>
    <x v="470"/>
    <n v="33"/>
    <x v="17"/>
    <x v="0"/>
    <n v="15"/>
    <n v="25"/>
    <n v="0"/>
    <n v="375"/>
    <x v="66"/>
    <x v="16"/>
    <n v="4"/>
    <x v="9"/>
    <x v="2"/>
  </r>
  <r>
    <n v="11045"/>
    <x v="470"/>
    <n v="33"/>
    <x v="17"/>
    <x v="0"/>
    <n v="24"/>
    <n v="53"/>
    <n v="0"/>
    <n v="1272"/>
    <x v="66"/>
    <x v="16"/>
    <n v="4"/>
    <x v="9"/>
    <x v="2"/>
  </r>
  <r>
    <n v="11046"/>
    <x v="470"/>
    <n v="12"/>
    <x v="14"/>
    <x v="0"/>
    <n v="20"/>
    <n v="38"/>
    <n v="5"/>
    <n v="722"/>
    <x v="35"/>
    <x v="1"/>
    <n v="4"/>
    <x v="9"/>
    <x v="2"/>
  </r>
  <r>
    <n v="11046"/>
    <x v="470"/>
    <n v="12"/>
    <x v="14"/>
    <x v="0"/>
    <n v="15"/>
    <n v="32"/>
    <n v="5"/>
    <n v="456"/>
    <x v="35"/>
    <x v="1"/>
    <n v="4"/>
    <x v="9"/>
    <x v="2"/>
  </r>
  <r>
    <n v="11046"/>
    <x v="470"/>
    <n v="12"/>
    <x v="14"/>
    <x v="0"/>
    <n v="18"/>
    <n v="18"/>
    <n v="5"/>
    <n v="307.8"/>
    <x v="35"/>
    <x v="1"/>
    <n v="4"/>
    <x v="9"/>
    <x v="2"/>
  </r>
  <r>
    <n v="11047"/>
    <x v="471"/>
    <n v="1"/>
    <x v="26"/>
    <x v="5"/>
    <n v="25"/>
    <n v="18"/>
    <n v="25"/>
    <n v="337.5"/>
    <x v="58"/>
    <x v="13"/>
    <n v="4"/>
    <x v="9"/>
    <x v="2"/>
  </r>
  <r>
    <n v="11047"/>
    <x v="471"/>
    <n v="1"/>
    <x v="26"/>
    <x v="5"/>
    <n v="30"/>
    <n v="2135"/>
    <n v="25"/>
    <n v="48037.5"/>
    <x v="58"/>
    <x v="13"/>
    <n v="4"/>
    <x v="9"/>
    <x v="2"/>
  </r>
  <r>
    <n v="11048"/>
    <x v="471"/>
    <n v="68"/>
    <x v="58"/>
    <x v="4"/>
    <n v="42"/>
    <n v="125"/>
    <n v="0"/>
    <n v="5250"/>
    <x v="66"/>
    <x v="16"/>
    <n v="4"/>
    <x v="9"/>
    <x v="2"/>
  </r>
  <r>
    <n v="11049"/>
    <x v="471"/>
    <n v="2"/>
    <x v="7"/>
    <x v="5"/>
    <n v="10"/>
    <n v="19"/>
    <n v="2"/>
    <n v="186.2"/>
    <x v="71"/>
    <x v="2"/>
    <n v="4"/>
    <x v="9"/>
    <x v="2"/>
  </r>
  <r>
    <n v="11049"/>
    <x v="471"/>
    <n v="2"/>
    <x v="7"/>
    <x v="5"/>
    <n v="4"/>
    <n v="38"/>
    <n v="2"/>
    <n v="148.96"/>
    <x v="71"/>
    <x v="2"/>
    <n v="4"/>
    <x v="9"/>
    <x v="2"/>
  </r>
  <r>
    <n v="11050"/>
    <x v="472"/>
    <n v="76"/>
    <x v="73"/>
    <x v="5"/>
    <n v="50"/>
    <n v="18"/>
    <n v="1"/>
    <n v="891"/>
    <x v="14"/>
    <x v="9"/>
    <n v="4"/>
    <x v="9"/>
    <x v="2"/>
  </r>
  <r>
    <n v="11051"/>
    <x v="472"/>
    <n v="24"/>
    <x v="6"/>
    <x v="5"/>
    <n v="10"/>
    <n v="45"/>
    <n v="2"/>
    <n v="441"/>
    <x v="53"/>
    <x v="0"/>
    <n v="4"/>
    <x v="9"/>
    <x v="2"/>
  </r>
  <r>
    <n v="11052"/>
    <x v="472"/>
    <n v="43"/>
    <x v="65"/>
    <x v="5"/>
    <n v="30"/>
    <n v="46"/>
    <n v="2"/>
    <n v="1352.3999999999999"/>
    <x v="2"/>
    <x v="2"/>
    <n v="4"/>
    <x v="9"/>
    <x v="2"/>
  </r>
  <r>
    <n v="11052"/>
    <x v="472"/>
    <n v="43"/>
    <x v="65"/>
    <x v="5"/>
    <n v="10"/>
    <n v="285"/>
    <n v="2"/>
    <n v="2793"/>
    <x v="2"/>
    <x v="2"/>
    <n v="4"/>
    <x v="9"/>
    <x v="2"/>
  </r>
  <r>
    <n v="11053"/>
    <x v="472"/>
    <n v="18"/>
    <x v="31"/>
    <x v="2"/>
    <n v="35"/>
    <n v="625"/>
    <n v="2"/>
    <n v="21437.5"/>
    <x v="54"/>
    <x v="6"/>
    <n v="4"/>
    <x v="9"/>
    <x v="2"/>
  </r>
  <r>
    <n v="11053"/>
    <x v="472"/>
    <n v="18"/>
    <x v="31"/>
    <x v="2"/>
    <n v="20"/>
    <n v="32"/>
    <n v="0"/>
    <n v="640"/>
    <x v="54"/>
    <x v="6"/>
    <n v="4"/>
    <x v="9"/>
    <x v="2"/>
  </r>
  <r>
    <n v="11053"/>
    <x v="472"/>
    <n v="18"/>
    <x v="31"/>
    <x v="2"/>
    <n v="25"/>
    <n v="3325"/>
    <n v="2"/>
    <n v="81462.5"/>
    <x v="54"/>
    <x v="6"/>
    <n v="4"/>
    <x v="9"/>
    <x v="2"/>
  </r>
  <r>
    <n v="11054"/>
    <x v="473"/>
    <n v="33"/>
    <x v="17"/>
    <x v="0"/>
    <n v="10"/>
    <n v="25"/>
    <n v="0"/>
    <n v="250"/>
    <x v="78"/>
    <x v="20"/>
    <n v="4"/>
    <x v="9"/>
    <x v="2"/>
  </r>
  <r>
    <n v="11054"/>
    <x v="473"/>
    <n v="33"/>
    <x v="17"/>
    <x v="0"/>
    <n v="20"/>
    <n v="14"/>
    <n v="0"/>
    <n v="280"/>
    <x v="78"/>
    <x v="20"/>
    <n v="4"/>
    <x v="9"/>
    <x v="2"/>
  </r>
  <r>
    <n v="11055"/>
    <x v="473"/>
    <n v="24"/>
    <x v="6"/>
    <x v="5"/>
    <n v="15"/>
    <n v="45"/>
    <n v="0"/>
    <n v="675"/>
    <x v="8"/>
    <x v="5"/>
    <n v="4"/>
    <x v="9"/>
    <x v="2"/>
  </r>
  <r>
    <n v="11055"/>
    <x v="473"/>
    <n v="24"/>
    <x v="6"/>
    <x v="5"/>
    <n v="15"/>
    <n v="14"/>
    <n v="0"/>
    <n v="210"/>
    <x v="8"/>
    <x v="5"/>
    <n v="4"/>
    <x v="9"/>
    <x v="2"/>
  </r>
  <r>
    <n v="11055"/>
    <x v="473"/>
    <n v="24"/>
    <x v="6"/>
    <x v="5"/>
    <n v="20"/>
    <n v="53"/>
    <n v="0"/>
    <n v="1060"/>
    <x v="8"/>
    <x v="5"/>
    <n v="4"/>
    <x v="9"/>
    <x v="2"/>
  </r>
  <r>
    <n v="11055"/>
    <x v="473"/>
    <n v="24"/>
    <x v="6"/>
    <x v="5"/>
    <n v="20"/>
    <n v="195"/>
    <n v="0"/>
    <n v="3900"/>
    <x v="8"/>
    <x v="5"/>
    <n v="4"/>
    <x v="9"/>
    <x v="2"/>
  </r>
  <r>
    <n v="11056"/>
    <x v="473"/>
    <n v="7"/>
    <x v="55"/>
    <x v="1"/>
    <n v="40"/>
    <n v="30"/>
    <n v="0"/>
    <n v="1200"/>
    <x v="58"/>
    <x v="13"/>
    <n v="4"/>
    <x v="9"/>
    <x v="2"/>
  </r>
  <r>
    <n v="11056"/>
    <x v="473"/>
    <n v="7"/>
    <x v="55"/>
    <x v="1"/>
    <n v="35"/>
    <n v="24"/>
    <n v="0"/>
    <n v="840"/>
    <x v="58"/>
    <x v="13"/>
    <n v="4"/>
    <x v="9"/>
    <x v="2"/>
  </r>
  <r>
    <n v="11056"/>
    <x v="473"/>
    <n v="7"/>
    <x v="55"/>
    <x v="1"/>
    <n v="50"/>
    <n v="34"/>
    <n v="0"/>
    <n v="1700"/>
    <x v="58"/>
    <x v="13"/>
    <n v="4"/>
    <x v="9"/>
    <x v="2"/>
  </r>
  <r>
    <n v="11057"/>
    <x v="474"/>
    <n v="70"/>
    <x v="66"/>
    <x v="5"/>
    <n v="3"/>
    <n v="15"/>
    <n v="0"/>
    <n v="45"/>
    <x v="77"/>
    <x v="13"/>
    <n v="4"/>
    <x v="9"/>
    <x v="2"/>
  </r>
  <r>
    <n v="11058"/>
    <x v="474"/>
    <n v="21"/>
    <x v="10"/>
    <x v="4"/>
    <n v="3"/>
    <n v="10"/>
    <n v="0"/>
    <n v="30"/>
    <x v="76"/>
    <x v="1"/>
    <n v="4"/>
    <x v="9"/>
    <x v="2"/>
  </r>
  <r>
    <n v="11058"/>
    <x v="474"/>
    <n v="21"/>
    <x v="10"/>
    <x v="4"/>
    <n v="21"/>
    <n v="34"/>
    <n v="0"/>
    <n v="714"/>
    <x v="76"/>
    <x v="1"/>
    <n v="4"/>
    <x v="9"/>
    <x v="2"/>
  </r>
  <r>
    <n v="11058"/>
    <x v="474"/>
    <n v="21"/>
    <x v="10"/>
    <x v="4"/>
    <n v="4"/>
    <n v="285"/>
    <n v="0"/>
    <n v="1140"/>
    <x v="76"/>
    <x v="1"/>
    <n v="4"/>
    <x v="9"/>
    <x v="2"/>
  </r>
  <r>
    <n v="11059"/>
    <x v="474"/>
    <n v="13"/>
    <x v="30"/>
    <x v="2"/>
    <n v="30"/>
    <n v="6"/>
    <n v="0"/>
    <n v="180"/>
    <x v="29"/>
    <x v="2"/>
    <n v="4"/>
    <x v="9"/>
    <x v="2"/>
  </r>
  <r>
    <n v="11059"/>
    <x v="474"/>
    <n v="13"/>
    <x v="30"/>
    <x v="2"/>
    <n v="12"/>
    <n v="39"/>
    <n v="0"/>
    <n v="468"/>
    <x v="29"/>
    <x v="2"/>
    <n v="4"/>
    <x v="9"/>
    <x v="2"/>
  </r>
  <r>
    <n v="11059"/>
    <x v="474"/>
    <n v="13"/>
    <x v="30"/>
    <x v="2"/>
    <n v="35"/>
    <n v="34"/>
    <n v="0"/>
    <n v="1190"/>
    <x v="29"/>
    <x v="2"/>
    <n v="4"/>
    <x v="9"/>
    <x v="2"/>
  </r>
  <r>
    <n v="11060"/>
    <x v="475"/>
    <n v="60"/>
    <x v="60"/>
    <x v="0"/>
    <n v="4"/>
    <n v="34"/>
    <n v="0"/>
    <n v="136"/>
    <x v="70"/>
    <x v="11"/>
    <n v="4"/>
    <x v="9"/>
    <x v="2"/>
  </r>
  <r>
    <n v="11060"/>
    <x v="475"/>
    <n v="60"/>
    <x v="60"/>
    <x v="0"/>
    <n v="10"/>
    <n v="13"/>
    <n v="0"/>
    <n v="130"/>
    <x v="70"/>
    <x v="11"/>
    <n v="4"/>
    <x v="9"/>
    <x v="2"/>
  </r>
  <r>
    <n v="11061"/>
    <x v="475"/>
    <n v="60"/>
    <x v="60"/>
    <x v="0"/>
    <n v="15"/>
    <n v="34"/>
    <n v="0"/>
    <n v="510"/>
    <x v="79"/>
    <x v="8"/>
    <n v="4"/>
    <x v="9"/>
    <x v="2"/>
  </r>
  <r>
    <n v="11062"/>
    <x v="475"/>
    <n v="53"/>
    <x v="8"/>
    <x v="6"/>
    <n v="10"/>
    <n v="328"/>
    <n v="2"/>
    <n v="3214.4"/>
    <x v="30"/>
    <x v="11"/>
    <n v="4"/>
    <x v="9"/>
    <x v="2"/>
  </r>
  <r>
    <n v="11062"/>
    <x v="475"/>
    <n v="53"/>
    <x v="8"/>
    <x v="6"/>
    <n v="12"/>
    <n v="15"/>
    <n v="2"/>
    <n v="176.4"/>
    <x v="30"/>
    <x v="11"/>
    <n v="4"/>
    <x v="9"/>
    <x v="2"/>
  </r>
  <r>
    <n v="11063"/>
    <x v="475"/>
    <n v="34"/>
    <x v="41"/>
    <x v="5"/>
    <n v="30"/>
    <n v="14"/>
    <n v="0"/>
    <n v="420"/>
    <x v="34"/>
    <x v="14"/>
    <n v="4"/>
    <x v="9"/>
    <x v="2"/>
  </r>
  <r>
    <n v="11063"/>
    <x v="475"/>
    <n v="34"/>
    <x v="41"/>
    <x v="5"/>
    <n v="40"/>
    <n v="184"/>
    <n v="1"/>
    <n v="7286.4"/>
    <x v="34"/>
    <x v="14"/>
    <n v="4"/>
    <x v="9"/>
    <x v="2"/>
  </r>
  <r>
    <n v="11063"/>
    <x v="475"/>
    <n v="34"/>
    <x v="41"/>
    <x v="5"/>
    <n v="30"/>
    <n v="965"/>
    <n v="1"/>
    <n v="28660.5"/>
    <x v="34"/>
    <x v="14"/>
    <n v="4"/>
    <x v="9"/>
    <x v="2"/>
  </r>
  <r>
    <n v="11064"/>
    <x v="476"/>
    <n v="17"/>
    <x v="13"/>
    <x v="6"/>
    <n v="77"/>
    <n v="39"/>
    <n v="1"/>
    <n v="2972.97"/>
    <x v="45"/>
    <x v="8"/>
    <n v="5"/>
    <x v="10"/>
    <x v="2"/>
  </r>
  <r>
    <n v="11064"/>
    <x v="476"/>
    <n v="17"/>
    <x v="13"/>
    <x v="6"/>
    <n v="12"/>
    <n v="965"/>
    <n v="0"/>
    <n v="11580"/>
    <x v="45"/>
    <x v="8"/>
    <n v="5"/>
    <x v="10"/>
    <x v="2"/>
  </r>
  <r>
    <n v="11064"/>
    <x v="476"/>
    <n v="17"/>
    <x v="13"/>
    <x v="6"/>
    <n v="25"/>
    <n v="328"/>
    <n v="1"/>
    <n v="8118"/>
    <x v="45"/>
    <x v="8"/>
    <n v="5"/>
    <x v="10"/>
    <x v="2"/>
  </r>
  <r>
    <n v="11064"/>
    <x v="476"/>
    <n v="17"/>
    <x v="13"/>
    <x v="6"/>
    <n v="4"/>
    <n v="24"/>
    <n v="1"/>
    <n v="95.039999999999992"/>
    <x v="45"/>
    <x v="8"/>
    <n v="5"/>
    <x v="10"/>
    <x v="2"/>
  </r>
  <r>
    <n v="11064"/>
    <x v="476"/>
    <n v="17"/>
    <x v="13"/>
    <x v="6"/>
    <n v="55"/>
    <n v="125"/>
    <n v="0"/>
    <n v="6875"/>
    <x v="45"/>
    <x v="8"/>
    <n v="5"/>
    <x v="10"/>
    <x v="2"/>
  </r>
  <r>
    <n v="11065"/>
    <x v="476"/>
    <n v="30"/>
    <x v="24"/>
    <x v="2"/>
    <n v="4"/>
    <n v="2589"/>
    <n v="25"/>
    <n v="7767"/>
    <x v="28"/>
    <x v="5"/>
    <n v="5"/>
    <x v="10"/>
    <x v="2"/>
  </r>
  <r>
    <n v="11065"/>
    <x v="476"/>
    <n v="30"/>
    <x v="24"/>
    <x v="2"/>
    <n v="20"/>
    <n v="745"/>
    <n v="25"/>
    <n v="11175"/>
    <x v="28"/>
    <x v="5"/>
    <n v="5"/>
    <x v="10"/>
    <x v="2"/>
  </r>
  <r>
    <n v="11066"/>
    <x v="476"/>
    <n v="16"/>
    <x v="12"/>
    <x v="4"/>
    <n v="3"/>
    <n v="1745"/>
    <n v="0"/>
    <n v="5235"/>
    <x v="19"/>
    <x v="8"/>
    <n v="5"/>
    <x v="10"/>
    <x v="2"/>
  </r>
  <r>
    <n v="11066"/>
    <x v="476"/>
    <n v="16"/>
    <x v="12"/>
    <x v="4"/>
    <n v="42"/>
    <n v="92"/>
    <n v="0"/>
    <n v="3864"/>
    <x v="19"/>
    <x v="8"/>
    <n v="5"/>
    <x v="10"/>
    <x v="2"/>
  </r>
  <r>
    <n v="11066"/>
    <x v="476"/>
    <n v="16"/>
    <x v="12"/>
    <x v="4"/>
    <n v="35"/>
    <n v="14"/>
    <n v="0"/>
    <n v="490"/>
    <x v="19"/>
    <x v="8"/>
    <n v="5"/>
    <x v="10"/>
    <x v="2"/>
  </r>
  <r>
    <n v="11067"/>
    <x v="477"/>
    <n v="41"/>
    <x v="2"/>
    <x v="2"/>
    <n v="9"/>
    <n v="965"/>
    <n v="0"/>
    <n v="8685"/>
    <x v="57"/>
    <x v="1"/>
    <n v="5"/>
    <x v="10"/>
    <x v="2"/>
  </r>
  <r>
    <n v="11068"/>
    <x v="477"/>
    <n v="28"/>
    <x v="21"/>
    <x v="1"/>
    <n v="8"/>
    <n v="456"/>
    <n v="15"/>
    <n v="3100.7999999999997"/>
    <x v="62"/>
    <x v="2"/>
    <n v="5"/>
    <x v="10"/>
    <x v="2"/>
  </r>
  <r>
    <n v="11068"/>
    <x v="477"/>
    <n v="28"/>
    <x v="21"/>
    <x v="1"/>
    <n v="36"/>
    <n v="46"/>
    <n v="15"/>
    <n v="1407.6"/>
    <x v="62"/>
    <x v="2"/>
    <n v="5"/>
    <x v="10"/>
    <x v="2"/>
  </r>
  <r>
    <n v="11068"/>
    <x v="477"/>
    <n v="28"/>
    <x v="21"/>
    <x v="1"/>
    <n v="28"/>
    <n v="13"/>
    <n v="15"/>
    <n v="309.39999999999998"/>
    <x v="62"/>
    <x v="2"/>
    <n v="5"/>
    <x v="10"/>
    <x v="2"/>
  </r>
  <r>
    <n v="11069"/>
    <x v="477"/>
    <n v="39"/>
    <x v="33"/>
    <x v="5"/>
    <n v="20"/>
    <n v="18"/>
    <n v="0"/>
    <n v="360"/>
    <x v="23"/>
    <x v="7"/>
    <n v="5"/>
    <x v="10"/>
    <x v="2"/>
  </r>
  <r>
    <n v="11070"/>
    <x v="478"/>
    <n v="1"/>
    <x v="26"/>
    <x v="5"/>
    <n v="40"/>
    <n v="18"/>
    <n v="15"/>
    <n v="612"/>
    <x v="26"/>
    <x v="1"/>
    <n v="5"/>
    <x v="10"/>
    <x v="2"/>
  </r>
  <r>
    <n v="11070"/>
    <x v="478"/>
    <n v="1"/>
    <x v="26"/>
    <x v="5"/>
    <n v="20"/>
    <n v="19"/>
    <n v="15"/>
    <n v="323"/>
    <x v="26"/>
    <x v="1"/>
    <n v="5"/>
    <x v="10"/>
    <x v="2"/>
  </r>
  <r>
    <n v="11070"/>
    <x v="478"/>
    <n v="1"/>
    <x v="26"/>
    <x v="5"/>
    <n v="30"/>
    <n v="1745"/>
    <n v="15"/>
    <n v="44497.5"/>
    <x v="26"/>
    <x v="1"/>
    <n v="5"/>
    <x v="10"/>
    <x v="2"/>
  </r>
  <r>
    <n v="11070"/>
    <x v="478"/>
    <n v="1"/>
    <x v="26"/>
    <x v="5"/>
    <n v="20"/>
    <n v="125"/>
    <n v="0"/>
    <n v="2500"/>
    <x v="26"/>
    <x v="1"/>
    <n v="5"/>
    <x v="10"/>
    <x v="2"/>
  </r>
  <r>
    <n v="11071"/>
    <x v="478"/>
    <n v="7"/>
    <x v="55"/>
    <x v="1"/>
    <n v="15"/>
    <n v="30"/>
    <n v="5"/>
    <n v="427.5"/>
    <x v="28"/>
    <x v="5"/>
    <n v="5"/>
    <x v="10"/>
    <x v="2"/>
  </r>
  <r>
    <n v="11071"/>
    <x v="478"/>
    <n v="7"/>
    <x v="55"/>
    <x v="1"/>
    <n v="10"/>
    <n v="6"/>
    <n v="5"/>
    <n v="57"/>
    <x v="28"/>
    <x v="5"/>
    <n v="5"/>
    <x v="10"/>
    <x v="2"/>
  </r>
  <r>
    <n v="11072"/>
    <x v="478"/>
    <n v="2"/>
    <x v="7"/>
    <x v="5"/>
    <n v="8"/>
    <n v="19"/>
    <n v="0"/>
    <n v="152"/>
    <x v="9"/>
    <x v="6"/>
    <n v="5"/>
    <x v="10"/>
    <x v="2"/>
  </r>
  <r>
    <n v="11072"/>
    <x v="478"/>
    <n v="2"/>
    <x v="7"/>
    <x v="5"/>
    <n v="40"/>
    <n v="965"/>
    <n v="0"/>
    <n v="38600"/>
    <x v="9"/>
    <x v="6"/>
    <n v="5"/>
    <x v="10"/>
    <x v="2"/>
  </r>
  <r>
    <n v="11072"/>
    <x v="478"/>
    <n v="2"/>
    <x v="7"/>
    <x v="5"/>
    <n v="22"/>
    <n v="1625"/>
    <n v="0"/>
    <n v="35750"/>
    <x v="9"/>
    <x v="6"/>
    <n v="5"/>
    <x v="10"/>
    <x v="2"/>
  </r>
  <r>
    <n v="11072"/>
    <x v="478"/>
    <n v="2"/>
    <x v="7"/>
    <x v="5"/>
    <n v="130"/>
    <n v="3325"/>
    <n v="0"/>
    <n v="432250"/>
    <x v="9"/>
    <x v="6"/>
    <n v="5"/>
    <x v="10"/>
    <x v="2"/>
  </r>
  <r>
    <n v="11073"/>
    <x v="478"/>
    <n v="11"/>
    <x v="0"/>
    <x v="0"/>
    <n v="10"/>
    <n v="21"/>
    <n v="0"/>
    <n v="210"/>
    <x v="43"/>
    <x v="7"/>
    <n v="5"/>
    <x v="10"/>
    <x v="2"/>
  </r>
  <r>
    <n v="11073"/>
    <x v="478"/>
    <n v="11"/>
    <x v="0"/>
    <x v="0"/>
    <n v="20"/>
    <n v="45"/>
    <n v="0"/>
    <n v="900"/>
    <x v="43"/>
    <x v="7"/>
    <n v="5"/>
    <x v="10"/>
    <x v="2"/>
  </r>
  <r>
    <n v="11074"/>
    <x v="479"/>
    <n v="16"/>
    <x v="12"/>
    <x v="4"/>
    <n v="14"/>
    <n v="1745"/>
    <n v="5"/>
    <n v="23208.5"/>
    <x v="51"/>
    <x v="17"/>
    <n v="5"/>
    <x v="10"/>
    <x v="2"/>
  </r>
  <r>
    <n v="11075"/>
    <x v="479"/>
    <n v="2"/>
    <x v="7"/>
    <x v="5"/>
    <n v="10"/>
    <n v="19"/>
    <n v="15"/>
    <n v="161.5"/>
    <x v="6"/>
    <x v="4"/>
    <n v="5"/>
    <x v="10"/>
    <x v="2"/>
  </r>
  <r>
    <n v="11075"/>
    <x v="479"/>
    <n v="2"/>
    <x v="7"/>
    <x v="5"/>
    <n v="30"/>
    <n v="12"/>
    <n v="15"/>
    <n v="306"/>
    <x v="6"/>
    <x v="4"/>
    <n v="5"/>
    <x v="10"/>
    <x v="2"/>
  </r>
  <r>
    <n v="11075"/>
    <x v="479"/>
    <n v="2"/>
    <x v="7"/>
    <x v="5"/>
    <n v="2"/>
    <n v="18"/>
    <n v="15"/>
    <n v="30.599999999999998"/>
    <x v="6"/>
    <x v="4"/>
    <n v="5"/>
    <x v="10"/>
    <x v="2"/>
  </r>
  <r>
    <n v="11076"/>
    <x v="479"/>
    <n v="6"/>
    <x v="43"/>
    <x v="7"/>
    <n v="20"/>
    <n v="25"/>
    <n v="25"/>
    <n v="375"/>
    <x v="48"/>
    <x v="0"/>
    <n v="5"/>
    <x v="10"/>
    <x v="2"/>
  </r>
  <r>
    <n v="11076"/>
    <x v="479"/>
    <n v="6"/>
    <x v="43"/>
    <x v="7"/>
    <n v="20"/>
    <n v="2325"/>
    <n v="25"/>
    <n v="34875"/>
    <x v="48"/>
    <x v="0"/>
    <n v="5"/>
    <x v="10"/>
    <x v="2"/>
  </r>
  <r>
    <n v="11076"/>
    <x v="479"/>
    <n v="6"/>
    <x v="43"/>
    <x v="7"/>
    <n v="10"/>
    <n v="92"/>
    <n v="25"/>
    <n v="690"/>
    <x v="48"/>
    <x v="0"/>
    <n v="5"/>
    <x v="10"/>
    <x v="2"/>
  </r>
  <r>
    <n v="11077"/>
    <x v="479"/>
    <n v="2"/>
    <x v="7"/>
    <x v="5"/>
    <n v="24"/>
    <n v="19"/>
    <n v="2"/>
    <n v="446.88"/>
    <x v="13"/>
    <x v="8"/>
    <n v="5"/>
    <x v="10"/>
    <x v="2"/>
  </r>
  <r>
    <n v="11077"/>
    <x v="479"/>
    <n v="2"/>
    <x v="7"/>
    <x v="5"/>
    <n v="4"/>
    <n v="10"/>
    <n v="0"/>
    <n v="40"/>
    <x v="13"/>
    <x v="8"/>
    <n v="5"/>
    <x v="10"/>
    <x v="2"/>
  </r>
  <r>
    <n v="11077"/>
    <x v="479"/>
    <n v="2"/>
    <x v="7"/>
    <x v="5"/>
    <n v="1"/>
    <n v="22"/>
    <n v="0"/>
    <n v="22"/>
    <x v="13"/>
    <x v="8"/>
    <n v="5"/>
    <x v="10"/>
    <x v="2"/>
  </r>
  <r>
    <n v="11077"/>
    <x v="479"/>
    <n v="2"/>
    <x v="7"/>
    <x v="5"/>
    <n v="1"/>
    <n v="25"/>
    <n v="2"/>
    <n v="24.5"/>
    <x v="13"/>
    <x v="8"/>
    <n v="5"/>
    <x v="10"/>
    <x v="2"/>
  </r>
  <r>
    <n v="11077"/>
    <x v="479"/>
    <n v="2"/>
    <x v="7"/>
    <x v="5"/>
    <n v="1"/>
    <n v="30"/>
    <n v="5"/>
    <n v="28.5"/>
    <x v="13"/>
    <x v="8"/>
    <n v="5"/>
    <x v="10"/>
    <x v="2"/>
  </r>
  <r>
    <n v="11077"/>
    <x v="479"/>
    <n v="2"/>
    <x v="7"/>
    <x v="5"/>
    <n v="2"/>
    <n v="40"/>
    <n v="1"/>
    <n v="79.2"/>
    <x v="13"/>
    <x v="8"/>
    <n v="5"/>
    <x v="10"/>
    <x v="2"/>
  </r>
  <r>
    <n v="11077"/>
    <x v="479"/>
    <n v="2"/>
    <x v="7"/>
    <x v="5"/>
    <n v="1"/>
    <n v="31"/>
    <n v="0"/>
    <n v="31"/>
    <x v="13"/>
    <x v="8"/>
    <n v="5"/>
    <x v="10"/>
    <x v="2"/>
  </r>
  <r>
    <n v="11077"/>
    <x v="479"/>
    <n v="2"/>
    <x v="7"/>
    <x v="5"/>
    <n v="2"/>
    <n v="38"/>
    <n v="5"/>
    <n v="72.2"/>
    <x v="13"/>
    <x v="8"/>
    <n v="5"/>
    <x v="10"/>
    <x v="2"/>
  </r>
  <r>
    <n v="11077"/>
    <x v="479"/>
    <n v="2"/>
    <x v="7"/>
    <x v="5"/>
    <n v="4"/>
    <n v="6"/>
    <n v="0"/>
    <n v="24"/>
    <x v="13"/>
    <x v="8"/>
    <n v="5"/>
    <x v="10"/>
    <x v="2"/>
  </r>
  <r>
    <n v="11077"/>
    <x v="479"/>
    <n v="2"/>
    <x v="7"/>
    <x v="5"/>
    <n v="1"/>
    <n v="2325"/>
    <n v="3"/>
    <n v="2255.25"/>
    <x v="13"/>
    <x v="8"/>
    <n v="5"/>
    <x v="10"/>
    <x v="2"/>
  </r>
  <r>
    <n v="11077"/>
    <x v="479"/>
    <n v="2"/>
    <x v="7"/>
    <x v="5"/>
    <n v="2"/>
    <n v="1745"/>
    <n v="3"/>
    <n v="3385.2999999999997"/>
    <x v="13"/>
    <x v="8"/>
    <n v="5"/>
    <x v="10"/>
    <x v="2"/>
  </r>
  <r>
    <n v="11077"/>
    <x v="479"/>
    <n v="2"/>
    <x v="7"/>
    <x v="5"/>
    <n v="1"/>
    <n v="81"/>
    <n v="4"/>
    <n v="77.759999999999991"/>
    <x v="13"/>
    <x v="8"/>
    <n v="5"/>
    <x v="10"/>
    <x v="2"/>
  </r>
  <r>
    <n v="11077"/>
    <x v="479"/>
    <n v="2"/>
    <x v="7"/>
    <x v="5"/>
    <n v="2"/>
    <n v="9"/>
    <n v="0"/>
    <n v="18"/>
    <x v="13"/>
    <x v="8"/>
    <n v="5"/>
    <x v="10"/>
    <x v="2"/>
  </r>
  <r>
    <n v="11077"/>
    <x v="479"/>
    <n v="2"/>
    <x v="7"/>
    <x v="5"/>
    <n v="1"/>
    <n v="32"/>
    <n v="0"/>
    <n v="32"/>
    <x v="13"/>
    <x v="8"/>
    <n v="5"/>
    <x v="10"/>
    <x v="2"/>
  </r>
  <r>
    <n v="11077"/>
    <x v="479"/>
    <n v="2"/>
    <x v="7"/>
    <x v="5"/>
    <n v="2"/>
    <n v="18"/>
    <n v="5"/>
    <n v="34.199999999999996"/>
    <x v="13"/>
    <x v="8"/>
    <n v="5"/>
    <x v="10"/>
    <x v="2"/>
  </r>
  <r>
    <n v="11077"/>
    <x v="479"/>
    <n v="2"/>
    <x v="7"/>
    <x v="5"/>
    <n v="3"/>
    <n v="965"/>
    <n v="0"/>
    <n v="2895"/>
    <x v="13"/>
    <x v="8"/>
    <n v="5"/>
    <x v="10"/>
    <x v="2"/>
  </r>
  <r>
    <n v="11077"/>
    <x v="479"/>
    <n v="2"/>
    <x v="7"/>
    <x v="5"/>
    <n v="3"/>
    <n v="12"/>
    <n v="2"/>
    <n v="35.28"/>
    <x v="13"/>
    <x v="8"/>
    <n v="5"/>
    <x v="10"/>
    <x v="2"/>
  </r>
  <r>
    <n v="11077"/>
    <x v="479"/>
    <n v="2"/>
    <x v="7"/>
    <x v="5"/>
    <n v="2"/>
    <n v="7"/>
    <n v="0"/>
    <n v="14"/>
    <x v="13"/>
    <x v="8"/>
    <n v="5"/>
    <x v="10"/>
    <x v="2"/>
  </r>
  <r>
    <n v="11077"/>
    <x v="479"/>
    <n v="2"/>
    <x v="7"/>
    <x v="5"/>
    <n v="2"/>
    <n v="24"/>
    <n v="0"/>
    <n v="48"/>
    <x v="13"/>
    <x v="8"/>
    <n v="5"/>
    <x v="10"/>
    <x v="2"/>
  </r>
  <r>
    <n v="11077"/>
    <x v="479"/>
    <n v="2"/>
    <x v="7"/>
    <x v="5"/>
    <n v="2"/>
    <n v="34"/>
    <n v="6"/>
    <n v="63.919999999999995"/>
    <x v="13"/>
    <x v="8"/>
    <n v="5"/>
    <x v="10"/>
    <x v="2"/>
  </r>
  <r>
    <n v="11077"/>
    <x v="479"/>
    <n v="2"/>
    <x v="7"/>
    <x v="5"/>
    <n v="2"/>
    <n v="3325"/>
    <n v="3"/>
    <n v="6450.5"/>
    <x v="13"/>
    <x v="8"/>
    <n v="5"/>
    <x v="10"/>
    <x v="2"/>
  </r>
  <r>
    <n v="11077"/>
    <x v="479"/>
    <n v="2"/>
    <x v="7"/>
    <x v="5"/>
    <n v="1"/>
    <n v="17"/>
    <n v="0"/>
    <n v="17"/>
    <x v="13"/>
    <x v="8"/>
    <n v="5"/>
    <x v="10"/>
    <x v="2"/>
  </r>
  <r>
    <n v="11077"/>
    <x v="479"/>
    <n v="2"/>
    <x v="7"/>
    <x v="5"/>
    <n v="2"/>
    <n v="15"/>
    <n v="1"/>
    <n v="29.7"/>
    <x v="13"/>
    <x v="8"/>
    <n v="5"/>
    <x v="10"/>
    <x v="2"/>
  </r>
  <r>
    <n v="11077"/>
    <x v="479"/>
    <n v="2"/>
    <x v="7"/>
    <x v="5"/>
    <n v="4"/>
    <n v="775"/>
    <n v="0"/>
    <n v="3100"/>
    <x v="13"/>
    <x v="8"/>
    <n v="5"/>
    <x v="10"/>
    <x v="2"/>
  </r>
  <r>
    <n v="11077"/>
    <x v="479"/>
    <n v="2"/>
    <x v="7"/>
    <x v="5"/>
    <n v="2"/>
    <n v="13"/>
    <n v="0"/>
    <n v="26"/>
    <x v="13"/>
    <x v="8"/>
    <n v="5"/>
    <x v="1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8C4F9A-8D11-46FD-8C92-96630E59352F}" name="PivotTable1"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7">
  <location ref="A3:C27" firstHeaderRow="1" firstDataRow="1" firstDataCol="2"/>
  <pivotFields count="14">
    <pivotField compact="0" outline="0" showAll="0" defaultSubtotal="0"/>
    <pivotField compact="0" outline="0" showAll="0" defaultSubtotal="0">
      <items count="4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ubtotalTop="0" showAll="0" defaultSubtotal="0"/>
    <pivotField compact="0" outline="0" subtotalTop="0" showAll="0" defaultSubtotal="0"/>
    <pivotField compact="0" outline="0" showAll="0" defaultSubtotal="0"/>
    <pivotField axis="axisRow" compact="0" outline="0" showAll="0" defaultSubtotal="0">
      <items count="12">
        <item x="6"/>
        <item x="7"/>
        <item x="8"/>
        <item x="9"/>
        <item x="10"/>
        <item x="11"/>
        <item x="0"/>
        <item x="1"/>
        <item x="2"/>
        <item x="3"/>
        <item x="4"/>
        <item x="5"/>
      </items>
    </pivotField>
    <pivotField axis="axisRow" compact="0" outline="0" showAll="0" defaultSubtotal="0">
      <items count="3">
        <item x="0"/>
        <item x="1"/>
        <item x="2"/>
      </items>
    </pivotField>
  </pivotFields>
  <rowFields count="2">
    <field x="13"/>
    <field x="12"/>
  </rowFields>
  <rowItems count="24">
    <i>
      <x/>
      <x v="6"/>
    </i>
    <i r="1">
      <x v="7"/>
    </i>
    <i r="1">
      <x v="8"/>
    </i>
    <i r="1">
      <x v="9"/>
    </i>
    <i r="1">
      <x v="10"/>
    </i>
    <i r="1">
      <x v="11"/>
    </i>
    <i>
      <x v="1"/>
      <x/>
    </i>
    <i r="1">
      <x v="1"/>
    </i>
    <i r="1">
      <x v="2"/>
    </i>
    <i r="1">
      <x v="3"/>
    </i>
    <i r="1">
      <x v="4"/>
    </i>
    <i r="1">
      <x v="5"/>
    </i>
    <i r="1">
      <x v="6"/>
    </i>
    <i r="1">
      <x v="7"/>
    </i>
    <i r="1">
      <x v="8"/>
    </i>
    <i r="1">
      <x v="9"/>
    </i>
    <i r="1">
      <x v="10"/>
    </i>
    <i r="1">
      <x v="11"/>
    </i>
    <i>
      <x v="2"/>
      <x/>
    </i>
    <i r="1">
      <x v="1"/>
    </i>
    <i r="1">
      <x v="2"/>
    </i>
    <i r="1">
      <x v="3"/>
    </i>
    <i r="1">
      <x v="4"/>
    </i>
    <i t="grand">
      <x/>
    </i>
  </rowItems>
  <colItems count="1">
    <i/>
  </colItems>
  <dataFields count="1">
    <dataField name="Sum of TotalSales " fld="8" baseField="0" baseItem="0" numFmtId="166"/>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B9A5FF-F2A5-40D9-B982-DB4EF1A390A7}"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E3:F14" firstHeaderRow="1" firstDataRow="1" firstDataCol="1"/>
  <pivotFields count="14">
    <pivotField dataField="1" compact="0" outline="0" showAll="0" defaultSubtotal="0"/>
    <pivotField compact="0" outline="0" showAll="0" defaultSubtotal="0">
      <items count="4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s>
    </pivotField>
    <pivotField compact="0" outline="0" showAll="0" defaultSubtotal="0"/>
    <pivotField axis="axisRow" compact="0" outline="0" showAll="0" measureFilter="1" sortType="descending" defaultSubtotal="0">
      <items count="76">
        <item x="13"/>
        <item x="29"/>
        <item x="15"/>
        <item x="60"/>
        <item x="31"/>
        <item x="26"/>
        <item x="7"/>
        <item x="33"/>
        <item x="38"/>
        <item x="11"/>
        <item x="63"/>
        <item x="51"/>
        <item x="53"/>
        <item x="42"/>
        <item x="20"/>
        <item x="17"/>
        <item x="25"/>
        <item x="32"/>
        <item x="5"/>
        <item x="43"/>
        <item x="59"/>
        <item x="6"/>
        <item x="37"/>
        <item x="22"/>
        <item x="45"/>
        <item x="3"/>
        <item x="19"/>
        <item x="18"/>
        <item x="65"/>
        <item x="2"/>
        <item x="30"/>
        <item x="73"/>
        <item x="54"/>
        <item x="52"/>
        <item x="34"/>
        <item x="71"/>
        <item x="40"/>
        <item x="35"/>
        <item x="61"/>
        <item x="67"/>
        <item x="24"/>
        <item x="48"/>
        <item x="49"/>
        <item x="70"/>
        <item x="66"/>
        <item x="62"/>
        <item x="12"/>
        <item x="8"/>
        <item x="0"/>
        <item x="14"/>
        <item x="44"/>
        <item x="69"/>
        <item x="68"/>
        <item x="75"/>
        <item x="56"/>
        <item x="21"/>
        <item x="41"/>
        <item x="9"/>
        <item x="58"/>
        <item x="39"/>
        <item x="4"/>
        <item x="10"/>
        <item x="74"/>
        <item x="57"/>
        <item x="27"/>
        <item x="36"/>
        <item x="23"/>
        <item x="16"/>
        <item x="1"/>
        <item x="28"/>
        <item x="46"/>
        <item x="55"/>
        <item x="50"/>
        <item x="72"/>
        <item x="47"/>
        <item x="6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x="1"/>
        <item x="2"/>
      </items>
    </pivotField>
  </pivotFields>
  <rowFields count="1">
    <field x="3"/>
  </rowFields>
  <rowItems count="11">
    <i>
      <x v="6"/>
    </i>
    <i>
      <x v="5"/>
    </i>
    <i>
      <x v="48"/>
    </i>
    <i>
      <x v="46"/>
    </i>
    <i>
      <x v="26"/>
    </i>
    <i>
      <x v="66"/>
    </i>
    <i>
      <x v="21"/>
    </i>
    <i>
      <x/>
    </i>
    <i>
      <x v="30"/>
    </i>
    <i>
      <x v="71"/>
    </i>
    <i t="grand">
      <x/>
    </i>
  </rowItems>
  <colItems count="1">
    <i/>
  </colItems>
  <dataFields count="1">
    <dataField name="Count of orderID" fld="0" subtotal="count" baseField="3"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533C5A-7767-4430-A7B6-554ACEF8C9EE}"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L3:M25" firstHeaderRow="1" firstDataRow="1" firstDataCol="1"/>
  <pivotFields count="14">
    <pivotField compact="0" outline="0" showAll="0" defaultSubtotal="0"/>
    <pivotField compact="0" outline="0" showAll="0" defaultSubtotal="0">
      <items count="4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s>
    </pivotField>
    <pivotField compact="0" outline="0" showAll="0" defaultSubtotal="0"/>
    <pivotField compact="0" outline="0" showAll="0" defaultSubtotal="0"/>
    <pivotField compact="0" outline="0" showAll="0" defaultSubtotal="0">
      <items count="8">
        <item x="5"/>
        <item x="7"/>
        <item x="4"/>
        <item x="0"/>
        <item x="3"/>
        <item x="6"/>
        <item x="1"/>
        <item x="2"/>
      </items>
    </pivotField>
    <pivotField compact="0" outline="0" showAll="0" defaultSubtotal="0"/>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ubtotalTop="0" showAll="0" defaultSubtotal="0">
      <items count="21">
        <item x="20"/>
        <item x="6"/>
        <item x="3"/>
        <item x="2"/>
        <item x="16"/>
        <item x="17"/>
        <item x="10"/>
        <item x="0"/>
        <item x="1"/>
        <item x="14"/>
        <item x="11"/>
        <item x="7"/>
        <item x="19"/>
        <item x="18"/>
        <item x="15"/>
        <item x="12"/>
        <item x="9"/>
        <item x="4"/>
        <item x="13"/>
        <item x="8"/>
        <item x="5"/>
      </items>
    </pivotField>
    <pivotField compact="0" outline="0" showAll="0" defaultSubtotal="0"/>
    <pivotField compact="0" outline="0" showAll="0" defaultSubtotal="0"/>
    <pivotField compact="0" outline="0" showAll="0" defaultSubtotal="0">
      <items count="3">
        <item x="0"/>
        <item x="1"/>
        <item x="2"/>
      </items>
    </pivotField>
  </pivotFields>
  <rowFields count="1">
    <field x="1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TotalSales " fld="8" baseField="0" baseItem="0" numFmtId="167"/>
  </dataFields>
  <chartFormats count="22">
    <chartFormat chart="14" format="23" series="1">
      <pivotArea type="data" outline="0" fieldPosition="0">
        <references count="1">
          <reference field="4294967294" count="1" selected="0">
            <x v="0"/>
          </reference>
        </references>
      </pivotArea>
    </chartFormat>
    <chartFormat chart="14" format="24">
      <pivotArea type="data" outline="0" fieldPosition="0">
        <references count="2">
          <reference field="4294967294" count="1" selected="0">
            <x v="0"/>
          </reference>
          <reference field="10" count="1" selected="0">
            <x v="0"/>
          </reference>
        </references>
      </pivotArea>
    </chartFormat>
    <chartFormat chart="14" format="25">
      <pivotArea type="data" outline="0" fieldPosition="0">
        <references count="2">
          <reference field="4294967294" count="1" selected="0">
            <x v="0"/>
          </reference>
          <reference field="10" count="1" selected="0">
            <x v="1"/>
          </reference>
        </references>
      </pivotArea>
    </chartFormat>
    <chartFormat chart="14" format="26">
      <pivotArea type="data" outline="0" fieldPosition="0">
        <references count="2">
          <reference field="4294967294" count="1" selected="0">
            <x v="0"/>
          </reference>
          <reference field="10" count="1" selected="0">
            <x v="2"/>
          </reference>
        </references>
      </pivotArea>
    </chartFormat>
    <chartFormat chart="14" format="27">
      <pivotArea type="data" outline="0" fieldPosition="0">
        <references count="2">
          <reference field="4294967294" count="1" selected="0">
            <x v="0"/>
          </reference>
          <reference field="10" count="1" selected="0">
            <x v="3"/>
          </reference>
        </references>
      </pivotArea>
    </chartFormat>
    <chartFormat chart="14" format="28">
      <pivotArea type="data" outline="0" fieldPosition="0">
        <references count="2">
          <reference field="4294967294" count="1" selected="0">
            <x v="0"/>
          </reference>
          <reference field="10" count="1" selected="0">
            <x v="4"/>
          </reference>
        </references>
      </pivotArea>
    </chartFormat>
    <chartFormat chart="14" format="29">
      <pivotArea type="data" outline="0" fieldPosition="0">
        <references count="2">
          <reference field="4294967294" count="1" selected="0">
            <x v="0"/>
          </reference>
          <reference field="10" count="1" selected="0">
            <x v="5"/>
          </reference>
        </references>
      </pivotArea>
    </chartFormat>
    <chartFormat chart="14" format="30">
      <pivotArea type="data" outline="0" fieldPosition="0">
        <references count="2">
          <reference field="4294967294" count="1" selected="0">
            <x v="0"/>
          </reference>
          <reference field="10" count="1" selected="0">
            <x v="6"/>
          </reference>
        </references>
      </pivotArea>
    </chartFormat>
    <chartFormat chart="14" format="31">
      <pivotArea type="data" outline="0" fieldPosition="0">
        <references count="2">
          <reference field="4294967294" count="1" selected="0">
            <x v="0"/>
          </reference>
          <reference field="10" count="1" selected="0">
            <x v="7"/>
          </reference>
        </references>
      </pivotArea>
    </chartFormat>
    <chartFormat chart="14" format="32">
      <pivotArea type="data" outline="0" fieldPosition="0">
        <references count="2">
          <reference field="4294967294" count="1" selected="0">
            <x v="0"/>
          </reference>
          <reference field="10" count="1" selected="0">
            <x v="8"/>
          </reference>
        </references>
      </pivotArea>
    </chartFormat>
    <chartFormat chart="14" format="33">
      <pivotArea type="data" outline="0" fieldPosition="0">
        <references count="2">
          <reference field="4294967294" count="1" selected="0">
            <x v="0"/>
          </reference>
          <reference field="10" count="1" selected="0">
            <x v="9"/>
          </reference>
        </references>
      </pivotArea>
    </chartFormat>
    <chartFormat chart="14" format="34">
      <pivotArea type="data" outline="0" fieldPosition="0">
        <references count="2">
          <reference field="4294967294" count="1" selected="0">
            <x v="0"/>
          </reference>
          <reference field="10" count="1" selected="0">
            <x v="10"/>
          </reference>
        </references>
      </pivotArea>
    </chartFormat>
    <chartFormat chart="14" format="35">
      <pivotArea type="data" outline="0" fieldPosition="0">
        <references count="2">
          <reference field="4294967294" count="1" selected="0">
            <x v="0"/>
          </reference>
          <reference field="10" count="1" selected="0">
            <x v="11"/>
          </reference>
        </references>
      </pivotArea>
    </chartFormat>
    <chartFormat chart="14" format="36">
      <pivotArea type="data" outline="0" fieldPosition="0">
        <references count="2">
          <reference field="4294967294" count="1" selected="0">
            <x v="0"/>
          </reference>
          <reference field="10" count="1" selected="0">
            <x v="12"/>
          </reference>
        </references>
      </pivotArea>
    </chartFormat>
    <chartFormat chart="14" format="37">
      <pivotArea type="data" outline="0" fieldPosition="0">
        <references count="2">
          <reference field="4294967294" count="1" selected="0">
            <x v="0"/>
          </reference>
          <reference field="10" count="1" selected="0">
            <x v="13"/>
          </reference>
        </references>
      </pivotArea>
    </chartFormat>
    <chartFormat chart="14" format="38">
      <pivotArea type="data" outline="0" fieldPosition="0">
        <references count="2">
          <reference field="4294967294" count="1" selected="0">
            <x v="0"/>
          </reference>
          <reference field="10" count="1" selected="0">
            <x v="14"/>
          </reference>
        </references>
      </pivotArea>
    </chartFormat>
    <chartFormat chart="14" format="39">
      <pivotArea type="data" outline="0" fieldPosition="0">
        <references count="2">
          <reference field="4294967294" count="1" selected="0">
            <x v="0"/>
          </reference>
          <reference field="10" count="1" selected="0">
            <x v="15"/>
          </reference>
        </references>
      </pivotArea>
    </chartFormat>
    <chartFormat chart="14" format="40">
      <pivotArea type="data" outline="0" fieldPosition="0">
        <references count="2">
          <reference field="4294967294" count="1" selected="0">
            <x v="0"/>
          </reference>
          <reference field="10" count="1" selected="0">
            <x v="16"/>
          </reference>
        </references>
      </pivotArea>
    </chartFormat>
    <chartFormat chart="14" format="41">
      <pivotArea type="data" outline="0" fieldPosition="0">
        <references count="2">
          <reference field="4294967294" count="1" selected="0">
            <x v="0"/>
          </reference>
          <reference field="10" count="1" selected="0">
            <x v="17"/>
          </reference>
        </references>
      </pivotArea>
    </chartFormat>
    <chartFormat chart="14" format="42">
      <pivotArea type="data" outline="0" fieldPosition="0">
        <references count="2">
          <reference field="4294967294" count="1" selected="0">
            <x v="0"/>
          </reference>
          <reference field="10" count="1" selected="0">
            <x v="18"/>
          </reference>
        </references>
      </pivotArea>
    </chartFormat>
    <chartFormat chart="14" format="43">
      <pivotArea type="data" outline="0" fieldPosition="0">
        <references count="2">
          <reference field="4294967294" count="1" selected="0">
            <x v="0"/>
          </reference>
          <reference field="10" count="1" selected="0">
            <x v="19"/>
          </reference>
        </references>
      </pivotArea>
    </chartFormat>
    <chartFormat chart="14" format="44">
      <pivotArea type="data" outline="0" fieldPosition="0">
        <references count="2">
          <reference field="4294967294" count="1" selected="0">
            <x v="0"/>
          </reference>
          <reference field="10"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CD078C-8DE9-4FBB-81E2-E83FEC099771}"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I3:J12" firstHeaderRow="1" firstDataRow="1" firstDataCol="1"/>
  <pivotFields count="14">
    <pivotField compact="0" outline="0" showAll="0" defaultSubtotal="0"/>
    <pivotField compact="0" outline="0" showAll="0" defaultSubtotal="0">
      <items count="4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s>
    </pivotField>
    <pivotField compact="0" outline="0" showAll="0" defaultSubtotal="0"/>
    <pivotField compact="0" outline="0" showAll="0" defaultSubtotal="0"/>
    <pivotField axis="axisRow" compact="0" outline="0" showAll="0" defaultSubtotal="0">
      <items count="8">
        <item x="5"/>
        <item x="7"/>
        <item x="4"/>
        <item x="0"/>
        <item x="3"/>
        <item x="6"/>
        <item x="1"/>
        <item x="2"/>
      </items>
    </pivotField>
    <pivotField compact="0" outline="0" showAll="0" defaultSubtotal="0"/>
    <pivotField compact="0" outline="0" showAll="0" defaultSubtotal="0"/>
    <pivotField compact="0" outline="0" showAll="0" defaultSubtotal="0"/>
    <pivotField dataField="1"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x="1"/>
        <item x="2"/>
      </items>
    </pivotField>
  </pivotFields>
  <rowFields count="1">
    <field x="4"/>
  </rowFields>
  <rowItems count="9">
    <i>
      <x/>
    </i>
    <i>
      <x v="1"/>
    </i>
    <i>
      <x v="2"/>
    </i>
    <i>
      <x v="3"/>
    </i>
    <i>
      <x v="4"/>
    </i>
    <i>
      <x v="5"/>
    </i>
    <i>
      <x v="6"/>
    </i>
    <i>
      <x v="7"/>
    </i>
    <i t="grand">
      <x/>
    </i>
  </rowItems>
  <colItems count="1">
    <i/>
  </colItems>
  <dataFields count="1">
    <dataField name="Sum of TotalSales " fld="8" baseField="0" baseItem="0" numFmtId="166"/>
  </dataFields>
  <chartFormats count="9">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4" count="1" selected="0">
            <x v="0"/>
          </reference>
        </references>
      </pivotArea>
    </chartFormat>
    <chartFormat chart="12" format="12">
      <pivotArea type="data" outline="0" fieldPosition="0">
        <references count="2">
          <reference field="4294967294" count="1" selected="0">
            <x v="0"/>
          </reference>
          <reference field="4" count="1" selected="0">
            <x v="1"/>
          </reference>
        </references>
      </pivotArea>
    </chartFormat>
    <chartFormat chart="12" format="13">
      <pivotArea type="data" outline="0" fieldPosition="0">
        <references count="2">
          <reference field="4294967294" count="1" selected="0">
            <x v="0"/>
          </reference>
          <reference field="4" count="1" selected="0">
            <x v="2"/>
          </reference>
        </references>
      </pivotArea>
    </chartFormat>
    <chartFormat chart="12" format="14">
      <pivotArea type="data" outline="0" fieldPosition="0">
        <references count="2">
          <reference field="4294967294" count="1" selected="0">
            <x v="0"/>
          </reference>
          <reference field="4" count="1" selected="0">
            <x v="3"/>
          </reference>
        </references>
      </pivotArea>
    </chartFormat>
    <chartFormat chart="12" format="15">
      <pivotArea type="data" outline="0" fieldPosition="0">
        <references count="2">
          <reference field="4294967294" count="1" selected="0">
            <x v="0"/>
          </reference>
          <reference field="4" count="1" selected="0">
            <x v="4"/>
          </reference>
        </references>
      </pivotArea>
    </chartFormat>
    <chartFormat chart="12" format="16">
      <pivotArea type="data" outline="0" fieldPosition="0">
        <references count="2">
          <reference field="4294967294" count="1" selected="0">
            <x v="0"/>
          </reference>
          <reference field="4" count="1" selected="0">
            <x v="5"/>
          </reference>
        </references>
      </pivotArea>
    </chartFormat>
    <chartFormat chart="12" format="17">
      <pivotArea type="data" outline="0" fieldPosition="0">
        <references count="2">
          <reference field="4294967294" count="1" selected="0">
            <x v="0"/>
          </reference>
          <reference field="4" count="1" selected="0">
            <x v="6"/>
          </reference>
        </references>
      </pivotArea>
    </chartFormat>
    <chartFormat chart="12" format="18">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01A940-C851-438B-BAA8-B9A8204E656C}" name="PivotTable6"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5">
  <location ref="F9:F10" firstHeaderRow="1" firstDataRow="1" firstDataCol="0"/>
  <pivotFields count="14">
    <pivotField dataField="1" compact="0" outline="0" showAll="0" defaultSubtotal="0"/>
    <pivotField compact="0" outline="0" showAll="0" defaultSubtotal="0">
      <items count="4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x="1"/>
        <item x="2"/>
      </items>
    </pivotField>
  </pivotFields>
  <rowItems count="1">
    <i/>
  </rowItems>
  <colItems count="1">
    <i/>
  </colItems>
  <dataFields count="1">
    <dataField name="Total Order" fld="0" subtotal="count" baseField="0" baseItem="0"/>
  </dataFields>
  <formats count="7">
    <format dxfId="7">
      <pivotArea outline="0" collapsedLevelsAreSubtotals="1" fieldPosition="0"/>
    </format>
    <format dxfId="6">
      <pivotArea type="all" dataOnly="0" outline="0" fieldPosition="0"/>
    </format>
    <format dxfId="5">
      <pivotArea outline="0" collapsedLevelsAreSubtotals="1" fieldPosition="0"/>
    </format>
    <format dxfId="4">
      <pivotArea dataOnly="0" labelOnly="1" outline="0" axis="axisValues" fieldPosition="0"/>
    </format>
    <format dxfId="3">
      <pivotArea dataOnly="0" labelOnly="1" outline="0" axis="axisValues" fieldPosition="0"/>
    </format>
    <format dxfId="2">
      <pivotArea dataOnly="0" labelOnly="1" outline="0" axis="axisValues" fieldPosition="0"/>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CE8E27-D7BB-480E-8236-BC7A0C400566}" name="PivotTable5"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0">
  <location ref="D9:D10" firstHeaderRow="1" firstDataRow="1" firstDataCol="0"/>
  <pivotFields count="14">
    <pivotField compact="0" outline="0" showAll="0" defaultSubtotal="0"/>
    <pivotField compact="0" outline="0" showAll="0" defaultSubtotal="0">
      <items count="4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s>
    </pivotField>
    <pivotField compact="0" outline="0" showAll="0" defaultSubtotal="0"/>
    <pivotField compact="0" outline="0" showAll="0" measureFilter="1" sortType="de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ubtotalTop="0" showAll="0" measureFilter="1" sortType="descending" defaultSubtotal="0">
      <autoSortScope>
        <pivotArea dataOnly="0" outline="0" fieldPosition="0">
          <references count="1">
            <reference field="4294967294" count="1" selected="0">
              <x v="0"/>
            </reference>
          </references>
        </pivotArea>
      </autoSortScope>
    </pivotField>
    <pivotField compact="0" outline="0" subtotalTop="0" showAll="0" defaultSubtotal="0"/>
    <pivotField compact="0" outline="0" showAll="0" defaultSubtotal="0"/>
    <pivotField compact="0" outline="0" showAll="0" defaultSubtotal="0"/>
    <pivotField compact="0" outline="0" showAll="0" defaultSubtotal="0">
      <items count="3">
        <item x="0"/>
        <item x="1"/>
        <item x="2"/>
      </items>
    </pivotField>
  </pivotFields>
  <rowItems count="1">
    <i/>
  </rowItems>
  <colItems count="1">
    <i/>
  </colItems>
  <dataFields count="1">
    <dataField name="Total Sales " fld="8" baseField="0" baseItem="0" numFmtId="166"/>
  </dataFields>
  <formats count="7">
    <format dxfId="14">
      <pivotArea outline="0" collapsedLevelsAreSubtotals="1" fieldPosition="0"/>
    </format>
    <format dxfId="13">
      <pivotArea outline="0" collapsedLevelsAreSubtotals="1" fieldPosition="0"/>
    </format>
    <format dxfId="12">
      <pivotArea type="all" dataOnly="0" outline="0" fieldPosition="0"/>
    </format>
    <format dxfId="11">
      <pivotArea outline="0" collapsedLevelsAreSubtotals="1" fieldPosition="0"/>
    </format>
    <format dxfId="10">
      <pivotArea dataOnly="0" labelOnly="1" outline="0" axis="axisValues" fieldPosition="0"/>
    </format>
    <format dxfId="9">
      <pivotArea dataOnly="0" labelOnly="1" outline="0" axis="axisValues" fieldPosition="0"/>
    </format>
    <format dxfId="8">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3" type="count" evalOrder="-1" id="1" iMeasureFld="0">
      <autoFilter ref="A1">
        <filterColumn colId="0">
          <top10 val="10" filterVal="10"/>
        </filterColumn>
      </autoFilter>
    </filter>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B3BD65-BA4D-4637-98ED-3178B3161034}"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T28:U38" firstHeaderRow="1" firstDataRow="1" firstDataCol="1"/>
  <pivotFields count="14">
    <pivotField compact="0" outline="0" showAll="0" defaultSubtotal="0"/>
    <pivotField compact="0" outline="0" showAll="0" defaultSubtotal="0">
      <items count="4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s>
    </pivotField>
    <pivotField compact="0" outline="0" showAll="0" defaultSubtotal="0"/>
    <pivotField compact="0" outline="0" showAll="0" measureFilter="1" sortType="de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name="Top 10 Costumer" axis="axisRow" compact="0" outline="0" subtotalTop="0" showAll="0" measureFilter="1" sortType="descending" defaultSubtotal="0">
      <items count="89">
        <item x="85"/>
        <item x="39"/>
        <item x="59"/>
        <item x="55"/>
        <item x="25"/>
        <item x="76"/>
        <item x="15"/>
        <item x="46"/>
        <item x="48"/>
        <item x="66"/>
        <item x="31"/>
        <item x="78"/>
        <item x="10"/>
        <item x="5"/>
        <item x="32"/>
        <item x="72"/>
        <item x="35"/>
        <item x="57"/>
        <item x="41"/>
        <item x="58"/>
        <item x="9"/>
        <item x="52"/>
        <item x="68"/>
        <item x="14"/>
        <item x="86"/>
        <item x="70"/>
        <item x="17"/>
        <item x="47"/>
        <item x="60"/>
        <item x="36"/>
        <item x="71"/>
        <item x="79"/>
        <item x="18"/>
        <item x="2"/>
        <item x="8"/>
        <item x="64"/>
        <item x="34"/>
        <item x="42"/>
        <item x="44"/>
        <item x="88"/>
        <item x="53"/>
        <item x="75"/>
        <item x="74"/>
        <item x="26"/>
        <item x="82"/>
        <item x="28"/>
        <item x="67"/>
        <item x="38"/>
        <item x="22"/>
        <item x="80"/>
        <item x="49"/>
        <item x="24"/>
        <item x="77"/>
        <item x="69"/>
        <item x="37"/>
        <item x="11"/>
        <item x="43"/>
        <item x="54"/>
        <item x="50"/>
        <item x="12"/>
        <item x="62"/>
        <item x="21"/>
        <item x="73"/>
        <item x="13"/>
        <item x="30"/>
        <item x="29"/>
        <item x="6"/>
        <item x="27"/>
        <item x="65"/>
        <item x="45"/>
        <item x="56"/>
        <item x="51"/>
        <item x="87"/>
        <item x="20"/>
        <item x="4"/>
        <item x="40"/>
        <item x="84"/>
        <item x="1"/>
        <item x="23"/>
        <item x="33"/>
        <item x="81"/>
        <item x="61"/>
        <item x="3"/>
        <item x="0"/>
        <item x="16"/>
        <item x="7"/>
        <item x="19"/>
        <item x="83"/>
        <item x="63"/>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howAll="0" defaultSubtotal="0"/>
    <pivotField compact="0" outline="0" showAll="0" defaultSubtotal="0"/>
    <pivotField compact="0" outline="0" showAll="0" defaultSubtotal="0">
      <items count="3">
        <item x="0"/>
        <item x="1"/>
        <item x="2"/>
      </items>
    </pivotField>
  </pivotFields>
  <rowFields count="1">
    <field x="9"/>
  </rowFields>
  <rowItems count="10">
    <i>
      <x v="36"/>
    </i>
    <i>
      <x v="69"/>
    </i>
    <i>
      <x v="61"/>
    </i>
    <i>
      <x v="20"/>
    </i>
    <i>
      <x v="66"/>
    </i>
    <i>
      <x v="38"/>
    </i>
    <i>
      <x v="26"/>
    </i>
    <i>
      <x v="23"/>
    </i>
    <i>
      <x v="43"/>
    </i>
    <i>
      <x v="4"/>
    </i>
  </rowItems>
  <colItems count="1">
    <i/>
  </colItems>
  <dataFields count="1">
    <dataField name="Sales " fld="8"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3" type="count" evalOrder="-1" id="1" iMeasureFld="0">
      <autoFilter ref="A1">
        <filterColumn colId="0">
          <top10 val="10" filterVal="10"/>
        </filterColumn>
      </autoFilter>
    </filter>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7" connectionId="8" xr16:uid="{82DCBC0D-4415-4229-A07A-8190C57C0958}" autoFormatId="16" applyNumberFormats="0" applyBorderFormats="0" applyFontFormats="0" applyPatternFormats="0" applyAlignmentFormats="0" applyWidthHeightFormats="0">
  <queryTableRefresh nextId="3">
    <queryTableFields count="2">
      <queryTableField id="1" name="shipperID" tableColumnId="1"/>
      <queryTableField id="2" name="companyNam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7" xr16:uid="{79C2BBF8-94C9-4ECC-8684-5E320C2610F5}" autoFormatId="16" applyNumberFormats="0" applyBorderFormats="0" applyFontFormats="0" applyPatternFormats="0" applyAlignmentFormats="0" applyWidthHeightFormats="0">
  <queryTableRefresh nextId="7">
    <queryTableFields count="6">
      <queryTableField id="1" name="productID" tableColumnId="1"/>
      <queryTableField id="2" name="productName" tableColumnId="2"/>
      <queryTableField id="3" name="quantityPerUnit" tableColumnId="3"/>
      <queryTableField id="4" name="unitPrice" tableColumnId="4"/>
      <queryTableField id="5" name="discontinued" tableColumnId="5"/>
      <queryTableField id="6" name="categoryID"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5DFAC845-2A2A-4FCC-8A00-38E84373D745}" autoFormatId="16" applyNumberFormats="0" applyBorderFormats="0" applyFontFormats="0" applyPatternFormats="0" applyAlignmentFormats="0" applyWidthHeightFormats="0">
  <queryTableRefresh nextId="7">
    <queryTableFields count="6">
      <queryTableField id="1" name="employeeID" tableColumnId="1"/>
      <queryTableField id="2" name="employeeName" tableColumnId="2"/>
      <queryTableField id="3" name="title" tableColumnId="3"/>
      <queryTableField id="4" name="city" tableColumnId="4"/>
      <queryTableField id="5" name="country" tableColumnId="5"/>
      <queryTableField id="6" name="reportsTo"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79016FB1-6CAD-4A0E-9432-5A6BF1430000}" autoFormatId="16" applyNumberFormats="0" applyBorderFormats="0" applyFontFormats="0" applyPatternFormats="0" applyAlignmentFormats="0" applyWidthHeightFormats="0">
  <queryTableRefresh nextId="4">
    <queryTableFields count="3">
      <queryTableField id="1" name="categoryID" tableColumnId="1"/>
      <queryTableField id="2" name="categoryName" tableColumnId="2"/>
      <queryTableField id="3" name="description"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3" xr16:uid="{B8D52C38-F670-4141-A6D5-48B1739558A7}" autoFormatId="16" applyNumberFormats="0" applyBorderFormats="0" applyFontFormats="0" applyPatternFormats="0" applyAlignmentFormats="0" applyWidthHeightFormats="0">
  <queryTableRefresh nextId="7">
    <queryTableFields count="6">
      <queryTableField id="1" name="customerID" tableColumnId="1"/>
      <queryTableField id="2" name="companyName" tableColumnId="2"/>
      <queryTableField id="3" name="contactName" tableColumnId="3"/>
      <queryTableField id="4" name="contactTitle" tableColumnId="4"/>
      <queryTableField id="5" name="city" tableColumnId="5"/>
      <queryTableField id="6" name="country"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connectionId="6" xr16:uid="{A27F7955-044C-4242-ADEB-A28A3321BF69}" autoFormatId="16" applyNumberFormats="0" applyBorderFormats="0" applyFontFormats="0" applyPatternFormats="0" applyAlignmentFormats="0" applyWidthHeightFormats="0">
  <queryTableRefresh nextId="9">
    <queryTableFields count="8">
      <queryTableField id="1" name="orderID" tableColumnId="1"/>
      <queryTableField id="2" name="customerID" tableColumnId="2"/>
      <queryTableField id="3" name="employeeID" tableColumnId="3"/>
      <queryTableField id="4" name="orderDate" tableColumnId="4"/>
      <queryTableField id="5" name="requiredDate" tableColumnId="5"/>
      <queryTableField id="6" name="shippedDate" tableColumnId="6"/>
      <queryTableField id="7" name="shipperID" tableColumnId="7"/>
      <queryTableField id="8" name="freight" tableColumn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4" connectionId="5" xr16:uid="{4CE16217-693E-41CE-9C1A-4743AAE3A54D}" autoFormatId="16" applyNumberFormats="0" applyBorderFormats="0" applyFontFormats="0" applyPatternFormats="0" applyAlignmentFormats="0" applyWidthHeightFormats="0">
  <queryTableRefresh nextId="6">
    <queryTableFields count="5">
      <queryTableField id="1" name="orderID" tableColumnId="1"/>
      <queryTableField id="2" name="productID" tableColumnId="2"/>
      <queryTableField id="3" name="unitPrice" tableColumnId="3"/>
      <queryTableField id="4" name="quantity" tableColumnId="4"/>
      <queryTableField id="5" name="discount"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17611B2-0E05-4E3F-AAE1-F7C7F1A2E710}" sourceName="Year">
  <pivotTables>
    <pivotTable tabId="11" name="PivotTable1"/>
    <pivotTable tabId="11" name="PivotTable2"/>
    <pivotTable tabId="13" name="PivotTable3"/>
    <pivotTable tabId="13" name="PivotTable5"/>
    <pivotTable tabId="13" name="PivotTable6"/>
    <pivotTable tabId="11" name="PivotTable8"/>
    <pivotTable tabId="11" name="PivotTable9"/>
  </pivotTables>
  <data>
    <tabular pivotCacheId="90664636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26D5B28-841B-45B0-9526-F933D2DE8168}" cache="Slicer_Year" caption="Year" columnCoun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167B80B-FC83-44CA-9661-5E40FD52211D}" name="shippers" displayName="shippers" ref="A1:B4" tableType="queryTable" totalsRowShown="0">
  <autoFilter ref="A1:B4" xr:uid="{8167B80B-FC83-44CA-9661-5E40FD52211D}"/>
  <tableColumns count="2">
    <tableColumn id="1" xr3:uid="{9DF7C95A-40AD-4131-BBDF-597BF4A7D040}" uniqueName="1" name="shipperID" queryTableFieldId="1"/>
    <tableColumn id="2" xr3:uid="{4010F547-B01E-4C72-82A1-782F55EFA5DE}" uniqueName="2" name="companyName" queryTableFieldId="2" dataDxfId="3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3F15DAD-AE5B-468B-9109-61954695299D}" name="products" displayName="products" ref="A1:F78" tableType="queryTable" totalsRowShown="0">
  <autoFilter ref="A1:F78" xr:uid="{73F15DAD-AE5B-468B-9109-61954695299D}"/>
  <tableColumns count="6">
    <tableColumn id="1" xr3:uid="{178E5E9D-5147-4735-83D5-4B6F7AEB6577}" uniqueName="1" name="productID" queryTableFieldId="1"/>
    <tableColumn id="2" xr3:uid="{785255C9-6A3B-4CD5-85B3-61F74847781E}" uniqueName="2" name="productName" queryTableFieldId="2" dataDxfId="38"/>
    <tableColumn id="3" xr3:uid="{B6FAC341-60CE-4F55-940B-8CAA04CBBC99}" uniqueName="3" name="quantityPerUnit" queryTableFieldId="3" dataDxfId="37"/>
    <tableColumn id="4" xr3:uid="{273E0350-88AD-4461-ABDA-29360D906397}" uniqueName="4" name="unitPrice" queryTableFieldId="4"/>
    <tableColumn id="5" xr3:uid="{C68B9281-D955-4630-9CB1-71E7525A934F}" uniqueName="5" name="discontinued" queryTableFieldId="5"/>
    <tableColumn id="6" xr3:uid="{E79FF978-AB8B-46C7-9CE5-EC9BFDD99CF4}" uniqueName="6" name="categoryID" queryTableFieldId="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EF51155-FEC5-47E6-98E4-D4192FE79A73}" name="employees" displayName="employees" ref="A1:F10" tableType="queryTable" totalsRowShown="0">
  <autoFilter ref="A1:F10" xr:uid="{EEF51155-FEC5-47E6-98E4-D4192FE79A73}"/>
  <tableColumns count="6">
    <tableColumn id="1" xr3:uid="{B2F7B20E-5474-4222-BAD7-75D334952A2C}" uniqueName="1" name="employeeID" queryTableFieldId="1"/>
    <tableColumn id="2" xr3:uid="{08F5336C-67E2-4DE4-B4C2-2CDE66A0463B}" uniqueName="2" name="employeeName" queryTableFieldId="2" dataDxfId="36"/>
    <tableColumn id="3" xr3:uid="{5F8C1F55-103D-4EF5-A4E5-68286B229BC2}" uniqueName="3" name="title" queryTableFieldId="3" dataDxfId="35"/>
    <tableColumn id="4" xr3:uid="{1DB7A3A1-5FD4-49A7-A794-F7C80A55D14E}" uniqueName="4" name="city" queryTableFieldId="4" dataDxfId="34"/>
    <tableColumn id="5" xr3:uid="{920A9B29-DF1A-476A-82D2-2C58A22717A6}" uniqueName="5" name="country" queryTableFieldId="5" dataDxfId="33"/>
    <tableColumn id="6" xr3:uid="{2C3BE45E-2EBE-4DF0-9281-CEC3960E475C}" uniqueName="6" name="reportsTo" queryTableField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EA7D03-EA57-4B1D-8394-A12E39C859CB}" name="categories" displayName="categories" ref="A1:C9" tableType="queryTable" totalsRowShown="0">
  <autoFilter ref="A1:C9" xr:uid="{C0EA7D03-EA57-4B1D-8394-A12E39C859CB}"/>
  <tableColumns count="3">
    <tableColumn id="1" xr3:uid="{8EFEFBB6-4C0E-416B-8AFA-7BC89E8B6B47}" uniqueName="1" name="categoryID" queryTableFieldId="1"/>
    <tableColumn id="2" xr3:uid="{908FA238-2357-4764-923B-B5DE84E31E29}" uniqueName="2" name="categoryName" queryTableFieldId="2" dataDxfId="32"/>
    <tableColumn id="3" xr3:uid="{60772FAD-DE1A-4BCE-AEBC-1E77EE4DE930}" uniqueName="3" name="description" queryTableFieldId="3" dataDxfId="3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8882FB6-3785-4260-9A0A-AE5E3A371C8D}" name="customers__2" displayName="customers__2" ref="A1:F92" tableType="queryTable" totalsRowShown="0">
  <autoFilter ref="A1:F92" xr:uid="{78882FB6-3785-4260-9A0A-AE5E3A371C8D}"/>
  <tableColumns count="6">
    <tableColumn id="1" xr3:uid="{88D54AFD-2E47-4582-AFBD-FA0E736D20FE}" uniqueName="1" name="customerID" queryTableFieldId="1" dataDxfId="30"/>
    <tableColumn id="2" xr3:uid="{82CB483A-393C-4D8B-A2FB-4FD1FD4704A0}" uniqueName="2" name="companyName" queryTableFieldId="2" dataDxfId="29"/>
    <tableColumn id="3" xr3:uid="{F229CCB8-AFF1-4FD5-BECF-0D009B2ADE1F}" uniqueName="3" name="contactName" queryTableFieldId="3" dataDxfId="28"/>
    <tableColumn id="4" xr3:uid="{10525560-A86E-45F8-85AB-06C2873C1043}" uniqueName="4" name="contactTitle" queryTableFieldId="4" dataDxfId="27"/>
    <tableColumn id="5" xr3:uid="{85693D53-557E-412E-9759-92DA897DF9E9}" uniqueName="5" name="city" queryTableFieldId="5" dataDxfId="26"/>
    <tableColumn id="6" xr3:uid="{B0B7E575-2393-46F7-BB00-5435AEB07BB3}" uniqueName="6" name="country" queryTableFieldId="6" dataDxfId="2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4BC3BA3-AB62-441A-8B4B-8BD13AAAABB6}" name="orders" displayName="orders" ref="A1:H831" tableType="queryTable" totalsRowShown="0">
  <autoFilter ref="A1:H831" xr:uid="{94BC3BA3-AB62-441A-8B4B-8BD13AAAABB6}"/>
  <tableColumns count="8">
    <tableColumn id="1" xr3:uid="{03481757-D949-4103-8633-9C987008CA21}" uniqueName="1" name="orderID" queryTableFieldId="1"/>
    <tableColumn id="2" xr3:uid="{033777CC-7E87-465D-9929-9FEA1CDF1349}" uniqueName="2" name="customerID" queryTableFieldId="2" dataDxfId="24"/>
    <tableColumn id="3" xr3:uid="{43008D31-95C6-4E8C-B8C9-623CEF3227FB}" uniqueName="3" name="employeeID" queryTableFieldId="3"/>
    <tableColumn id="4" xr3:uid="{C6AD8F0F-37A7-4D9A-B48A-C3AC059D5B79}" uniqueName="4" name="orderDate" queryTableFieldId="4" dataDxfId="23"/>
    <tableColumn id="5" xr3:uid="{B78C81B2-9868-4789-B8A2-AD2D98016723}" uniqueName="5" name="requiredDate" queryTableFieldId="5" dataDxfId="22"/>
    <tableColumn id="6" xr3:uid="{95547779-2098-4F6E-A4D8-1EC32297DB2E}" uniqueName="6" name="shippedDate" queryTableFieldId="6" dataDxfId="21"/>
    <tableColumn id="7" xr3:uid="{41517E0D-FC99-41DA-A624-5591322ED44B}" uniqueName="7" name="shipperID" queryTableFieldId="7"/>
    <tableColumn id="8" xr3:uid="{93158E7E-45EE-4795-B125-780F8BADA20C}" uniqueName="8" name="freight" queryTableFieldId="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8E8A65A-2659-4743-8D70-8CBAA9822409}" name="order_details" displayName="order_details" ref="A1:E2156" tableType="queryTable" totalsRowShown="0">
  <autoFilter ref="A1:E2156" xr:uid="{B8E8A65A-2659-4743-8D70-8CBAA9822409}"/>
  <tableColumns count="5">
    <tableColumn id="1" xr3:uid="{42A33409-B674-4B95-B442-64E73F25B3C2}" uniqueName="1" name="orderID" queryTableFieldId="1"/>
    <tableColumn id="2" xr3:uid="{330260BC-918E-44F5-A170-A3571C214200}" uniqueName="2" name="productID" queryTableFieldId="2"/>
    <tableColumn id="3" xr3:uid="{5EB9F1FA-5EF4-47E4-9000-753B5A7D879A}" uniqueName="3" name="unitPrice" queryTableFieldId="3"/>
    <tableColumn id="4" xr3:uid="{3AA64CC9-4F82-479B-B56D-22C36C1C781F}" uniqueName="4" name="quantity" queryTableFieldId="4"/>
    <tableColumn id="5" xr3:uid="{4E95CEA6-9EDD-41CB-A02C-AFE6104824F6}" uniqueName="5" name="discount" queryTableFieldId="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6CC57BA-5467-43BB-A92C-BF26F0EE36B4}" name="Table9" displayName="Table9" ref="A1:N2156" totalsRowShown="0">
  <autoFilter ref="A1:N2156" xr:uid="{A6CC57BA-5467-43BB-A92C-BF26F0EE36B4}"/>
  <tableColumns count="14">
    <tableColumn id="1" xr3:uid="{97D2225F-E9F6-4890-B53A-F657F8C75973}" name="orderID"/>
    <tableColumn id="2" xr3:uid="{DAE085D5-2A22-4A97-8628-FCC90B5B5816}" name="OrderDate " dataDxfId="0">
      <calculatedColumnFormula>_xlfn.XLOOKUP(Table9[[#This Row],[orderID]],orders[orderID],orders[orderDate],,0)</calculatedColumnFormula>
    </tableColumn>
    <tableColumn id="3" xr3:uid="{B391415B-74E9-4FE3-AD98-E796842084DD}" name="productID">
      <calculatedColumnFormula>_xlfn.XLOOKUP(A2,order_details[orderID],order_details[productID],,0)</calculatedColumnFormula>
    </tableColumn>
    <tableColumn id="4" xr3:uid="{01198621-8653-4FAC-810E-B0DD046458CD}" name="ProductName ">
      <calculatedColumnFormula>_xlfn.XLOOKUP(C2,products[productID],products[productName],,0)</calculatedColumnFormula>
    </tableColumn>
    <tableColumn id="5" xr3:uid="{A9D844EC-0AC4-4B76-A878-3A03B7D0D73D}" name="Category " dataDxfId="20">
      <calculatedColumnFormula>_xlfn.XLOOKUP(_xlfn.XLOOKUP(Table9[[#This Row],[ProductName ]],products[productName],products[categoryID],,0),categories[categoryID],categories[categoryName],,0)</calculatedColumnFormula>
    </tableColumn>
    <tableColumn id="6" xr3:uid="{FC794630-5BAB-40FC-9E8A-122E4DEF7AD9}" name="quantity"/>
    <tableColumn id="7" xr3:uid="{773CEEF8-969B-4D93-B873-C311BAA17E77}" name="unitPrice"/>
    <tableColumn id="8" xr3:uid="{52E781AC-301A-46BC-9D67-C204D6C7F58F}" name="discount"/>
    <tableColumn id="9" xr3:uid="{9E694ECB-716F-4A18-BCF1-F20C12BBADE5}" name="TotalSales " dataDxfId="19">
      <calculatedColumnFormula>Table9[[#This Row],[quantity]]*Table9[[#This Row],[unitPrice]]*(1-Table9[[#This Row],[discount]]/100)</calculatedColumnFormula>
    </tableColumn>
    <tableColumn id="10" xr3:uid="{F65E3AF6-8DED-467B-B9E3-2055420927CB}" name="Company Name">
      <calculatedColumnFormula>_xlfn.XLOOKUP(_xlfn.XLOOKUP(A2,orders[orderID],orders[customerID],,0),customers__2[customerID],customers__2[companyName],,0)</calculatedColumnFormula>
    </tableColumn>
    <tableColumn id="16" xr3:uid="{67182F2D-8710-4727-B1BD-930700BB21A8}" name="CostumerCountry" dataDxfId="18">
      <calculatedColumnFormula>_xlfn.XLOOKUP(Table9[[#This Row],[Company Name]],customers__2[companyName],customers__2[country],,0)</calculatedColumnFormula>
    </tableColumn>
    <tableColumn id="11" xr3:uid="{010894FB-F4F6-48C1-A2FC-9E3DDAD3D448}" name="Month" dataDxfId="17">
      <calculatedColumnFormula>MONTH(Table9[[#This Row],[OrderDate ]])</calculatedColumnFormula>
    </tableColumn>
    <tableColumn id="13" xr3:uid="{38751992-8628-4285-AAB2-E292877303A0}" name="Month Name" dataDxfId="16">
      <calculatedColumnFormula>TEXT(Table9[[#This Row],[OrderDate ]],"mmm")</calculatedColumnFormula>
    </tableColumn>
    <tableColumn id="12" xr3:uid="{BC37205F-445A-4B1E-AD62-6FFD0831A175}" name="Year" dataDxfId="15">
      <calculatedColumnFormula>YEAR(Table9[[#This Row],[OrderDate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CAE40-30E2-4EC0-8E71-9E61F2192F6D}">
  <dimension ref="A1:B4"/>
  <sheetViews>
    <sheetView workbookViewId="0">
      <selection sqref="A1:B4"/>
    </sheetView>
  </sheetViews>
  <sheetFormatPr defaultRowHeight="14.4" x14ac:dyDescent="0.3"/>
  <cols>
    <col min="1" max="1" width="11.21875" bestFit="1" customWidth="1"/>
    <col min="2" max="2" width="16.21875" bestFit="1" customWidth="1"/>
  </cols>
  <sheetData>
    <row r="1" spans="1:2" x14ac:dyDescent="0.3">
      <c r="A1" t="s">
        <v>423</v>
      </c>
      <c r="B1" t="s">
        <v>20</v>
      </c>
    </row>
    <row r="2" spans="1:2" x14ac:dyDescent="0.3">
      <c r="A2">
        <v>1</v>
      </c>
      <c r="B2" s="1" t="s">
        <v>575</v>
      </c>
    </row>
    <row r="3" spans="1:2" x14ac:dyDescent="0.3">
      <c r="A3">
        <v>2</v>
      </c>
      <c r="B3" s="1" t="s">
        <v>576</v>
      </c>
    </row>
    <row r="4" spans="1:2" x14ac:dyDescent="0.3">
      <c r="A4">
        <v>3</v>
      </c>
      <c r="B4" s="1" t="s">
        <v>577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251CC-D508-4557-945C-492DCC55555A}">
  <dimension ref="A1:F78"/>
  <sheetViews>
    <sheetView workbookViewId="0">
      <selection activeCell="F12" sqref="F12"/>
    </sheetView>
  </sheetViews>
  <sheetFormatPr defaultRowHeight="14.4" x14ac:dyDescent="0.3"/>
  <cols>
    <col min="1" max="1" width="11.6640625" bestFit="1" customWidth="1"/>
    <col min="2" max="2" width="29.5546875" bestFit="1" customWidth="1"/>
    <col min="3" max="3" width="17.77734375" bestFit="1" customWidth="1"/>
    <col min="4" max="4" width="10.6640625" bestFit="1" customWidth="1"/>
    <col min="5" max="5" width="14.109375" bestFit="1" customWidth="1"/>
    <col min="6" max="6" width="12.33203125" bestFit="1" customWidth="1"/>
  </cols>
  <sheetData>
    <row r="1" spans="1:6" x14ac:dyDescent="0.3">
      <c r="A1" t="s">
        <v>416</v>
      </c>
      <c r="B1" t="s">
        <v>425</v>
      </c>
      <c r="C1" t="s">
        <v>426</v>
      </c>
      <c r="D1" t="s">
        <v>417</v>
      </c>
      <c r="E1" t="s">
        <v>427</v>
      </c>
      <c r="F1" t="s">
        <v>0</v>
      </c>
    </row>
    <row r="2" spans="1:6" x14ac:dyDescent="0.3">
      <c r="A2">
        <v>1</v>
      </c>
      <c r="B2" s="1" t="s">
        <v>428</v>
      </c>
      <c r="C2" s="1" t="s">
        <v>429</v>
      </c>
      <c r="D2">
        <v>18</v>
      </c>
      <c r="E2">
        <v>0</v>
      </c>
      <c r="F2">
        <v>1</v>
      </c>
    </row>
    <row r="3" spans="1:6" x14ac:dyDescent="0.3">
      <c r="A3">
        <v>2</v>
      </c>
      <c r="B3" s="1" t="s">
        <v>430</v>
      </c>
      <c r="C3" s="1" t="s">
        <v>431</v>
      </c>
      <c r="D3">
        <v>19</v>
      </c>
      <c r="E3">
        <v>0</v>
      </c>
      <c r="F3">
        <v>1</v>
      </c>
    </row>
    <row r="4" spans="1:6" x14ac:dyDescent="0.3">
      <c r="A4">
        <v>3</v>
      </c>
      <c r="B4" s="1" t="s">
        <v>432</v>
      </c>
      <c r="C4" s="1" t="s">
        <v>433</v>
      </c>
      <c r="D4">
        <v>10</v>
      </c>
      <c r="E4">
        <v>0</v>
      </c>
      <c r="F4">
        <v>2</v>
      </c>
    </row>
    <row r="5" spans="1:6" x14ac:dyDescent="0.3">
      <c r="A5">
        <v>4</v>
      </c>
      <c r="B5" s="1" t="s">
        <v>434</v>
      </c>
      <c r="C5" s="1" t="s">
        <v>435</v>
      </c>
      <c r="D5">
        <v>22</v>
      </c>
      <c r="E5">
        <v>0</v>
      </c>
      <c r="F5">
        <v>2</v>
      </c>
    </row>
    <row r="6" spans="1:6" x14ac:dyDescent="0.3">
      <c r="A6">
        <v>5</v>
      </c>
      <c r="B6" s="1" t="s">
        <v>436</v>
      </c>
      <c r="C6" s="1" t="s">
        <v>437</v>
      </c>
      <c r="D6">
        <v>2135</v>
      </c>
      <c r="E6">
        <v>1</v>
      </c>
      <c r="F6">
        <v>2</v>
      </c>
    </row>
    <row r="7" spans="1:6" x14ac:dyDescent="0.3">
      <c r="A7">
        <v>6</v>
      </c>
      <c r="B7" s="1" t="s">
        <v>438</v>
      </c>
      <c r="C7" s="1" t="s">
        <v>439</v>
      </c>
      <c r="D7">
        <v>25</v>
      </c>
      <c r="E7">
        <v>0</v>
      </c>
      <c r="F7">
        <v>2</v>
      </c>
    </row>
    <row r="8" spans="1:6" x14ac:dyDescent="0.3">
      <c r="A8">
        <v>7</v>
      </c>
      <c r="B8" s="1" t="s">
        <v>440</v>
      </c>
      <c r="C8" s="1" t="s">
        <v>441</v>
      </c>
      <c r="D8">
        <v>30</v>
      </c>
      <c r="E8">
        <v>0</v>
      </c>
      <c r="F8">
        <v>7</v>
      </c>
    </row>
    <row r="9" spans="1:6" x14ac:dyDescent="0.3">
      <c r="A9">
        <v>8</v>
      </c>
      <c r="B9" s="1" t="s">
        <v>442</v>
      </c>
      <c r="C9" s="1" t="s">
        <v>443</v>
      </c>
      <c r="D9">
        <v>40</v>
      </c>
      <c r="E9">
        <v>0</v>
      </c>
      <c r="F9">
        <v>2</v>
      </c>
    </row>
    <row r="10" spans="1:6" x14ac:dyDescent="0.3">
      <c r="A10">
        <v>9</v>
      </c>
      <c r="B10" s="1" t="s">
        <v>444</v>
      </c>
      <c r="C10" s="1" t="s">
        <v>445</v>
      </c>
      <c r="D10">
        <v>97</v>
      </c>
      <c r="E10">
        <v>1</v>
      </c>
      <c r="F10">
        <v>6</v>
      </c>
    </row>
    <row r="11" spans="1:6" x14ac:dyDescent="0.3">
      <c r="A11">
        <v>10</v>
      </c>
      <c r="B11" s="1" t="s">
        <v>446</v>
      </c>
      <c r="C11" s="1" t="s">
        <v>447</v>
      </c>
      <c r="D11">
        <v>31</v>
      </c>
      <c r="E11">
        <v>0</v>
      </c>
      <c r="F11">
        <v>8</v>
      </c>
    </row>
    <row r="12" spans="1:6" x14ac:dyDescent="0.3">
      <c r="A12">
        <v>11</v>
      </c>
      <c r="B12" s="1" t="s">
        <v>448</v>
      </c>
      <c r="C12" s="1" t="s">
        <v>449</v>
      </c>
      <c r="D12">
        <v>21</v>
      </c>
      <c r="E12">
        <v>0</v>
      </c>
      <c r="F12">
        <v>4</v>
      </c>
    </row>
    <row r="13" spans="1:6" x14ac:dyDescent="0.3">
      <c r="A13">
        <v>12</v>
      </c>
      <c r="B13" s="1" t="s">
        <v>450</v>
      </c>
      <c r="C13" s="1" t="s">
        <v>451</v>
      </c>
      <c r="D13">
        <v>38</v>
      </c>
      <c r="E13">
        <v>0</v>
      </c>
      <c r="F13">
        <v>4</v>
      </c>
    </row>
    <row r="14" spans="1:6" x14ac:dyDescent="0.3">
      <c r="A14">
        <v>13</v>
      </c>
      <c r="B14" s="1" t="s">
        <v>452</v>
      </c>
      <c r="C14" s="1" t="s">
        <v>453</v>
      </c>
      <c r="D14">
        <v>6</v>
      </c>
      <c r="E14">
        <v>0</v>
      </c>
      <c r="F14">
        <v>8</v>
      </c>
    </row>
    <row r="15" spans="1:6" x14ac:dyDescent="0.3">
      <c r="A15">
        <v>14</v>
      </c>
      <c r="B15" s="1" t="s">
        <v>454</v>
      </c>
      <c r="C15" s="1" t="s">
        <v>455</v>
      </c>
      <c r="D15">
        <v>2325</v>
      </c>
      <c r="E15">
        <v>0</v>
      </c>
      <c r="F15">
        <v>7</v>
      </c>
    </row>
    <row r="16" spans="1:6" x14ac:dyDescent="0.3">
      <c r="A16">
        <v>15</v>
      </c>
      <c r="B16" s="1" t="s">
        <v>456</v>
      </c>
      <c r="C16" s="1" t="s">
        <v>457</v>
      </c>
      <c r="D16">
        <v>155</v>
      </c>
      <c r="E16">
        <v>0</v>
      </c>
      <c r="F16">
        <v>2</v>
      </c>
    </row>
    <row r="17" spans="1:6" x14ac:dyDescent="0.3">
      <c r="A17">
        <v>16</v>
      </c>
      <c r="B17" s="1" t="s">
        <v>458</v>
      </c>
      <c r="C17" s="1" t="s">
        <v>459</v>
      </c>
      <c r="D17">
        <v>1745</v>
      </c>
      <c r="E17">
        <v>0</v>
      </c>
      <c r="F17">
        <v>3</v>
      </c>
    </row>
    <row r="18" spans="1:6" x14ac:dyDescent="0.3">
      <c r="A18">
        <v>17</v>
      </c>
      <c r="B18" s="1" t="s">
        <v>460</v>
      </c>
      <c r="C18" s="1" t="s">
        <v>461</v>
      </c>
      <c r="D18">
        <v>39</v>
      </c>
      <c r="E18">
        <v>1</v>
      </c>
      <c r="F18">
        <v>6</v>
      </c>
    </row>
    <row r="19" spans="1:6" x14ac:dyDescent="0.3">
      <c r="A19">
        <v>18</v>
      </c>
      <c r="B19" s="1" t="s">
        <v>462</v>
      </c>
      <c r="C19" s="1" t="s">
        <v>463</v>
      </c>
      <c r="D19">
        <v>625</v>
      </c>
      <c r="E19">
        <v>0</v>
      </c>
      <c r="F19">
        <v>8</v>
      </c>
    </row>
    <row r="20" spans="1:6" x14ac:dyDescent="0.3">
      <c r="A20">
        <v>19</v>
      </c>
      <c r="B20" s="1" t="s">
        <v>464</v>
      </c>
      <c r="C20" s="1" t="s">
        <v>465</v>
      </c>
      <c r="D20">
        <v>92</v>
      </c>
      <c r="E20">
        <v>0</v>
      </c>
      <c r="F20">
        <v>3</v>
      </c>
    </row>
    <row r="21" spans="1:6" x14ac:dyDescent="0.3">
      <c r="A21">
        <v>20</v>
      </c>
      <c r="B21" s="1" t="s">
        <v>466</v>
      </c>
      <c r="C21" s="1" t="s">
        <v>467</v>
      </c>
      <c r="D21">
        <v>81</v>
      </c>
      <c r="E21">
        <v>0</v>
      </c>
      <c r="F21">
        <v>3</v>
      </c>
    </row>
    <row r="22" spans="1:6" x14ac:dyDescent="0.3">
      <c r="A22">
        <v>21</v>
      </c>
      <c r="B22" s="1" t="s">
        <v>468</v>
      </c>
      <c r="C22" s="1" t="s">
        <v>469</v>
      </c>
      <c r="D22">
        <v>10</v>
      </c>
      <c r="E22">
        <v>0</v>
      </c>
      <c r="F22">
        <v>3</v>
      </c>
    </row>
    <row r="23" spans="1:6" x14ac:dyDescent="0.3">
      <c r="A23">
        <v>22</v>
      </c>
      <c r="B23" s="1" t="s">
        <v>470</v>
      </c>
      <c r="C23" s="1" t="s">
        <v>471</v>
      </c>
      <c r="D23">
        <v>21</v>
      </c>
      <c r="E23">
        <v>0</v>
      </c>
      <c r="F23">
        <v>5</v>
      </c>
    </row>
    <row r="24" spans="1:6" x14ac:dyDescent="0.3">
      <c r="A24">
        <v>23</v>
      </c>
      <c r="B24" s="1" t="s">
        <v>472</v>
      </c>
      <c r="C24" s="1" t="s">
        <v>473</v>
      </c>
      <c r="D24">
        <v>9</v>
      </c>
      <c r="E24">
        <v>0</v>
      </c>
      <c r="F24">
        <v>5</v>
      </c>
    </row>
    <row r="25" spans="1:6" x14ac:dyDescent="0.3">
      <c r="A25">
        <v>24</v>
      </c>
      <c r="B25" s="1" t="s">
        <v>474</v>
      </c>
      <c r="C25" s="1" t="s">
        <v>475</v>
      </c>
      <c r="D25">
        <v>45</v>
      </c>
      <c r="E25">
        <v>1</v>
      </c>
      <c r="F25">
        <v>1</v>
      </c>
    </row>
    <row r="26" spans="1:6" x14ac:dyDescent="0.3">
      <c r="A26">
        <v>25</v>
      </c>
      <c r="B26" s="1" t="s">
        <v>476</v>
      </c>
      <c r="C26" s="1" t="s">
        <v>477</v>
      </c>
      <c r="D26">
        <v>14</v>
      </c>
      <c r="E26">
        <v>0</v>
      </c>
      <c r="F26">
        <v>3</v>
      </c>
    </row>
    <row r="27" spans="1:6" x14ac:dyDescent="0.3">
      <c r="A27">
        <v>26</v>
      </c>
      <c r="B27" s="1" t="s">
        <v>478</v>
      </c>
      <c r="C27" s="1" t="s">
        <v>479</v>
      </c>
      <c r="D27">
        <v>3123</v>
      </c>
      <c r="E27">
        <v>0</v>
      </c>
      <c r="F27">
        <v>3</v>
      </c>
    </row>
    <row r="28" spans="1:6" x14ac:dyDescent="0.3">
      <c r="A28">
        <v>27</v>
      </c>
      <c r="B28" s="1" t="s">
        <v>480</v>
      </c>
      <c r="C28" s="1" t="s">
        <v>481</v>
      </c>
      <c r="D28">
        <v>439</v>
      </c>
      <c r="E28">
        <v>0</v>
      </c>
      <c r="F28">
        <v>3</v>
      </c>
    </row>
    <row r="29" spans="1:6" x14ac:dyDescent="0.3">
      <c r="A29">
        <v>28</v>
      </c>
      <c r="B29" s="1" t="s">
        <v>482</v>
      </c>
      <c r="C29" s="1" t="s">
        <v>483</v>
      </c>
      <c r="D29">
        <v>456</v>
      </c>
      <c r="E29">
        <v>1</v>
      </c>
      <c r="F29">
        <v>7</v>
      </c>
    </row>
    <row r="30" spans="1:6" x14ac:dyDescent="0.3">
      <c r="A30">
        <v>29</v>
      </c>
      <c r="B30" s="1" t="s">
        <v>484</v>
      </c>
      <c r="C30" s="1" t="s">
        <v>485</v>
      </c>
      <c r="D30">
        <v>12379</v>
      </c>
      <c r="E30">
        <v>1</v>
      </c>
      <c r="F30">
        <v>6</v>
      </c>
    </row>
    <row r="31" spans="1:6" x14ac:dyDescent="0.3">
      <c r="A31">
        <v>30</v>
      </c>
      <c r="B31" s="1" t="s">
        <v>486</v>
      </c>
      <c r="C31" s="1" t="s">
        <v>487</v>
      </c>
      <c r="D31">
        <v>2589</v>
      </c>
      <c r="E31">
        <v>0</v>
      </c>
      <c r="F31">
        <v>8</v>
      </c>
    </row>
    <row r="32" spans="1:6" x14ac:dyDescent="0.3">
      <c r="A32">
        <v>31</v>
      </c>
      <c r="B32" s="1" t="s">
        <v>488</v>
      </c>
      <c r="C32" s="1" t="s">
        <v>489</v>
      </c>
      <c r="D32">
        <v>125</v>
      </c>
      <c r="E32">
        <v>0</v>
      </c>
      <c r="F32">
        <v>4</v>
      </c>
    </row>
    <row r="33" spans="1:6" x14ac:dyDescent="0.3">
      <c r="A33">
        <v>32</v>
      </c>
      <c r="B33" s="1" t="s">
        <v>490</v>
      </c>
      <c r="C33" s="1" t="s">
        <v>491</v>
      </c>
      <c r="D33">
        <v>32</v>
      </c>
      <c r="E33">
        <v>0</v>
      </c>
      <c r="F33">
        <v>4</v>
      </c>
    </row>
    <row r="34" spans="1:6" x14ac:dyDescent="0.3">
      <c r="A34">
        <v>33</v>
      </c>
      <c r="B34" s="1" t="s">
        <v>492</v>
      </c>
      <c r="C34" s="1" t="s">
        <v>493</v>
      </c>
      <c r="D34">
        <v>25</v>
      </c>
      <c r="E34">
        <v>0</v>
      </c>
      <c r="F34">
        <v>4</v>
      </c>
    </row>
    <row r="35" spans="1:6" x14ac:dyDescent="0.3">
      <c r="A35">
        <v>34</v>
      </c>
      <c r="B35" s="1" t="s">
        <v>494</v>
      </c>
      <c r="C35" s="1" t="s">
        <v>431</v>
      </c>
      <c r="D35">
        <v>14</v>
      </c>
      <c r="E35">
        <v>0</v>
      </c>
      <c r="F35">
        <v>1</v>
      </c>
    </row>
    <row r="36" spans="1:6" x14ac:dyDescent="0.3">
      <c r="A36">
        <v>35</v>
      </c>
      <c r="B36" s="1" t="s">
        <v>495</v>
      </c>
      <c r="C36" s="1" t="s">
        <v>431</v>
      </c>
      <c r="D36">
        <v>18</v>
      </c>
      <c r="E36">
        <v>0</v>
      </c>
      <c r="F36">
        <v>1</v>
      </c>
    </row>
    <row r="37" spans="1:6" x14ac:dyDescent="0.3">
      <c r="A37">
        <v>36</v>
      </c>
      <c r="B37" s="1" t="s">
        <v>496</v>
      </c>
      <c r="C37" s="1" t="s">
        <v>497</v>
      </c>
      <c r="D37">
        <v>19</v>
      </c>
      <c r="E37">
        <v>0</v>
      </c>
      <c r="F37">
        <v>8</v>
      </c>
    </row>
    <row r="38" spans="1:6" x14ac:dyDescent="0.3">
      <c r="A38">
        <v>37</v>
      </c>
      <c r="B38" s="1" t="s">
        <v>498</v>
      </c>
      <c r="C38" s="1" t="s">
        <v>499</v>
      </c>
      <c r="D38">
        <v>26</v>
      </c>
      <c r="E38">
        <v>0</v>
      </c>
      <c r="F38">
        <v>8</v>
      </c>
    </row>
    <row r="39" spans="1:6" x14ac:dyDescent="0.3">
      <c r="A39">
        <v>38</v>
      </c>
      <c r="B39" s="1" t="s">
        <v>500</v>
      </c>
      <c r="C39" s="1" t="s">
        <v>501</v>
      </c>
      <c r="D39">
        <v>2635</v>
      </c>
      <c r="E39">
        <v>0</v>
      </c>
      <c r="F39">
        <v>1</v>
      </c>
    </row>
    <row r="40" spans="1:6" x14ac:dyDescent="0.3">
      <c r="A40">
        <v>39</v>
      </c>
      <c r="B40" s="1" t="s">
        <v>502</v>
      </c>
      <c r="C40" s="1" t="s">
        <v>503</v>
      </c>
      <c r="D40">
        <v>18</v>
      </c>
      <c r="E40">
        <v>0</v>
      </c>
      <c r="F40">
        <v>1</v>
      </c>
    </row>
    <row r="41" spans="1:6" x14ac:dyDescent="0.3">
      <c r="A41">
        <v>40</v>
      </c>
      <c r="B41" s="1" t="s">
        <v>504</v>
      </c>
      <c r="C41" s="1" t="s">
        <v>505</v>
      </c>
      <c r="D41">
        <v>184</v>
      </c>
      <c r="E41">
        <v>0</v>
      </c>
      <c r="F41">
        <v>8</v>
      </c>
    </row>
    <row r="42" spans="1:6" x14ac:dyDescent="0.3">
      <c r="A42">
        <v>41</v>
      </c>
      <c r="B42" s="1" t="s">
        <v>506</v>
      </c>
      <c r="C42" s="1" t="s">
        <v>507</v>
      </c>
      <c r="D42">
        <v>965</v>
      </c>
      <c r="E42">
        <v>0</v>
      </c>
      <c r="F42">
        <v>8</v>
      </c>
    </row>
    <row r="43" spans="1:6" x14ac:dyDescent="0.3">
      <c r="A43">
        <v>42</v>
      </c>
      <c r="B43" s="1" t="s">
        <v>508</v>
      </c>
      <c r="C43" s="1" t="s">
        <v>509</v>
      </c>
      <c r="D43">
        <v>14</v>
      </c>
      <c r="E43">
        <v>1</v>
      </c>
      <c r="F43">
        <v>5</v>
      </c>
    </row>
    <row r="44" spans="1:6" x14ac:dyDescent="0.3">
      <c r="A44">
        <v>43</v>
      </c>
      <c r="B44" s="1" t="s">
        <v>510</v>
      </c>
      <c r="C44" s="1" t="s">
        <v>511</v>
      </c>
      <c r="D44">
        <v>46</v>
      </c>
      <c r="E44">
        <v>0</v>
      </c>
      <c r="F44">
        <v>1</v>
      </c>
    </row>
    <row r="45" spans="1:6" x14ac:dyDescent="0.3">
      <c r="A45">
        <v>44</v>
      </c>
      <c r="B45" s="1" t="s">
        <v>512</v>
      </c>
      <c r="C45" s="1" t="s">
        <v>513</v>
      </c>
      <c r="D45">
        <v>1945</v>
      </c>
      <c r="E45">
        <v>0</v>
      </c>
      <c r="F45">
        <v>2</v>
      </c>
    </row>
    <row r="46" spans="1:6" x14ac:dyDescent="0.3">
      <c r="A46">
        <v>45</v>
      </c>
      <c r="B46" s="1" t="s">
        <v>514</v>
      </c>
      <c r="C46" s="1" t="s">
        <v>515</v>
      </c>
      <c r="D46">
        <v>95</v>
      </c>
      <c r="E46">
        <v>0</v>
      </c>
      <c r="F46">
        <v>8</v>
      </c>
    </row>
    <row r="47" spans="1:6" x14ac:dyDescent="0.3">
      <c r="A47">
        <v>46</v>
      </c>
      <c r="B47" s="1" t="s">
        <v>516</v>
      </c>
      <c r="C47" s="1" t="s">
        <v>517</v>
      </c>
      <c r="D47">
        <v>12</v>
      </c>
      <c r="E47">
        <v>0</v>
      </c>
      <c r="F47">
        <v>8</v>
      </c>
    </row>
    <row r="48" spans="1:6" x14ac:dyDescent="0.3">
      <c r="A48">
        <v>47</v>
      </c>
      <c r="B48" s="1" t="s">
        <v>518</v>
      </c>
      <c r="C48" s="1" t="s">
        <v>519</v>
      </c>
      <c r="D48">
        <v>95</v>
      </c>
      <c r="E48">
        <v>0</v>
      </c>
      <c r="F48">
        <v>3</v>
      </c>
    </row>
    <row r="49" spans="1:6" x14ac:dyDescent="0.3">
      <c r="A49">
        <v>48</v>
      </c>
      <c r="B49" s="1" t="s">
        <v>520</v>
      </c>
      <c r="C49" s="1" t="s">
        <v>521</v>
      </c>
      <c r="D49">
        <v>1275</v>
      </c>
      <c r="E49">
        <v>0</v>
      </c>
      <c r="F49">
        <v>3</v>
      </c>
    </row>
    <row r="50" spans="1:6" x14ac:dyDescent="0.3">
      <c r="A50">
        <v>49</v>
      </c>
      <c r="B50" s="1" t="s">
        <v>522</v>
      </c>
      <c r="C50" s="1" t="s">
        <v>523</v>
      </c>
      <c r="D50">
        <v>20</v>
      </c>
      <c r="E50">
        <v>0</v>
      </c>
      <c r="F50">
        <v>3</v>
      </c>
    </row>
    <row r="51" spans="1:6" x14ac:dyDescent="0.3">
      <c r="A51">
        <v>50</v>
      </c>
      <c r="B51" s="1" t="s">
        <v>524</v>
      </c>
      <c r="C51" s="1" t="s">
        <v>525</v>
      </c>
      <c r="D51">
        <v>1625</v>
      </c>
      <c r="E51">
        <v>0</v>
      </c>
      <c r="F51">
        <v>3</v>
      </c>
    </row>
    <row r="52" spans="1:6" x14ac:dyDescent="0.3">
      <c r="A52">
        <v>51</v>
      </c>
      <c r="B52" s="1" t="s">
        <v>526</v>
      </c>
      <c r="C52" s="1" t="s">
        <v>527</v>
      </c>
      <c r="D52">
        <v>53</v>
      </c>
      <c r="E52">
        <v>0</v>
      </c>
      <c r="F52">
        <v>7</v>
      </c>
    </row>
    <row r="53" spans="1:6" x14ac:dyDescent="0.3">
      <c r="A53">
        <v>52</v>
      </c>
      <c r="B53" s="1" t="s">
        <v>528</v>
      </c>
      <c r="C53" s="1" t="s">
        <v>529</v>
      </c>
      <c r="D53">
        <v>7</v>
      </c>
      <c r="E53">
        <v>0</v>
      </c>
      <c r="F53">
        <v>5</v>
      </c>
    </row>
    <row r="54" spans="1:6" x14ac:dyDescent="0.3">
      <c r="A54">
        <v>53</v>
      </c>
      <c r="B54" s="1" t="s">
        <v>530</v>
      </c>
      <c r="C54" s="1" t="s">
        <v>531</v>
      </c>
      <c r="D54">
        <v>328</v>
      </c>
      <c r="E54">
        <v>1</v>
      </c>
      <c r="F54">
        <v>6</v>
      </c>
    </row>
    <row r="55" spans="1:6" x14ac:dyDescent="0.3">
      <c r="A55">
        <v>54</v>
      </c>
      <c r="B55" s="1" t="s">
        <v>532</v>
      </c>
      <c r="C55" s="1" t="s">
        <v>533</v>
      </c>
      <c r="D55">
        <v>745</v>
      </c>
      <c r="E55">
        <v>0</v>
      </c>
      <c r="F55">
        <v>6</v>
      </c>
    </row>
    <row r="56" spans="1:6" x14ac:dyDescent="0.3">
      <c r="A56">
        <v>55</v>
      </c>
      <c r="B56" s="1" t="s">
        <v>534</v>
      </c>
      <c r="C56" s="1" t="s">
        <v>535</v>
      </c>
      <c r="D56">
        <v>24</v>
      </c>
      <c r="E56">
        <v>0</v>
      </c>
      <c r="F56">
        <v>6</v>
      </c>
    </row>
    <row r="57" spans="1:6" x14ac:dyDescent="0.3">
      <c r="A57">
        <v>56</v>
      </c>
      <c r="B57" s="1" t="s">
        <v>536</v>
      </c>
      <c r="C57" s="1" t="s">
        <v>537</v>
      </c>
      <c r="D57">
        <v>38</v>
      </c>
      <c r="E57">
        <v>0</v>
      </c>
      <c r="F57">
        <v>5</v>
      </c>
    </row>
    <row r="58" spans="1:6" x14ac:dyDescent="0.3">
      <c r="A58">
        <v>57</v>
      </c>
      <c r="B58" s="1" t="s">
        <v>538</v>
      </c>
      <c r="C58" s="1" t="s">
        <v>537</v>
      </c>
      <c r="D58">
        <v>195</v>
      </c>
      <c r="E58">
        <v>0</v>
      </c>
      <c r="F58">
        <v>5</v>
      </c>
    </row>
    <row r="59" spans="1:6" x14ac:dyDescent="0.3">
      <c r="A59">
        <v>58</v>
      </c>
      <c r="B59" s="1" t="s">
        <v>539</v>
      </c>
      <c r="C59" s="1" t="s">
        <v>540</v>
      </c>
      <c r="D59">
        <v>1325</v>
      </c>
      <c r="E59">
        <v>0</v>
      </c>
      <c r="F59">
        <v>8</v>
      </c>
    </row>
    <row r="60" spans="1:6" x14ac:dyDescent="0.3">
      <c r="A60">
        <v>59</v>
      </c>
      <c r="B60" s="1" t="s">
        <v>541</v>
      </c>
      <c r="C60" s="1" t="s">
        <v>542</v>
      </c>
      <c r="D60">
        <v>55</v>
      </c>
      <c r="E60">
        <v>0</v>
      </c>
      <c r="F60">
        <v>4</v>
      </c>
    </row>
    <row r="61" spans="1:6" x14ac:dyDescent="0.3">
      <c r="A61">
        <v>60</v>
      </c>
      <c r="B61" s="1" t="s">
        <v>543</v>
      </c>
      <c r="C61" s="1" t="s">
        <v>544</v>
      </c>
      <c r="D61">
        <v>34</v>
      </c>
      <c r="E61">
        <v>0</v>
      </c>
      <c r="F61">
        <v>4</v>
      </c>
    </row>
    <row r="62" spans="1:6" x14ac:dyDescent="0.3">
      <c r="A62">
        <v>61</v>
      </c>
      <c r="B62" s="1" t="s">
        <v>545</v>
      </c>
      <c r="C62" s="1" t="s">
        <v>546</v>
      </c>
      <c r="D62">
        <v>285</v>
      </c>
      <c r="E62">
        <v>0</v>
      </c>
      <c r="F62">
        <v>2</v>
      </c>
    </row>
    <row r="63" spans="1:6" x14ac:dyDescent="0.3">
      <c r="A63">
        <v>62</v>
      </c>
      <c r="B63" s="1" t="s">
        <v>547</v>
      </c>
      <c r="C63" s="1" t="s">
        <v>548</v>
      </c>
      <c r="D63">
        <v>493</v>
      </c>
      <c r="E63">
        <v>0</v>
      </c>
      <c r="F63">
        <v>3</v>
      </c>
    </row>
    <row r="64" spans="1:6" x14ac:dyDescent="0.3">
      <c r="A64">
        <v>63</v>
      </c>
      <c r="B64" s="1" t="s">
        <v>549</v>
      </c>
      <c r="C64" s="1" t="s">
        <v>550</v>
      </c>
      <c r="D64">
        <v>439</v>
      </c>
      <c r="E64">
        <v>0</v>
      </c>
      <c r="F64">
        <v>2</v>
      </c>
    </row>
    <row r="65" spans="1:6" x14ac:dyDescent="0.3">
      <c r="A65">
        <v>64</v>
      </c>
      <c r="B65" s="1" t="s">
        <v>551</v>
      </c>
      <c r="C65" s="1" t="s">
        <v>552</v>
      </c>
      <c r="D65">
        <v>3325</v>
      </c>
      <c r="E65">
        <v>0</v>
      </c>
      <c r="F65">
        <v>5</v>
      </c>
    </row>
    <row r="66" spans="1:6" x14ac:dyDescent="0.3">
      <c r="A66">
        <v>65</v>
      </c>
      <c r="B66" s="1" t="s">
        <v>553</v>
      </c>
      <c r="C66" s="1" t="s">
        <v>554</v>
      </c>
      <c r="D66">
        <v>2105</v>
      </c>
      <c r="E66">
        <v>0</v>
      </c>
      <c r="F66">
        <v>2</v>
      </c>
    </row>
    <row r="67" spans="1:6" x14ac:dyDescent="0.3">
      <c r="A67">
        <v>66</v>
      </c>
      <c r="B67" s="1" t="s">
        <v>555</v>
      </c>
      <c r="C67" s="1" t="s">
        <v>556</v>
      </c>
      <c r="D67">
        <v>17</v>
      </c>
      <c r="E67">
        <v>0</v>
      </c>
      <c r="F67">
        <v>2</v>
      </c>
    </row>
    <row r="68" spans="1:6" x14ac:dyDescent="0.3">
      <c r="A68">
        <v>67</v>
      </c>
      <c r="B68" s="1" t="s">
        <v>557</v>
      </c>
      <c r="C68" s="1" t="s">
        <v>431</v>
      </c>
      <c r="D68">
        <v>14</v>
      </c>
      <c r="E68">
        <v>0</v>
      </c>
      <c r="F68">
        <v>1</v>
      </c>
    </row>
    <row r="69" spans="1:6" x14ac:dyDescent="0.3">
      <c r="A69">
        <v>68</v>
      </c>
      <c r="B69" s="1" t="s">
        <v>558</v>
      </c>
      <c r="C69" s="1" t="s">
        <v>559</v>
      </c>
      <c r="D69">
        <v>125</v>
      </c>
      <c r="E69">
        <v>0</v>
      </c>
      <c r="F69">
        <v>3</v>
      </c>
    </row>
    <row r="70" spans="1:6" x14ac:dyDescent="0.3">
      <c r="A70">
        <v>69</v>
      </c>
      <c r="B70" s="1" t="s">
        <v>560</v>
      </c>
      <c r="C70" s="1" t="s">
        <v>561</v>
      </c>
      <c r="D70">
        <v>36</v>
      </c>
      <c r="E70">
        <v>0</v>
      </c>
      <c r="F70">
        <v>4</v>
      </c>
    </row>
    <row r="71" spans="1:6" x14ac:dyDescent="0.3">
      <c r="A71">
        <v>70</v>
      </c>
      <c r="B71" s="1" t="s">
        <v>562</v>
      </c>
      <c r="C71" s="1" t="s">
        <v>563</v>
      </c>
      <c r="D71">
        <v>15</v>
      </c>
      <c r="E71">
        <v>0</v>
      </c>
      <c r="F71">
        <v>1</v>
      </c>
    </row>
    <row r="72" spans="1:6" x14ac:dyDescent="0.3">
      <c r="A72">
        <v>71</v>
      </c>
      <c r="B72" s="1" t="s">
        <v>564</v>
      </c>
      <c r="C72" s="1" t="s">
        <v>451</v>
      </c>
      <c r="D72">
        <v>215</v>
      </c>
      <c r="E72">
        <v>0</v>
      </c>
      <c r="F72">
        <v>4</v>
      </c>
    </row>
    <row r="73" spans="1:6" x14ac:dyDescent="0.3">
      <c r="A73">
        <v>72</v>
      </c>
      <c r="B73" s="1" t="s">
        <v>565</v>
      </c>
      <c r="C73" s="1" t="s">
        <v>491</v>
      </c>
      <c r="D73">
        <v>348</v>
      </c>
      <c r="E73">
        <v>0</v>
      </c>
      <c r="F73">
        <v>4</v>
      </c>
    </row>
    <row r="74" spans="1:6" x14ac:dyDescent="0.3">
      <c r="A74">
        <v>73</v>
      </c>
      <c r="B74" s="1" t="s">
        <v>566</v>
      </c>
      <c r="C74" s="1" t="s">
        <v>567</v>
      </c>
      <c r="D74">
        <v>15</v>
      </c>
      <c r="E74">
        <v>0</v>
      </c>
      <c r="F74">
        <v>8</v>
      </c>
    </row>
    <row r="75" spans="1:6" x14ac:dyDescent="0.3">
      <c r="A75">
        <v>74</v>
      </c>
      <c r="B75" s="1" t="s">
        <v>568</v>
      </c>
      <c r="C75" s="1" t="s">
        <v>542</v>
      </c>
      <c r="D75">
        <v>10</v>
      </c>
      <c r="E75">
        <v>0</v>
      </c>
      <c r="F75">
        <v>7</v>
      </c>
    </row>
    <row r="76" spans="1:6" x14ac:dyDescent="0.3">
      <c r="A76">
        <v>75</v>
      </c>
      <c r="B76" s="1" t="s">
        <v>569</v>
      </c>
      <c r="C76" s="1" t="s">
        <v>570</v>
      </c>
      <c r="D76">
        <v>775</v>
      </c>
      <c r="E76">
        <v>0</v>
      </c>
      <c r="F76">
        <v>1</v>
      </c>
    </row>
    <row r="77" spans="1:6" x14ac:dyDescent="0.3">
      <c r="A77">
        <v>76</v>
      </c>
      <c r="B77" s="1" t="s">
        <v>571</v>
      </c>
      <c r="C77" s="1" t="s">
        <v>572</v>
      </c>
      <c r="D77">
        <v>18</v>
      </c>
      <c r="E77">
        <v>0</v>
      </c>
      <c r="F77">
        <v>1</v>
      </c>
    </row>
    <row r="78" spans="1:6" x14ac:dyDescent="0.3">
      <c r="A78">
        <v>77</v>
      </c>
      <c r="B78" s="1" t="s">
        <v>573</v>
      </c>
      <c r="C78" s="1" t="s">
        <v>574</v>
      </c>
      <c r="D78">
        <v>13</v>
      </c>
      <c r="E78">
        <v>0</v>
      </c>
      <c r="F78">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06002-18C8-41D0-A7EB-020667C8D8D1}">
  <dimension ref="A1:F10"/>
  <sheetViews>
    <sheetView workbookViewId="0">
      <selection activeCell="B26" sqref="B26"/>
    </sheetView>
  </sheetViews>
  <sheetFormatPr defaultRowHeight="14.4" x14ac:dyDescent="0.3"/>
  <cols>
    <col min="1" max="1" width="13.33203125" bestFit="1" customWidth="1"/>
    <col min="2" max="2" width="16.6640625" bestFit="1" customWidth="1"/>
    <col min="3" max="3" width="18" bestFit="1" customWidth="1"/>
    <col min="5" max="5" width="9.77734375" bestFit="1" customWidth="1"/>
    <col min="6" max="6" width="11.33203125" bestFit="1" customWidth="1"/>
  </cols>
  <sheetData>
    <row r="1" spans="1:6" x14ac:dyDescent="0.3">
      <c r="A1" t="s">
        <v>400</v>
      </c>
      <c r="B1" t="s">
        <v>401</v>
      </c>
      <c r="C1" t="s">
        <v>402</v>
      </c>
      <c r="D1" t="s">
        <v>23</v>
      </c>
      <c r="E1" t="s">
        <v>24</v>
      </c>
      <c r="F1" t="s">
        <v>403</v>
      </c>
    </row>
    <row r="2" spans="1:6" x14ac:dyDescent="0.3">
      <c r="A2">
        <v>1</v>
      </c>
      <c r="B2" s="1" t="s">
        <v>404</v>
      </c>
      <c r="C2" s="1" t="s">
        <v>28</v>
      </c>
      <c r="D2" s="1" t="s">
        <v>405</v>
      </c>
      <c r="E2" s="1" t="s">
        <v>168</v>
      </c>
      <c r="F2">
        <v>8</v>
      </c>
    </row>
    <row r="3" spans="1:6" x14ac:dyDescent="0.3">
      <c r="A3">
        <v>2</v>
      </c>
      <c r="B3" s="1" t="s">
        <v>406</v>
      </c>
      <c r="C3" s="1" t="s">
        <v>407</v>
      </c>
      <c r="D3" s="1" t="s">
        <v>405</v>
      </c>
      <c r="E3" s="1" t="s">
        <v>168</v>
      </c>
    </row>
    <row r="4" spans="1:6" x14ac:dyDescent="0.3">
      <c r="A4">
        <v>3</v>
      </c>
      <c r="B4" s="1" t="s">
        <v>408</v>
      </c>
      <c r="C4" s="1" t="s">
        <v>28</v>
      </c>
      <c r="D4" s="1" t="s">
        <v>405</v>
      </c>
      <c r="E4" s="1" t="s">
        <v>168</v>
      </c>
      <c r="F4">
        <v>8</v>
      </c>
    </row>
    <row r="5" spans="1:6" x14ac:dyDescent="0.3">
      <c r="A5">
        <v>4</v>
      </c>
      <c r="B5" s="1" t="s">
        <v>409</v>
      </c>
      <c r="C5" s="1" t="s">
        <v>28</v>
      </c>
      <c r="D5" s="1" t="s">
        <v>405</v>
      </c>
      <c r="E5" s="1" t="s">
        <v>168</v>
      </c>
      <c r="F5">
        <v>8</v>
      </c>
    </row>
    <row r="6" spans="1:6" x14ac:dyDescent="0.3">
      <c r="A6">
        <v>5</v>
      </c>
      <c r="B6" s="1" t="s">
        <v>410</v>
      </c>
      <c r="C6" s="1" t="s">
        <v>116</v>
      </c>
      <c r="D6" s="1" t="s">
        <v>43</v>
      </c>
      <c r="E6" s="1" t="s">
        <v>44</v>
      </c>
      <c r="F6">
        <v>2</v>
      </c>
    </row>
    <row r="7" spans="1:6" x14ac:dyDescent="0.3">
      <c r="A7">
        <v>6</v>
      </c>
      <c r="B7" s="1" t="s">
        <v>411</v>
      </c>
      <c r="C7" s="1" t="s">
        <v>28</v>
      </c>
      <c r="D7" s="1" t="s">
        <v>43</v>
      </c>
      <c r="E7" s="1" t="s">
        <v>44</v>
      </c>
      <c r="F7">
        <v>5</v>
      </c>
    </row>
    <row r="8" spans="1:6" x14ac:dyDescent="0.3">
      <c r="A8">
        <v>7</v>
      </c>
      <c r="B8" s="1" t="s">
        <v>412</v>
      </c>
      <c r="C8" s="1" t="s">
        <v>28</v>
      </c>
      <c r="D8" s="1" t="s">
        <v>43</v>
      </c>
      <c r="E8" s="1" t="s">
        <v>44</v>
      </c>
      <c r="F8">
        <v>5</v>
      </c>
    </row>
    <row r="9" spans="1:6" x14ac:dyDescent="0.3">
      <c r="A9">
        <v>8</v>
      </c>
      <c r="B9" s="1" t="s">
        <v>413</v>
      </c>
      <c r="C9" s="1" t="s">
        <v>116</v>
      </c>
      <c r="D9" s="1" t="s">
        <v>405</v>
      </c>
      <c r="E9" s="1" t="s">
        <v>168</v>
      </c>
      <c r="F9">
        <v>2</v>
      </c>
    </row>
    <row r="10" spans="1:6" x14ac:dyDescent="0.3">
      <c r="A10">
        <v>9</v>
      </c>
      <c r="B10" s="1" t="s">
        <v>414</v>
      </c>
      <c r="C10" s="1" t="s">
        <v>28</v>
      </c>
      <c r="D10" s="1" t="s">
        <v>43</v>
      </c>
      <c r="E10" s="1" t="s">
        <v>44</v>
      </c>
      <c r="F10">
        <v>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CA7CB-A962-49BA-911E-6ECC19067B5F}">
  <dimension ref="A1:C9"/>
  <sheetViews>
    <sheetView workbookViewId="0">
      <selection activeCell="C6" sqref="C6"/>
    </sheetView>
  </sheetViews>
  <sheetFormatPr defaultRowHeight="14.4" x14ac:dyDescent="0.3"/>
  <cols>
    <col min="1" max="1" width="12.33203125" bestFit="1" customWidth="1"/>
    <col min="2" max="2" width="15.6640625" bestFit="1" customWidth="1"/>
    <col min="3" max="3" width="49.33203125" bestFit="1" customWidth="1"/>
  </cols>
  <sheetData>
    <row r="1" spans="1:3" x14ac:dyDescent="0.3">
      <c r="A1" t="s">
        <v>0</v>
      </c>
      <c r="B1" t="s">
        <v>1</v>
      </c>
      <c r="C1" t="s">
        <v>2</v>
      </c>
    </row>
    <row r="2" spans="1:3" x14ac:dyDescent="0.3">
      <c r="A2">
        <v>1</v>
      </c>
      <c r="B2" s="1" t="s">
        <v>3</v>
      </c>
      <c r="C2" s="1" t="s">
        <v>4</v>
      </c>
    </row>
    <row r="3" spans="1:3" x14ac:dyDescent="0.3">
      <c r="A3">
        <v>2</v>
      </c>
      <c r="B3" s="1" t="s">
        <v>5</v>
      </c>
      <c r="C3" s="1" t="s">
        <v>6</v>
      </c>
    </row>
    <row r="4" spans="1:3" x14ac:dyDescent="0.3">
      <c r="A4">
        <v>3</v>
      </c>
      <c r="B4" s="1" t="s">
        <v>7</v>
      </c>
      <c r="C4" s="1" t="s">
        <v>8</v>
      </c>
    </row>
    <row r="5" spans="1:3" x14ac:dyDescent="0.3">
      <c r="A5">
        <v>4</v>
      </c>
      <c r="B5" s="1" t="s">
        <v>9</v>
      </c>
      <c r="C5" s="1" t="s">
        <v>10</v>
      </c>
    </row>
    <row r="6" spans="1:3" x14ac:dyDescent="0.3">
      <c r="A6">
        <v>5</v>
      </c>
      <c r="B6" s="1" t="s">
        <v>11</v>
      </c>
      <c r="C6" s="1" t="s">
        <v>12</v>
      </c>
    </row>
    <row r="7" spans="1:3" x14ac:dyDescent="0.3">
      <c r="A7">
        <v>6</v>
      </c>
      <c r="B7" s="1" t="s">
        <v>13</v>
      </c>
      <c r="C7" s="1" t="s">
        <v>14</v>
      </c>
    </row>
    <row r="8" spans="1:3" x14ac:dyDescent="0.3">
      <c r="A8">
        <v>7</v>
      </c>
      <c r="B8" s="1" t="s">
        <v>15</v>
      </c>
      <c r="C8" s="1" t="s">
        <v>16</v>
      </c>
    </row>
    <row r="9" spans="1:3" x14ac:dyDescent="0.3">
      <c r="A9">
        <v>8</v>
      </c>
      <c r="B9" s="1" t="s">
        <v>17</v>
      </c>
      <c r="C9" s="1" t="s">
        <v>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3B8FA-D214-4014-A606-124A93DBC002}">
  <dimension ref="A1:F92"/>
  <sheetViews>
    <sheetView topLeftCell="A68" workbookViewId="0">
      <selection activeCell="B94" sqref="B94"/>
    </sheetView>
  </sheetViews>
  <sheetFormatPr defaultRowHeight="14.4" x14ac:dyDescent="0.3"/>
  <cols>
    <col min="1" max="1" width="12.88671875" bestFit="1" customWidth="1"/>
    <col min="2" max="2" width="30.33203125" bestFit="1" customWidth="1"/>
    <col min="3" max="3" width="20.21875" bestFit="1" customWidth="1"/>
    <col min="4" max="4" width="25.88671875" bestFit="1" customWidth="1"/>
    <col min="5" max="5" width="13.109375" bestFit="1" customWidth="1"/>
    <col min="6" max="6" width="10.33203125" bestFit="1" customWidth="1"/>
  </cols>
  <sheetData>
    <row r="1" spans="1:6" x14ac:dyDescent="0.3">
      <c r="A1" t="s">
        <v>19</v>
      </c>
      <c r="B1" t="s">
        <v>20</v>
      </c>
      <c r="C1" t="s">
        <v>21</v>
      </c>
      <c r="D1" t="s">
        <v>22</v>
      </c>
      <c r="E1" t="s">
        <v>23</v>
      </c>
      <c r="F1" t="s">
        <v>24</v>
      </c>
    </row>
    <row r="2" spans="1:6" x14ac:dyDescent="0.3">
      <c r="A2" s="1" t="s">
        <v>25</v>
      </c>
      <c r="B2" s="1" t="s">
        <v>26</v>
      </c>
      <c r="C2" s="1" t="s">
        <v>27</v>
      </c>
      <c r="D2" s="1" t="s">
        <v>28</v>
      </c>
      <c r="E2" s="1" t="s">
        <v>29</v>
      </c>
      <c r="F2" s="1" t="s">
        <v>30</v>
      </c>
    </row>
    <row r="3" spans="1:6" x14ac:dyDescent="0.3">
      <c r="A3" s="1" t="s">
        <v>31</v>
      </c>
      <c r="B3" s="1" t="s">
        <v>32</v>
      </c>
      <c r="C3" s="1" t="s">
        <v>33</v>
      </c>
      <c r="D3" s="1" t="s">
        <v>34</v>
      </c>
      <c r="E3" s="1" t="s">
        <v>35</v>
      </c>
      <c r="F3" s="1" t="s">
        <v>36</v>
      </c>
    </row>
    <row r="4" spans="1:6" x14ac:dyDescent="0.3">
      <c r="A4" s="1" t="s">
        <v>37</v>
      </c>
      <c r="B4" s="1" t="s">
        <v>38</v>
      </c>
      <c r="C4" s="1" t="s">
        <v>39</v>
      </c>
      <c r="D4" s="1" t="s">
        <v>34</v>
      </c>
      <c r="E4" s="1" t="s">
        <v>35</v>
      </c>
      <c r="F4" s="1" t="s">
        <v>36</v>
      </c>
    </row>
    <row r="5" spans="1:6" x14ac:dyDescent="0.3">
      <c r="A5" s="1" t="s">
        <v>40</v>
      </c>
      <c r="B5" s="1" t="s">
        <v>41</v>
      </c>
      <c r="C5" s="1" t="s">
        <v>42</v>
      </c>
      <c r="D5" s="1" t="s">
        <v>28</v>
      </c>
      <c r="E5" s="1" t="s">
        <v>43</v>
      </c>
      <c r="F5" s="1" t="s">
        <v>44</v>
      </c>
    </row>
    <row r="6" spans="1:6" x14ac:dyDescent="0.3">
      <c r="A6" s="1" t="s">
        <v>45</v>
      </c>
      <c r="B6" s="1" t="s">
        <v>46</v>
      </c>
      <c r="C6" s="1" t="s">
        <v>47</v>
      </c>
      <c r="D6" s="1" t="s">
        <v>48</v>
      </c>
      <c r="E6" s="1" t="s">
        <v>49</v>
      </c>
      <c r="F6" s="1" t="s">
        <v>50</v>
      </c>
    </row>
    <row r="7" spans="1:6" x14ac:dyDescent="0.3">
      <c r="A7" s="1" t="s">
        <v>51</v>
      </c>
      <c r="B7" s="1" t="s">
        <v>52</v>
      </c>
      <c r="C7" s="1" t="s">
        <v>53</v>
      </c>
      <c r="D7" s="1" t="s">
        <v>28</v>
      </c>
      <c r="E7" s="1" t="s">
        <v>54</v>
      </c>
      <c r="F7" s="1" t="s">
        <v>30</v>
      </c>
    </row>
    <row r="8" spans="1:6" x14ac:dyDescent="0.3">
      <c r="A8" s="1" t="s">
        <v>55</v>
      </c>
      <c r="B8" s="1" t="s">
        <v>56</v>
      </c>
      <c r="C8" s="1" t="s">
        <v>57</v>
      </c>
      <c r="D8" s="1" t="s">
        <v>58</v>
      </c>
      <c r="E8" s="1" t="s">
        <v>59</v>
      </c>
      <c r="F8" s="1" t="s">
        <v>60</v>
      </c>
    </row>
    <row r="9" spans="1:6" x14ac:dyDescent="0.3">
      <c r="A9" s="1" t="s">
        <v>61</v>
      </c>
      <c r="B9" s="1" t="s">
        <v>62</v>
      </c>
      <c r="C9" s="1" t="s">
        <v>63</v>
      </c>
      <c r="D9" s="1" t="s">
        <v>34</v>
      </c>
      <c r="E9" s="1" t="s">
        <v>64</v>
      </c>
      <c r="F9" s="1" t="s">
        <v>65</v>
      </c>
    </row>
    <row r="10" spans="1:6" x14ac:dyDescent="0.3">
      <c r="A10" s="1" t="s">
        <v>66</v>
      </c>
      <c r="B10" s="1" t="s">
        <v>67</v>
      </c>
      <c r="C10" s="1" t="s">
        <v>68</v>
      </c>
      <c r="D10" s="1" t="s">
        <v>34</v>
      </c>
      <c r="E10" s="1" t="s">
        <v>69</v>
      </c>
      <c r="F10" s="1" t="s">
        <v>60</v>
      </c>
    </row>
    <row r="11" spans="1:6" x14ac:dyDescent="0.3">
      <c r="A11" s="1" t="s">
        <v>70</v>
      </c>
      <c r="B11" s="1" t="s">
        <v>71</v>
      </c>
      <c r="C11" s="1" t="s">
        <v>72</v>
      </c>
      <c r="D11" s="1" t="s">
        <v>73</v>
      </c>
      <c r="E11" s="1" t="s">
        <v>74</v>
      </c>
      <c r="F11" s="1" t="s">
        <v>75</v>
      </c>
    </row>
    <row r="12" spans="1:6" x14ac:dyDescent="0.3">
      <c r="A12" s="1" t="s">
        <v>76</v>
      </c>
      <c r="B12" s="1" t="s">
        <v>77</v>
      </c>
      <c r="C12" s="1" t="s">
        <v>78</v>
      </c>
      <c r="D12" s="1" t="s">
        <v>28</v>
      </c>
      <c r="E12" s="1" t="s">
        <v>43</v>
      </c>
      <c r="F12" s="1" t="s">
        <v>44</v>
      </c>
    </row>
    <row r="13" spans="1:6" x14ac:dyDescent="0.3">
      <c r="A13" s="1" t="s">
        <v>79</v>
      </c>
      <c r="B13" s="1" t="s">
        <v>80</v>
      </c>
      <c r="C13" s="1" t="s">
        <v>81</v>
      </c>
      <c r="D13" s="1" t="s">
        <v>82</v>
      </c>
      <c r="E13" s="1" t="s">
        <v>83</v>
      </c>
      <c r="F13" s="1" t="s">
        <v>84</v>
      </c>
    </row>
    <row r="14" spans="1:6" x14ac:dyDescent="0.3">
      <c r="A14" s="1" t="s">
        <v>85</v>
      </c>
      <c r="B14" s="1" t="s">
        <v>86</v>
      </c>
      <c r="C14" s="1" t="s">
        <v>87</v>
      </c>
      <c r="D14" s="1" t="s">
        <v>58</v>
      </c>
      <c r="E14" s="1" t="s">
        <v>35</v>
      </c>
      <c r="F14" s="1" t="s">
        <v>36</v>
      </c>
    </row>
    <row r="15" spans="1:6" x14ac:dyDescent="0.3">
      <c r="A15" s="1" t="s">
        <v>88</v>
      </c>
      <c r="B15" s="1" t="s">
        <v>89</v>
      </c>
      <c r="C15" s="1" t="s">
        <v>90</v>
      </c>
      <c r="D15" s="1" t="s">
        <v>34</v>
      </c>
      <c r="E15" s="1" t="s">
        <v>91</v>
      </c>
      <c r="F15" s="1" t="s">
        <v>92</v>
      </c>
    </row>
    <row r="16" spans="1:6" x14ac:dyDescent="0.3">
      <c r="A16" s="1" t="s">
        <v>93</v>
      </c>
      <c r="B16" s="1" t="s">
        <v>94</v>
      </c>
      <c r="C16" s="1" t="s">
        <v>95</v>
      </c>
      <c r="D16" s="1" t="s">
        <v>96</v>
      </c>
      <c r="E16" s="1" t="s">
        <v>97</v>
      </c>
      <c r="F16" s="1" t="s">
        <v>98</v>
      </c>
    </row>
    <row r="17" spans="1:6" x14ac:dyDescent="0.3">
      <c r="A17" s="1" t="s">
        <v>99</v>
      </c>
      <c r="B17" s="1" t="s">
        <v>100</v>
      </c>
      <c r="C17" s="1" t="s">
        <v>101</v>
      </c>
      <c r="D17" s="1" t="s">
        <v>28</v>
      </c>
      <c r="E17" s="1" t="s">
        <v>43</v>
      </c>
      <c r="F17" s="1" t="s">
        <v>44</v>
      </c>
    </row>
    <row r="18" spans="1:6" x14ac:dyDescent="0.3">
      <c r="A18" s="1" t="s">
        <v>102</v>
      </c>
      <c r="B18" s="1" t="s">
        <v>103</v>
      </c>
      <c r="C18" s="1" t="s">
        <v>104</v>
      </c>
      <c r="D18" s="1" t="s">
        <v>48</v>
      </c>
      <c r="E18" s="1" t="s">
        <v>105</v>
      </c>
      <c r="F18" s="1" t="s">
        <v>30</v>
      </c>
    </row>
    <row r="19" spans="1:6" x14ac:dyDescent="0.3">
      <c r="A19" s="1" t="s">
        <v>106</v>
      </c>
      <c r="B19" s="1" t="s">
        <v>107</v>
      </c>
      <c r="C19" s="1" t="s">
        <v>108</v>
      </c>
      <c r="D19" s="1" t="s">
        <v>34</v>
      </c>
      <c r="E19" s="1" t="s">
        <v>109</v>
      </c>
      <c r="F19" s="1" t="s">
        <v>60</v>
      </c>
    </row>
    <row r="20" spans="1:6" x14ac:dyDescent="0.3">
      <c r="A20" s="1" t="s">
        <v>110</v>
      </c>
      <c r="B20" s="1" t="s">
        <v>111</v>
      </c>
      <c r="C20" s="1" t="s">
        <v>112</v>
      </c>
      <c r="D20" s="1" t="s">
        <v>82</v>
      </c>
      <c r="E20" s="1" t="s">
        <v>43</v>
      </c>
      <c r="F20" s="1" t="s">
        <v>44</v>
      </c>
    </row>
    <row r="21" spans="1:6" x14ac:dyDescent="0.3">
      <c r="A21" s="1" t="s">
        <v>113</v>
      </c>
      <c r="B21" s="1" t="s">
        <v>114</v>
      </c>
      <c r="C21" s="1" t="s">
        <v>115</v>
      </c>
      <c r="D21" s="1" t="s">
        <v>116</v>
      </c>
      <c r="E21" s="1" t="s">
        <v>117</v>
      </c>
      <c r="F21" s="1" t="s">
        <v>118</v>
      </c>
    </row>
    <row r="22" spans="1:6" x14ac:dyDescent="0.3">
      <c r="A22" s="1" t="s">
        <v>119</v>
      </c>
      <c r="B22" s="1" t="s">
        <v>120</v>
      </c>
      <c r="C22" s="1" t="s">
        <v>121</v>
      </c>
      <c r="D22" s="1" t="s">
        <v>122</v>
      </c>
      <c r="E22" s="1" t="s">
        <v>97</v>
      </c>
      <c r="F22" s="1" t="s">
        <v>98</v>
      </c>
    </row>
    <row r="23" spans="1:6" x14ac:dyDescent="0.3">
      <c r="A23" s="1" t="s">
        <v>123</v>
      </c>
      <c r="B23" s="1" t="s">
        <v>124</v>
      </c>
      <c r="C23" s="1" t="s">
        <v>125</v>
      </c>
      <c r="D23" s="1" t="s">
        <v>73</v>
      </c>
      <c r="E23" s="1" t="s">
        <v>64</v>
      </c>
      <c r="F23" s="1" t="s">
        <v>65</v>
      </c>
    </row>
    <row r="24" spans="1:6" x14ac:dyDescent="0.3">
      <c r="A24" s="1" t="s">
        <v>126</v>
      </c>
      <c r="B24" s="1" t="s">
        <v>127</v>
      </c>
      <c r="C24" s="1" t="s">
        <v>128</v>
      </c>
      <c r="D24" s="1" t="s">
        <v>129</v>
      </c>
      <c r="E24" s="1" t="s">
        <v>130</v>
      </c>
      <c r="F24" s="1" t="s">
        <v>60</v>
      </c>
    </row>
    <row r="25" spans="1:6" x14ac:dyDescent="0.3">
      <c r="A25" s="1" t="s">
        <v>131</v>
      </c>
      <c r="B25" s="1" t="s">
        <v>132</v>
      </c>
      <c r="C25" s="1" t="s">
        <v>133</v>
      </c>
      <c r="D25" s="1" t="s">
        <v>34</v>
      </c>
      <c r="E25" s="1" t="s">
        <v>134</v>
      </c>
      <c r="F25" s="1" t="s">
        <v>50</v>
      </c>
    </row>
    <row r="26" spans="1:6" x14ac:dyDescent="0.3">
      <c r="A26" s="1" t="s">
        <v>135</v>
      </c>
      <c r="B26" s="1" t="s">
        <v>136</v>
      </c>
      <c r="C26" s="1" t="s">
        <v>137</v>
      </c>
      <c r="D26" s="1" t="s">
        <v>58</v>
      </c>
      <c r="E26" s="1" t="s">
        <v>138</v>
      </c>
      <c r="F26" s="1" t="s">
        <v>30</v>
      </c>
    </row>
    <row r="27" spans="1:6" x14ac:dyDescent="0.3">
      <c r="A27" s="1" t="s">
        <v>139</v>
      </c>
      <c r="B27" s="1" t="s">
        <v>140</v>
      </c>
      <c r="C27" s="1" t="s">
        <v>141</v>
      </c>
      <c r="D27" s="1" t="s">
        <v>58</v>
      </c>
      <c r="E27" s="1" t="s">
        <v>109</v>
      </c>
      <c r="F27" s="1" t="s">
        <v>60</v>
      </c>
    </row>
    <row r="28" spans="1:6" x14ac:dyDescent="0.3">
      <c r="A28" s="1" t="s">
        <v>142</v>
      </c>
      <c r="B28" s="1" t="s">
        <v>143</v>
      </c>
      <c r="C28" s="1" t="s">
        <v>144</v>
      </c>
      <c r="D28" s="1" t="s">
        <v>28</v>
      </c>
      <c r="E28" s="1" t="s">
        <v>145</v>
      </c>
      <c r="F28" s="1" t="s">
        <v>146</v>
      </c>
    </row>
    <row r="29" spans="1:6" x14ac:dyDescent="0.3">
      <c r="A29" s="1" t="s">
        <v>147</v>
      </c>
      <c r="B29" s="1" t="s">
        <v>148</v>
      </c>
      <c r="C29" s="1" t="s">
        <v>149</v>
      </c>
      <c r="D29" s="1" t="s">
        <v>116</v>
      </c>
      <c r="E29" s="1" t="s">
        <v>150</v>
      </c>
      <c r="F29" s="1" t="s">
        <v>151</v>
      </c>
    </row>
    <row r="30" spans="1:6" x14ac:dyDescent="0.3">
      <c r="A30" s="1" t="s">
        <v>152</v>
      </c>
      <c r="B30" s="1" t="s">
        <v>153</v>
      </c>
      <c r="C30" s="1" t="s">
        <v>154</v>
      </c>
      <c r="D30" s="1" t="s">
        <v>58</v>
      </c>
      <c r="E30" s="1" t="s">
        <v>155</v>
      </c>
      <c r="F30" s="1" t="s">
        <v>65</v>
      </c>
    </row>
    <row r="31" spans="1:6" x14ac:dyDescent="0.3">
      <c r="A31" s="1" t="s">
        <v>156</v>
      </c>
      <c r="B31" s="1" t="s">
        <v>157</v>
      </c>
      <c r="C31" s="1" t="s">
        <v>158</v>
      </c>
      <c r="D31" s="1" t="s">
        <v>116</v>
      </c>
      <c r="E31" s="1" t="s">
        <v>159</v>
      </c>
      <c r="F31" s="1" t="s">
        <v>65</v>
      </c>
    </row>
    <row r="32" spans="1:6" x14ac:dyDescent="0.3">
      <c r="A32" s="1" t="s">
        <v>160</v>
      </c>
      <c r="B32" s="1" t="s">
        <v>161</v>
      </c>
      <c r="C32" s="1" t="s">
        <v>162</v>
      </c>
      <c r="D32" s="1" t="s">
        <v>96</v>
      </c>
      <c r="E32" s="1" t="s">
        <v>163</v>
      </c>
      <c r="F32" s="1" t="s">
        <v>98</v>
      </c>
    </row>
    <row r="33" spans="1:6" x14ac:dyDescent="0.3">
      <c r="A33" s="1" t="s">
        <v>164</v>
      </c>
      <c r="B33" s="1" t="s">
        <v>165</v>
      </c>
      <c r="C33" s="1" t="s">
        <v>166</v>
      </c>
      <c r="D33" s="1" t="s">
        <v>58</v>
      </c>
      <c r="E33" s="1" t="s">
        <v>167</v>
      </c>
      <c r="F33" s="1" t="s">
        <v>168</v>
      </c>
    </row>
    <row r="34" spans="1:6" x14ac:dyDescent="0.3">
      <c r="A34" s="1" t="s">
        <v>169</v>
      </c>
      <c r="B34" s="1" t="s">
        <v>170</v>
      </c>
      <c r="C34" s="1" t="s">
        <v>171</v>
      </c>
      <c r="D34" s="1" t="s">
        <v>34</v>
      </c>
      <c r="E34" s="1" t="s">
        <v>172</v>
      </c>
      <c r="F34" s="1" t="s">
        <v>173</v>
      </c>
    </row>
    <row r="35" spans="1:6" x14ac:dyDescent="0.3">
      <c r="A35" s="1" t="s">
        <v>174</v>
      </c>
      <c r="B35" s="1" t="s">
        <v>175</v>
      </c>
      <c r="C35" s="1" t="s">
        <v>176</v>
      </c>
      <c r="D35" s="1" t="s">
        <v>73</v>
      </c>
      <c r="E35" s="1" t="s">
        <v>177</v>
      </c>
      <c r="F35" s="1" t="s">
        <v>98</v>
      </c>
    </row>
    <row r="36" spans="1:6" x14ac:dyDescent="0.3">
      <c r="A36" s="1" t="s">
        <v>178</v>
      </c>
      <c r="B36" s="1" t="s">
        <v>179</v>
      </c>
      <c r="C36" s="1" t="s">
        <v>180</v>
      </c>
      <c r="D36" s="1" t="s">
        <v>28</v>
      </c>
      <c r="E36" s="1" t="s">
        <v>181</v>
      </c>
      <c r="F36" s="1" t="s">
        <v>173</v>
      </c>
    </row>
    <row r="37" spans="1:6" x14ac:dyDescent="0.3">
      <c r="A37" s="1" t="s">
        <v>182</v>
      </c>
      <c r="B37" s="1" t="s">
        <v>183</v>
      </c>
      <c r="C37" s="1" t="s">
        <v>184</v>
      </c>
      <c r="D37" s="1" t="s">
        <v>28</v>
      </c>
      <c r="E37" s="1" t="s">
        <v>185</v>
      </c>
      <c r="F37" s="1" t="s">
        <v>168</v>
      </c>
    </row>
    <row r="38" spans="1:6" x14ac:dyDescent="0.3">
      <c r="A38" s="1" t="s">
        <v>186</v>
      </c>
      <c r="B38" s="1" t="s">
        <v>187</v>
      </c>
      <c r="C38" s="1" t="s">
        <v>188</v>
      </c>
      <c r="D38" s="1" t="s">
        <v>96</v>
      </c>
      <c r="E38" s="1" t="s">
        <v>189</v>
      </c>
      <c r="F38" s="1" t="s">
        <v>190</v>
      </c>
    </row>
    <row r="39" spans="1:6" x14ac:dyDescent="0.3">
      <c r="A39" s="1" t="s">
        <v>191</v>
      </c>
      <c r="B39" s="1" t="s">
        <v>192</v>
      </c>
      <c r="C39" s="1" t="s">
        <v>193</v>
      </c>
      <c r="D39" s="1" t="s">
        <v>58</v>
      </c>
      <c r="E39" s="1" t="s">
        <v>194</v>
      </c>
      <c r="F39" s="1" t="s">
        <v>44</v>
      </c>
    </row>
    <row r="40" spans="1:6" x14ac:dyDescent="0.3">
      <c r="A40" s="1" t="s">
        <v>195</v>
      </c>
      <c r="B40" s="1" t="s">
        <v>196</v>
      </c>
      <c r="C40" s="1" t="s">
        <v>197</v>
      </c>
      <c r="D40" s="1" t="s">
        <v>96</v>
      </c>
      <c r="E40" s="1" t="s">
        <v>198</v>
      </c>
      <c r="F40" s="1" t="s">
        <v>30</v>
      </c>
    </row>
    <row r="41" spans="1:6" x14ac:dyDescent="0.3">
      <c r="A41" s="1" t="s">
        <v>199</v>
      </c>
      <c r="B41" s="1" t="s">
        <v>200</v>
      </c>
      <c r="C41" s="1" t="s">
        <v>201</v>
      </c>
      <c r="D41" s="1" t="s">
        <v>28</v>
      </c>
      <c r="E41" s="1" t="s">
        <v>202</v>
      </c>
      <c r="F41" s="1" t="s">
        <v>60</v>
      </c>
    </row>
    <row r="42" spans="1:6" x14ac:dyDescent="0.3">
      <c r="A42" s="1" t="s">
        <v>203</v>
      </c>
      <c r="B42" s="1" t="s">
        <v>204</v>
      </c>
      <c r="C42" s="1" t="s">
        <v>205</v>
      </c>
      <c r="D42" s="1" t="s">
        <v>116</v>
      </c>
      <c r="E42" s="1" t="s">
        <v>206</v>
      </c>
      <c r="F42" s="1" t="s">
        <v>60</v>
      </c>
    </row>
    <row r="43" spans="1:6" x14ac:dyDescent="0.3">
      <c r="A43" s="1" t="s">
        <v>207</v>
      </c>
      <c r="B43" s="1" t="s">
        <v>208</v>
      </c>
      <c r="C43" s="1" t="s">
        <v>209</v>
      </c>
      <c r="D43" s="1" t="s">
        <v>122</v>
      </c>
      <c r="E43" s="1" t="s">
        <v>210</v>
      </c>
      <c r="F43" s="1" t="s">
        <v>75</v>
      </c>
    </row>
    <row r="44" spans="1:6" x14ac:dyDescent="0.3">
      <c r="A44" s="1" t="s">
        <v>211</v>
      </c>
      <c r="B44" s="1" t="s">
        <v>212</v>
      </c>
      <c r="C44" s="1" t="s">
        <v>213</v>
      </c>
      <c r="D44" s="1" t="s">
        <v>58</v>
      </c>
      <c r="E44" s="1" t="s">
        <v>214</v>
      </c>
      <c r="F44" s="1" t="s">
        <v>168</v>
      </c>
    </row>
    <row r="45" spans="1:6" x14ac:dyDescent="0.3">
      <c r="A45" s="1" t="s">
        <v>215</v>
      </c>
      <c r="B45" s="1" t="s">
        <v>216</v>
      </c>
      <c r="C45" s="1" t="s">
        <v>217</v>
      </c>
      <c r="D45" s="1" t="s">
        <v>28</v>
      </c>
      <c r="E45" s="1" t="s">
        <v>218</v>
      </c>
      <c r="F45" s="1" t="s">
        <v>30</v>
      </c>
    </row>
    <row r="46" spans="1:6" x14ac:dyDescent="0.3">
      <c r="A46" s="1" t="s">
        <v>219</v>
      </c>
      <c r="B46" s="1" t="s">
        <v>220</v>
      </c>
      <c r="C46" s="1" t="s">
        <v>221</v>
      </c>
      <c r="D46" s="1" t="s">
        <v>34</v>
      </c>
      <c r="E46" s="1" t="s">
        <v>222</v>
      </c>
      <c r="F46" s="1" t="s">
        <v>168</v>
      </c>
    </row>
    <row r="47" spans="1:6" x14ac:dyDescent="0.3">
      <c r="A47" s="1" t="s">
        <v>223</v>
      </c>
      <c r="B47" s="1" t="s">
        <v>224</v>
      </c>
      <c r="C47" s="1" t="s">
        <v>225</v>
      </c>
      <c r="D47" s="1" t="s">
        <v>73</v>
      </c>
      <c r="E47" s="1" t="s">
        <v>226</v>
      </c>
      <c r="F47" s="1" t="s">
        <v>173</v>
      </c>
    </row>
    <row r="48" spans="1:6" x14ac:dyDescent="0.3">
      <c r="A48" s="1" t="s">
        <v>227</v>
      </c>
      <c r="B48" s="1" t="s">
        <v>228</v>
      </c>
      <c r="C48" s="1" t="s">
        <v>229</v>
      </c>
      <c r="D48" s="1" t="s">
        <v>34</v>
      </c>
      <c r="E48" s="1" t="s">
        <v>230</v>
      </c>
      <c r="F48" s="1" t="s">
        <v>173</v>
      </c>
    </row>
    <row r="49" spans="1:6" x14ac:dyDescent="0.3">
      <c r="A49" s="1" t="s">
        <v>231</v>
      </c>
      <c r="B49" s="1" t="s">
        <v>232</v>
      </c>
      <c r="C49" s="1" t="s">
        <v>233</v>
      </c>
      <c r="D49" s="1" t="s">
        <v>116</v>
      </c>
      <c r="E49" s="1" t="s">
        <v>234</v>
      </c>
      <c r="F49" s="1" t="s">
        <v>168</v>
      </c>
    </row>
    <row r="50" spans="1:6" x14ac:dyDescent="0.3">
      <c r="A50" s="1" t="s">
        <v>235</v>
      </c>
      <c r="B50" s="1" t="s">
        <v>236</v>
      </c>
      <c r="C50" s="1" t="s">
        <v>237</v>
      </c>
      <c r="D50" s="1" t="s">
        <v>58</v>
      </c>
      <c r="E50" s="1" t="s">
        <v>238</v>
      </c>
      <c r="F50" s="1" t="s">
        <v>146</v>
      </c>
    </row>
    <row r="51" spans="1:6" x14ac:dyDescent="0.3">
      <c r="A51" s="1" t="s">
        <v>239</v>
      </c>
      <c r="B51" s="1" t="s">
        <v>240</v>
      </c>
      <c r="C51" s="1" t="s">
        <v>241</v>
      </c>
      <c r="D51" s="1" t="s">
        <v>82</v>
      </c>
      <c r="E51" s="1" t="s">
        <v>242</v>
      </c>
      <c r="F51" s="1" t="s">
        <v>243</v>
      </c>
    </row>
    <row r="52" spans="1:6" x14ac:dyDescent="0.3">
      <c r="A52" s="1" t="s">
        <v>244</v>
      </c>
      <c r="B52" s="1" t="s">
        <v>245</v>
      </c>
      <c r="C52" s="1" t="s">
        <v>246</v>
      </c>
      <c r="D52" s="1" t="s">
        <v>122</v>
      </c>
      <c r="E52" s="1" t="s">
        <v>247</v>
      </c>
      <c r="F52" s="1" t="s">
        <v>75</v>
      </c>
    </row>
    <row r="53" spans="1:6" x14ac:dyDescent="0.3">
      <c r="A53" s="1" t="s">
        <v>248</v>
      </c>
      <c r="B53" s="1" t="s">
        <v>249</v>
      </c>
      <c r="C53" s="1" t="s">
        <v>250</v>
      </c>
      <c r="D53" s="1" t="s">
        <v>122</v>
      </c>
      <c r="E53" s="1" t="s">
        <v>251</v>
      </c>
      <c r="F53" s="1" t="s">
        <v>30</v>
      </c>
    </row>
    <row r="54" spans="1:6" x14ac:dyDescent="0.3">
      <c r="A54" s="1" t="s">
        <v>252</v>
      </c>
      <c r="B54" s="1" t="s">
        <v>253</v>
      </c>
      <c r="C54" s="1" t="s">
        <v>254</v>
      </c>
      <c r="D54" s="1" t="s">
        <v>96</v>
      </c>
      <c r="E54" s="1" t="s">
        <v>43</v>
      </c>
      <c r="F54" s="1" t="s">
        <v>44</v>
      </c>
    </row>
    <row r="55" spans="1:6" x14ac:dyDescent="0.3">
      <c r="A55" s="1" t="s">
        <v>255</v>
      </c>
      <c r="B55" s="1" t="s">
        <v>256</v>
      </c>
      <c r="C55" s="1" t="s">
        <v>257</v>
      </c>
      <c r="D55" s="1" t="s">
        <v>82</v>
      </c>
      <c r="E55" s="1" t="s">
        <v>83</v>
      </c>
      <c r="F55" s="1" t="s">
        <v>84</v>
      </c>
    </row>
    <row r="56" spans="1:6" x14ac:dyDescent="0.3">
      <c r="A56" s="1" t="s">
        <v>258</v>
      </c>
      <c r="B56" s="1" t="s">
        <v>259</v>
      </c>
      <c r="C56" s="1" t="s">
        <v>260</v>
      </c>
      <c r="D56" s="1" t="s">
        <v>28</v>
      </c>
      <c r="E56" s="1" t="s">
        <v>261</v>
      </c>
      <c r="F56" s="1" t="s">
        <v>168</v>
      </c>
    </row>
    <row r="57" spans="1:6" x14ac:dyDescent="0.3">
      <c r="A57" s="1" t="s">
        <v>262</v>
      </c>
      <c r="B57" s="1" t="s">
        <v>263</v>
      </c>
      <c r="C57" s="1" t="s">
        <v>264</v>
      </c>
      <c r="D57" s="1" t="s">
        <v>34</v>
      </c>
      <c r="E57" s="1" t="s">
        <v>265</v>
      </c>
      <c r="F57" s="1" t="s">
        <v>30</v>
      </c>
    </row>
    <row r="58" spans="1:6" x14ac:dyDescent="0.3">
      <c r="A58" s="1" t="s">
        <v>266</v>
      </c>
      <c r="B58" s="1" t="s">
        <v>267</v>
      </c>
      <c r="C58" s="1" t="s">
        <v>268</v>
      </c>
      <c r="D58" s="1" t="s">
        <v>34</v>
      </c>
      <c r="E58" s="1" t="s">
        <v>269</v>
      </c>
      <c r="F58" s="1" t="s">
        <v>60</v>
      </c>
    </row>
    <row r="59" spans="1:6" x14ac:dyDescent="0.3">
      <c r="A59" s="1" t="s">
        <v>270</v>
      </c>
      <c r="B59" s="1" t="s">
        <v>271</v>
      </c>
      <c r="C59" s="1" t="s">
        <v>272</v>
      </c>
      <c r="D59" s="1" t="s">
        <v>28</v>
      </c>
      <c r="E59" s="1" t="s">
        <v>35</v>
      </c>
      <c r="F59" s="1" t="s">
        <v>36</v>
      </c>
    </row>
    <row r="60" spans="1:6" x14ac:dyDescent="0.3">
      <c r="A60" s="1" t="s">
        <v>273</v>
      </c>
      <c r="B60" s="1" t="s">
        <v>274</v>
      </c>
      <c r="C60" s="1" t="s">
        <v>275</v>
      </c>
      <c r="D60" s="1" t="s">
        <v>116</v>
      </c>
      <c r="E60" s="1" t="s">
        <v>276</v>
      </c>
      <c r="F60" s="1" t="s">
        <v>118</v>
      </c>
    </row>
    <row r="61" spans="1:6" x14ac:dyDescent="0.3">
      <c r="A61" s="1" t="s">
        <v>277</v>
      </c>
      <c r="B61" s="1" t="s">
        <v>278</v>
      </c>
      <c r="C61" s="1" t="s">
        <v>279</v>
      </c>
      <c r="D61" s="1" t="s">
        <v>28</v>
      </c>
      <c r="E61" s="1" t="s">
        <v>150</v>
      </c>
      <c r="F61" s="1" t="s">
        <v>151</v>
      </c>
    </row>
    <row r="62" spans="1:6" x14ac:dyDescent="0.3">
      <c r="A62" s="1" t="s">
        <v>280</v>
      </c>
      <c r="B62" s="1" t="s">
        <v>281</v>
      </c>
      <c r="C62" s="1" t="s">
        <v>282</v>
      </c>
      <c r="D62" s="1" t="s">
        <v>73</v>
      </c>
      <c r="E62" s="1" t="s">
        <v>177</v>
      </c>
      <c r="F62" s="1" t="s">
        <v>98</v>
      </c>
    </row>
    <row r="63" spans="1:6" x14ac:dyDescent="0.3">
      <c r="A63" s="1" t="s">
        <v>283</v>
      </c>
      <c r="B63" s="1" t="s">
        <v>284</v>
      </c>
      <c r="C63" s="1" t="s">
        <v>285</v>
      </c>
      <c r="D63" s="1" t="s">
        <v>122</v>
      </c>
      <c r="E63" s="1" t="s">
        <v>97</v>
      </c>
      <c r="F63" s="1" t="s">
        <v>98</v>
      </c>
    </row>
    <row r="64" spans="1:6" x14ac:dyDescent="0.3">
      <c r="A64" s="1" t="s">
        <v>286</v>
      </c>
      <c r="B64" s="1" t="s">
        <v>287</v>
      </c>
      <c r="C64" s="1" t="s">
        <v>288</v>
      </c>
      <c r="D64" s="1" t="s">
        <v>73</v>
      </c>
      <c r="E64" s="1" t="s">
        <v>289</v>
      </c>
      <c r="F64" s="1" t="s">
        <v>30</v>
      </c>
    </row>
    <row r="65" spans="1:6" x14ac:dyDescent="0.3">
      <c r="A65" s="1" t="s">
        <v>290</v>
      </c>
      <c r="B65" s="1" t="s">
        <v>291</v>
      </c>
      <c r="C65" s="1" t="s">
        <v>292</v>
      </c>
      <c r="D65" s="1" t="s">
        <v>28</v>
      </c>
      <c r="E65" s="1" t="s">
        <v>83</v>
      </c>
      <c r="F65" s="1" t="s">
        <v>84</v>
      </c>
    </row>
    <row r="66" spans="1:6" x14ac:dyDescent="0.3">
      <c r="A66" s="1" t="s">
        <v>293</v>
      </c>
      <c r="B66" s="1" t="s">
        <v>294</v>
      </c>
      <c r="C66" s="1" t="s">
        <v>295</v>
      </c>
      <c r="D66" s="1" t="s">
        <v>296</v>
      </c>
      <c r="E66" s="1" t="s">
        <v>297</v>
      </c>
      <c r="F66" s="1" t="s">
        <v>168</v>
      </c>
    </row>
    <row r="67" spans="1:6" x14ac:dyDescent="0.3">
      <c r="A67" s="1" t="s">
        <v>298</v>
      </c>
      <c r="B67" s="1" t="s">
        <v>299</v>
      </c>
      <c r="C67" s="1" t="s">
        <v>300</v>
      </c>
      <c r="D67" s="1" t="s">
        <v>96</v>
      </c>
      <c r="E67" s="1" t="s">
        <v>301</v>
      </c>
      <c r="F67" s="1" t="s">
        <v>146</v>
      </c>
    </row>
    <row r="68" spans="1:6" x14ac:dyDescent="0.3">
      <c r="A68" s="1" t="s">
        <v>302</v>
      </c>
      <c r="B68" s="1" t="s">
        <v>303</v>
      </c>
      <c r="C68" s="1" t="s">
        <v>304</v>
      </c>
      <c r="D68" s="1" t="s">
        <v>129</v>
      </c>
      <c r="E68" s="1" t="s">
        <v>177</v>
      </c>
      <c r="F68" s="1" t="s">
        <v>98</v>
      </c>
    </row>
    <row r="69" spans="1:6" x14ac:dyDescent="0.3">
      <c r="A69" s="1" t="s">
        <v>305</v>
      </c>
      <c r="B69" s="1" t="s">
        <v>306</v>
      </c>
      <c r="C69" s="1" t="s">
        <v>307</v>
      </c>
      <c r="D69" s="1" t="s">
        <v>116</v>
      </c>
      <c r="E69" s="1" t="s">
        <v>308</v>
      </c>
      <c r="F69" s="1" t="s">
        <v>92</v>
      </c>
    </row>
    <row r="70" spans="1:6" x14ac:dyDescent="0.3">
      <c r="A70" s="1" t="s">
        <v>309</v>
      </c>
      <c r="B70" s="1" t="s">
        <v>310</v>
      </c>
      <c r="C70" s="1" t="s">
        <v>311</v>
      </c>
      <c r="D70" s="1" t="s">
        <v>73</v>
      </c>
      <c r="E70" s="1" t="s">
        <v>64</v>
      </c>
      <c r="F70" s="1" t="s">
        <v>65</v>
      </c>
    </row>
    <row r="71" spans="1:6" x14ac:dyDescent="0.3">
      <c r="A71" s="1" t="s">
        <v>312</v>
      </c>
      <c r="B71" s="1" t="s">
        <v>313</v>
      </c>
      <c r="C71" s="1" t="s">
        <v>314</v>
      </c>
      <c r="D71" s="1" t="s">
        <v>34</v>
      </c>
      <c r="E71" s="1" t="s">
        <v>315</v>
      </c>
      <c r="F71" s="1" t="s">
        <v>316</v>
      </c>
    </row>
    <row r="72" spans="1:6" x14ac:dyDescent="0.3">
      <c r="A72" s="1" t="s">
        <v>317</v>
      </c>
      <c r="B72" s="1" t="s">
        <v>318</v>
      </c>
      <c r="C72" s="1" t="s">
        <v>319</v>
      </c>
      <c r="D72" s="1" t="s">
        <v>28</v>
      </c>
      <c r="E72" s="1" t="s">
        <v>320</v>
      </c>
      <c r="F72" s="1" t="s">
        <v>168</v>
      </c>
    </row>
    <row r="73" spans="1:6" x14ac:dyDescent="0.3">
      <c r="A73" s="1" t="s">
        <v>321</v>
      </c>
      <c r="B73" s="1" t="s">
        <v>322</v>
      </c>
      <c r="C73" s="1" t="s">
        <v>323</v>
      </c>
      <c r="D73" s="1" t="s">
        <v>116</v>
      </c>
      <c r="E73" s="1" t="s">
        <v>43</v>
      </c>
      <c r="F73" s="1" t="s">
        <v>44</v>
      </c>
    </row>
    <row r="74" spans="1:6" x14ac:dyDescent="0.3">
      <c r="A74" s="1" t="s">
        <v>324</v>
      </c>
      <c r="B74" s="1" t="s">
        <v>325</v>
      </c>
      <c r="C74" s="1" t="s">
        <v>326</v>
      </c>
      <c r="D74" s="1" t="s">
        <v>34</v>
      </c>
      <c r="E74" s="1" t="s">
        <v>327</v>
      </c>
      <c r="F74" s="1" t="s">
        <v>328</v>
      </c>
    </row>
    <row r="75" spans="1:6" x14ac:dyDescent="0.3">
      <c r="A75" s="1" t="s">
        <v>329</v>
      </c>
      <c r="B75" s="1" t="s">
        <v>330</v>
      </c>
      <c r="C75" s="1" t="s">
        <v>331</v>
      </c>
      <c r="D75" s="1" t="s">
        <v>58</v>
      </c>
      <c r="E75" s="1" t="s">
        <v>269</v>
      </c>
      <c r="F75" s="1" t="s">
        <v>60</v>
      </c>
    </row>
    <row r="76" spans="1:6" x14ac:dyDescent="0.3">
      <c r="A76" s="1" t="s">
        <v>332</v>
      </c>
      <c r="B76" s="1" t="s">
        <v>333</v>
      </c>
      <c r="C76" s="1" t="s">
        <v>334</v>
      </c>
      <c r="D76" s="1" t="s">
        <v>116</v>
      </c>
      <c r="E76" s="1" t="s">
        <v>335</v>
      </c>
      <c r="F76" s="1" t="s">
        <v>168</v>
      </c>
    </row>
    <row r="77" spans="1:6" x14ac:dyDescent="0.3">
      <c r="A77" s="1" t="s">
        <v>336</v>
      </c>
      <c r="B77" s="1" t="s">
        <v>337</v>
      </c>
      <c r="C77" s="1" t="s">
        <v>338</v>
      </c>
      <c r="D77" s="1" t="s">
        <v>73</v>
      </c>
      <c r="E77" s="1" t="s">
        <v>339</v>
      </c>
      <c r="F77" s="1" t="s">
        <v>243</v>
      </c>
    </row>
    <row r="78" spans="1:6" x14ac:dyDescent="0.3">
      <c r="A78" s="1" t="s">
        <v>340</v>
      </c>
      <c r="B78" s="1" t="s">
        <v>341</v>
      </c>
      <c r="C78" s="1" t="s">
        <v>342</v>
      </c>
      <c r="D78" s="1" t="s">
        <v>58</v>
      </c>
      <c r="E78" s="1" t="s">
        <v>234</v>
      </c>
      <c r="F78" s="1" t="s">
        <v>168</v>
      </c>
    </row>
    <row r="79" spans="1:6" x14ac:dyDescent="0.3">
      <c r="A79" s="1" t="s">
        <v>343</v>
      </c>
      <c r="B79" s="1" t="s">
        <v>344</v>
      </c>
      <c r="C79" s="1" t="s">
        <v>345</v>
      </c>
      <c r="D79" s="1" t="s">
        <v>122</v>
      </c>
      <c r="E79" s="1" t="s">
        <v>346</v>
      </c>
      <c r="F79" s="1" t="s">
        <v>168</v>
      </c>
    </row>
    <row r="80" spans="1:6" x14ac:dyDescent="0.3">
      <c r="A80" s="1" t="s">
        <v>347</v>
      </c>
      <c r="B80" s="1" t="s">
        <v>348</v>
      </c>
      <c r="C80" s="1" t="s">
        <v>349</v>
      </c>
      <c r="D80" s="1" t="s">
        <v>58</v>
      </c>
      <c r="E80" s="1" t="s">
        <v>350</v>
      </c>
      <c r="F80" s="1" t="s">
        <v>30</v>
      </c>
    </row>
    <row r="81" spans="1:6" x14ac:dyDescent="0.3">
      <c r="A81" s="1" t="s">
        <v>351</v>
      </c>
      <c r="B81" s="1" t="s">
        <v>352</v>
      </c>
      <c r="C81" s="1" t="s">
        <v>353</v>
      </c>
      <c r="D81" s="1" t="s">
        <v>34</v>
      </c>
      <c r="E81" s="1" t="s">
        <v>35</v>
      </c>
      <c r="F81" s="1" t="s">
        <v>36</v>
      </c>
    </row>
    <row r="82" spans="1:6" x14ac:dyDescent="0.3">
      <c r="A82" s="1" t="s">
        <v>354</v>
      </c>
      <c r="B82" s="1" t="s">
        <v>355</v>
      </c>
      <c r="C82" s="1" t="s">
        <v>356</v>
      </c>
      <c r="D82" s="1" t="s">
        <v>28</v>
      </c>
      <c r="E82" s="1" t="s">
        <v>97</v>
      </c>
      <c r="F82" s="1" t="s">
        <v>98</v>
      </c>
    </row>
    <row r="83" spans="1:6" x14ac:dyDescent="0.3">
      <c r="A83" s="1" t="s">
        <v>357</v>
      </c>
      <c r="B83" s="1" t="s">
        <v>358</v>
      </c>
      <c r="C83" s="1" t="s">
        <v>359</v>
      </c>
      <c r="D83" s="1" t="s">
        <v>96</v>
      </c>
      <c r="E83" s="1" t="s">
        <v>360</v>
      </c>
      <c r="F83" s="1" t="s">
        <v>168</v>
      </c>
    </row>
    <row r="84" spans="1:6" x14ac:dyDescent="0.3">
      <c r="A84" s="1" t="s">
        <v>361</v>
      </c>
      <c r="B84" s="1" t="s">
        <v>362</v>
      </c>
      <c r="C84" s="1" t="s">
        <v>363</v>
      </c>
      <c r="D84" s="1" t="s">
        <v>116</v>
      </c>
      <c r="E84" s="1" t="s">
        <v>364</v>
      </c>
      <c r="F84" s="1" t="s">
        <v>328</v>
      </c>
    </row>
    <row r="85" spans="1:6" x14ac:dyDescent="0.3">
      <c r="A85" s="1" t="s">
        <v>365</v>
      </c>
      <c r="B85" s="1" t="s">
        <v>366</v>
      </c>
      <c r="C85" s="1" t="s">
        <v>367</v>
      </c>
      <c r="D85" s="1" t="s">
        <v>82</v>
      </c>
      <c r="E85" s="1" t="s">
        <v>368</v>
      </c>
      <c r="F85" s="1" t="s">
        <v>60</v>
      </c>
    </row>
    <row r="86" spans="1:6" x14ac:dyDescent="0.3">
      <c r="A86" s="1" t="s">
        <v>369</v>
      </c>
      <c r="B86" s="1" t="s">
        <v>370</v>
      </c>
      <c r="C86" s="1" t="s">
        <v>371</v>
      </c>
      <c r="D86" s="1" t="s">
        <v>73</v>
      </c>
      <c r="E86" s="1" t="s">
        <v>372</v>
      </c>
      <c r="F86" s="1" t="s">
        <v>60</v>
      </c>
    </row>
    <row r="87" spans="1:6" x14ac:dyDescent="0.3">
      <c r="A87" s="1" t="s">
        <v>373</v>
      </c>
      <c r="B87" s="1" t="s">
        <v>374</v>
      </c>
      <c r="C87" s="1" t="s">
        <v>375</v>
      </c>
      <c r="D87" s="1" t="s">
        <v>28</v>
      </c>
      <c r="E87" s="1" t="s">
        <v>376</v>
      </c>
      <c r="F87" s="1" t="s">
        <v>30</v>
      </c>
    </row>
    <row r="88" spans="1:6" x14ac:dyDescent="0.3">
      <c r="A88" s="1" t="s">
        <v>377</v>
      </c>
      <c r="B88" s="1" t="s">
        <v>378</v>
      </c>
      <c r="C88" s="1" t="s">
        <v>379</v>
      </c>
      <c r="D88" s="1" t="s">
        <v>73</v>
      </c>
      <c r="E88" s="1" t="s">
        <v>380</v>
      </c>
      <c r="F88" s="1" t="s">
        <v>381</v>
      </c>
    </row>
    <row r="89" spans="1:6" x14ac:dyDescent="0.3">
      <c r="A89" s="1" t="s">
        <v>382</v>
      </c>
      <c r="B89" s="1" t="s">
        <v>383</v>
      </c>
      <c r="C89" s="1" t="s">
        <v>384</v>
      </c>
      <c r="D89" s="1" t="s">
        <v>116</v>
      </c>
      <c r="E89" s="1" t="s">
        <v>385</v>
      </c>
      <c r="F89" s="1" t="s">
        <v>98</v>
      </c>
    </row>
    <row r="90" spans="1:6" x14ac:dyDescent="0.3">
      <c r="A90" s="1" t="s">
        <v>386</v>
      </c>
      <c r="B90" s="1" t="s">
        <v>387</v>
      </c>
      <c r="C90" s="1" t="s">
        <v>388</v>
      </c>
      <c r="D90" s="1" t="s">
        <v>34</v>
      </c>
      <c r="E90" s="1" t="s">
        <v>389</v>
      </c>
      <c r="F90" s="1" t="s">
        <v>168</v>
      </c>
    </row>
    <row r="91" spans="1:6" x14ac:dyDescent="0.3">
      <c r="A91" s="1" t="s">
        <v>390</v>
      </c>
      <c r="B91" s="1" t="s">
        <v>391</v>
      </c>
      <c r="C91" s="1" t="s">
        <v>392</v>
      </c>
      <c r="D91" s="1" t="s">
        <v>393</v>
      </c>
      <c r="E91" s="1" t="s">
        <v>394</v>
      </c>
      <c r="F91" s="1" t="s">
        <v>381</v>
      </c>
    </row>
    <row r="92" spans="1:6" x14ac:dyDescent="0.3">
      <c r="A92" s="1" t="s">
        <v>395</v>
      </c>
      <c r="B92" s="1" t="s">
        <v>396</v>
      </c>
      <c r="C92" s="1" t="s">
        <v>397</v>
      </c>
      <c r="D92" s="1" t="s">
        <v>34</v>
      </c>
      <c r="E92" s="1" t="s">
        <v>398</v>
      </c>
      <c r="F92" s="1" t="s">
        <v>399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561EB-1405-4B84-A7AF-D6264591F2AE}">
  <dimension ref="A1:H831"/>
  <sheetViews>
    <sheetView workbookViewId="0">
      <selection activeCell="D805" sqref="D805"/>
    </sheetView>
  </sheetViews>
  <sheetFormatPr defaultRowHeight="14.4" x14ac:dyDescent="0.3"/>
  <cols>
    <col min="1" max="1" width="9.5546875" bestFit="1" customWidth="1"/>
    <col min="2" max="2" width="12.88671875" bestFit="1" customWidth="1"/>
    <col min="3" max="3" width="13.33203125" bestFit="1" customWidth="1"/>
    <col min="4" max="4" width="11.6640625" bestFit="1" customWidth="1"/>
    <col min="5" max="5" width="14.21875" bestFit="1" customWidth="1"/>
    <col min="6" max="6" width="13.77734375" bestFit="1" customWidth="1"/>
    <col min="7" max="7" width="11.21875" bestFit="1" customWidth="1"/>
    <col min="8" max="8" width="8.77734375" bestFit="1" customWidth="1"/>
  </cols>
  <sheetData>
    <row r="1" spans="1:8" x14ac:dyDescent="0.3">
      <c r="A1" t="s">
        <v>415</v>
      </c>
      <c r="B1" t="s">
        <v>19</v>
      </c>
      <c r="C1" t="s">
        <v>400</v>
      </c>
      <c r="D1" t="s">
        <v>420</v>
      </c>
      <c r="E1" t="s">
        <v>421</v>
      </c>
      <c r="F1" t="s">
        <v>422</v>
      </c>
      <c r="G1" t="s">
        <v>423</v>
      </c>
      <c r="H1" t="s">
        <v>424</v>
      </c>
    </row>
    <row r="2" spans="1:8" x14ac:dyDescent="0.3">
      <c r="A2">
        <v>10248</v>
      </c>
      <c r="B2" s="1" t="s">
        <v>369</v>
      </c>
      <c r="C2">
        <v>5</v>
      </c>
      <c r="D2" s="2">
        <v>41459</v>
      </c>
      <c r="E2" s="2">
        <v>41487</v>
      </c>
      <c r="F2" s="2">
        <v>41471</v>
      </c>
      <c r="G2">
        <v>3</v>
      </c>
      <c r="H2">
        <v>3238</v>
      </c>
    </row>
    <row r="3" spans="1:8" x14ac:dyDescent="0.3">
      <c r="A3">
        <v>10249</v>
      </c>
      <c r="B3" s="1" t="s">
        <v>347</v>
      </c>
      <c r="C3">
        <v>6</v>
      </c>
      <c r="D3" s="2">
        <v>41460</v>
      </c>
      <c r="E3" s="2">
        <v>41502</v>
      </c>
      <c r="F3" s="2">
        <v>41465</v>
      </c>
      <c r="G3">
        <v>1</v>
      </c>
      <c r="H3">
        <v>1161</v>
      </c>
    </row>
    <row r="4" spans="1:8" x14ac:dyDescent="0.3">
      <c r="A4">
        <v>10250</v>
      </c>
      <c r="B4" s="1" t="s">
        <v>174</v>
      </c>
      <c r="C4">
        <v>4</v>
      </c>
      <c r="D4" s="2">
        <v>41463</v>
      </c>
      <c r="E4" s="2">
        <v>41491</v>
      </c>
      <c r="F4" s="2">
        <v>41467</v>
      </c>
      <c r="G4">
        <v>2</v>
      </c>
      <c r="H4">
        <v>6583</v>
      </c>
    </row>
    <row r="5" spans="1:8" x14ac:dyDescent="0.3">
      <c r="A5">
        <v>10251</v>
      </c>
      <c r="B5" s="1" t="s">
        <v>365</v>
      </c>
      <c r="C5">
        <v>3</v>
      </c>
      <c r="D5" s="2">
        <v>41463</v>
      </c>
      <c r="E5" s="2">
        <v>41491</v>
      </c>
      <c r="F5" s="2">
        <v>41470</v>
      </c>
      <c r="G5">
        <v>1</v>
      </c>
      <c r="H5">
        <v>4134</v>
      </c>
    </row>
    <row r="6" spans="1:8" x14ac:dyDescent="0.3">
      <c r="A6">
        <v>10252</v>
      </c>
      <c r="B6" s="1" t="s">
        <v>336</v>
      </c>
      <c r="C6">
        <v>4</v>
      </c>
      <c r="D6" s="2">
        <v>41464</v>
      </c>
      <c r="E6" s="2">
        <v>41492</v>
      </c>
      <c r="F6" s="2">
        <v>41466</v>
      </c>
      <c r="G6">
        <v>2</v>
      </c>
      <c r="H6">
        <v>513</v>
      </c>
    </row>
    <row r="7" spans="1:8" x14ac:dyDescent="0.3">
      <c r="A7">
        <v>10253</v>
      </c>
      <c r="B7" s="1" t="s">
        <v>174</v>
      </c>
      <c r="C7">
        <v>3</v>
      </c>
      <c r="D7" s="2">
        <v>41465</v>
      </c>
      <c r="E7" s="2">
        <v>41479</v>
      </c>
      <c r="F7" s="2">
        <v>41471</v>
      </c>
      <c r="G7">
        <v>2</v>
      </c>
      <c r="H7">
        <v>5817</v>
      </c>
    </row>
    <row r="8" spans="1:8" x14ac:dyDescent="0.3">
      <c r="A8">
        <v>10254</v>
      </c>
      <c r="B8" s="1" t="s">
        <v>88</v>
      </c>
      <c r="C8">
        <v>5</v>
      </c>
      <c r="D8" s="2">
        <v>41466</v>
      </c>
      <c r="E8" s="2">
        <v>41494</v>
      </c>
      <c r="F8" s="2">
        <v>41478</v>
      </c>
      <c r="G8">
        <v>2</v>
      </c>
      <c r="H8">
        <v>2298</v>
      </c>
    </row>
    <row r="9" spans="1:8" x14ac:dyDescent="0.3">
      <c r="A9">
        <v>10255</v>
      </c>
      <c r="B9" s="1" t="s">
        <v>305</v>
      </c>
      <c r="C9">
        <v>9</v>
      </c>
      <c r="D9" s="2">
        <v>41467</v>
      </c>
      <c r="E9" s="2">
        <v>41495</v>
      </c>
      <c r="F9" s="2">
        <v>41470</v>
      </c>
      <c r="G9">
        <v>3</v>
      </c>
      <c r="H9">
        <v>14833</v>
      </c>
    </row>
    <row r="10" spans="1:8" x14ac:dyDescent="0.3">
      <c r="A10">
        <v>10256</v>
      </c>
      <c r="B10" s="1" t="s">
        <v>382</v>
      </c>
      <c r="C10">
        <v>3</v>
      </c>
      <c r="D10" s="2">
        <v>41470</v>
      </c>
      <c r="E10" s="2">
        <v>41498</v>
      </c>
      <c r="F10" s="2">
        <v>41472</v>
      </c>
      <c r="G10">
        <v>2</v>
      </c>
      <c r="H10">
        <v>1397</v>
      </c>
    </row>
    <row r="11" spans="1:8" x14ac:dyDescent="0.3">
      <c r="A11">
        <v>10257</v>
      </c>
      <c r="B11" s="1" t="s">
        <v>178</v>
      </c>
      <c r="C11">
        <v>4</v>
      </c>
      <c r="D11" s="2">
        <v>41471</v>
      </c>
      <c r="E11" s="2">
        <v>41499</v>
      </c>
      <c r="F11" s="2">
        <v>41477</v>
      </c>
      <c r="G11">
        <v>3</v>
      </c>
      <c r="H11">
        <v>8191</v>
      </c>
    </row>
    <row r="12" spans="1:8" x14ac:dyDescent="0.3">
      <c r="A12">
        <v>10258</v>
      </c>
      <c r="B12" s="1" t="s">
        <v>113</v>
      </c>
      <c r="C12">
        <v>1</v>
      </c>
      <c r="D12" s="2">
        <v>41472</v>
      </c>
      <c r="E12" s="2">
        <v>41500</v>
      </c>
      <c r="F12" s="2">
        <v>41478</v>
      </c>
      <c r="G12">
        <v>1</v>
      </c>
      <c r="H12">
        <v>14051</v>
      </c>
    </row>
    <row r="13" spans="1:8" x14ac:dyDescent="0.3">
      <c r="A13">
        <v>10259</v>
      </c>
      <c r="B13" s="1" t="s">
        <v>85</v>
      </c>
      <c r="C13">
        <v>4</v>
      </c>
      <c r="D13" s="2">
        <v>41473</v>
      </c>
      <c r="E13" s="2">
        <v>41501</v>
      </c>
      <c r="F13" s="2">
        <v>41480</v>
      </c>
      <c r="G13">
        <v>3</v>
      </c>
      <c r="H13">
        <v>325</v>
      </c>
    </row>
    <row r="14" spans="1:8" x14ac:dyDescent="0.3">
      <c r="A14">
        <v>10260</v>
      </c>
      <c r="B14" s="1" t="s">
        <v>262</v>
      </c>
      <c r="C14">
        <v>4</v>
      </c>
      <c r="D14" s="2">
        <v>41474</v>
      </c>
      <c r="E14" s="2">
        <v>41502</v>
      </c>
      <c r="F14" s="2">
        <v>41484</v>
      </c>
      <c r="G14">
        <v>1</v>
      </c>
      <c r="H14">
        <v>5509</v>
      </c>
    </row>
    <row r="15" spans="1:8" x14ac:dyDescent="0.3">
      <c r="A15">
        <v>10261</v>
      </c>
      <c r="B15" s="1" t="s">
        <v>280</v>
      </c>
      <c r="C15">
        <v>4</v>
      </c>
      <c r="D15" s="2">
        <v>41474</v>
      </c>
      <c r="E15" s="2">
        <v>41502</v>
      </c>
      <c r="F15" s="2">
        <v>41485</v>
      </c>
      <c r="G15">
        <v>2</v>
      </c>
      <c r="H15">
        <v>305</v>
      </c>
    </row>
    <row r="16" spans="1:8" x14ac:dyDescent="0.3">
      <c r="A16">
        <v>10262</v>
      </c>
      <c r="B16" s="1" t="s">
        <v>293</v>
      </c>
      <c r="C16">
        <v>8</v>
      </c>
      <c r="D16" s="2">
        <v>41477</v>
      </c>
      <c r="E16" s="2">
        <v>41505</v>
      </c>
      <c r="F16" s="2">
        <v>41480</v>
      </c>
      <c r="G16">
        <v>3</v>
      </c>
      <c r="H16">
        <v>4829</v>
      </c>
    </row>
    <row r="17" spans="1:8" x14ac:dyDescent="0.3">
      <c r="A17">
        <v>10263</v>
      </c>
      <c r="B17" s="1" t="s">
        <v>113</v>
      </c>
      <c r="C17">
        <v>9</v>
      </c>
      <c r="D17" s="2">
        <v>41478</v>
      </c>
      <c r="E17" s="2">
        <v>41506</v>
      </c>
      <c r="F17" s="2">
        <v>41486</v>
      </c>
      <c r="G17">
        <v>3</v>
      </c>
      <c r="H17">
        <v>14606</v>
      </c>
    </row>
    <row r="18" spans="1:8" x14ac:dyDescent="0.3">
      <c r="A18">
        <v>10264</v>
      </c>
      <c r="B18" s="1" t="s">
        <v>131</v>
      </c>
      <c r="C18">
        <v>6</v>
      </c>
      <c r="D18" s="2">
        <v>41479</v>
      </c>
      <c r="E18" s="2">
        <v>41507</v>
      </c>
      <c r="F18" s="2">
        <v>41509</v>
      </c>
      <c r="G18">
        <v>3</v>
      </c>
      <c r="H18">
        <v>367</v>
      </c>
    </row>
    <row r="19" spans="1:8" x14ac:dyDescent="0.3">
      <c r="A19">
        <v>10265</v>
      </c>
      <c r="B19" s="1" t="s">
        <v>55</v>
      </c>
      <c r="C19">
        <v>2</v>
      </c>
      <c r="D19" s="2">
        <v>41480</v>
      </c>
      <c r="E19" s="2">
        <v>41508</v>
      </c>
      <c r="F19" s="2">
        <v>41498</v>
      </c>
      <c r="G19">
        <v>1</v>
      </c>
      <c r="H19">
        <v>5528</v>
      </c>
    </row>
    <row r="20" spans="1:8" x14ac:dyDescent="0.3">
      <c r="A20">
        <v>10266</v>
      </c>
      <c r="B20" s="1" t="s">
        <v>377</v>
      </c>
      <c r="C20">
        <v>3</v>
      </c>
      <c r="D20" s="2">
        <v>41481</v>
      </c>
      <c r="E20" s="2">
        <v>41523</v>
      </c>
      <c r="F20" s="2">
        <v>41486</v>
      </c>
      <c r="G20">
        <v>3</v>
      </c>
      <c r="H20">
        <v>2573</v>
      </c>
    </row>
    <row r="21" spans="1:8" x14ac:dyDescent="0.3">
      <c r="A21">
        <v>10267</v>
      </c>
      <c r="B21" s="1" t="s">
        <v>135</v>
      </c>
      <c r="C21">
        <v>4</v>
      </c>
      <c r="D21" s="2">
        <v>41484</v>
      </c>
      <c r="E21" s="2">
        <v>41512</v>
      </c>
      <c r="F21" s="2">
        <v>41492</v>
      </c>
      <c r="G21">
        <v>1</v>
      </c>
      <c r="H21">
        <v>20858</v>
      </c>
    </row>
    <row r="22" spans="1:8" x14ac:dyDescent="0.3">
      <c r="A22">
        <v>10268</v>
      </c>
      <c r="B22" s="1" t="s">
        <v>169</v>
      </c>
      <c r="C22">
        <v>8</v>
      </c>
      <c r="D22" s="2">
        <v>41485</v>
      </c>
      <c r="E22" s="2">
        <v>41513</v>
      </c>
      <c r="F22" s="2">
        <v>41488</v>
      </c>
      <c r="G22">
        <v>3</v>
      </c>
      <c r="H22">
        <v>6629</v>
      </c>
    </row>
    <row r="23" spans="1:8" x14ac:dyDescent="0.3">
      <c r="A23">
        <v>10269</v>
      </c>
      <c r="B23" s="1" t="s">
        <v>386</v>
      </c>
      <c r="C23">
        <v>5</v>
      </c>
      <c r="D23" s="2">
        <v>41486</v>
      </c>
      <c r="E23" s="2">
        <v>41500</v>
      </c>
      <c r="F23" s="2">
        <v>41495</v>
      </c>
      <c r="G23">
        <v>1</v>
      </c>
      <c r="H23">
        <v>456</v>
      </c>
    </row>
    <row r="24" spans="1:8" x14ac:dyDescent="0.3">
      <c r="A24">
        <v>10270</v>
      </c>
      <c r="B24" s="1" t="s">
        <v>377</v>
      </c>
      <c r="C24">
        <v>1</v>
      </c>
      <c r="D24" s="2">
        <v>41487</v>
      </c>
      <c r="E24" s="2">
        <v>41515</v>
      </c>
      <c r="F24" s="2">
        <v>41488</v>
      </c>
      <c r="G24">
        <v>1</v>
      </c>
      <c r="H24">
        <v>13654</v>
      </c>
    </row>
    <row r="25" spans="1:8" x14ac:dyDescent="0.3">
      <c r="A25">
        <v>10271</v>
      </c>
      <c r="B25" s="1" t="s">
        <v>332</v>
      </c>
      <c r="C25">
        <v>6</v>
      </c>
      <c r="D25" s="2">
        <v>41487</v>
      </c>
      <c r="E25" s="2">
        <v>41515</v>
      </c>
      <c r="F25" s="2">
        <v>41516</v>
      </c>
      <c r="G25">
        <v>2</v>
      </c>
      <c r="H25">
        <v>454</v>
      </c>
    </row>
    <row r="26" spans="1:8" x14ac:dyDescent="0.3">
      <c r="A26">
        <v>10272</v>
      </c>
      <c r="B26" s="1" t="s">
        <v>293</v>
      </c>
      <c r="C26">
        <v>6</v>
      </c>
      <c r="D26" s="2">
        <v>41488</v>
      </c>
      <c r="E26" s="2">
        <v>41516</v>
      </c>
      <c r="F26" s="2">
        <v>41492</v>
      </c>
      <c r="G26">
        <v>2</v>
      </c>
      <c r="H26">
        <v>9803</v>
      </c>
    </row>
    <row r="27" spans="1:8" x14ac:dyDescent="0.3">
      <c r="A27">
        <v>10273</v>
      </c>
      <c r="B27" s="1" t="s">
        <v>286</v>
      </c>
      <c r="C27">
        <v>3</v>
      </c>
      <c r="D27" s="2">
        <v>41491</v>
      </c>
      <c r="E27" s="2">
        <v>41519</v>
      </c>
      <c r="F27" s="2">
        <v>41498</v>
      </c>
      <c r="G27">
        <v>3</v>
      </c>
      <c r="H27">
        <v>7607</v>
      </c>
    </row>
    <row r="28" spans="1:8" x14ac:dyDescent="0.3">
      <c r="A28">
        <v>10274</v>
      </c>
      <c r="B28" s="1" t="s">
        <v>369</v>
      </c>
      <c r="C28">
        <v>6</v>
      </c>
      <c r="D28" s="2">
        <v>41492</v>
      </c>
      <c r="E28" s="2">
        <v>41520</v>
      </c>
      <c r="F28" s="2">
        <v>41502</v>
      </c>
      <c r="G28">
        <v>1</v>
      </c>
      <c r="H28">
        <v>601</v>
      </c>
    </row>
    <row r="29" spans="1:8" x14ac:dyDescent="0.3">
      <c r="A29">
        <v>10275</v>
      </c>
      <c r="B29" s="1" t="s">
        <v>235</v>
      </c>
      <c r="C29">
        <v>1</v>
      </c>
      <c r="D29" s="2">
        <v>41493</v>
      </c>
      <c r="E29" s="2">
        <v>41521</v>
      </c>
      <c r="F29" s="2">
        <v>41495</v>
      </c>
      <c r="G29">
        <v>1</v>
      </c>
      <c r="H29">
        <v>2693</v>
      </c>
    </row>
    <row r="30" spans="1:8" x14ac:dyDescent="0.3">
      <c r="A30">
        <v>10276</v>
      </c>
      <c r="B30" s="1" t="s">
        <v>351</v>
      </c>
      <c r="C30">
        <v>8</v>
      </c>
      <c r="D30" s="2">
        <v>41494</v>
      </c>
      <c r="E30" s="2">
        <v>41508</v>
      </c>
      <c r="F30" s="2">
        <v>41500</v>
      </c>
      <c r="G30">
        <v>3</v>
      </c>
      <c r="H30">
        <v>1384</v>
      </c>
    </row>
    <row r="31" spans="1:8" x14ac:dyDescent="0.3">
      <c r="A31">
        <v>10277</v>
      </c>
      <c r="B31" s="1" t="s">
        <v>248</v>
      </c>
      <c r="C31">
        <v>2</v>
      </c>
      <c r="D31" s="2">
        <v>41495</v>
      </c>
      <c r="E31" s="2">
        <v>41523</v>
      </c>
      <c r="F31" s="2">
        <v>41499</v>
      </c>
      <c r="G31">
        <v>3</v>
      </c>
      <c r="H31">
        <v>12577</v>
      </c>
    </row>
    <row r="32" spans="1:8" x14ac:dyDescent="0.3">
      <c r="A32">
        <v>10278</v>
      </c>
      <c r="B32" s="1" t="s">
        <v>45</v>
      </c>
      <c r="C32">
        <v>8</v>
      </c>
      <c r="D32" s="2">
        <v>41498</v>
      </c>
      <c r="E32" s="2">
        <v>41526</v>
      </c>
      <c r="F32" s="2">
        <v>41502</v>
      </c>
      <c r="G32">
        <v>2</v>
      </c>
      <c r="H32">
        <v>9269</v>
      </c>
    </row>
    <row r="33" spans="1:8" x14ac:dyDescent="0.3">
      <c r="A33">
        <v>10279</v>
      </c>
      <c r="B33" s="1" t="s">
        <v>215</v>
      </c>
      <c r="C33">
        <v>8</v>
      </c>
      <c r="D33" s="2">
        <v>41499</v>
      </c>
      <c r="E33" s="2">
        <v>41527</v>
      </c>
      <c r="F33" s="2">
        <v>41502</v>
      </c>
      <c r="G33">
        <v>2</v>
      </c>
      <c r="H33">
        <v>2583</v>
      </c>
    </row>
    <row r="34" spans="1:8" x14ac:dyDescent="0.3">
      <c r="A34">
        <v>10280</v>
      </c>
      <c r="B34" s="1" t="s">
        <v>45</v>
      </c>
      <c r="C34">
        <v>2</v>
      </c>
      <c r="D34" s="2">
        <v>41500</v>
      </c>
      <c r="E34" s="2">
        <v>41528</v>
      </c>
      <c r="F34" s="2">
        <v>41529</v>
      </c>
      <c r="G34">
        <v>1</v>
      </c>
      <c r="H34">
        <v>898</v>
      </c>
    </row>
    <row r="35" spans="1:8" x14ac:dyDescent="0.3">
      <c r="A35">
        <v>10281</v>
      </c>
      <c r="B35" s="1" t="s">
        <v>309</v>
      </c>
      <c r="C35">
        <v>4</v>
      </c>
      <c r="D35" s="2">
        <v>41500</v>
      </c>
      <c r="E35" s="2">
        <v>41514</v>
      </c>
      <c r="F35" s="2">
        <v>41507</v>
      </c>
      <c r="G35">
        <v>1</v>
      </c>
      <c r="H35">
        <v>294</v>
      </c>
    </row>
    <row r="36" spans="1:8" x14ac:dyDescent="0.3">
      <c r="A36">
        <v>10282</v>
      </c>
      <c r="B36" s="1" t="s">
        <v>309</v>
      </c>
      <c r="C36">
        <v>4</v>
      </c>
      <c r="D36" s="2">
        <v>41501</v>
      </c>
      <c r="E36" s="2">
        <v>41529</v>
      </c>
      <c r="F36" s="2">
        <v>41507</v>
      </c>
      <c r="G36">
        <v>1</v>
      </c>
      <c r="H36">
        <v>1269</v>
      </c>
    </row>
    <row r="37" spans="1:8" x14ac:dyDescent="0.3">
      <c r="A37">
        <v>10283</v>
      </c>
      <c r="B37" s="1" t="s">
        <v>223</v>
      </c>
      <c r="C37">
        <v>3</v>
      </c>
      <c r="D37" s="2">
        <v>41502</v>
      </c>
      <c r="E37" s="2">
        <v>41530</v>
      </c>
      <c r="F37" s="2">
        <v>41509</v>
      </c>
      <c r="G37">
        <v>3</v>
      </c>
      <c r="H37">
        <v>8481</v>
      </c>
    </row>
    <row r="38" spans="1:8" x14ac:dyDescent="0.3">
      <c r="A38">
        <v>10284</v>
      </c>
      <c r="B38" s="1" t="s">
        <v>215</v>
      </c>
      <c r="C38">
        <v>4</v>
      </c>
      <c r="D38" s="2">
        <v>41505</v>
      </c>
      <c r="E38" s="2">
        <v>41533</v>
      </c>
      <c r="F38" s="2">
        <v>41513</v>
      </c>
      <c r="G38">
        <v>1</v>
      </c>
      <c r="H38">
        <v>7656</v>
      </c>
    </row>
    <row r="39" spans="1:8" x14ac:dyDescent="0.3">
      <c r="A39">
        <v>10285</v>
      </c>
      <c r="B39" s="1" t="s">
        <v>286</v>
      </c>
      <c r="C39">
        <v>1</v>
      </c>
      <c r="D39" s="2">
        <v>41506</v>
      </c>
      <c r="E39" s="2">
        <v>41534</v>
      </c>
      <c r="F39" s="2">
        <v>41512</v>
      </c>
      <c r="G39">
        <v>2</v>
      </c>
      <c r="H39">
        <v>7683</v>
      </c>
    </row>
    <row r="40" spans="1:8" x14ac:dyDescent="0.3">
      <c r="A40">
        <v>10286</v>
      </c>
      <c r="B40" s="1" t="s">
        <v>286</v>
      </c>
      <c r="C40">
        <v>8</v>
      </c>
      <c r="D40" s="2">
        <v>41507</v>
      </c>
      <c r="E40" s="2">
        <v>41535</v>
      </c>
      <c r="F40" s="2">
        <v>41516</v>
      </c>
      <c r="G40">
        <v>3</v>
      </c>
      <c r="H40">
        <v>22924</v>
      </c>
    </row>
    <row r="41" spans="1:8" x14ac:dyDescent="0.3">
      <c r="A41">
        <v>10287</v>
      </c>
      <c r="B41" s="1" t="s">
        <v>302</v>
      </c>
      <c r="C41">
        <v>8</v>
      </c>
      <c r="D41" s="2">
        <v>41508</v>
      </c>
      <c r="E41" s="2">
        <v>41536</v>
      </c>
      <c r="F41" s="2">
        <v>41514</v>
      </c>
      <c r="G41">
        <v>3</v>
      </c>
      <c r="H41">
        <v>1276</v>
      </c>
    </row>
    <row r="42" spans="1:8" x14ac:dyDescent="0.3">
      <c r="A42">
        <v>10288</v>
      </c>
      <c r="B42" s="1" t="s">
        <v>298</v>
      </c>
      <c r="C42">
        <v>4</v>
      </c>
      <c r="D42" s="2">
        <v>41509</v>
      </c>
      <c r="E42" s="2">
        <v>41537</v>
      </c>
      <c r="F42" s="2">
        <v>41520</v>
      </c>
      <c r="G42">
        <v>1</v>
      </c>
      <c r="H42">
        <v>745</v>
      </c>
    </row>
    <row r="43" spans="1:8" x14ac:dyDescent="0.3">
      <c r="A43">
        <v>10289</v>
      </c>
      <c r="B43" s="1" t="s">
        <v>76</v>
      </c>
      <c r="C43">
        <v>7</v>
      </c>
      <c r="D43" s="2">
        <v>41512</v>
      </c>
      <c r="E43" s="2">
        <v>41540</v>
      </c>
      <c r="F43" s="2">
        <v>41514</v>
      </c>
      <c r="G43">
        <v>3</v>
      </c>
      <c r="H43">
        <v>2277</v>
      </c>
    </row>
    <row r="44" spans="1:8" x14ac:dyDescent="0.3">
      <c r="A44">
        <v>10290</v>
      </c>
      <c r="B44" s="1" t="s">
        <v>93</v>
      </c>
      <c r="C44">
        <v>8</v>
      </c>
      <c r="D44" s="2">
        <v>41513</v>
      </c>
      <c r="E44" s="2">
        <v>41541</v>
      </c>
      <c r="F44" s="2">
        <v>41520</v>
      </c>
      <c r="G44">
        <v>1</v>
      </c>
      <c r="H44">
        <v>797</v>
      </c>
    </row>
    <row r="45" spans="1:8" x14ac:dyDescent="0.3">
      <c r="A45">
        <v>10291</v>
      </c>
      <c r="B45" s="1" t="s">
        <v>280</v>
      </c>
      <c r="C45">
        <v>6</v>
      </c>
      <c r="D45" s="2">
        <v>41513</v>
      </c>
      <c r="E45" s="2">
        <v>41541</v>
      </c>
      <c r="F45" s="2">
        <v>41521</v>
      </c>
      <c r="G45">
        <v>2</v>
      </c>
      <c r="H45">
        <v>64</v>
      </c>
    </row>
    <row r="46" spans="1:8" x14ac:dyDescent="0.3">
      <c r="A46">
        <v>10292</v>
      </c>
      <c r="B46" s="1" t="s">
        <v>354</v>
      </c>
      <c r="C46">
        <v>1</v>
      </c>
      <c r="D46" s="2">
        <v>41514</v>
      </c>
      <c r="E46" s="2">
        <v>41542</v>
      </c>
      <c r="F46" s="2">
        <v>41519</v>
      </c>
      <c r="G46">
        <v>2</v>
      </c>
      <c r="H46">
        <v>135</v>
      </c>
    </row>
    <row r="47" spans="1:8" x14ac:dyDescent="0.3">
      <c r="A47">
        <v>10293</v>
      </c>
      <c r="B47" s="1" t="s">
        <v>351</v>
      </c>
      <c r="C47">
        <v>1</v>
      </c>
      <c r="D47" s="2">
        <v>41515</v>
      </c>
      <c r="E47" s="2">
        <v>41543</v>
      </c>
      <c r="F47" s="2">
        <v>41528</v>
      </c>
      <c r="G47">
        <v>3</v>
      </c>
      <c r="H47">
        <v>2118</v>
      </c>
    </row>
    <row r="48" spans="1:8" x14ac:dyDescent="0.3">
      <c r="A48">
        <v>10294</v>
      </c>
      <c r="B48" s="1" t="s">
        <v>293</v>
      </c>
      <c r="C48">
        <v>4</v>
      </c>
      <c r="D48" s="2">
        <v>41516</v>
      </c>
      <c r="E48" s="2">
        <v>41544</v>
      </c>
      <c r="F48" s="2">
        <v>41522</v>
      </c>
      <c r="G48">
        <v>2</v>
      </c>
      <c r="H48">
        <v>14726</v>
      </c>
    </row>
    <row r="49" spans="1:8" x14ac:dyDescent="0.3">
      <c r="A49">
        <v>10295</v>
      </c>
      <c r="B49" s="1" t="s">
        <v>369</v>
      </c>
      <c r="C49">
        <v>2</v>
      </c>
      <c r="D49" s="2">
        <v>41519</v>
      </c>
      <c r="E49" s="2">
        <v>41547</v>
      </c>
      <c r="F49" s="2">
        <v>41527</v>
      </c>
      <c r="G49">
        <v>2</v>
      </c>
      <c r="H49">
        <v>115</v>
      </c>
    </row>
    <row r="50" spans="1:8" x14ac:dyDescent="0.3">
      <c r="A50">
        <v>10296</v>
      </c>
      <c r="B50" s="1" t="s">
        <v>223</v>
      </c>
      <c r="C50">
        <v>6</v>
      </c>
      <c r="D50" s="2">
        <v>41520</v>
      </c>
      <c r="E50" s="2">
        <v>41548</v>
      </c>
      <c r="F50" s="2">
        <v>41528</v>
      </c>
      <c r="G50">
        <v>1</v>
      </c>
      <c r="H50">
        <v>12</v>
      </c>
    </row>
    <row r="51" spans="1:8" x14ac:dyDescent="0.3">
      <c r="A51">
        <v>10297</v>
      </c>
      <c r="B51" s="1" t="s">
        <v>55</v>
      </c>
      <c r="C51">
        <v>5</v>
      </c>
      <c r="D51" s="2">
        <v>41521</v>
      </c>
      <c r="E51" s="2">
        <v>41563</v>
      </c>
      <c r="F51" s="2">
        <v>41527</v>
      </c>
      <c r="G51">
        <v>2</v>
      </c>
      <c r="H51">
        <v>574</v>
      </c>
    </row>
    <row r="52" spans="1:8" x14ac:dyDescent="0.3">
      <c r="A52">
        <v>10298</v>
      </c>
      <c r="B52" s="1" t="s">
        <v>186</v>
      </c>
      <c r="C52">
        <v>6</v>
      </c>
      <c r="D52" s="2">
        <v>41522</v>
      </c>
      <c r="E52" s="2">
        <v>41550</v>
      </c>
      <c r="F52" s="2">
        <v>41528</v>
      </c>
      <c r="G52">
        <v>2</v>
      </c>
      <c r="H52">
        <v>16822</v>
      </c>
    </row>
    <row r="53" spans="1:8" x14ac:dyDescent="0.3">
      <c r="A53">
        <v>10299</v>
      </c>
      <c r="B53" s="1" t="s">
        <v>302</v>
      </c>
      <c r="C53">
        <v>4</v>
      </c>
      <c r="D53" s="2">
        <v>41523</v>
      </c>
      <c r="E53" s="2">
        <v>41551</v>
      </c>
      <c r="F53" s="2">
        <v>41530</v>
      </c>
      <c r="G53">
        <v>2</v>
      </c>
      <c r="H53">
        <v>2976</v>
      </c>
    </row>
    <row r="54" spans="1:8" x14ac:dyDescent="0.3">
      <c r="A54">
        <v>10300</v>
      </c>
      <c r="B54" s="1" t="s">
        <v>235</v>
      </c>
      <c r="C54">
        <v>2</v>
      </c>
      <c r="D54" s="2">
        <v>41526</v>
      </c>
      <c r="E54" s="2">
        <v>41554</v>
      </c>
      <c r="F54" s="2">
        <v>41535</v>
      </c>
      <c r="G54">
        <v>2</v>
      </c>
      <c r="H54">
        <v>1768</v>
      </c>
    </row>
    <row r="55" spans="1:8" x14ac:dyDescent="0.3">
      <c r="A55">
        <v>10301</v>
      </c>
      <c r="B55" s="1" t="s">
        <v>373</v>
      </c>
      <c r="C55">
        <v>8</v>
      </c>
      <c r="D55" s="2">
        <v>41526</v>
      </c>
      <c r="E55" s="2">
        <v>41554</v>
      </c>
      <c r="F55" s="2">
        <v>41534</v>
      </c>
      <c r="G55">
        <v>2</v>
      </c>
      <c r="H55">
        <v>4508</v>
      </c>
    </row>
    <row r="56" spans="1:8" x14ac:dyDescent="0.3">
      <c r="A56">
        <v>10302</v>
      </c>
      <c r="B56" s="1" t="s">
        <v>336</v>
      </c>
      <c r="C56">
        <v>4</v>
      </c>
      <c r="D56" s="2">
        <v>41527</v>
      </c>
      <c r="E56" s="2">
        <v>41555</v>
      </c>
      <c r="F56" s="2">
        <v>41556</v>
      </c>
      <c r="G56">
        <v>2</v>
      </c>
      <c r="H56">
        <v>627</v>
      </c>
    </row>
    <row r="57" spans="1:8" x14ac:dyDescent="0.3">
      <c r="A57">
        <v>10303</v>
      </c>
      <c r="B57" s="1" t="s">
        <v>156</v>
      </c>
      <c r="C57">
        <v>7</v>
      </c>
      <c r="D57" s="2">
        <v>41528</v>
      </c>
      <c r="E57" s="2">
        <v>41556</v>
      </c>
      <c r="F57" s="2">
        <v>41535</v>
      </c>
      <c r="G57">
        <v>2</v>
      </c>
      <c r="H57">
        <v>10783</v>
      </c>
    </row>
    <row r="58" spans="1:8" x14ac:dyDescent="0.3">
      <c r="A58">
        <v>10304</v>
      </c>
      <c r="B58" s="1" t="s">
        <v>351</v>
      </c>
      <c r="C58">
        <v>1</v>
      </c>
      <c r="D58" s="2">
        <v>41529</v>
      </c>
      <c r="E58" s="2">
        <v>41557</v>
      </c>
      <c r="F58" s="2">
        <v>41534</v>
      </c>
      <c r="G58">
        <v>2</v>
      </c>
      <c r="H58">
        <v>6379</v>
      </c>
    </row>
    <row r="59" spans="1:8" x14ac:dyDescent="0.3">
      <c r="A59">
        <v>10305</v>
      </c>
      <c r="B59" s="1" t="s">
        <v>258</v>
      </c>
      <c r="C59">
        <v>8</v>
      </c>
      <c r="D59" s="2">
        <v>41530</v>
      </c>
      <c r="E59" s="2">
        <v>41558</v>
      </c>
      <c r="F59" s="2">
        <v>41556</v>
      </c>
      <c r="G59">
        <v>3</v>
      </c>
      <c r="H59">
        <v>25762</v>
      </c>
    </row>
    <row r="60" spans="1:8" x14ac:dyDescent="0.3">
      <c r="A60">
        <v>10306</v>
      </c>
      <c r="B60" s="1" t="s">
        <v>309</v>
      </c>
      <c r="C60">
        <v>1</v>
      </c>
      <c r="D60" s="2">
        <v>41533</v>
      </c>
      <c r="E60" s="2">
        <v>41561</v>
      </c>
      <c r="F60" s="2">
        <v>41540</v>
      </c>
      <c r="G60">
        <v>3</v>
      </c>
      <c r="H60">
        <v>756</v>
      </c>
    </row>
    <row r="61" spans="1:8" x14ac:dyDescent="0.3">
      <c r="A61">
        <v>10307</v>
      </c>
      <c r="B61" s="1" t="s">
        <v>231</v>
      </c>
      <c r="C61">
        <v>2</v>
      </c>
      <c r="D61" s="2">
        <v>41534</v>
      </c>
      <c r="E61" s="2">
        <v>41562</v>
      </c>
      <c r="F61" s="2">
        <v>41542</v>
      </c>
      <c r="G61">
        <v>2</v>
      </c>
      <c r="H61">
        <v>56</v>
      </c>
    </row>
    <row r="62" spans="1:8" x14ac:dyDescent="0.3">
      <c r="A62">
        <v>10308</v>
      </c>
      <c r="B62" s="1" t="s">
        <v>31</v>
      </c>
      <c r="C62">
        <v>7</v>
      </c>
      <c r="D62" s="2">
        <v>41535</v>
      </c>
      <c r="E62" s="2">
        <v>41563</v>
      </c>
      <c r="F62" s="2">
        <v>41541</v>
      </c>
      <c r="G62">
        <v>3</v>
      </c>
      <c r="H62">
        <v>161</v>
      </c>
    </row>
    <row r="63" spans="1:8" x14ac:dyDescent="0.3">
      <c r="A63">
        <v>10309</v>
      </c>
      <c r="B63" s="1" t="s">
        <v>186</v>
      </c>
      <c r="C63">
        <v>3</v>
      </c>
      <c r="D63" s="2">
        <v>41536</v>
      </c>
      <c r="E63" s="2">
        <v>41564</v>
      </c>
      <c r="F63" s="2">
        <v>41570</v>
      </c>
      <c r="G63">
        <v>1</v>
      </c>
      <c r="H63">
        <v>473</v>
      </c>
    </row>
    <row r="64" spans="1:8" x14ac:dyDescent="0.3">
      <c r="A64">
        <v>10310</v>
      </c>
      <c r="B64" s="1" t="s">
        <v>340</v>
      </c>
      <c r="C64">
        <v>8</v>
      </c>
      <c r="D64" s="2">
        <v>41537</v>
      </c>
      <c r="E64" s="2">
        <v>41565</v>
      </c>
      <c r="F64" s="2">
        <v>41544</v>
      </c>
      <c r="G64">
        <v>2</v>
      </c>
      <c r="H64">
        <v>1752</v>
      </c>
    </row>
    <row r="65" spans="1:8" x14ac:dyDescent="0.3">
      <c r="A65">
        <v>10311</v>
      </c>
      <c r="B65" s="1" t="s">
        <v>106</v>
      </c>
      <c r="C65">
        <v>1</v>
      </c>
      <c r="D65" s="2">
        <v>41537</v>
      </c>
      <c r="E65" s="2">
        <v>41551</v>
      </c>
      <c r="F65" s="2">
        <v>41543</v>
      </c>
      <c r="G65">
        <v>3</v>
      </c>
      <c r="H65">
        <v>2469</v>
      </c>
    </row>
    <row r="66" spans="1:8" x14ac:dyDescent="0.3">
      <c r="A66">
        <v>10312</v>
      </c>
      <c r="B66" s="1" t="s">
        <v>373</v>
      </c>
      <c r="C66">
        <v>2</v>
      </c>
      <c r="D66" s="2">
        <v>41540</v>
      </c>
      <c r="E66" s="2">
        <v>41568</v>
      </c>
      <c r="F66" s="2">
        <v>41550</v>
      </c>
      <c r="G66">
        <v>2</v>
      </c>
      <c r="H66">
        <v>4026</v>
      </c>
    </row>
    <row r="67" spans="1:8" x14ac:dyDescent="0.3">
      <c r="A67">
        <v>10313</v>
      </c>
      <c r="B67" s="1" t="s">
        <v>286</v>
      </c>
      <c r="C67">
        <v>2</v>
      </c>
      <c r="D67" s="2">
        <v>41541</v>
      </c>
      <c r="E67" s="2">
        <v>41569</v>
      </c>
      <c r="F67" s="2">
        <v>41551</v>
      </c>
      <c r="G67">
        <v>2</v>
      </c>
      <c r="H67">
        <v>196</v>
      </c>
    </row>
    <row r="68" spans="1:8" x14ac:dyDescent="0.3">
      <c r="A68">
        <v>10314</v>
      </c>
      <c r="B68" s="1" t="s">
        <v>293</v>
      </c>
      <c r="C68">
        <v>1</v>
      </c>
      <c r="D68" s="2">
        <v>41542</v>
      </c>
      <c r="E68" s="2">
        <v>41570</v>
      </c>
      <c r="F68" s="2">
        <v>41551</v>
      </c>
      <c r="G68">
        <v>2</v>
      </c>
      <c r="H68">
        <v>7416</v>
      </c>
    </row>
    <row r="69" spans="1:8" x14ac:dyDescent="0.3">
      <c r="A69">
        <v>10315</v>
      </c>
      <c r="B69" s="1" t="s">
        <v>191</v>
      </c>
      <c r="C69">
        <v>4</v>
      </c>
      <c r="D69" s="2">
        <v>41543</v>
      </c>
      <c r="E69" s="2">
        <v>41571</v>
      </c>
      <c r="F69" s="2">
        <v>41550</v>
      </c>
      <c r="G69">
        <v>2</v>
      </c>
      <c r="H69">
        <v>4176</v>
      </c>
    </row>
    <row r="70" spans="1:8" x14ac:dyDescent="0.3">
      <c r="A70">
        <v>10316</v>
      </c>
      <c r="B70" s="1" t="s">
        <v>293</v>
      </c>
      <c r="C70">
        <v>1</v>
      </c>
      <c r="D70" s="2">
        <v>41544</v>
      </c>
      <c r="E70" s="2">
        <v>41572</v>
      </c>
      <c r="F70" s="2">
        <v>41555</v>
      </c>
      <c r="G70">
        <v>3</v>
      </c>
      <c r="H70">
        <v>15015</v>
      </c>
    </row>
    <row r="71" spans="1:8" x14ac:dyDescent="0.3">
      <c r="A71">
        <v>10317</v>
      </c>
      <c r="B71" s="1" t="s">
        <v>231</v>
      </c>
      <c r="C71">
        <v>6</v>
      </c>
      <c r="D71" s="2">
        <v>41547</v>
      </c>
      <c r="E71" s="2">
        <v>41575</v>
      </c>
      <c r="F71" s="2">
        <v>41557</v>
      </c>
      <c r="G71">
        <v>1</v>
      </c>
      <c r="H71">
        <v>1269</v>
      </c>
    </row>
    <row r="72" spans="1:8" x14ac:dyDescent="0.3">
      <c r="A72">
        <v>10318</v>
      </c>
      <c r="B72" s="1" t="s">
        <v>191</v>
      </c>
      <c r="C72">
        <v>8</v>
      </c>
      <c r="D72" s="2">
        <v>41548</v>
      </c>
      <c r="E72" s="2">
        <v>41576</v>
      </c>
      <c r="F72" s="2">
        <v>41551</v>
      </c>
      <c r="G72">
        <v>2</v>
      </c>
      <c r="H72">
        <v>473</v>
      </c>
    </row>
    <row r="73" spans="1:8" x14ac:dyDescent="0.3">
      <c r="A73">
        <v>10319</v>
      </c>
      <c r="B73" s="1" t="s">
        <v>351</v>
      </c>
      <c r="C73">
        <v>7</v>
      </c>
      <c r="D73" s="2">
        <v>41549</v>
      </c>
      <c r="E73" s="2">
        <v>41577</v>
      </c>
      <c r="F73" s="2">
        <v>41558</v>
      </c>
      <c r="G73">
        <v>3</v>
      </c>
      <c r="H73">
        <v>645</v>
      </c>
    </row>
    <row r="74" spans="1:8" x14ac:dyDescent="0.3">
      <c r="A74">
        <v>10320</v>
      </c>
      <c r="B74" s="1" t="s">
        <v>377</v>
      </c>
      <c r="C74">
        <v>5</v>
      </c>
      <c r="D74" s="2">
        <v>41550</v>
      </c>
      <c r="E74" s="2">
        <v>41564</v>
      </c>
      <c r="F74" s="2">
        <v>41565</v>
      </c>
      <c r="G74">
        <v>3</v>
      </c>
      <c r="H74">
        <v>3457</v>
      </c>
    </row>
    <row r="75" spans="1:8" x14ac:dyDescent="0.3">
      <c r="A75">
        <v>10321</v>
      </c>
      <c r="B75" s="1" t="s">
        <v>191</v>
      </c>
      <c r="C75">
        <v>3</v>
      </c>
      <c r="D75" s="2">
        <v>41550</v>
      </c>
      <c r="E75" s="2">
        <v>41578</v>
      </c>
      <c r="F75" s="2">
        <v>41558</v>
      </c>
      <c r="G75">
        <v>2</v>
      </c>
      <c r="H75">
        <v>343</v>
      </c>
    </row>
    <row r="76" spans="1:8" x14ac:dyDescent="0.3">
      <c r="A76">
        <v>10322</v>
      </c>
      <c r="B76" s="1" t="s">
        <v>270</v>
      </c>
      <c r="C76">
        <v>7</v>
      </c>
      <c r="D76" s="2">
        <v>41551</v>
      </c>
      <c r="E76" s="2">
        <v>41579</v>
      </c>
      <c r="F76" s="2">
        <v>41570</v>
      </c>
      <c r="G76">
        <v>3</v>
      </c>
      <c r="H76">
        <v>4</v>
      </c>
    </row>
    <row r="77" spans="1:8" x14ac:dyDescent="0.3">
      <c r="A77">
        <v>10323</v>
      </c>
      <c r="B77" s="1" t="s">
        <v>195</v>
      </c>
      <c r="C77">
        <v>4</v>
      </c>
      <c r="D77" s="2">
        <v>41554</v>
      </c>
      <c r="E77" s="2">
        <v>41582</v>
      </c>
      <c r="F77" s="2">
        <v>41561</v>
      </c>
      <c r="G77">
        <v>1</v>
      </c>
      <c r="H77">
        <v>488</v>
      </c>
    </row>
    <row r="78" spans="1:8" x14ac:dyDescent="0.3">
      <c r="A78">
        <v>10324</v>
      </c>
      <c r="B78" s="1" t="s">
        <v>317</v>
      </c>
      <c r="C78">
        <v>9</v>
      </c>
      <c r="D78" s="2">
        <v>41555</v>
      </c>
      <c r="E78" s="2">
        <v>41583</v>
      </c>
      <c r="F78" s="2">
        <v>41557</v>
      </c>
      <c r="G78">
        <v>1</v>
      </c>
      <c r="H78">
        <v>21427</v>
      </c>
    </row>
    <row r="79" spans="1:8" x14ac:dyDescent="0.3">
      <c r="A79">
        <v>10325</v>
      </c>
      <c r="B79" s="1" t="s">
        <v>195</v>
      </c>
      <c r="C79">
        <v>1</v>
      </c>
      <c r="D79" s="2">
        <v>41556</v>
      </c>
      <c r="E79" s="2">
        <v>41570</v>
      </c>
      <c r="F79" s="2">
        <v>41561</v>
      </c>
      <c r="G79">
        <v>3</v>
      </c>
      <c r="H79">
        <v>6486</v>
      </c>
    </row>
    <row r="80" spans="1:8" x14ac:dyDescent="0.3">
      <c r="A80">
        <v>10326</v>
      </c>
      <c r="B80" s="1" t="s">
        <v>61</v>
      </c>
      <c r="C80">
        <v>4</v>
      </c>
      <c r="D80" s="2">
        <v>41557</v>
      </c>
      <c r="E80" s="2">
        <v>41585</v>
      </c>
      <c r="F80" s="2">
        <v>41561</v>
      </c>
      <c r="G80">
        <v>2</v>
      </c>
      <c r="H80">
        <v>7792</v>
      </c>
    </row>
    <row r="81" spans="1:8" x14ac:dyDescent="0.3">
      <c r="A81">
        <v>10327</v>
      </c>
      <c r="B81" s="1" t="s">
        <v>131</v>
      </c>
      <c r="C81">
        <v>2</v>
      </c>
      <c r="D81" s="2">
        <v>41558</v>
      </c>
      <c r="E81" s="2">
        <v>41586</v>
      </c>
      <c r="F81" s="2">
        <v>41561</v>
      </c>
      <c r="G81">
        <v>1</v>
      </c>
      <c r="H81">
        <v>6336</v>
      </c>
    </row>
    <row r="82" spans="1:8" x14ac:dyDescent="0.3">
      <c r="A82">
        <v>10328</v>
      </c>
      <c r="B82" s="1" t="s">
        <v>147</v>
      </c>
      <c r="C82">
        <v>4</v>
      </c>
      <c r="D82" s="2">
        <v>41561</v>
      </c>
      <c r="E82" s="2">
        <v>41589</v>
      </c>
      <c r="F82" s="2">
        <v>41564</v>
      </c>
      <c r="G82">
        <v>3</v>
      </c>
      <c r="H82">
        <v>8703</v>
      </c>
    </row>
    <row r="83" spans="1:8" x14ac:dyDescent="0.3">
      <c r="A83">
        <v>10329</v>
      </c>
      <c r="B83" s="1" t="s">
        <v>332</v>
      </c>
      <c r="C83">
        <v>4</v>
      </c>
      <c r="D83" s="2">
        <v>41562</v>
      </c>
      <c r="E83" s="2">
        <v>41604</v>
      </c>
      <c r="F83" s="2">
        <v>41570</v>
      </c>
      <c r="G83">
        <v>2</v>
      </c>
      <c r="H83">
        <v>19167</v>
      </c>
    </row>
    <row r="84" spans="1:8" x14ac:dyDescent="0.3">
      <c r="A84">
        <v>10330</v>
      </c>
      <c r="B84" s="1" t="s">
        <v>223</v>
      </c>
      <c r="C84">
        <v>3</v>
      </c>
      <c r="D84" s="2">
        <v>41563</v>
      </c>
      <c r="E84" s="2">
        <v>41591</v>
      </c>
      <c r="F84" s="2">
        <v>41575</v>
      </c>
      <c r="G84">
        <v>1</v>
      </c>
      <c r="H84">
        <v>1275</v>
      </c>
    </row>
    <row r="85" spans="1:8" x14ac:dyDescent="0.3">
      <c r="A85">
        <v>10331</v>
      </c>
      <c r="B85" s="1" t="s">
        <v>66</v>
      </c>
      <c r="C85">
        <v>9</v>
      </c>
      <c r="D85" s="2">
        <v>41563</v>
      </c>
      <c r="E85" s="2">
        <v>41605</v>
      </c>
      <c r="F85" s="2">
        <v>41568</v>
      </c>
      <c r="G85">
        <v>1</v>
      </c>
      <c r="H85">
        <v>1019</v>
      </c>
    </row>
    <row r="86" spans="1:8" x14ac:dyDescent="0.3">
      <c r="A86">
        <v>10332</v>
      </c>
      <c r="B86" s="1" t="s">
        <v>244</v>
      </c>
      <c r="C86">
        <v>3</v>
      </c>
      <c r="D86" s="2">
        <v>41564</v>
      </c>
      <c r="E86" s="2">
        <v>41606</v>
      </c>
      <c r="F86" s="2">
        <v>41568</v>
      </c>
      <c r="G86">
        <v>2</v>
      </c>
      <c r="H86">
        <v>5284</v>
      </c>
    </row>
    <row r="87" spans="1:8" x14ac:dyDescent="0.3">
      <c r="A87">
        <v>10333</v>
      </c>
      <c r="B87" s="1" t="s">
        <v>377</v>
      </c>
      <c r="C87">
        <v>5</v>
      </c>
      <c r="D87" s="2">
        <v>41565</v>
      </c>
      <c r="E87" s="2">
        <v>41593</v>
      </c>
      <c r="F87" s="2">
        <v>41572</v>
      </c>
      <c r="G87">
        <v>3</v>
      </c>
      <c r="H87">
        <v>59</v>
      </c>
    </row>
    <row r="88" spans="1:8" x14ac:dyDescent="0.3">
      <c r="A88">
        <v>10334</v>
      </c>
      <c r="B88" s="1" t="s">
        <v>365</v>
      </c>
      <c r="C88">
        <v>8</v>
      </c>
      <c r="D88" s="2">
        <v>41568</v>
      </c>
      <c r="E88" s="2">
        <v>41596</v>
      </c>
      <c r="F88" s="2">
        <v>41575</v>
      </c>
      <c r="G88">
        <v>2</v>
      </c>
      <c r="H88">
        <v>856</v>
      </c>
    </row>
    <row r="89" spans="1:8" x14ac:dyDescent="0.3">
      <c r="A89">
        <v>10335</v>
      </c>
      <c r="B89" s="1" t="s">
        <v>186</v>
      </c>
      <c r="C89">
        <v>7</v>
      </c>
      <c r="D89" s="2">
        <v>41569</v>
      </c>
      <c r="E89" s="2">
        <v>41597</v>
      </c>
      <c r="F89" s="2">
        <v>41571</v>
      </c>
      <c r="G89">
        <v>2</v>
      </c>
      <c r="H89">
        <v>4211</v>
      </c>
    </row>
    <row r="90" spans="1:8" x14ac:dyDescent="0.3">
      <c r="A90">
        <v>10336</v>
      </c>
      <c r="B90" s="1" t="s">
        <v>277</v>
      </c>
      <c r="C90">
        <v>7</v>
      </c>
      <c r="D90" s="2">
        <v>41570</v>
      </c>
      <c r="E90" s="2">
        <v>41598</v>
      </c>
      <c r="F90" s="2">
        <v>41572</v>
      </c>
      <c r="G90">
        <v>2</v>
      </c>
      <c r="H90">
        <v>1551</v>
      </c>
    </row>
    <row r="91" spans="1:8" x14ac:dyDescent="0.3">
      <c r="A91">
        <v>10337</v>
      </c>
      <c r="B91" s="1" t="s">
        <v>135</v>
      </c>
      <c r="C91">
        <v>4</v>
      </c>
      <c r="D91" s="2">
        <v>41571</v>
      </c>
      <c r="E91" s="2">
        <v>41599</v>
      </c>
      <c r="F91" s="2">
        <v>41576</v>
      </c>
      <c r="G91">
        <v>3</v>
      </c>
      <c r="H91">
        <v>10826</v>
      </c>
    </row>
    <row r="92" spans="1:8" x14ac:dyDescent="0.3">
      <c r="A92">
        <v>10338</v>
      </c>
      <c r="B92" s="1" t="s">
        <v>258</v>
      </c>
      <c r="C92">
        <v>4</v>
      </c>
      <c r="D92" s="2">
        <v>41572</v>
      </c>
      <c r="E92" s="2">
        <v>41600</v>
      </c>
      <c r="F92" s="2">
        <v>41576</v>
      </c>
      <c r="G92">
        <v>3</v>
      </c>
      <c r="H92">
        <v>8421</v>
      </c>
    </row>
    <row r="93" spans="1:8" x14ac:dyDescent="0.3">
      <c r="A93">
        <v>10339</v>
      </c>
      <c r="B93" s="1" t="s">
        <v>244</v>
      </c>
      <c r="C93">
        <v>2</v>
      </c>
      <c r="D93" s="2">
        <v>41575</v>
      </c>
      <c r="E93" s="2">
        <v>41603</v>
      </c>
      <c r="F93" s="2">
        <v>41582</v>
      </c>
      <c r="G93">
        <v>2</v>
      </c>
      <c r="H93">
        <v>1566</v>
      </c>
    </row>
    <row r="94" spans="1:8" x14ac:dyDescent="0.3">
      <c r="A94">
        <v>10340</v>
      </c>
      <c r="B94" s="1" t="s">
        <v>66</v>
      </c>
      <c r="C94">
        <v>1</v>
      </c>
      <c r="D94" s="2">
        <v>41576</v>
      </c>
      <c r="E94" s="2">
        <v>41604</v>
      </c>
      <c r="F94" s="2">
        <v>41586</v>
      </c>
      <c r="G94">
        <v>3</v>
      </c>
      <c r="H94">
        <v>16631</v>
      </c>
    </row>
    <row r="95" spans="1:8" x14ac:dyDescent="0.3">
      <c r="A95">
        <v>10341</v>
      </c>
      <c r="B95" s="1" t="s">
        <v>324</v>
      </c>
      <c r="C95">
        <v>7</v>
      </c>
      <c r="D95" s="2">
        <v>41576</v>
      </c>
      <c r="E95" s="2">
        <v>41604</v>
      </c>
      <c r="F95" s="2">
        <v>41583</v>
      </c>
      <c r="G95">
        <v>3</v>
      </c>
      <c r="H95">
        <v>2678</v>
      </c>
    </row>
    <row r="96" spans="1:8" x14ac:dyDescent="0.3">
      <c r="A96">
        <v>10342</v>
      </c>
      <c r="B96" s="1" t="s">
        <v>135</v>
      </c>
      <c r="C96">
        <v>4</v>
      </c>
      <c r="D96" s="2">
        <v>41577</v>
      </c>
      <c r="E96" s="2">
        <v>41591</v>
      </c>
      <c r="F96" s="2">
        <v>41582</v>
      </c>
      <c r="G96">
        <v>2</v>
      </c>
      <c r="H96">
        <v>5483</v>
      </c>
    </row>
    <row r="97" spans="1:8" x14ac:dyDescent="0.3">
      <c r="A97">
        <v>10343</v>
      </c>
      <c r="B97" s="1" t="s">
        <v>215</v>
      </c>
      <c r="C97">
        <v>4</v>
      </c>
      <c r="D97" s="2">
        <v>41578</v>
      </c>
      <c r="E97" s="2">
        <v>41606</v>
      </c>
      <c r="F97" s="2">
        <v>41584</v>
      </c>
      <c r="G97">
        <v>1</v>
      </c>
      <c r="H97">
        <v>11037</v>
      </c>
    </row>
    <row r="98" spans="1:8" x14ac:dyDescent="0.3">
      <c r="A98">
        <v>10344</v>
      </c>
      <c r="B98" s="1" t="s">
        <v>386</v>
      </c>
      <c r="C98">
        <v>4</v>
      </c>
      <c r="D98" s="2">
        <v>41579</v>
      </c>
      <c r="E98" s="2">
        <v>41607</v>
      </c>
      <c r="F98" s="2">
        <v>41583</v>
      </c>
      <c r="G98">
        <v>2</v>
      </c>
      <c r="H98">
        <v>2329</v>
      </c>
    </row>
    <row r="99" spans="1:8" x14ac:dyDescent="0.3">
      <c r="A99">
        <v>10345</v>
      </c>
      <c r="B99" s="1" t="s">
        <v>286</v>
      </c>
      <c r="C99">
        <v>2</v>
      </c>
      <c r="D99" s="2">
        <v>41582</v>
      </c>
      <c r="E99" s="2">
        <v>41610</v>
      </c>
      <c r="F99" s="2">
        <v>41589</v>
      </c>
      <c r="G99">
        <v>2</v>
      </c>
      <c r="H99">
        <v>24906</v>
      </c>
    </row>
    <row r="100" spans="1:8" x14ac:dyDescent="0.3">
      <c r="A100">
        <v>10346</v>
      </c>
      <c r="B100" s="1" t="s">
        <v>293</v>
      </c>
      <c r="C100">
        <v>3</v>
      </c>
      <c r="D100" s="2">
        <v>41583</v>
      </c>
      <c r="E100" s="2">
        <v>41625</v>
      </c>
      <c r="F100" s="2">
        <v>41586</v>
      </c>
      <c r="G100">
        <v>3</v>
      </c>
      <c r="H100">
        <v>14208</v>
      </c>
    </row>
    <row r="101" spans="1:8" x14ac:dyDescent="0.3">
      <c r="A101">
        <v>10347</v>
      </c>
      <c r="B101" s="1" t="s">
        <v>119</v>
      </c>
      <c r="C101">
        <v>4</v>
      </c>
      <c r="D101" s="2">
        <v>41584</v>
      </c>
      <c r="E101" s="2">
        <v>41612</v>
      </c>
      <c r="F101" s="2">
        <v>41586</v>
      </c>
      <c r="G101">
        <v>3</v>
      </c>
      <c r="H101">
        <v>31</v>
      </c>
    </row>
    <row r="102" spans="1:8" x14ac:dyDescent="0.3">
      <c r="A102">
        <v>10348</v>
      </c>
      <c r="B102" s="1" t="s">
        <v>373</v>
      </c>
      <c r="C102">
        <v>4</v>
      </c>
      <c r="D102" s="2">
        <v>41585</v>
      </c>
      <c r="E102" s="2">
        <v>41613</v>
      </c>
      <c r="F102" s="2">
        <v>41593</v>
      </c>
      <c r="G102">
        <v>2</v>
      </c>
      <c r="H102">
        <v>78</v>
      </c>
    </row>
    <row r="103" spans="1:8" x14ac:dyDescent="0.3">
      <c r="A103">
        <v>10349</v>
      </c>
      <c r="B103" s="1" t="s">
        <v>332</v>
      </c>
      <c r="C103">
        <v>7</v>
      </c>
      <c r="D103" s="2">
        <v>41586</v>
      </c>
      <c r="E103" s="2">
        <v>41614</v>
      </c>
      <c r="F103" s="2">
        <v>41593</v>
      </c>
      <c r="G103">
        <v>1</v>
      </c>
      <c r="H103">
        <v>863</v>
      </c>
    </row>
    <row r="104" spans="1:8" x14ac:dyDescent="0.3">
      <c r="A104">
        <v>10350</v>
      </c>
      <c r="B104" s="1" t="s">
        <v>203</v>
      </c>
      <c r="C104">
        <v>6</v>
      </c>
      <c r="D104" s="2">
        <v>41589</v>
      </c>
      <c r="E104" s="2">
        <v>41617</v>
      </c>
      <c r="F104" s="2">
        <v>41611</v>
      </c>
      <c r="G104">
        <v>2</v>
      </c>
      <c r="H104">
        <v>6419</v>
      </c>
    </row>
    <row r="105" spans="1:8" x14ac:dyDescent="0.3">
      <c r="A105">
        <v>10351</v>
      </c>
      <c r="B105" s="1" t="s">
        <v>113</v>
      </c>
      <c r="C105">
        <v>1</v>
      </c>
      <c r="D105" s="2">
        <v>41589</v>
      </c>
      <c r="E105" s="2">
        <v>41617</v>
      </c>
      <c r="F105" s="2">
        <v>41598</v>
      </c>
      <c r="G105">
        <v>1</v>
      </c>
      <c r="H105">
        <v>16233</v>
      </c>
    </row>
    <row r="106" spans="1:8" x14ac:dyDescent="0.3">
      <c r="A106">
        <v>10352</v>
      </c>
      <c r="B106" s="1" t="s">
        <v>147</v>
      </c>
      <c r="C106">
        <v>3</v>
      </c>
      <c r="D106" s="2">
        <v>41590</v>
      </c>
      <c r="E106" s="2">
        <v>41604</v>
      </c>
      <c r="F106" s="2">
        <v>41596</v>
      </c>
      <c r="G106">
        <v>3</v>
      </c>
      <c r="H106">
        <v>13</v>
      </c>
    </row>
    <row r="107" spans="1:8" x14ac:dyDescent="0.3">
      <c r="A107">
        <v>10353</v>
      </c>
      <c r="B107" s="1" t="s">
        <v>273</v>
      </c>
      <c r="C107">
        <v>7</v>
      </c>
      <c r="D107" s="2">
        <v>41591</v>
      </c>
      <c r="E107" s="2">
        <v>41619</v>
      </c>
      <c r="F107" s="2">
        <v>41603</v>
      </c>
      <c r="G107">
        <v>3</v>
      </c>
      <c r="H107">
        <v>36063</v>
      </c>
    </row>
    <row r="108" spans="1:8" x14ac:dyDescent="0.3">
      <c r="A108">
        <v>10354</v>
      </c>
      <c r="B108" s="1" t="s">
        <v>270</v>
      </c>
      <c r="C108">
        <v>8</v>
      </c>
      <c r="D108" s="2">
        <v>41592</v>
      </c>
      <c r="E108" s="2">
        <v>41620</v>
      </c>
      <c r="F108" s="2">
        <v>41598</v>
      </c>
      <c r="G108">
        <v>3</v>
      </c>
      <c r="H108">
        <v>538</v>
      </c>
    </row>
    <row r="109" spans="1:8" x14ac:dyDescent="0.3">
      <c r="A109">
        <v>10355</v>
      </c>
      <c r="B109" s="1" t="s">
        <v>40</v>
      </c>
      <c r="C109">
        <v>6</v>
      </c>
      <c r="D109" s="2">
        <v>41593</v>
      </c>
      <c r="E109" s="2">
        <v>41621</v>
      </c>
      <c r="F109" s="2">
        <v>41598</v>
      </c>
      <c r="G109">
        <v>1</v>
      </c>
      <c r="H109">
        <v>4195</v>
      </c>
    </row>
    <row r="110" spans="1:8" x14ac:dyDescent="0.3">
      <c r="A110">
        <v>10356</v>
      </c>
      <c r="B110" s="1" t="s">
        <v>373</v>
      </c>
      <c r="C110">
        <v>6</v>
      </c>
      <c r="D110" s="2">
        <v>41596</v>
      </c>
      <c r="E110" s="2">
        <v>41624</v>
      </c>
      <c r="F110" s="2">
        <v>41605</v>
      </c>
      <c r="G110">
        <v>2</v>
      </c>
      <c r="H110">
        <v>3671</v>
      </c>
    </row>
    <row r="111" spans="1:8" x14ac:dyDescent="0.3">
      <c r="A111">
        <v>10357</v>
      </c>
      <c r="B111" s="1" t="s">
        <v>223</v>
      </c>
      <c r="C111">
        <v>1</v>
      </c>
      <c r="D111" s="2">
        <v>41597</v>
      </c>
      <c r="E111" s="2">
        <v>41625</v>
      </c>
      <c r="F111" s="2">
        <v>41610</v>
      </c>
      <c r="G111">
        <v>3</v>
      </c>
      <c r="H111">
        <v>3488</v>
      </c>
    </row>
    <row r="112" spans="1:8" x14ac:dyDescent="0.3">
      <c r="A112">
        <v>10358</v>
      </c>
      <c r="B112" s="1" t="s">
        <v>203</v>
      </c>
      <c r="C112">
        <v>5</v>
      </c>
      <c r="D112" s="2">
        <v>41598</v>
      </c>
      <c r="E112" s="2">
        <v>41626</v>
      </c>
      <c r="F112" s="2">
        <v>41605</v>
      </c>
      <c r="G112">
        <v>1</v>
      </c>
      <c r="H112">
        <v>1964</v>
      </c>
    </row>
    <row r="113" spans="1:8" x14ac:dyDescent="0.3">
      <c r="A113">
        <v>10359</v>
      </c>
      <c r="B113" s="1" t="s">
        <v>321</v>
      </c>
      <c r="C113">
        <v>5</v>
      </c>
      <c r="D113" s="2">
        <v>41599</v>
      </c>
      <c r="E113" s="2">
        <v>41627</v>
      </c>
      <c r="F113" s="2">
        <v>41604</v>
      </c>
      <c r="G113">
        <v>3</v>
      </c>
      <c r="H113">
        <v>28843</v>
      </c>
    </row>
    <row r="114" spans="1:8" x14ac:dyDescent="0.3">
      <c r="A114">
        <v>10360</v>
      </c>
      <c r="B114" s="1" t="s">
        <v>55</v>
      </c>
      <c r="C114">
        <v>4</v>
      </c>
      <c r="D114" s="2">
        <v>41600</v>
      </c>
      <c r="E114" s="2">
        <v>41628</v>
      </c>
      <c r="F114" s="2">
        <v>41610</v>
      </c>
      <c r="G114">
        <v>3</v>
      </c>
      <c r="H114">
        <v>1317</v>
      </c>
    </row>
    <row r="115" spans="1:8" x14ac:dyDescent="0.3">
      <c r="A115">
        <v>10361</v>
      </c>
      <c r="B115" s="1" t="s">
        <v>286</v>
      </c>
      <c r="C115">
        <v>1</v>
      </c>
      <c r="D115" s="2">
        <v>41600</v>
      </c>
      <c r="E115" s="2">
        <v>41628</v>
      </c>
      <c r="F115" s="2">
        <v>41611</v>
      </c>
      <c r="G115">
        <v>2</v>
      </c>
      <c r="H115">
        <v>18317</v>
      </c>
    </row>
    <row r="116" spans="1:8" x14ac:dyDescent="0.3">
      <c r="A116">
        <v>10362</v>
      </c>
      <c r="B116" s="1" t="s">
        <v>66</v>
      </c>
      <c r="C116">
        <v>3</v>
      </c>
      <c r="D116" s="2">
        <v>41603</v>
      </c>
      <c r="E116" s="2">
        <v>41631</v>
      </c>
      <c r="F116" s="2">
        <v>41606</v>
      </c>
      <c r="G116">
        <v>1</v>
      </c>
      <c r="H116">
        <v>9604</v>
      </c>
    </row>
    <row r="117" spans="1:8" x14ac:dyDescent="0.3">
      <c r="A117">
        <v>10363</v>
      </c>
      <c r="B117" s="1" t="s">
        <v>102</v>
      </c>
      <c r="C117">
        <v>4</v>
      </c>
      <c r="D117" s="2">
        <v>41604</v>
      </c>
      <c r="E117" s="2">
        <v>41632</v>
      </c>
      <c r="F117" s="2">
        <v>41612</v>
      </c>
      <c r="G117">
        <v>3</v>
      </c>
      <c r="H117">
        <v>3054</v>
      </c>
    </row>
    <row r="118" spans="1:8" x14ac:dyDescent="0.3">
      <c r="A118">
        <v>10364</v>
      </c>
      <c r="B118" s="1" t="s">
        <v>110</v>
      </c>
      <c r="C118">
        <v>1</v>
      </c>
      <c r="D118" s="2">
        <v>41604</v>
      </c>
      <c r="E118" s="2">
        <v>41646</v>
      </c>
      <c r="F118" s="2">
        <v>41612</v>
      </c>
      <c r="G118">
        <v>1</v>
      </c>
      <c r="H118">
        <v>7197</v>
      </c>
    </row>
    <row r="119" spans="1:8" x14ac:dyDescent="0.3">
      <c r="A119">
        <v>10365</v>
      </c>
      <c r="B119" s="1" t="s">
        <v>37</v>
      </c>
      <c r="C119">
        <v>3</v>
      </c>
      <c r="D119" s="2">
        <v>41605</v>
      </c>
      <c r="E119" s="2">
        <v>41633</v>
      </c>
      <c r="F119" s="2">
        <v>41610</v>
      </c>
      <c r="G119">
        <v>2</v>
      </c>
      <c r="H119">
        <v>22</v>
      </c>
    </row>
    <row r="120" spans="1:8" x14ac:dyDescent="0.3">
      <c r="A120">
        <v>10366</v>
      </c>
      <c r="B120" s="1" t="s">
        <v>152</v>
      </c>
      <c r="C120">
        <v>8</v>
      </c>
      <c r="D120" s="2">
        <v>41606</v>
      </c>
      <c r="E120" s="2">
        <v>41648</v>
      </c>
      <c r="F120" s="2">
        <v>41638</v>
      </c>
      <c r="G120">
        <v>2</v>
      </c>
      <c r="H120">
        <v>1014</v>
      </c>
    </row>
    <row r="121" spans="1:8" x14ac:dyDescent="0.3">
      <c r="A121">
        <v>10367</v>
      </c>
      <c r="B121" s="1" t="s">
        <v>361</v>
      </c>
      <c r="C121">
        <v>7</v>
      </c>
      <c r="D121" s="2">
        <v>41606</v>
      </c>
      <c r="E121" s="2">
        <v>41634</v>
      </c>
      <c r="F121" s="2">
        <v>41610</v>
      </c>
      <c r="G121">
        <v>3</v>
      </c>
      <c r="H121">
        <v>1355</v>
      </c>
    </row>
    <row r="122" spans="1:8" x14ac:dyDescent="0.3">
      <c r="A122">
        <v>10368</v>
      </c>
      <c r="B122" s="1" t="s">
        <v>113</v>
      </c>
      <c r="C122">
        <v>2</v>
      </c>
      <c r="D122" s="2">
        <v>41607</v>
      </c>
      <c r="E122" s="2">
        <v>41635</v>
      </c>
      <c r="F122" s="2">
        <v>41610</v>
      </c>
      <c r="G122">
        <v>2</v>
      </c>
      <c r="H122">
        <v>10195</v>
      </c>
    </row>
    <row r="123" spans="1:8" x14ac:dyDescent="0.3">
      <c r="A123">
        <v>10369</v>
      </c>
      <c r="B123" s="1" t="s">
        <v>332</v>
      </c>
      <c r="C123">
        <v>8</v>
      </c>
      <c r="D123" s="2">
        <v>41610</v>
      </c>
      <c r="E123" s="2">
        <v>41638</v>
      </c>
      <c r="F123" s="2">
        <v>41617</v>
      </c>
      <c r="G123">
        <v>2</v>
      </c>
      <c r="H123">
        <v>19568</v>
      </c>
    </row>
    <row r="124" spans="1:8" x14ac:dyDescent="0.3">
      <c r="A124">
        <v>10370</v>
      </c>
      <c r="B124" s="1" t="s">
        <v>88</v>
      </c>
      <c r="C124">
        <v>6</v>
      </c>
      <c r="D124" s="2">
        <v>41611</v>
      </c>
      <c r="E124" s="2">
        <v>41639</v>
      </c>
      <c r="F124" s="2">
        <v>41635</v>
      </c>
      <c r="G124">
        <v>2</v>
      </c>
      <c r="H124">
        <v>117</v>
      </c>
    </row>
    <row r="125" spans="1:8" x14ac:dyDescent="0.3">
      <c r="A125">
        <v>10371</v>
      </c>
      <c r="B125" s="1" t="s">
        <v>203</v>
      </c>
      <c r="C125">
        <v>1</v>
      </c>
      <c r="D125" s="2">
        <v>41611</v>
      </c>
      <c r="E125" s="2">
        <v>41639</v>
      </c>
      <c r="F125" s="2">
        <v>41632</v>
      </c>
      <c r="G125">
        <v>1</v>
      </c>
      <c r="H125">
        <v>45</v>
      </c>
    </row>
    <row r="126" spans="1:8" x14ac:dyDescent="0.3">
      <c r="A126">
        <v>10372</v>
      </c>
      <c r="B126" s="1" t="s">
        <v>283</v>
      </c>
      <c r="C126">
        <v>5</v>
      </c>
      <c r="D126" s="2">
        <v>41612</v>
      </c>
      <c r="E126" s="2">
        <v>41640</v>
      </c>
      <c r="F126" s="2">
        <v>41617</v>
      </c>
      <c r="G126">
        <v>2</v>
      </c>
      <c r="H126">
        <v>89078</v>
      </c>
    </row>
    <row r="127" spans="1:8" x14ac:dyDescent="0.3">
      <c r="A127">
        <v>10373</v>
      </c>
      <c r="B127" s="1" t="s">
        <v>186</v>
      </c>
      <c r="C127">
        <v>4</v>
      </c>
      <c r="D127" s="2">
        <v>41613</v>
      </c>
      <c r="E127" s="2">
        <v>41641</v>
      </c>
      <c r="F127" s="2">
        <v>41619</v>
      </c>
      <c r="G127">
        <v>3</v>
      </c>
      <c r="H127">
        <v>12412</v>
      </c>
    </row>
    <row r="128" spans="1:8" x14ac:dyDescent="0.3">
      <c r="A128">
        <v>10374</v>
      </c>
      <c r="B128" s="1" t="s">
        <v>395</v>
      </c>
      <c r="C128">
        <v>1</v>
      </c>
      <c r="D128" s="2">
        <v>41613</v>
      </c>
      <c r="E128" s="2">
        <v>41641</v>
      </c>
      <c r="F128" s="2">
        <v>41617</v>
      </c>
      <c r="G128">
        <v>3</v>
      </c>
      <c r="H128">
        <v>394</v>
      </c>
    </row>
    <row r="129" spans="1:8" x14ac:dyDescent="0.3">
      <c r="A129">
        <v>10375</v>
      </c>
      <c r="B129" s="1" t="s">
        <v>182</v>
      </c>
      <c r="C129">
        <v>3</v>
      </c>
      <c r="D129" s="2">
        <v>41614</v>
      </c>
      <c r="E129" s="2">
        <v>41642</v>
      </c>
      <c r="F129" s="2">
        <v>41617</v>
      </c>
      <c r="G129">
        <v>2</v>
      </c>
      <c r="H129">
        <v>2012</v>
      </c>
    </row>
    <row r="130" spans="1:8" x14ac:dyDescent="0.3">
      <c r="A130">
        <v>10376</v>
      </c>
      <c r="B130" s="1" t="s">
        <v>244</v>
      </c>
      <c r="C130">
        <v>1</v>
      </c>
      <c r="D130" s="2">
        <v>41617</v>
      </c>
      <c r="E130" s="2">
        <v>41645</v>
      </c>
      <c r="F130" s="2">
        <v>41621</v>
      </c>
      <c r="G130">
        <v>2</v>
      </c>
      <c r="H130">
        <v>2039</v>
      </c>
    </row>
    <row r="131" spans="1:8" x14ac:dyDescent="0.3">
      <c r="A131">
        <v>10377</v>
      </c>
      <c r="B131" s="1" t="s">
        <v>321</v>
      </c>
      <c r="C131">
        <v>1</v>
      </c>
      <c r="D131" s="2">
        <v>41617</v>
      </c>
      <c r="E131" s="2">
        <v>41645</v>
      </c>
      <c r="F131" s="2">
        <v>41621</v>
      </c>
      <c r="G131">
        <v>3</v>
      </c>
      <c r="H131">
        <v>2221</v>
      </c>
    </row>
    <row r="132" spans="1:8" x14ac:dyDescent="0.3">
      <c r="A132">
        <v>10378</v>
      </c>
      <c r="B132" s="1" t="s">
        <v>131</v>
      </c>
      <c r="C132">
        <v>5</v>
      </c>
      <c r="D132" s="2">
        <v>41618</v>
      </c>
      <c r="E132" s="2">
        <v>41646</v>
      </c>
      <c r="F132" s="2">
        <v>41627</v>
      </c>
      <c r="G132">
        <v>3</v>
      </c>
      <c r="H132">
        <v>544</v>
      </c>
    </row>
    <row r="133" spans="1:8" x14ac:dyDescent="0.3">
      <c r="A133">
        <v>10379</v>
      </c>
      <c r="B133" s="1" t="s">
        <v>280</v>
      </c>
      <c r="C133">
        <v>2</v>
      </c>
      <c r="D133" s="2">
        <v>41619</v>
      </c>
      <c r="E133" s="2">
        <v>41647</v>
      </c>
      <c r="F133" s="2">
        <v>41621</v>
      </c>
      <c r="G133">
        <v>1</v>
      </c>
      <c r="H133">
        <v>4503</v>
      </c>
    </row>
    <row r="134" spans="1:8" x14ac:dyDescent="0.3">
      <c r="A134">
        <v>10380</v>
      </c>
      <c r="B134" s="1" t="s">
        <v>186</v>
      </c>
      <c r="C134">
        <v>8</v>
      </c>
      <c r="D134" s="2">
        <v>41620</v>
      </c>
      <c r="E134" s="2">
        <v>41648</v>
      </c>
      <c r="F134" s="2">
        <v>41655</v>
      </c>
      <c r="G134">
        <v>3</v>
      </c>
      <c r="H134">
        <v>3503</v>
      </c>
    </row>
    <row r="135" spans="1:8" x14ac:dyDescent="0.3">
      <c r="A135">
        <v>10381</v>
      </c>
      <c r="B135" s="1" t="s">
        <v>223</v>
      </c>
      <c r="C135">
        <v>3</v>
      </c>
      <c r="D135" s="2">
        <v>41620</v>
      </c>
      <c r="E135" s="2">
        <v>41648</v>
      </c>
      <c r="F135" s="2">
        <v>41621</v>
      </c>
      <c r="G135">
        <v>3</v>
      </c>
      <c r="H135">
        <v>799</v>
      </c>
    </row>
    <row r="136" spans="1:8" x14ac:dyDescent="0.3">
      <c r="A136">
        <v>10382</v>
      </c>
      <c r="B136" s="1" t="s">
        <v>113</v>
      </c>
      <c r="C136">
        <v>4</v>
      </c>
      <c r="D136" s="2">
        <v>41621</v>
      </c>
      <c r="E136" s="2">
        <v>41649</v>
      </c>
      <c r="F136" s="2">
        <v>41624</v>
      </c>
      <c r="G136">
        <v>1</v>
      </c>
      <c r="H136">
        <v>9477</v>
      </c>
    </row>
    <row r="137" spans="1:8" x14ac:dyDescent="0.3">
      <c r="A137">
        <v>10383</v>
      </c>
      <c r="B137" s="1" t="s">
        <v>40</v>
      </c>
      <c r="C137">
        <v>8</v>
      </c>
      <c r="D137" s="2">
        <v>41624</v>
      </c>
      <c r="E137" s="2">
        <v>41652</v>
      </c>
      <c r="F137" s="2">
        <v>41626</v>
      </c>
      <c r="G137">
        <v>3</v>
      </c>
      <c r="H137">
        <v>3424</v>
      </c>
    </row>
    <row r="138" spans="1:8" x14ac:dyDescent="0.3">
      <c r="A138">
        <v>10384</v>
      </c>
      <c r="B138" s="1" t="s">
        <v>45</v>
      </c>
      <c r="C138">
        <v>3</v>
      </c>
      <c r="D138" s="2">
        <v>41624</v>
      </c>
      <c r="E138" s="2">
        <v>41652</v>
      </c>
      <c r="F138" s="2">
        <v>41628</v>
      </c>
      <c r="G138">
        <v>3</v>
      </c>
      <c r="H138">
        <v>16864</v>
      </c>
    </row>
    <row r="139" spans="1:8" x14ac:dyDescent="0.3">
      <c r="A139">
        <v>10385</v>
      </c>
      <c r="B139" s="1" t="s">
        <v>332</v>
      </c>
      <c r="C139">
        <v>1</v>
      </c>
      <c r="D139" s="2">
        <v>41625</v>
      </c>
      <c r="E139" s="2">
        <v>41653</v>
      </c>
      <c r="F139" s="2">
        <v>41631</v>
      </c>
      <c r="G139">
        <v>2</v>
      </c>
      <c r="H139">
        <v>3096</v>
      </c>
    </row>
    <row r="140" spans="1:8" x14ac:dyDescent="0.3">
      <c r="A140">
        <v>10386</v>
      </c>
      <c r="B140" s="1" t="s">
        <v>119</v>
      </c>
      <c r="C140">
        <v>9</v>
      </c>
      <c r="D140" s="2">
        <v>41626</v>
      </c>
      <c r="E140" s="2">
        <v>41640</v>
      </c>
      <c r="F140" s="2">
        <v>41633</v>
      </c>
      <c r="G140">
        <v>3</v>
      </c>
      <c r="H140">
        <v>1399</v>
      </c>
    </row>
    <row r="141" spans="1:8" x14ac:dyDescent="0.3">
      <c r="A141">
        <v>10387</v>
      </c>
      <c r="B141" s="1" t="s">
        <v>312</v>
      </c>
      <c r="C141">
        <v>1</v>
      </c>
      <c r="D141" s="2">
        <v>41626</v>
      </c>
      <c r="E141" s="2">
        <v>41654</v>
      </c>
      <c r="F141" s="2">
        <v>41628</v>
      </c>
      <c r="G141">
        <v>2</v>
      </c>
      <c r="H141">
        <v>9363</v>
      </c>
    </row>
    <row r="142" spans="1:8" x14ac:dyDescent="0.3">
      <c r="A142">
        <v>10388</v>
      </c>
      <c r="B142" s="1" t="s">
        <v>321</v>
      </c>
      <c r="C142">
        <v>2</v>
      </c>
      <c r="D142" s="2">
        <v>41627</v>
      </c>
      <c r="E142" s="2">
        <v>41655</v>
      </c>
      <c r="F142" s="2">
        <v>41628</v>
      </c>
      <c r="G142">
        <v>1</v>
      </c>
      <c r="H142">
        <v>3486</v>
      </c>
    </row>
    <row r="143" spans="1:8" x14ac:dyDescent="0.3">
      <c r="A143">
        <v>10389</v>
      </c>
      <c r="B143" s="1" t="s">
        <v>70</v>
      </c>
      <c r="C143">
        <v>4</v>
      </c>
      <c r="D143" s="2">
        <v>41628</v>
      </c>
      <c r="E143" s="2">
        <v>41656</v>
      </c>
      <c r="F143" s="2">
        <v>41632</v>
      </c>
      <c r="G143">
        <v>2</v>
      </c>
      <c r="H143">
        <v>4742</v>
      </c>
    </row>
    <row r="144" spans="1:8" x14ac:dyDescent="0.3">
      <c r="A144">
        <v>10390</v>
      </c>
      <c r="B144" s="1" t="s">
        <v>113</v>
      </c>
      <c r="C144">
        <v>6</v>
      </c>
      <c r="D144" s="2">
        <v>41631</v>
      </c>
      <c r="E144" s="2">
        <v>41659</v>
      </c>
      <c r="F144" s="2">
        <v>41634</v>
      </c>
      <c r="G144">
        <v>1</v>
      </c>
      <c r="H144">
        <v>12638</v>
      </c>
    </row>
    <row r="145" spans="1:8" x14ac:dyDescent="0.3">
      <c r="A145">
        <v>10391</v>
      </c>
      <c r="B145" s="1" t="s">
        <v>102</v>
      </c>
      <c r="C145">
        <v>3</v>
      </c>
      <c r="D145" s="2">
        <v>41631</v>
      </c>
      <c r="E145" s="2">
        <v>41659</v>
      </c>
      <c r="F145" s="2">
        <v>41639</v>
      </c>
      <c r="G145">
        <v>3</v>
      </c>
      <c r="H145">
        <v>545</v>
      </c>
    </row>
    <row r="146" spans="1:8" x14ac:dyDescent="0.3">
      <c r="A146">
        <v>10392</v>
      </c>
      <c r="B146" s="1" t="s">
        <v>273</v>
      </c>
      <c r="C146">
        <v>2</v>
      </c>
      <c r="D146" s="2">
        <v>41632</v>
      </c>
      <c r="E146" s="2">
        <v>41660</v>
      </c>
      <c r="F146" s="2">
        <v>41640</v>
      </c>
      <c r="G146">
        <v>3</v>
      </c>
      <c r="H146">
        <v>12246</v>
      </c>
    </row>
    <row r="147" spans="1:8" x14ac:dyDescent="0.3">
      <c r="A147">
        <v>10393</v>
      </c>
      <c r="B147" s="1" t="s">
        <v>317</v>
      </c>
      <c r="C147">
        <v>1</v>
      </c>
      <c r="D147" s="2">
        <v>41633</v>
      </c>
      <c r="E147" s="2">
        <v>41661</v>
      </c>
      <c r="F147" s="2">
        <v>41642</v>
      </c>
      <c r="G147">
        <v>3</v>
      </c>
      <c r="H147">
        <v>12656</v>
      </c>
    </row>
    <row r="148" spans="1:8" x14ac:dyDescent="0.3">
      <c r="A148">
        <v>10394</v>
      </c>
      <c r="B148" s="1" t="s">
        <v>182</v>
      </c>
      <c r="C148">
        <v>1</v>
      </c>
      <c r="D148" s="2">
        <v>41633</v>
      </c>
      <c r="E148" s="2">
        <v>41661</v>
      </c>
      <c r="F148" s="2">
        <v>41642</v>
      </c>
      <c r="G148">
        <v>3</v>
      </c>
      <c r="H148">
        <v>3034</v>
      </c>
    </row>
    <row r="149" spans="1:8" x14ac:dyDescent="0.3">
      <c r="A149">
        <v>10395</v>
      </c>
      <c r="B149" s="1" t="s">
        <v>178</v>
      </c>
      <c r="C149">
        <v>6</v>
      </c>
      <c r="D149" s="2">
        <v>41634</v>
      </c>
      <c r="E149" s="2">
        <v>41662</v>
      </c>
      <c r="F149" s="2">
        <v>41642</v>
      </c>
      <c r="G149">
        <v>1</v>
      </c>
      <c r="H149">
        <v>18441</v>
      </c>
    </row>
    <row r="150" spans="1:8" x14ac:dyDescent="0.3">
      <c r="A150">
        <v>10396</v>
      </c>
      <c r="B150" s="1" t="s">
        <v>135</v>
      </c>
      <c r="C150">
        <v>1</v>
      </c>
      <c r="D150" s="2">
        <v>41635</v>
      </c>
      <c r="E150" s="2">
        <v>41649</v>
      </c>
      <c r="F150" s="2">
        <v>41645</v>
      </c>
      <c r="G150">
        <v>3</v>
      </c>
      <c r="H150">
        <v>13535</v>
      </c>
    </row>
    <row r="151" spans="1:8" x14ac:dyDescent="0.3">
      <c r="A151">
        <v>10397</v>
      </c>
      <c r="B151" s="1" t="s">
        <v>277</v>
      </c>
      <c r="C151">
        <v>5</v>
      </c>
      <c r="D151" s="2">
        <v>41635</v>
      </c>
      <c r="E151" s="2">
        <v>41663</v>
      </c>
      <c r="F151" s="2">
        <v>41641</v>
      </c>
      <c r="G151">
        <v>1</v>
      </c>
      <c r="H151">
        <v>6026</v>
      </c>
    </row>
    <row r="152" spans="1:8" x14ac:dyDescent="0.3">
      <c r="A152">
        <v>10398</v>
      </c>
      <c r="B152" s="1" t="s">
        <v>317</v>
      </c>
      <c r="C152">
        <v>2</v>
      </c>
      <c r="D152" s="2">
        <v>41638</v>
      </c>
      <c r="E152" s="2">
        <v>41666</v>
      </c>
      <c r="F152" s="2">
        <v>41648</v>
      </c>
      <c r="G152">
        <v>3</v>
      </c>
      <c r="H152">
        <v>8916</v>
      </c>
    </row>
    <row r="153" spans="1:8" x14ac:dyDescent="0.3">
      <c r="A153">
        <v>10399</v>
      </c>
      <c r="B153" s="1" t="s">
        <v>361</v>
      </c>
      <c r="C153">
        <v>8</v>
      </c>
      <c r="D153" s="2">
        <v>41639</v>
      </c>
      <c r="E153" s="2">
        <v>41653</v>
      </c>
      <c r="F153" s="2">
        <v>41647</v>
      </c>
      <c r="G153">
        <v>3</v>
      </c>
      <c r="H153">
        <v>2736</v>
      </c>
    </row>
    <row r="154" spans="1:8" x14ac:dyDescent="0.3">
      <c r="A154">
        <v>10400</v>
      </c>
      <c r="B154" s="1" t="s">
        <v>110</v>
      </c>
      <c r="C154">
        <v>1</v>
      </c>
      <c r="D154" s="2">
        <v>41640</v>
      </c>
      <c r="E154" s="2">
        <v>41668</v>
      </c>
      <c r="F154" s="2">
        <v>41655</v>
      </c>
      <c r="G154">
        <v>3</v>
      </c>
      <c r="H154">
        <v>8393</v>
      </c>
    </row>
    <row r="155" spans="1:8" x14ac:dyDescent="0.3">
      <c r="A155">
        <v>10401</v>
      </c>
      <c r="B155" s="1" t="s">
        <v>293</v>
      </c>
      <c r="C155">
        <v>1</v>
      </c>
      <c r="D155" s="2">
        <v>41640</v>
      </c>
      <c r="E155" s="2">
        <v>41668</v>
      </c>
      <c r="F155" s="2">
        <v>41649</v>
      </c>
      <c r="G155">
        <v>1</v>
      </c>
      <c r="H155">
        <v>1251</v>
      </c>
    </row>
    <row r="156" spans="1:8" x14ac:dyDescent="0.3">
      <c r="A156">
        <v>10402</v>
      </c>
      <c r="B156" s="1" t="s">
        <v>113</v>
      </c>
      <c r="C156">
        <v>8</v>
      </c>
      <c r="D156" s="2">
        <v>41641</v>
      </c>
      <c r="E156" s="2">
        <v>41683</v>
      </c>
      <c r="F156" s="2">
        <v>41649</v>
      </c>
      <c r="G156">
        <v>2</v>
      </c>
      <c r="H156">
        <v>6788</v>
      </c>
    </row>
    <row r="157" spans="1:8" x14ac:dyDescent="0.3">
      <c r="A157">
        <v>10403</v>
      </c>
      <c r="B157" s="1" t="s">
        <v>113</v>
      </c>
      <c r="C157">
        <v>4</v>
      </c>
      <c r="D157" s="2">
        <v>41642</v>
      </c>
      <c r="E157" s="2">
        <v>41670</v>
      </c>
      <c r="F157" s="2">
        <v>41648</v>
      </c>
      <c r="G157">
        <v>3</v>
      </c>
      <c r="H157">
        <v>7379</v>
      </c>
    </row>
    <row r="158" spans="1:8" x14ac:dyDescent="0.3">
      <c r="A158">
        <v>10404</v>
      </c>
      <c r="B158" s="1" t="s">
        <v>235</v>
      </c>
      <c r="C158">
        <v>2</v>
      </c>
      <c r="D158" s="2">
        <v>41642</v>
      </c>
      <c r="E158" s="2">
        <v>41670</v>
      </c>
      <c r="F158" s="2">
        <v>41647</v>
      </c>
      <c r="G158">
        <v>1</v>
      </c>
      <c r="H158">
        <v>15597</v>
      </c>
    </row>
    <row r="159" spans="1:8" x14ac:dyDescent="0.3">
      <c r="A159">
        <v>10405</v>
      </c>
      <c r="B159" s="1" t="s">
        <v>227</v>
      </c>
      <c r="C159">
        <v>1</v>
      </c>
      <c r="D159" s="2">
        <v>41645</v>
      </c>
      <c r="E159" s="2">
        <v>41673</v>
      </c>
      <c r="F159" s="2">
        <v>41661</v>
      </c>
      <c r="G159">
        <v>1</v>
      </c>
      <c r="H159">
        <v>3482</v>
      </c>
    </row>
    <row r="160" spans="1:8" x14ac:dyDescent="0.3">
      <c r="A160">
        <v>10406</v>
      </c>
      <c r="B160" s="1" t="s">
        <v>283</v>
      </c>
      <c r="C160">
        <v>7</v>
      </c>
      <c r="D160" s="2">
        <v>41646</v>
      </c>
      <c r="E160" s="2">
        <v>41688</v>
      </c>
      <c r="F160" s="2">
        <v>41652</v>
      </c>
      <c r="G160">
        <v>1</v>
      </c>
      <c r="H160">
        <v>10804</v>
      </c>
    </row>
    <row r="161" spans="1:8" x14ac:dyDescent="0.3">
      <c r="A161">
        <v>10407</v>
      </c>
      <c r="B161" s="1" t="s">
        <v>262</v>
      </c>
      <c r="C161">
        <v>2</v>
      </c>
      <c r="D161" s="2">
        <v>41646</v>
      </c>
      <c r="E161" s="2">
        <v>41674</v>
      </c>
      <c r="F161" s="2">
        <v>41669</v>
      </c>
      <c r="G161">
        <v>2</v>
      </c>
      <c r="H161">
        <v>9148</v>
      </c>
    </row>
    <row r="162" spans="1:8" x14ac:dyDescent="0.3">
      <c r="A162">
        <v>10408</v>
      </c>
      <c r="B162" s="1" t="s">
        <v>126</v>
      </c>
      <c r="C162">
        <v>8</v>
      </c>
      <c r="D162" s="2">
        <v>41647</v>
      </c>
      <c r="E162" s="2">
        <v>41675</v>
      </c>
      <c r="F162" s="2">
        <v>41653</v>
      </c>
      <c r="G162">
        <v>1</v>
      </c>
      <c r="H162">
        <v>1126</v>
      </c>
    </row>
    <row r="163" spans="1:8" x14ac:dyDescent="0.3">
      <c r="A163">
        <v>10409</v>
      </c>
      <c r="B163" s="1" t="s">
        <v>255</v>
      </c>
      <c r="C163">
        <v>3</v>
      </c>
      <c r="D163" s="2">
        <v>41648</v>
      </c>
      <c r="E163" s="2">
        <v>41676</v>
      </c>
      <c r="F163" s="2">
        <v>41653</v>
      </c>
      <c r="G163">
        <v>1</v>
      </c>
      <c r="H163">
        <v>2983</v>
      </c>
    </row>
    <row r="164" spans="1:8" x14ac:dyDescent="0.3">
      <c r="A164">
        <v>10410</v>
      </c>
      <c r="B164" s="1" t="s">
        <v>70</v>
      </c>
      <c r="C164">
        <v>3</v>
      </c>
      <c r="D164" s="2">
        <v>41649</v>
      </c>
      <c r="E164" s="2">
        <v>41677</v>
      </c>
      <c r="F164" s="2">
        <v>41654</v>
      </c>
      <c r="G164">
        <v>3</v>
      </c>
      <c r="H164">
        <v>24</v>
      </c>
    </row>
    <row r="165" spans="1:8" x14ac:dyDescent="0.3">
      <c r="A165">
        <v>10411</v>
      </c>
      <c r="B165" s="1" t="s">
        <v>70</v>
      </c>
      <c r="C165">
        <v>9</v>
      </c>
      <c r="D165" s="2">
        <v>41649</v>
      </c>
      <c r="E165" s="2">
        <v>41677</v>
      </c>
      <c r="F165" s="2">
        <v>41660</v>
      </c>
      <c r="G165">
        <v>3</v>
      </c>
      <c r="H165">
        <v>2365</v>
      </c>
    </row>
    <row r="166" spans="1:8" x14ac:dyDescent="0.3">
      <c r="A166">
        <v>10412</v>
      </c>
      <c r="B166" s="1" t="s">
        <v>377</v>
      </c>
      <c r="C166">
        <v>8</v>
      </c>
      <c r="D166" s="2">
        <v>41652</v>
      </c>
      <c r="E166" s="2">
        <v>41680</v>
      </c>
      <c r="F166" s="2">
        <v>41654</v>
      </c>
      <c r="G166">
        <v>2</v>
      </c>
      <c r="H166">
        <v>377</v>
      </c>
    </row>
    <row r="167" spans="1:8" x14ac:dyDescent="0.3">
      <c r="A167">
        <v>10413</v>
      </c>
      <c r="B167" s="1" t="s">
        <v>203</v>
      </c>
      <c r="C167">
        <v>3</v>
      </c>
      <c r="D167" s="2">
        <v>41653</v>
      </c>
      <c r="E167" s="2">
        <v>41681</v>
      </c>
      <c r="F167" s="2">
        <v>41655</v>
      </c>
      <c r="G167">
        <v>2</v>
      </c>
      <c r="H167">
        <v>9566</v>
      </c>
    </row>
    <row r="168" spans="1:8" x14ac:dyDescent="0.3">
      <c r="A168">
        <v>10414</v>
      </c>
      <c r="B168" s="1" t="s">
        <v>119</v>
      </c>
      <c r="C168">
        <v>2</v>
      </c>
      <c r="D168" s="2">
        <v>41653</v>
      </c>
      <c r="E168" s="2">
        <v>41681</v>
      </c>
      <c r="F168" s="2">
        <v>41656</v>
      </c>
      <c r="G168">
        <v>3</v>
      </c>
      <c r="H168">
        <v>2148</v>
      </c>
    </row>
    <row r="169" spans="1:8" x14ac:dyDescent="0.3">
      <c r="A169">
        <v>10415</v>
      </c>
      <c r="B169" s="1" t="s">
        <v>182</v>
      </c>
      <c r="C169">
        <v>3</v>
      </c>
      <c r="D169" s="2">
        <v>41654</v>
      </c>
      <c r="E169" s="2">
        <v>41682</v>
      </c>
      <c r="F169" s="2">
        <v>41663</v>
      </c>
      <c r="G169">
        <v>1</v>
      </c>
      <c r="H169">
        <v>2</v>
      </c>
    </row>
    <row r="170" spans="1:8" x14ac:dyDescent="0.3">
      <c r="A170">
        <v>10416</v>
      </c>
      <c r="B170" s="1" t="s">
        <v>377</v>
      </c>
      <c r="C170">
        <v>8</v>
      </c>
      <c r="D170" s="2">
        <v>41655</v>
      </c>
      <c r="E170" s="2">
        <v>41683</v>
      </c>
      <c r="F170" s="2">
        <v>41666</v>
      </c>
      <c r="G170">
        <v>3</v>
      </c>
      <c r="H170">
        <v>2272</v>
      </c>
    </row>
    <row r="171" spans="1:8" x14ac:dyDescent="0.3">
      <c r="A171">
        <v>10417</v>
      </c>
      <c r="B171" s="1" t="s">
        <v>324</v>
      </c>
      <c r="C171">
        <v>4</v>
      </c>
      <c r="D171" s="2">
        <v>41655</v>
      </c>
      <c r="E171" s="2">
        <v>41683</v>
      </c>
      <c r="F171" s="2">
        <v>41667</v>
      </c>
      <c r="G171">
        <v>3</v>
      </c>
      <c r="H171">
        <v>7029</v>
      </c>
    </row>
    <row r="172" spans="1:8" x14ac:dyDescent="0.3">
      <c r="A172">
        <v>10418</v>
      </c>
      <c r="B172" s="1" t="s">
        <v>286</v>
      </c>
      <c r="C172">
        <v>4</v>
      </c>
      <c r="D172" s="2">
        <v>41656</v>
      </c>
      <c r="E172" s="2">
        <v>41684</v>
      </c>
      <c r="F172" s="2">
        <v>41663</v>
      </c>
      <c r="G172">
        <v>1</v>
      </c>
      <c r="H172">
        <v>1755</v>
      </c>
    </row>
    <row r="173" spans="1:8" x14ac:dyDescent="0.3">
      <c r="A173">
        <v>10419</v>
      </c>
      <c r="B173" s="1" t="s">
        <v>305</v>
      </c>
      <c r="C173">
        <v>4</v>
      </c>
      <c r="D173" s="2">
        <v>41659</v>
      </c>
      <c r="E173" s="2">
        <v>41687</v>
      </c>
      <c r="F173" s="2">
        <v>41669</v>
      </c>
      <c r="G173">
        <v>2</v>
      </c>
      <c r="H173">
        <v>13735</v>
      </c>
    </row>
    <row r="174" spans="1:8" x14ac:dyDescent="0.3">
      <c r="A174">
        <v>10420</v>
      </c>
      <c r="B174" s="1" t="s">
        <v>382</v>
      </c>
      <c r="C174">
        <v>3</v>
      </c>
      <c r="D174" s="2">
        <v>41660</v>
      </c>
      <c r="E174" s="2">
        <v>41688</v>
      </c>
      <c r="F174" s="2">
        <v>41666</v>
      </c>
      <c r="G174">
        <v>1</v>
      </c>
      <c r="H174">
        <v>4412</v>
      </c>
    </row>
    <row r="175" spans="1:8" x14ac:dyDescent="0.3">
      <c r="A175">
        <v>10421</v>
      </c>
      <c r="B175" s="1" t="s">
        <v>280</v>
      </c>
      <c r="C175">
        <v>8</v>
      </c>
      <c r="D175" s="2">
        <v>41660</v>
      </c>
      <c r="E175" s="2">
        <v>41702</v>
      </c>
      <c r="F175" s="2">
        <v>41666</v>
      </c>
      <c r="G175">
        <v>1</v>
      </c>
      <c r="H175">
        <v>9923</v>
      </c>
    </row>
    <row r="176" spans="1:8" x14ac:dyDescent="0.3">
      <c r="A176">
        <v>10422</v>
      </c>
      <c r="B176" s="1" t="s">
        <v>142</v>
      </c>
      <c r="C176">
        <v>2</v>
      </c>
      <c r="D176" s="2">
        <v>41661</v>
      </c>
      <c r="E176" s="2">
        <v>41689</v>
      </c>
      <c r="F176" s="2">
        <v>41670</v>
      </c>
      <c r="G176">
        <v>1</v>
      </c>
      <c r="H176">
        <v>302</v>
      </c>
    </row>
    <row r="177" spans="1:8" x14ac:dyDescent="0.3">
      <c r="A177">
        <v>10423</v>
      </c>
      <c r="B177" s="1" t="s">
        <v>160</v>
      </c>
      <c r="C177">
        <v>6</v>
      </c>
      <c r="D177" s="2">
        <v>41662</v>
      </c>
      <c r="E177" s="2">
        <v>41676</v>
      </c>
      <c r="F177" s="2">
        <v>41694</v>
      </c>
      <c r="G177">
        <v>3</v>
      </c>
      <c r="H177">
        <v>245</v>
      </c>
    </row>
    <row r="178" spans="1:8" x14ac:dyDescent="0.3">
      <c r="A178">
        <v>10424</v>
      </c>
      <c r="B178" s="1" t="s">
        <v>244</v>
      </c>
      <c r="C178">
        <v>7</v>
      </c>
      <c r="D178" s="2">
        <v>41662</v>
      </c>
      <c r="E178" s="2">
        <v>41690</v>
      </c>
      <c r="F178" s="2">
        <v>41666</v>
      </c>
      <c r="G178">
        <v>2</v>
      </c>
      <c r="H178">
        <v>37061</v>
      </c>
    </row>
    <row r="179" spans="1:8" x14ac:dyDescent="0.3">
      <c r="A179">
        <v>10425</v>
      </c>
      <c r="B179" s="1" t="s">
        <v>203</v>
      </c>
      <c r="C179">
        <v>6</v>
      </c>
      <c r="D179" s="2">
        <v>41663</v>
      </c>
      <c r="E179" s="2">
        <v>41691</v>
      </c>
      <c r="F179" s="2">
        <v>41684</v>
      </c>
      <c r="G179">
        <v>2</v>
      </c>
      <c r="H179">
        <v>793</v>
      </c>
    </row>
    <row r="180" spans="1:8" x14ac:dyDescent="0.3">
      <c r="A180">
        <v>10426</v>
      </c>
      <c r="B180" s="1" t="s">
        <v>152</v>
      </c>
      <c r="C180">
        <v>4</v>
      </c>
      <c r="D180" s="2">
        <v>41666</v>
      </c>
      <c r="E180" s="2">
        <v>41694</v>
      </c>
      <c r="F180" s="2">
        <v>41676</v>
      </c>
      <c r="G180">
        <v>1</v>
      </c>
      <c r="H180">
        <v>1869</v>
      </c>
    </row>
    <row r="181" spans="1:8" x14ac:dyDescent="0.3">
      <c r="A181">
        <v>10427</v>
      </c>
      <c r="B181" s="1" t="s">
        <v>273</v>
      </c>
      <c r="C181">
        <v>4</v>
      </c>
      <c r="D181" s="2">
        <v>41666</v>
      </c>
      <c r="E181" s="2">
        <v>41694</v>
      </c>
      <c r="F181" s="2">
        <v>41701</v>
      </c>
      <c r="G181">
        <v>2</v>
      </c>
      <c r="H181">
        <v>3129</v>
      </c>
    </row>
    <row r="182" spans="1:8" x14ac:dyDescent="0.3">
      <c r="A182">
        <v>10428</v>
      </c>
      <c r="B182" s="1" t="s">
        <v>298</v>
      </c>
      <c r="C182">
        <v>7</v>
      </c>
      <c r="D182" s="2">
        <v>41667</v>
      </c>
      <c r="E182" s="2">
        <v>41695</v>
      </c>
      <c r="F182" s="2">
        <v>41674</v>
      </c>
      <c r="G182">
        <v>1</v>
      </c>
      <c r="H182">
        <v>1109</v>
      </c>
    </row>
    <row r="183" spans="1:8" x14ac:dyDescent="0.3">
      <c r="A183">
        <v>10429</v>
      </c>
      <c r="B183" s="1" t="s">
        <v>186</v>
      </c>
      <c r="C183">
        <v>3</v>
      </c>
      <c r="D183" s="2">
        <v>41668</v>
      </c>
      <c r="E183" s="2">
        <v>41710</v>
      </c>
      <c r="F183" s="2">
        <v>41677</v>
      </c>
      <c r="G183">
        <v>2</v>
      </c>
      <c r="H183">
        <v>5663</v>
      </c>
    </row>
    <row r="184" spans="1:8" x14ac:dyDescent="0.3">
      <c r="A184">
        <v>10430</v>
      </c>
      <c r="B184" s="1" t="s">
        <v>113</v>
      </c>
      <c r="C184">
        <v>4</v>
      </c>
      <c r="D184" s="2">
        <v>41669</v>
      </c>
      <c r="E184" s="2">
        <v>41683</v>
      </c>
      <c r="F184" s="2">
        <v>41673</v>
      </c>
      <c r="G184">
        <v>1</v>
      </c>
      <c r="H184">
        <v>45878</v>
      </c>
    </row>
    <row r="185" spans="1:8" x14ac:dyDescent="0.3">
      <c r="A185">
        <v>10431</v>
      </c>
      <c r="B185" s="1" t="s">
        <v>70</v>
      </c>
      <c r="C185">
        <v>4</v>
      </c>
      <c r="D185" s="2">
        <v>41669</v>
      </c>
      <c r="E185" s="2">
        <v>41683</v>
      </c>
      <c r="F185" s="2">
        <v>41677</v>
      </c>
      <c r="G185">
        <v>2</v>
      </c>
      <c r="H185">
        <v>4417</v>
      </c>
    </row>
    <row r="186" spans="1:8" x14ac:dyDescent="0.3">
      <c r="A186">
        <v>10432</v>
      </c>
      <c r="B186" s="1" t="s">
        <v>332</v>
      </c>
      <c r="C186">
        <v>3</v>
      </c>
      <c r="D186" s="2">
        <v>41670</v>
      </c>
      <c r="E186" s="2">
        <v>41684</v>
      </c>
      <c r="F186" s="2">
        <v>41677</v>
      </c>
      <c r="G186">
        <v>2</v>
      </c>
      <c r="H186">
        <v>434</v>
      </c>
    </row>
    <row r="187" spans="1:8" x14ac:dyDescent="0.3">
      <c r="A187">
        <v>10433</v>
      </c>
      <c r="B187" s="1" t="s">
        <v>277</v>
      </c>
      <c r="C187">
        <v>3</v>
      </c>
      <c r="D187" s="2">
        <v>41673</v>
      </c>
      <c r="E187" s="2">
        <v>41701</v>
      </c>
      <c r="F187" s="2">
        <v>41702</v>
      </c>
      <c r="G187">
        <v>3</v>
      </c>
      <c r="H187">
        <v>7383</v>
      </c>
    </row>
    <row r="188" spans="1:8" x14ac:dyDescent="0.3">
      <c r="A188">
        <v>10434</v>
      </c>
      <c r="B188" s="1" t="s">
        <v>131</v>
      </c>
      <c r="C188">
        <v>3</v>
      </c>
      <c r="D188" s="2">
        <v>41673</v>
      </c>
      <c r="E188" s="2">
        <v>41701</v>
      </c>
      <c r="F188" s="2">
        <v>41683</v>
      </c>
      <c r="G188">
        <v>2</v>
      </c>
      <c r="H188">
        <v>1792</v>
      </c>
    </row>
    <row r="189" spans="1:8" x14ac:dyDescent="0.3">
      <c r="A189">
        <v>10435</v>
      </c>
      <c r="B189" s="1" t="s">
        <v>99</v>
      </c>
      <c r="C189">
        <v>8</v>
      </c>
      <c r="D189" s="2">
        <v>41674</v>
      </c>
      <c r="E189" s="2">
        <v>41716</v>
      </c>
      <c r="F189" s="2">
        <v>41677</v>
      </c>
      <c r="G189">
        <v>2</v>
      </c>
      <c r="H189">
        <v>921</v>
      </c>
    </row>
    <row r="190" spans="1:8" x14ac:dyDescent="0.3">
      <c r="A190">
        <v>10436</v>
      </c>
      <c r="B190" s="1" t="s">
        <v>55</v>
      </c>
      <c r="C190">
        <v>3</v>
      </c>
      <c r="D190" s="2">
        <v>41675</v>
      </c>
      <c r="E190" s="2">
        <v>41703</v>
      </c>
      <c r="F190" s="2">
        <v>41681</v>
      </c>
      <c r="G190">
        <v>2</v>
      </c>
      <c r="H190">
        <v>15666</v>
      </c>
    </row>
    <row r="191" spans="1:8" x14ac:dyDescent="0.3">
      <c r="A191">
        <v>10437</v>
      </c>
      <c r="B191" s="1" t="s">
        <v>377</v>
      </c>
      <c r="C191">
        <v>8</v>
      </c>
      <c r="D191" s="2">
        <v>41675</v>
      </c>
      <c r="E191" s="2">
        <v>41703</v>
      </c>
      <c r="F191" s="2">
        <v>41682</v>
      </c>
      <c r="G191">
        <v>1</v>
      </c>
      <c r="H191">
        <v>1997</v>
      </c>
    </row>
    <row r="192" spans="1:8" x14ac:dyDescent="0.3">
      <c r="A192">
        <v>10438</v>
      </c>
      <c r="B192" s="1" t="s">
        <v>347</v>
      </c>
      <c r="C192">
        <v>3</v>
      </c>
      <c r="D192" s="2">
        <v>41676</v>
      </c>
      <c r="E192" s="2">
        <v>41704</v>
      </c>
      <c r="F192" s="2">
        <v>41684</v>
      </c>
      <c r="G192">
        <v>2</v>
      </c>
      <c r="H192">
        <v>824</v>
      </c>
    </row>
    <row r="193" spans="1:8" x14ac:dyDescent="0.3">
      <c r="A193">
        <v>10439</v>
      </c>
      <c r="B193" s="1" t="s">
        <v>244</v>
      </c>
      <c r="C193">
        <v>6</v>
      </c>
      <c r="D193" s="2">
        <v>41677</v>
      </c>
      <c r="E193" s="2">
        <v>41705</v>
      </c>
      <c r="F193" s="2">
        <v>41680</v>
      </c>
      <c r="G193">
        <v>3</v>
      </c>
      <c r="H193">
        <v>407</v>
      </c>
    </row>
    <row r="194" spans="1:8" x14ac:dyDescent="0.3">
      <c r="A194">
        <v>10440</v>
      </c>
      <c r="B194" s="1" t="s">
        <v>317</v>
      </c>
      <c r="C194">
        <v>4</v>
      </c>
      <c r="D194" s="2">
        <v>41680</v>
      </c>
      <c r="E194" s="2">
        <v>41708</v>
      </c>
      <c r="F194" s="2">
        <v>41698</v>
      </c>
      <c r="G194">
        <v>2</v>
      </c>
      <c r="H194">
        <v>8653</v>
      </c>
    </row>
    <row r="195" spans="1:8" x14ac:dyDescent="0.3">
      <c r="A195">
        <v>10441</v>
      </c>
      <c r="B195" s="1" t="s">
        <v>258</v>
      </c>
      <c r="C195">
        <v>3</v>
      </c>
      <c r="D195" s="2">
        <v>41680</v>
      </c>
      <c r="E195" s="2">
        <v>41722</v>
      </c>
      <c r="F195" s="2">
        <v>41712</v>
      </c>
      <c r="G195">
        <v>2</v>
      </c>
      <c r="H195">
        <v>7302</v>
      </c>
    </row>
    <row r="196" spans="1:8" x14ac:dyDescent="0.3">
      <c r="A196">
        <v>10442</v>
      </c>
      <c r="B196" s="1" t="s">
        <v>113</v>
      </c>
      <c r="C196">
        <v>3</v>
      </c>
      <c r="D196" s="2">
        <v>41681</v>
      </c>
      <c r="E196" s="2">
        <v>41709</v>
      </c>
      <c r="F196" s="2">
        <v>41688</v>
      </c>
      <c r="G196">
        <v>2</v>
      </c>
      <c r="H196">
        <v>4794</v>
      </c>
    </row>
    <row r="197" spans="1:8" x14ac:dyDescent="0.3">
      <c r="A197">
        <v>10443</v>
      </c>
      <c r="B197" s="1" t="s">
        <v>298</v>
      </c>
      <c r="C197">
        <v>8</v>
      </c>
      <c r="D197" s="2">
        <v>41682</v>
      </c>
      <c r="E197" s="2">
        <v>41710</v>
      </c>
      <c r="F197" s="2">
        <v>41684</v>
      </c>
      <c r="G197">
        <v>1</v>
      </c>
      <c r="H197">
        <v>1395</v>
      </c>
    </row>
    <row r="198" spans="1:8" x14ac:dyDescent="0.3">
      <c r="A198">
        <v>10444</v>
      </c>
      <c r="B198" s="1" t="s">
        <v>45</v>
      </c>
      <c r="C198">
        <v>3</v>
      </c>
      <c r="D198" s="2">
        <v>41682</v>
      </c>
      <c r="E198" s="2">
        <v>41710</v>
      </c>
      <c r="F198" s="2">
        <v>41691</v>
      </c>
      <c r="G198">
        <v>3</v>
      </c>
      <c r="H198">
        <v>35</v>
      </c>
    </row>
    <row r="199" spans="1:8" x14ac:dyDescent="0.3">
      <c r="A199">
        <v>10445</v>
      </c>
      <c r="B199" s="1" t="s">
        <v>45</v>
      </c>
      <c r="C199">
        <v>3</v>
      </c>
      <c r="D199" s="2">
        <v>41683</v>
      </c>
      <c r="E199" s="2">
        <v>41711</v>
      </c>
      <c r="F199" s="2">
        <v>41690</v>
      </c>
      <c r="G199">
        <v>1</v>
      </c>
      <c r="H199">
        <v>93</v>
      </c>
    </row>
    <row r="200" spans="1:8" x14ac:dyDescent="0.3">
      <c r="A200">
        <v>10446</v>
      </c>
      <c r="B200" s="1" t="s">
        <v>347</v>
      </c>
      <c r="C200">
        <v>6</v>
      </c>
      <c r="D200" s="2">
        <v>41684</v>
      </c>
      <c r="E200" s="2">
        <v>41712</v>
      </c>
      <c r="F200" s="2">
        <v>41689</v>
      </c>
      <c r="G200">
        <v>1</v>
      </c>
      <c r="H200">
        <v>1468</v>
      </c>
    </row>
    <row r="201" spans="1:8" x14ac:dyDescent="0.3">
      <c r="A201">
        <v>10447</v>
      </c>
      <c r="B201" s="1" t="s">
        <v>302</v>
      </c>
      <c r="C201">
        <v>4</v>
      </c>
      <c r="D201" s="2">
        <v>41684</v>
      </c>
      <c r="E201" s="2">
        <v>41712</v>
      </c>
      <c r="F201" s="2">
        <v>41705</v>
      </c>
      <c r="G201">
        <v>2</v>
      </c>
      <c r="H201">
        <v>6866</v>
      </c>
    </row>
    <row r="202" spans="1:8" x14ac:dyDescent="0.3">
      <c r="A202">
        <v>10448</v>
      </c>
      <c r="B202" s="1" t="s">
        <v>290</v>
      </c>
      <c r="C202">
        <v>4</v>
      </c>
      <c r="D202" s="2">
        <v>41687</v>
      </c>
      <c r="E202" s="2">
        <v>41715</v>
      </c>
      <c r="F202" s="2">
        <v>41694</v>
      </c>
      <c r="G202">
        <v>2</v>
      </c>
      <c r="H202">
        <v>3882</v>
      </c>
    </row>
    <row r="203" spans="1:8" x14ac:dyDescent="0.3">
      <c r="A203">
        <v>10449</v>
      </c>
      <c r="B203" s="1" t="s">
        <v>55</v>
      </c>
      <c r="C203">
        <v>3</v>
      </c>
      <c r="D203" s="2">
        <v>41688</v>
      </c>
      <c r="E203" s="2">
        <v>41716</v>
      </c>
      <c r="F203" s="2">
        <v>41697</v>
      </c>
      <c r="G203">
        <v>2</v>
      </c>
      <c r="H203">
        <v>533</v>
      </c>
    </row>
    <row r="204" spans="1:8" x14ac:dyDescent="0.3">
      <c r="A204">
        <v>10450</v>
      </c>
      <c r="B204" s="1" t="s">
        <v>365</v>
      </c>
      <c r="C204">
        <v>8</v>
      </c>
      <c r="D204" s="2">
        <v>41689</v>
      </c>
      <c r="E204" s="2">
        <v>41717</v>
      </c>
      <c r="F204" s="2">
        <v>41709</v>
      </c>
      <c r="G204">
        <v>2</v>
      </c>
      <c r="H204">
        <v>723</v>
      </c>
    </row>
    <row r="205" spans="1:8" x14ac:dyDescent="0.3">
      <c r="A205">
        <v>10451</v>
      </c>
      <c r="B205" s="1" t="s">
        <v>286</v>
      </c>
      <c r="C205">
        <v>4</v>
      </c>
      <c r="D205" s="2">
        <v>41689</v>
      </c>
      <c r="E205" s="2">
        <v>41703</v>
      </c>
      <c r="F205" s="2">
        <v>41710</v>
      </c>
      <c r="G205">
        <v>3</v>
      </c>
      <c r="H205">
        <v>18909</v>
      </c>
    </row>
    <row r="206" spans="1:8" x14ac:dyDescent="0.3">
      <c r="A206">
        <v>10452</v>
      </c>
      <c r="B206" s="1" t="s">
        <v>317</v>
      </c>
      <c r="C206">
        <v>8</v>
      </c>
      <c r="D206" s="2">
        <v>41690</v>
      </c>
      <c r="E206" s="2">
        <v>41718</v>
      </c>
      <c r="F206" s="2">
        <v>41696</v>
      </c>
      <c r="G206">
        <v>1</v>
      </c>
      <c r="H206">
        <v>14026</v>
      </c>
    </row>
    <row r="207" spans="1:8" x14ac:dyDescent="0.3">
      <c r="A207">
        <v>10453</v>
      </c>
      <c r="B207" s="1" t="s">
        <v>40</v>
      </c>
      <c r="C207">
        <v>1</v>
      </c>
      <c r="D207" s="2">
        <v>41691</v>
      </c>
      <c r="E207" s="2">
        <v>41719</v>
      </c>
      <c r="F207" s="2">
        <v>41696</v>
      </c>
      <c r="G207">
        <v>2</v>
      </c>
      <c r="H207">
        <v>2536</v>
      </c>
    </row>
    <row r="208" spans="1:8" x14ac:dyDescent="0.3">
      <c r="A208">
        <v>10454</v>
      </c>
      <c r="B208" s="1" t="s">
        <v>203</v>
      </c>
      <c r="C208">
        <v>4</v>
      </c>
      <c r="D208" s="2">
        <v>41691</v>
      </c>
      <c r="E208" s="2">
        <v>41719</v>
      </c>
      <c r="F208" s="2">
        <v>41695</v>
      </c>
      <c r="G208">
        <v>3</v>
      </c>
      <c r="H208">
        <v>274</v>
      </c>
    </row>
    <row r="209" spans="1:8" x14ac:dyDescent="0.3">
      <c r="A209">
        <v>10455</v>
      </c>
      <c r="B209" s="1" t="s">
        <v>377</v>
      </c>
      <c r="C209">
        <v>8</v>
      </c>
      <c r="D209" s="2">
        <v>41694</v>
      </c>
      <c r="E209" s="2">
        <v>41736</v>
      </c>
      <c r="F209" s="2">
        <v>41701</v>
      </c>
      <c r="G209">
        <v>2</v>
      </c>
      <c r="H209">
        <v>18045</v>
      </c>
    </row>
    <row r="210" spans="1:8" x14ac:dyDescent="0.3">
      <c r="A210">
        <v>10456</v>
      </c>
      <c r="B210" s="1" t="s">
        <v>195</v>
      </c>
      <c r="C210">
        <v>8</v>
      </c>
      <c r="D210" s="2">
        <v>41695</v>
      </c>
      <c r="E210" s="2">
        <v>41737</v>
      </c>
      <c r="F210" s="2">
        <v>41698</v>
      </c>
      <c r="G210">
        <v>2</v>
      </c>
      <c r="H210">
        <v>812</v>
      </c>
    </row>
    <row r="211" spans="1:8" x14ac:dyDescent="0.3">
      <c r="A211">
        <v>10457</v>
      </c>
      <c r="B211" s="1" t="s">
        <v>195</v>
      </c>
      <c r="C211">
        <v>2</v>
      </c>
      <c r="D211" s="2">
        <v>41695</v>
      </c>
      <c r="E211" s="2">
        <v>41723</v>
      </c>
      <c r="F211" s="2">
        <v>41701</v>
      </c>
      <c r="G211">
        <v>1</v>
      </c>
      <c r="H211">
        <v>1157</v>
      </c>
    </row>
    <row r="212" spans="1:8" x14ac:dyDescent="0.3">
      <c r="A212">
        <v>10458</v>
      </c>
      <c r="B212" s="1" t="s">
        <v>336</v>
      </c>
      <c r="C212">
        <v>7</v>
      </c>
      <c r="D212" s="2">
        <v>41696</v>
      </c>
      <c r="E212" s="2">
        <v>41724</v>
      </c>
      <c r="F212" s="2">
        <v>41702</v>
      </c>
      <c r="G212">
        <v>3</v>
      </c>
      <c r="H212">
        <v>14706</v>
      </c>
    </row>
    <row r="213" spans="1:8" x14ac:dyDescent="0.3">
      <c r="A213">
        <v>10459</v>
      </c>
      <c r="B213" s="1" t="s">
        <v>365</v>
      </c>
      <c r="C213">
        <v>4</v>
      </c>
      <c r="D213" s="2">
        <v>41697</v>
      </c>
      <c r="E213" s="2">
        <v>41725</v>
      </c>
      <c r="F213" s="2">
        <v>41698</v>
      </c>
      <c r="G213">
        <v>2</v>
      </c>
      <c r="H213">
        <v>2509</v>
      </c>
    </row>
    <row r="214" spans="1:8" x14ac:dyDescent="0.3">
      <c r="A214">
        <v>10460</v>
      </c>
      <c r="B214" s="1" t="s">
        <v>131</v>
      </c>
      <c r="C214">
        <v>8</v>
      </c>
      <c r="D214" s="2">
        <v>41698</v>
      </c>
      <c r="E214" s="2">
        <v>41726</v>
      </c>
      <c r="F214" s="2">
        <v>41701</v>
      </c>
      <c r="G214">
        <v>1</v>
      </c>
      <c r="H214">
        <v>1627</v>
      </c>
    </row>
    <row r="215" spans="1:8" x14ac:dyDescent="0.3">
      <c r="A215">
        <v>10461</v>
      </c>
      <c r="B215" s="1" t="s">
        <v>223</v>
      </c>
      <c r="C215">
        <v>1</v>
      </c>
      <c r="D215" s="2">
        <v>41698</v>
      </c>
      <c r="E215" s="2">
        <v>41726</v>
      </c>
      <c r="F215" s="2">
        <v>41703</v>
      </c>
      <c r="G215">
        <v>3</v>
      </c>
      <c r="H215">
        <v>14861</v>
      </c>
    </row>
    <row r="216" spans="1:8" x14ac:dyDescent="0.3">
      <c r="A216">
        <v>10462</v>
      </c>
      <c r="B216" s="1" t="s">
        <v>99</v>
      </c>
      <c r="C216">
        <v>2</v>
      </c>
      <c r="D216" s="2">
        <v>41701</v>
      </c>
      <c r="E216" s="2">
        <v>41729</v>
      </c>
      <c r="F216" s="2">
        <v>41716</v>
      </c>
      <c r="G216">
        <v>1</v>
      </c>
      <c r="H216">
        <v>617</v>
      </c>
    </row>
    <row r="217" spans="1:8" x14ac:dyDescent="0.3">
      <c r="A217">
        <v>10463</v>
      </c>
      <c r="B217" s="1" t="s">
        <v>336</v>
      </c>
      <c r="C217">
        <v>5</v>
      </c>
      <c r="D217" s="2">
        <v>41702</v>
      </c>
      <c r="E217" s="2">
        <v>41730</v>
      </c>
      <c r="F217" s="2">
        <v>41704</v>
      </c>
      <c r="G217">
        <v>3</v>
      </c>
      <c r="H217">
        <v>1478</v>
      </c>
    </row>
    <row r="218" spans="1:8" x14ac:dyDescent="0.3">
      <c r="A218">
        <v>10464</v>
      </c>
      <c r="B218" s="1" t="s">
        <v>147</v>
      </c>
      <c r="C218">
        <v>4</v>
      </c>
      <c r="D218" s="2">
        <v>41702</v>
      </c>
      <c r="E218" s="2">
        <v>41730</v>
      </c>
      <c r="F218" s="2">
        <v>41712</v>
      </c>
      <c r="G218">
        <v>2</v>
      </c>
      <c r="H218">
        <v>89</v>
      </c>
    </row>
    <row r="219" spans="1:8" x14ac:dyDescent="0.3">
      <c r="A219">
        <v>10465</v>
      </c>
      <c r="B219" s="1" t="s">
        <v>361</v>
      </c>
      <c r="C219">
        <v>1</v>
      </c>
      <c r="D219" s="2">
        <v>41703</v>
      </c>
      <c r="E219" s="2">
        <v>41731</v>
      </c>
      <c r="F219" s="2">
        <v>41712</v>
      </c>
      <c r="G219">
        <v>3</v>
      </c>
      <c r="H219">
        <v>14504</v>
      </c>
    </row>
    <row r="220" spans="1:8" x14ac:dyDescent="0.3">
      <c r="A220">
        <v>10466</v>
      </c>
      <c r="B220" s="1" t="s">
        <v>93</v>
      </c>
      <c r="C220">
        <v>4</v>
      </c>
      <c r="D220" s="2">
        <v>41704</v>
      </c>
      <c r="E220" s="2">
        <v>41732</v>
      </c>
      <c r="F220" s="2">
        <v>41711</v>
      </c>
      <c r="G220">
        <v>1</v>
      </c>
      <c r="H220">
        <v>1193</v>
      </c>
    </row>
    <row r="221" spans="1:8" x14ac:dyDescent="0.3">
      <c r="A221">
        <v>10467</v>
      </c>
      <c r="B221" s="1" t="s">
        <v>235</v>
      </c>
      <c r="C221">
        <v>8</v>
      </c>
      <c r="D221" s="2">
        <v>41704</v>
      </c>
      <c r="E221" s="2">
        <v>41732</v>
      </c>
      <c r="F221" s="2">
        <v>41709</v>
      </c>
      <c r="G221">
        <v>2</v>
      </c>
      <c r="H221">
        <v>493</v>
      </c>
    </row>
    <row r="222" spans="1:8" x14ac:dyDescent="0.3">
      <c r="A222">
        <v>10468</v>
      </c>
      <c r="B222" s="1" t="s">
        <v>195</v>
      </c>
      <c r="C222">
        <v>3</v>
      </c>
      <c r="D222" s="2">
        <v>41705</v>
      </c>
      <c r="E222" s="2">
        <v>41733</v>
      </c>
      <c r="F222" s="2">
        <v>41710</v>
      </c>
      <c r="G222">
        <v>3</v>
      </c>
      <c r="H222">
        <v>4412</v>
      </c>
    </row>
    <row r="223" spans="1:8" x14ac:dyDescent="0.3">
      <c r="A223">
        <v>10469</v>
      </c>
      <c r="B223" s="1" t="s">
        <v>386</v>
      </c>
      <c r="C223">
        <v>1</v>
      </c>
      <c r="D223" s="2">
        <v>41708</v>
      </c>
      <c r="E223" s="2">
        <v>41736</v>
      </c>
      <c r="F223" s="2">
        <v>41712</v>
      </c>
      <c r="G223">
        <v>1</v>
      </c>
      <c r="H223">
        <v>6018</v>
      </c>
    </row>
    <row r="224" spans="1:8" x14ac:dyDescent="0.3">
      <c r="A224">
        <v>10470</v>
      </c>
      <c r="B224" s="1" t="s">
        <v>66</v>
      </c>
      <c r="C224">
        <v>4</v>
      </c>
      <c r="D224" s="2">
        <v>41709</v>
      </c>
      <c r="E224" s="2">
        <v>41737</v>
      </c>
      <c r="F224" s="2">
        <v>41712</v>
      </c>
      <c r="G224">
        <v>2</v>
      </c>
      <c r="H224">
        <v>6456</v>
      </c>
    </row>
    <row r="225" spans="1:8" x14ac:dyDescent="0.3">
      <c r="A225">
        <v>10471</v>
      </c>
      <c r="B225" s="1" t="s">
        <v>76</v>
      </c>
      <c r="C225">
        <v>2</v>
      </c>
      <c r="D225" s="2">
        <v>41709</v>
      </c>
      <c r="E225" s="2">
        <v>41737</v>
      </c>
      <c r="F225" s="2">
        <v>41716</v>
      </c>
      <c r="G225">
        <v>3</v>
      </c>
      <c r="H225">
        <v>4559</v>
      </c>
    </row>
    <row r="226" spans="1:8" x14ac:dyDescent="0.3">
      <c r="A226">
        <v>10472</v>
      </c>
      <c r="B226" s="1" t="s">
        <v>321</v>
      </c>
      <c r="C226">
        <v>8</v>
      </c>
      <c r="D226" s="2">
        <v>41710</v>
      </c>
      <c r="E226" s="2">
        <v>41738</v>
      </c>
      <c r="F226" s="2">
        <v>41717</v>
      </c>
      <c r="G226">
        <v>1</v>
      </c>
      <c r="H226">
        <v>42</v>
      </c>
    </row>
    <row r="227" spans="1:8" x14ac:dyDescent="0.3">
      <c r="A227">
        <v>10473</v>
      </c>
      <c r="B227" s="1" t="s">
        <v>191</v>
      </c>
      <c r="C227">
        <v>1</v>
      </c>
      <c r="D227" s="2">
        <v>41711</v>
      </c>
      <c r="E227" s="2">
        <v>41725</v>
      </c>
      <c r="F227" s="2">
        <v>41719</v>
      </c>
      <c r="G227">
        <v>3</v>
      </c>
      <c r="H227">
        <v>1637</v>
      </c>
    </row>
    <row r="228" spans="1:8" x14ac:dyDescent="0.3">
      <c r="A228">
        <v>10474</v>
      </c>
      <c r="B228" s="1" t="s">
        <v>270</v>
      </c>
      <c r="C228">
        <v>5</v>
      </c>
      <c r="D228" s="2">
        <v>41711</v>
      </c>
      <c r="E228" s="2">
        <v>41739</v>
      </c>
      <c r="F228" s="2">
        <v>41719</v>
      </c>
      <c r="G228">
        <v>2</v>
      </c>
      <c r="H228">
        <v>8349</v>
      </c>
    </row>
    <row r="229" spans="1:8" x14ac:dyDescent="0.3">
      <c r="A229">
        <v>10475</v>
      </c>
      <c r="B229" s="1" t="s">
        <v>336</v>
      </c>
      <c r="C229">
        <v>9</v>
      </c>
      <c r="D229" s="2">
        <v>41712</v>
      </c>
      <c r="E229" s="2">
        <v>41740</v>
      </c>
      <c r="F229" s="2">
        <v>41733</v>
      </c>
      <c r="G229">
        <v>1</v>
      </c>
      <c r="H229">
        <v>6852</v>
      </c>
    </row>
    <row r="230" spans="1:8" x14ac:dyDescent="0.3">
      <c r="A230">
        <v>10476</v>
      </c>
      <c r="B230" s="1" t="s">
        <v>178</v>
      </c>
      <c r="C230">
        <v>8</v>
      </c>
      <c r="D230" s="2">
        <v>41715</v>
      </c>
      <c r="E230" s="2">
        <v>41743</v>
      </c>
      <c r="F230" s="2">
        <v>41722</v>
      </c>
      <c r="G230">
        <v>3</v>
      </c>
      <c r="H230">
        <v>441</v>
      </c>
    </row>
    <row r="231" spans="1:8" x14ac:dyDescent="0.3">
      <c r="A231">
        <v>10477</v>
      </c>
      <c r="B231" s="1" t="s">
        <v>277</v>
      </c>
      <c r="C231">
        <v>5</v>
      </c>
      <c r="D231" s="2">
        <v>41715</v>
      </c>
      <c r="E231" s="2">
        <v>41743</v>
      </c>
      <c r="F231" s="2">
        <v>41723</v>
      </c>
      <c r="G231">
        <v>2</v>
      </c>
      <c r="H231">
        <v>1302</v>
      </c>
    </row>
    <row r="232" spans="1:8" x14ac:dyDescent="0.3">
      <c r="A232">
        <v>10478</v>
      </c>
      <c r="B232" s="1" t="s">
        <v>365</v>
      </c>
      <c r="C232">
        <v>2</v>
      </c>
      <c r="D232" s="2">
        <v>41716</v>
      </c>
      <c r="E232" s="2">
        <v>41730</v>
      </c>
      <c r="F232" s="2">
        <v>41724</v>
      </c>
      <c r="G232">
        <v>3</v>
      </c>
      <c r="H232">
        <v>481</v>
      </c>
    </row>
    <row r="233" spans="1:8" x14ac:dyDescent="0.3">
      <c r="A233">
        <v>10479</v>
      </c>
      <c r="B233" s="1" t="s">
        <v>293</v>
      </c>
      <c r="C233">
        <v>3</v>
      </c>
      <c r="D233" s="2">
        <v>41717</v>
      </c>
      <c r="E233" s="2">
        <v>41745</v>
      </c>
      <c r="F233" s="2">
        <v>41719</v>
      </c>
      <c r="G233">
        <v>3</v>
      </c>
      <c r="H233">
        <v>70895</v>
      </c>
    </row>
    <row r="234" spans="1:8" x14ac:dyDescent="0.3">
      <c r="A234">
        <v>10480</v>
      </c>
      <c r="B234" s="1" t="s">
        <v>126</v>
      </c>
      <c r="C234">
        <v>6</v>
      </c>
      <c r="D234" s="2">
        <v>41718</v>
      </c>
      <c r="E234" s="2">
        <v>41746</v>
      </c>
      <c r="F234" s="2">
        <v>41722</v>
      </c>
      <c r="G234">
        <v>2</v>
      </c>
      <c r="H234">
        <v>135</v>
      </c>
    </row>
    <row r="235" spans="1:8" x14ac:dyDescent="0.3">
      <c r="A235">
        <v>10481</v>
      </c>
      <c r="B235" s="1" t="s">
        <v>302</v>
      </c>
      <c r="C235">
        <v>8</v>
      </c>
      <c r="D235" s="2">
        <v>41718</v>
      </c>
      <c r="E235" s="2">
        <v>41746</v>
      </c>
      <c r="F235" s="2">
        <v>41723</v>
      </c>
      <c r="G235">
        <v>2</v>
      </c>
      <c r="H235">
        <v>6433</v>
      </c>
    </row>
    <row r="236" spans="1:8" x14ac:dyDescent="0.3">
      <c r="A236">
        <v>10482</v>
      </c>
      <c r="B236" s="1" t="s">
        <v>211</v>
      </c>
      <c r="C236">
        <v>1</v>
      </c>
      <c r="D236" s="2">
        <v>41719</v>
      </c>
      <c r="E236" s="2">
        <v>41747</v>
      </c>
      <c r="F236" s="2">
        <v>41739</v>
      </c>
      <c r="G236">
        <v>3</v>
      </c>
      <c r="H236">
        <v>748</v>
      </c>
    </row>
    <row r="237" spans="1:8" x14ac:dyDescent="0.3">
      <c r="A237">
        <v>10483</v>
      </c>
      <c r="B237" s="1" t="s">
        <v>386</v>
      </c>
      <c r="C237">
        <v>7</v>
      </c>
      <c r="D237" s="2">
        <v>41722</v>
      </c>
      <c r="E237" s="2">
        <v>41750</v>
      </c>
      <c r="F237" s="2">
        <v>41754</v>
      </c>
      <c r="G237">
        <v>2</v>
      </c>
      <c r="H237">
        <v>1528</v>
      </c>
    </row>
    <row r="238" spans="1:8" x14ac:dyDescent="0.3">
      <c r="A238">
        <v>10484</v>
      </c>
      <c r="B238" s="1" t="s">
        <v>76</v>
      </c>
      <c r="C238">
        <v>3</v>
      </c>
      <c r="D238" s="2">
        <v>41722</v>
      </c>
      <c r="E238" s="2">
        <v>41750</v>
      </c>
      <c r="F238" s="2">
        <v>41730</v>
      </c>
      <c r="G238">
        <v>3</v>
      </c>
      <c r="H238">
        <v>688</v>
      </c>
    </row>
    <row r="239" spans="1:8" x14ac:dyDescent="0.3">
      <c r="A239">
        <v>10485</v>
      </c>
      <c r="B239" s="1" t="s">
        <v>227</v>
      </c>
      <c r="C239">
        <v>4</v>
      </c>
      <c r="D239" s="2">
        <v>41723</v>
      </c>
      <c r="E239" s="2">
        <v>41737</v>
      </c>
      <c r="F239" s="2">
        <v>41729</v>
      </c>
      <c r="G239">
        <v>2</v>
      </c>
      <c r="H239">
        <v>6445</v>
      </c>
    </row>
    <row r="240" spans="1:8" x14ac:dyDescent="0.3">
      <c r="A240">
        <v>10486</v>
      </c>
      <c r="B240" s="1" t="s">
        <v>178</v>
      </c>
      <c r="C240">
        <v>1</v>
      </c>
      <c r="D240" s="2">
        <v>41724</v>
      </c>
      <c r="E240" s="2">
        <v>41752</v>
      </c>
      <c r="F240" s="2">
        <v>41731</v>
      </c>
      <c r="G240">
        <v>2</v>
      </c>
      <c r="H240">
        <v>3053</v>
      </c>
    </row>
    <row r="241" spans="1:8" x14ac:dyDescent="0.3">
      <c r="A241">
        <v>10487</v>
      </c>
      <c r="B241" s="1" t="s">
        <v>283</v>
      </c>
      <c r="C241">
        <v>2</v>
      </c>
      <c r="D241" s="2">
        <v>41724</v>
      </c>
      <c r="E241" s="2">
        <v>41752</v>
      </c>
      <c r="F241" s="2">
        <v>41726</v>
      </c>
      <c r="G241">
        <v>2</v>
      </c>
      <c r="H241">
        <v>7107</v>
      </c>
    </row>
    <row r="242" spans="1:8" x14ac:dyDescent="0.3">
      <c r="A242">
        <v>10488</v>
      </c>
      <c r="B242" s="1" t="s">
        <v>135</v>
      </c>
      <c r="C242">
        <v>8</v>
      </c>
      <c r="D242" s="2">
        <v>41725</v>
      </c>
      <c r="E242" s="2">
        <v>41753</v>
      </c>
      <c r="F242" s="2">
        <v>41731</v>
      </c>
      <c r="G242">
        <v>2</v>
      </c>
      <c r="H242">
        <v>493</v>
      </c>
    </row>
    <row r="243" spans="1:8" x14ac:dyDescent="0.3">
      <c r="A243">
        <v>10489</v>
      </c>
      <c r="B243" s="1" t="s">
        <v>273</v>
      </c>
      <c r="C243">
        <v>6</v>
      </c>
      <c r="D243" s="2">
        <v>41726</v>
      </c>
      <c r="E243" s="2">
        <v>41754</v>
      </c>
      <c r="F243" s="2">
        <v>41738</v>
      </c>
      <c r="G243">
        <v>2</v>
      </c>
      <c r="H243">
        <v>529</v>
      </c>
    </row>
    <row r="244" spans="1:8" x14ac:dyDescent="0.3">
      <c r="A244">
        <v>10490</v>
      </c>
      <c r="B244" s="1" t="s">
        <v>178</v>
      </c>
      <c r="C244">
        <v>7</v>
      </c>
      <c r="D244" s="2">
        <v>41729</v>
      </c>
      <c r="E244" s="2">
        <v>41757</v>
      </c>
      <c r="F244" s="2">
        <v>41732</v>
      </c>
      <c r="G244">
        <v>2</v>
      </c>
      <c r="H244">
        <v>21019</v>
      </c>
    </row>
    <row r="245" spans="1:8" x14ac:dyDescent="0.3">
      <c r="A245">
        <v>10491</v>
      </c>
      <c r="B245" s="1" t="s">
        <v>147</v>
      </c>
      <c r="C245">
        <v>8</v>
      </c>
      <c r="D245" s="2">
        <v>41729</v>
      </c>
      <c r="E245" s="2">
        <v>41757</v>
      </c>
      <c r="F245" s="2">
        <v>41737</v>
      </c>
      <c r="G245">
        <v>3</v>
      </c>
      <c r="H245">
        <v>1696</v>
      </c>
    </row>
    <row r="246" spans="1:8" x14ac:dyDescent="0.3">
      <c r="A246">
        <v>10492</v>
      </c>
      <c r="B246" s="1" t="s">
        <v>70</v>
      </c>
      <c r="C246">
        <v>3</v>
      </c>
      <c r="D246" s="2">
        <v>41730</v>
      </c>
      <c r="E246" s="2">
        <v>41758</v>
      </c>
      <c r="F246" s="2">
        <v>41740</v>
      </c>
      <c r="G246">
        <v>1</v>
      </c>
      <c r="H246">
        <v>6289</v>
      </c>
    </row>
    <row r="247" spans="1:8" x14ac:dyDescent="0.3">
      <c r="A247">
        <v>10493</v>
      </c>
      <c r="B247" s="1" t="s">
        <v>203</v>
      </c>
      <c r="C247">
        <v>4</v>
      </c>
      <c r="D247" s="2">
        <v>41731</v>
      </c>
      <c r="E247" s="2">
        <v>41759</v>
      </c>
      <c r="F247" s="2">
        <v>41739</v>
      </c>
      <c r="G247">
        <v>3</v>
      </c>
      <c r="H247">
        <v>1064</v>
      </c>
    </row>
    <row r="248" spans="1:8" x14ac:dyDescent="0.3">
      <c r="A248">
        <v>10494</v>
      </c>
      <c r="B248" s="1" t="s">
        <v>93</v>
      </c>
      <c r="C248">
        <v>4</v>
      </c>
      <c r="D248" s="2">
        <v>41731</v>
      </c>
      <c r="E248" s="2">
        <v>41759</v>
      </c>
      <c r="F248" s="2">
        <v>41738</v>
      </c>
      <c r="G248">
        <v>2</v>
      </c>
      <c r="H248">
        <v>6599</v>
      </c>
    </row>
    <row r="249" spans="1:8" x14ac:dyDescent="0.3">
      <c r="A249">
        <v>10495</v>
      </c>
      <c r="B249" s="1" t="s">
        <v>207</v>
      </c>
      <c r="C249">
        <v>3</v>
      </c>
      <c r="D249" s="2">
        <v>41732</v>
      </c>
      <c r="E249" s="2">
        <v>41760</v>
      </c>
      <c r="F249" s="2">
        <v>41740</v>
      </c>
      <c r="G249">
        <v>3</v>
      </c>
      <c r="H249">
        <v>465</v>
      </c>
    </row>
    <row r="250" spans="1:8" x14ac:dyDescent="0.3">
      <c r="A250">
        <v>10496</v>
      </c>
      <c r="B250" s="1" t="s">
        <v>354</v>
      </c>
      <c r="C250">
        <v>7</v>
      </c>
      <c r="D250" s="2">
        <v>41733</v>
      </c>
      <c r="E250" s="2">
        <v>41761</v>
      </c>
      <c r="F250" s="2">
        <v>41736</v>
      </c>
      <c r="G250">
        <v>2</v>
      </c>
      <c r="H250">
        <v>4677</v>
      </c>
    </row>
    <row r="251" spans="1:8" x14ac:dyDescent="0.3">
      <c r="A251">
        <v>10497</v>
      </c>
      <c r="B251" s="1" t="s">
        <v>215</v>
      </c>
      <c r="C251">
        <v>7</v>
      </c>
      <c r="D251" s="2">
        <v>41733</v>
      </c>
      <c r="E251" s="2">
        <v>41761</v>
      </c>
      <c r="F251" s="2">
        <v>41736</v>
      </c>
      <c r="G251">
        <v>1</v>
      </c>
      <c r="H251">
        <v>3621</v>
      </c>
    </row>
    <row r="252" spans="1:8" x14ac:dyDescent="0.3">
      <c r="A252">
        <v>10498</v>
      </c>
      <c r="B252" s="1" t="s">
        <v>178</v>
      </c>
      <c r="C252">
        <v>8</v>
      </c>
      <c r="D252" s="2">
        <v>41736</v>
      </c>
      <c r="E252" s="2">
        <v>41764</v>
      </c>
      <c r="F252" s="2">
        <v>41740</v>
      </c>
      <c r="G252">
        <v>2</v>
      </c>
      <c r="H252">
        <v>2975</v>
      </c>
    </row>
    <row r="253" spans="1:8" x14ac:dyDescent="0.3">
      <c r="A253">
        <v>10499</v>
      </c>
      <c r="B253" s="1" t="s">
        <v>223</v>
      </c>
      <c r="C253">
        <v>4</v>
      </c>
      <c r="D253" s="2">
        <v>41737</v>
      </c>
      <c r="E253" s="2">
        <v>41765</v>
      </c>
      <c r="F253" s="2">
        <v>41745</v>
      </c>
      <c r="G253">
        <v>2</v>
      </c>
      <c r="H253">
        <v>10202</v>
      </c>
    </row>
    <row r="254" spans="1:8" x14ac:dyDescent="0.3">
      <c r="A254">
        <v>10500</v>
      </c>
      <c r="B254" s="1" t="s">
        <v>203</v>
      </c>
      <c r="C254">
        <v>6</v>
      </c>
      <c r="D254" s="2">
        <v>41738</v>
      </c>
      <c r="E254" s="2">
        <v>41766</v>
      </c>
      <c r="F254" s="2">
        <v>41746</v>
      </c>
      <c r="G254">
        <v>1</v>
      </c>
      <c r="H254">
        <v>4268</v>
      </c>
    </row>
    <row r="255" spans="1:8" x14ac:dyDescent="0.3">
      <c r="A255">
        <v>10501</v>
      </c>
      <c r="B255" s="1" t="s">
        <v>51</v>
      </c>
      <c r="C255">
        <v>9</v>
      </c>
      <c r="D255" s="2">
        <v>41738</v>
      </c>
      <c r="E255" s="2">
        <v>41766</v>
      </c>
      <c r="F255" s="2">
        <v>41745</v>
      </c>
      <c r="G255">
        <v>3</v>
      </c>
      <c r="H255">
        <v>885</v>
      </c>
    </row>
    <row r="256" spans="1:8" x14ac:dyDescent="0.3">
      <c r="A256">
        <v>10502</v>
      </c>
      <c r="B256" s="1" t="s">
        <v>270</v>
      </c>
      <c r="C256">
        <v>2</v>
      </c>
      <c r="D256" s="2">
        <v>41739</v>
      </c>
      <c r="E256" s="2">
        <v>41767</v>
      </c>
      <c r="F256" s="2">
        <v>41758</v>
      </c>
      <c r="G256">
        <v>1</v>
      </c>
      <c r="H256">
        <v>6932</v>
      </c>
    </row>
    <row r="257" spans="1:8" x14ac:dyDescent="0.3">
      <c r="A257">
        <v>10503</v>
      </c>
      <c r="B257" s="1" t="s">
        <v>186</v>
      </c>
      <c r="C257">
        <v>6</v>
      </c>
      <c r="D257" s="2">
        <v>41740</v>
      </c>
      <c r="E257" s="2">
        <v>41768</v>
      </c>
      <c r="F257" s="2">
        <v>41745</v>
      </c>
      <c r="G257">
        <v>2</v>
      </c>
      <c r="H257">
        <v>1674</v>
      </c>
    </row>
    <row r="258" spans="1:8" x14ac:dyDescent="0.3">
      <c r="A258">
        <v>10504</v>
      </c>
      <c r="B258" s="1" t="s">
        <v>386</v>
      </c>
      <c r="C258">
        <v>4</v>
      </c>
      <c r="D258" s="2">
        <v>41740</v>
      </c>
      <c r="E258" s="2">
        <v>41768</v>
      </c>
      <c r="F258" s="2">
        <v>41747</v>
      </c>
      <c r="G258">
        <v>3</v>
      </c>
      <c r="H258">
        <v>5913</v>
      </c>
    </row>
    <row r="259" spans="1:8" x14ac:dyDescent="0.3">
      <c r="A259">
        <v>10505</v>
      </c>
      <c r="B259" s="1" t="s">
        <v>244</v>
      </c>
      <c r="C259">
        <v>3</v>
      </c>
      <c r="D259" s="2">
        <v>41743</v>
      </c>
      <c r="E259" s="2">
        <v>41771</v>
      </c>
      <c r="F259" s="2">
        <v>41750</v>
      </c>
      <c r="G259">
        <v>3</v>
      </c>
      <c r="H259">
        <v>713</v>
      </c>
    </row>
    <row r="260" spans="1:8" x14ac:dyDescent="0.3">
      <c r="A260">
        <v>10506</v>
      </c>
      <c r="B260" s="1" t="s">
        <v>195</v>
      </c>
      <c r="C260">
        <v>9</v>
      </c>
      <c r="D260" s="2">
        <v>41744</v>
      </c>
      <c r="E260" s="2">
        <v>41772</v>
      </c>
      <c r="F260" s="2">
        <v>41761</v>
      </c>
      <c r="G260">
        <v>2</v>
      </c>
      <c r="H260">
        <v>2119</v>
      </c>
    </row>
    <row r="261" spans="1:8" x14ac:dyDescent="0.3">
      <c r="A261">
        <v>10507</v>
      </c>
      <c r="B261" s="1" t="s">
        <v>37</v>
      </c>
      <c r="C261">
        <v>7</v>
      </c>
      <c r="D261" s="2">
        <v>41744</v>
      </c>
      <c r="E261" s="2">
        <v>41772</v>
      </c>
      <c r="F261" s="2">
        <v>41751</v>
      </c>
      <c r="G261">
        <v>1</v>
      </c>
      <c r="H261">
        <v>4745</v>
      </c>
    </row>
    <row r="262" spans="1:8" x14ac:dyDescent="0.3">
      <c r="A262">
        <v>10508</v>
      </c>
      <c r="B262" s="1" t="s">
        <v>262</v>
      </c>
      <c r="C262">
        <v>1</v>
      </c>
      <c r="D262" s="2">
        <v>41745</v>
      </c>
      <c r="E262" s="2">
        <v>41773</v>
      </c>
      <c r="F262" s="2">
        <v>41772</v>
      </c>
      <c r="G262">
        <v>2</v>
      </c>
      <c r="H262">
        <v>499</v>
      </c>
    </row>
    <row r="263" spans="1:8" x14ac:dyDescent="0.3">
      <c r="A263">
        <v>10509</v>
      </c>
      <c r="B263" s="1" t="s">
        <v>51</v>
      </c>
      <c r="C263">
        <v>4</v>
      </c>
      <c r="D263" s="2">
        <v>41746</v>
      </c>
      <c r="E263" s="2">
        <v>41774</v>
      </c>
      <c r="F263" s="2">
        <v>41758</v>
      </c>
      <c r="G263">
        <v>1</v>
      </c>
      <c r="H263">
        <v>15</v>
      </c>
    </row>
    <row r="264" spans="1:8" x14ac:dyDescent="0.3">
      <c r="A264">
        <v>10510</v>
      </c>
      <c r="B264" s="1" t="s">
        <v>317</v>
      </c>
      <c r="C264">
        <v>6</v>
      </c>
      <c r="D264" s="2">
        <v>41747</v>
      </c>
      <c r="E264" s="2">
        <v>41775</v>
      </c>
      <c r="F264" s="2">
        <v>41757</v>
      </c>
      <c r="G264">
        <v>3</v>
      </c>
      <c r="H264">
        <v>36763</v>
      </c>
    </row>
    <row r="265" spans="1:8" x14ac:dyDescent="0.3">
      <c r="A265">
        <v>10511</v>
      </c>
      <c r="B265" s="1" t="s">
        <v>66</v>
      </c>
      <c r="C265">
        <v>4</v>
      </c>
      <c r="D265" s="2">
        <v>41747</v>
      </c>
      <c r="E265" s="2">
        <v>41775</v>
      </c>
      <c r="F265" s="2">
        <v>41750</v>
      </c>
      <c r="G265">
        <v>3</v>
      </c>
      <c r="H265">
        <v>35064</v>
      </c>
    </row>
    <row r="266" spans="1:8" x14ac:dyDescent="0.3">
      <c r="A266">
        <v>10512</v>
      </c>
      <c r="B266" s="1" t="s">
        <v>119</v>
      </c>
      <c r="C266">
        <v>7</v>
      </c>
      <c r="D266" s="2">
        <v>41750</v>
      </c>
      <c r="E266" s="2">
        <v>41778</v>
      </c>
      <c r="F266" s="2">
        <v>41753</v>
      </c>
      <c r="G266">
        <v>2</v>
      </c>
      <c r="H266">
        <v>353</v>
      </c>
    </row>
    <row r="267" spans="1:8" x14ac:dyDescent="0.3">
      <c r="A267">
        <v>10513</v>
      </c>
      <c r="B267" s="1" t="s">
        <v>373</v>
      </c>
      <c r="C267">
        <v>7</v>
      </c>
      <c r="D267" s="2">
        <v>41751</v>
      </c>
      <c r="E267" s="2">
        <v>41793</v>
      </c>
      <c r="F267" s="2">
        <v>41757</v>
      </c>
      <c r="G267">
        <v>1</v>
      </c>
      <c r="H267">
        <v>10565</v>
      </c>
    </row>
    <row r="268" spans="1:8" x14ac:dyDescent="0.3">
      <c r="A268">
        <v>10514</v>
      </c>
      <c r="B268" s="1" t="s">
        <v>113</v>
      </c>
      <c r="C268">
        <v>3</v>
      </c>
      <c r="D268" s="2">
        <v>41751</v>
      </c>
      <c r="E268" s="2">
        <v>41779</v>
      </c>
      <c r="F268" s="2">
        <v>41775</v>
      </c>
      <c r="G268">
        <v>2</v>
      </c>
      <c r="H268">
        <v>78995</v>
      </c>
    </row>
    <row r="269" spans="1:8" x14ac:dyDescent="0.3">
      <c r="A269">
        <v>10515</v>
      </c>
      <c r="B269" s="1" t="s">
        <v>286</v>
      </c>
      <c r="C269">
        <v>2</v>
      </c>
      <c r="D269" s="2">
        <v>41752</v>
      </c>
      <c r="E269" s="2">
        <v>41766</v>
      </c>
      <c r="F269" s="2">
        <v>41782</v>
      </c>
      <c r="G269">
        <v>1</v>
      </c>
      <c r="H269">
        <v>20447</v>
      </c>
    </row>
    <row r="270" spans="1:8" x14ac:dyDescent="0.3">
      <c r="A270">
        <v>10516</v>
      </c>
      <c r="B270" s="1" t="s">
        <v>186</v>
      </c>
      <c r="C270">
        <v>2</v>
      </c>
      <c r="D270" s="2">
        <v>41753</v>
      </c>
      <c r="E270" s="2">
        <v>41781</v>
      </c>
      <c r="F270" s="2">
        <v>41760</v>
      </c>
      <c r="G270">
        <v>3</v>
      </c>
      <c r="H270">
        <v>6278</v>
      </c>
    </row>
    <row r="271" spans="1:8" x14ac:dyDescent="0.3">
      <c r="A271">
        <v>10517</v>
      </c>
      <c r="B271" s="1" t="s">
        <v>252</v>
      </c>
      <c r="C271">
        <v>3</v>
      </c>
      <c r="D271" s="2">
        <v>41753</v>
      </c>
      <c r="E271" s="2">
        <v>41781</v>
      </c>
      <c r="F271" s="2">
        <v>41758</v>
      </c>
      <c r="G271">
        <v>3</v>
      </c>
      <c r="H271">
        <v>3207</v>
      </c>
    </row>
    <row r="272" spans="1:8" x14ac:dyDescent="0.3">
      <c r="A272">
        <v>10518</v>
      </c>
      <c r="B272" s="1" t="s">
        <v>351</v>
      </c>
      <c r="C272">
        <v>4</v>
      </c>
      <c r="D272" s="2">
        <v>41754</v>
      </c>
      <c r="E272" s="2">
        <v>41768</v>
      </c>
      <c r="F272" s="2">
        <v>41764</v>
      </c>
      <c r="G272">
        <v>2</v>
      </c>
      <c r="H272">
        <v>21815</v>
      </c>
    </row>
    <row r="273" spans="1:8" x14ac:dyDescent="0.3">
      <c r="A273">
        <v>10519</v>
      </c>
      <c r="B273" s="1" t="s">
        <v>88</v>
      </c>
      <c r="C273">
        <v>6</v>
      </c>
      <c r="D273" s="2">
        <v>41757</v>
      </c>
      <c r="E273" s="2">
        <v>41785</v>
      </c>
      <c r="F273" s="2">
        <v>41760</v>
      </c>
      <c r="G273">
        <v>3</v>
      </c>
      <c r="H273">
        <v>9176</v>
      </c>
    </row>
    <row r="274" spans="1:8" x14ac:dyDescent="0.3">
      <c r="A274">
        <v>10520</v>
      </c>
      <c r="B274" s="1" t="s">
        <v>312</v>
      </c>
      <c r="C274">
        <v>7</v>
      </c>
      <c r="D274" s="2">
        <v>41758</v>
      </c>
      <c r="E274" s="2">
        <v>41786</v>
      </c>
      <c r="F274" s="2">
        <v>41760</v>
      </c>
      <c r="G274">
        <v>1</v>
      </c>
      <c r="H274">
        <v>1337</v>
      </c>
    </row>
    <row r="275" spans="1:8" x14ac:dyDescent="0.3">
      <c r="A275">
        <v>10521</v>
      </c>
      <c r="B275" s="1" t="s">
        <v>79</v>
      </c>
      <c r="C275">
        <v>8</v>
      </c>
      <c r="D275" s="2">
        <v>41758</v>
      </c>
      <c r="E275" s="2">
        <v>41786</v>
      </c>
      <c r="F275" s="2">
        <v>41761</v>
      </c>
      <c r="G275">
        <v>2</v>
      </c>
      <c r="H275">
        <v>1722</v>
      </c>
    </row>
    <row r="276" spans="1:8" x14ac:dyDescent="0.3">
      <c r="A276">
        <v>10522</v>
      </c>
      <c r="B276" s="1" t="s">
        <v>215</v>
      </c>
      <c r="C276">
        <v>4</v>
      </c>
      <c r="D276" s="2">
        <v>41759</v>
      </c>
      <c r="E276" s="2">
        <v>41787</v>
      </c>
      <c r="F276" s="2">
        <v>41765</v>
      </c>
      <c r="G276">
        <v>1</v>
      </c>
      <c r="H276">
        <v>4533</v>
      </c>
    </row>
    <row r="277" spans="1:8" x14ac:dyDescent="0.3">
      <c r="A277">
        <v>10523</v>
      </c>
      <c r="B277" s="1" t="s">
        <v>321</v>
      </c>
      <c r="C277">
        <v>7</v>
      </c>
      <c r="D277" s="2">
        <v>41760</v>
      </c>
      <c r="E277" s="2">
        <v>41788</v>
      </c>
      <c r="F277" s="2">
        <v>41789</v>
      </c>
      <c r="G277">
        <v>2</v>
      </c>
      <c r="H277">
        <v>7763</v>
      </c>
    </row>
    <row r="278" spans="1:8" x14ac:dyDescent="0.3">
      <c r="A278">
        <v>10524</v>
      </c>
      <c r="B278" s="1" t="s">
        <v>45</v>
      </c>
      <c r="C278">
        <v>1</v>
      </c>
      <c r="D278" s="2">
        <v>41760</v>
      </c>
      <c r="E278" s="2">
        <v>41788</v>
      </c>
      <c r="F278" s="2">
        <v>41766</v>
      </c>
      <c r="G278">
        <v>2</v>
      </c>
      <c r="H278">
        <v>24479</v>
      </c>
    </row>
    <row r="279" spans="1:8" x14ac:dyDescent="0.3">
      <c r="A279">
        <v>10525</v>
      </c>
      <c r="B279" s="1" t="s">
        <v>66</v>
      </c>
      <c r="C279">
        <v>1</v>
      </c>
      <c r="D279" s="2">
        <v>41761</v>
      </c>
      <c r="E279" s="2">
        <v>41789</v>
      </c>
      <c r="F279" s="2">
        <v>41782</v>
      </c>
      <c r="G279">
        <v>2</v>
      </c>
      <c r="H279">
        <v>1106</v>
      </c>
    </row>
    <row r="280" spans="1:8" x14ac:dyDescent="0.3">
      <c r="A280">
        <v>10526</v>
      </c>
      <c r="B280" s="1" t="s">
        <v>377</v>
      </c>
      <c r="C280">
        <v>4</v>
      </c>
      <c r="D280" s="2">
        <v>41764</v>
      </c>
      <c r="E280" s="2">
        <v>41792</v>
      </c>
      <c r="F280" s="2">
        <v>41774</v>
      </c>
      <c r="G280">
        <v>2</v>
      </c>
      <c r="H280">
        <v>5859</v>
      </c>
    </row>
    <row r="281" spans="1:8" x14ac:dyDescent="0.3">
      <c r="A281">
        <v>10527</v>
      </c>
      <c r="B281" s="1" t="s">
        <v>286</v>
      </c>
      <c r="C281">
        <v>7</v>
      </c>
      <c r="D281" s="2">
        <v>41764</v>
      </c>
      <c r="E281" s="2">
        <v>41792</v>
      </c>
      <c r="F281" s="2">
        <v>41766</v>
      </c>
      <c r="G281">
        <v>1</v>
      </c>
      <c r="H281">
        <v>419</v>
      </c>
    </row>
    <row r="282" spans="1:8" x14ac:dyDescent="0.3">
      <c r="A282">
        <v>10528</v>
      </c>
      <c r="B282" s="1" t="s">
        <v>164</v>
      </c>
      <c r="C282">
        <v>6</v>
      </c>
      <c r="D282" s="2">
        <v>41765</v>
      </c>
      <c r="E282" s="2">
        <v>41779</v>
      </c>
      <c r="F282" s="2">
        <v>41768</v>
      </c>
      <c r="G282">
        <v>2</v>
      </c>
      <c r="H282">
        <v>335</v>
      </c>
    </row>
    <row r="283" spans="1:8" x14ac:dyDescent="0.3">
      <c r="A283">
        <v>10529</v>
      </c>
      <c r="B283" s="1" t="s">
        <v>239</v>
      </c>
      <c r="C283">
        <v>5</v>
      </c>
      <c r="D283" s="2">
        <v>41766</v>
      </c>
      <c r="E283" s="2">
        <v>41794</v>
      </c>
      <c r="F283" s="2">
        <v>41768</v>
      </c>
      <c r="G283">
        <v>2</v>
      </c>
      <c r="H283">
        <v>6669</v>
      </c>
    </row>
    <row r="284" spans="1:8" x14ac:dyDescent="0.3">
      <c r="A284">
        <v>10530</v>
      </c>
      <c r="B284" s="1" t="s">
        <v>273</v>
      </c>
      <c r="C284">
        <v>3</v>
      </c>
      <c r="D284" s="2">
        <v>41767</v>
      </c>
      <c r="E284" s="2">
        <v>41795</v>
      </c>
      <c r="F284" s="2">
        <v>41771</v>
      </c>
      <c r="G284">
        <v>2</v>
      </c>
      <c r="H284">
        <v>33922</v>
      </c>
    </row>
    <row r="285" spans="1:8" x14ac:dyDescent="0.3">
      <c r="A285">
        <v>10531</v>
      </c>
      <c r="B285" s="1" t="s">
        <v>255</v>
      </c>
      <c r="C285">
        <v>7</v>
      </c>
      <c r="D285" s="2">
        <v>41767</v>
      </c>
      <c r="E285" s="2">
        <v>41795</v>
      </c>
      <c r="F285" s="2">
        <v>41778</v>
      </c>
      <c r="G285">
        <v>1</v>
      </c>
      <c r="H285">
        <v>812</v>
      </c>
    </row>
    <row r="286" spans="1:8" x14ac:dyDescent="0.3">
      <c r="A286">
        <v>10532</v>
      </c>
      <c r="B286" s="1" t="s">
        <v>110</v>
      </c>
      <c r="C286">
        <v>7</v>
      </c>
      <c r="D286" s="2">
        <v>41768</v>
      </c>
      <c r="E286" s="2">
        <v>41796</v>
      </c>
      <c r="F286" s="2">
        <v>41771</v>
      </c>
      <c r="G286">
        <v>3</v>
      </c>
      <c r="H286">
        <v>7446</v>
      </c>
    </row>
    <row r="287" spans="1:8" x14ac:dyDescent="0.3">
      <c r="A287">
        <v>10533</v>
      </c>
      <c r="B287" s="1" t="s">
        <v>131</v>
      </c>
      <c r="C287">
        <v>8</v>
      </c>
      <c r="D287" s="2">
        <v>41771</v>
      </c>
      <c r="E287" s="2">
        <v>41799</v>
      </c>
      <c r="F287" s="2">
        <v>41781</v>
      </c>
      <c r="G287">
        <v>1</v>
      </c>
      <c r="H287">
        <v>18804</v>
      </c>
    </row>
    <row r="288" spans="1:8" x14ac:dyDescent="0.3">
      <c r="A288">
        <v>10534</v>
      </c>
      <c r="B288" s="1" t="s">
        <v>215</v>
      </c>
      <c r="C288">
        <v>8</v>
      </c>
      <c r="D288" s="2">
        <v>41771</v>
      </c>
      <c r="E288" s="2">
        <v>41799</v>
      </c>
      <c r="F288" s="2">
        <v>41773</v>
      </c>
      <c r="G288">
        <v>2</v>
      </c>
      <c r="H288">
        <v>2794</v>
      </c>
    </row>
    <row r="289" spans="1:8" x14ac:dyDescent="0.3">
      <c r="A289">
        <v>10535</v>
      </c>
      <c r="B289" s="1" t="s">
        <v>37</v>
      </c>
      <c r="C289">
        <v>4</v>
      </c>
      <c r="D289" s="2">
        <v>41772</v>
      </c>
      <c r="E289" s="2">
        <v>41800</v>
      </c>
      <c r="F289" s="2">
        <v>41780</v>
      </c>
      <c r="G289">
        <v>1</v>
      </c>
      <c r="H289">
        <v>1564</v>
      </c>
    </row>
    <row r="290" spans="1:8" x14ac:dyDescent="0.3">
      <c r="A290">
        <v>10536</v>
      </c>
      <c r="B290" s="1" t="s">
        <v>215</v>
      </c>
      <c r="C290">
        <v>3</v>
      </c>
      <c r="D290" s="2">
        <v>41773</v>
      </c>
      <c r="E290" s="2">
        <v>41801</v>
      </c>
      <c r="F290" s="2">
        <v>41796</v>
      </c>
      <c r="G290">
        <v>2</v>
      </c>
      <c r="H290">
        <v>5888</v>
      </c>
    </row>
    <row r="291" spans="1:8" x14ac:dyDescent="0.3">
      <c r="A291">
        <v>10537</v>
      </c>
      <c r="B291" s="1" t="s">
        <v>305</v>
      </c>
      <c r="C291">
        <v>1</v>
      </c>
      <c r="D291" s="2">
        <v>41773</v>
      </c>
      <c r="E291" s="2">
        <v>41787</v>
      </c>
      <c r="F291" s="2">
        <v>41778</v>
      </c>
      <c r="G291">
        <v>1</v>
      </c>
      <c r="H291">
        <v>7885</v>
      </c>
    </row>
    <row r="292" spans="1:8" x14ac:dyDescent="0.3">
      <c r="A292">
        <v>10538</v>
      </c>
      <c r="B292" s="1" t="s">
        <v>76</v>
      </c>
      <c r="C292">
        <v>9</v>
      </c>
      <c r="D292" s="2">
        <v>41774</v>
      </c>
      <c r="E292" s="2">
        <v>41802</v>
      </c>
      <c r="F292" s="2">
        <v>41775</v>
      </c>
      <c r="G292">
        <v>3</v>
      </c>
      <c r="H292">
        <v>487</v>
      </c>
    </row>
    <row r="293" spans="1:8" x14ac:dyDescent="0.3">
      <c r="A293">
        <v>10539</v>
      </c>
      <c r="B293" s="1" t="s">
        <v>76</v>
      </c>
      <c r="C293">
        <v>6</v>
      </c>
      <c r="D293" s="2">
        <v>41775</v>
      </c>
      <c r="E293" s="2">
        <v>41803</v>
      </c>
      <c r="F293" s="2">
        <v>41782</v>
      </c>
      <c r="G293">
        <v>3</v>
      </c>
      <c r="H293">
        <v>1236</v>
      </c>
    </row>
    <row r="294" spans="1:8" x14ac:dyDescent="0.3">
      <c r="A294">
        <v>10540</v>
      </c>
      <c r="B294" s="1" t="s">
        <v>286</v>
      </c>
      <c r="C294">
        <v>3</v>
      </c>
      <c r="D294" s="2">
        <v>41778</v>
      </c>
      <c r="E294" s="2">
        <v>41806</v>
      </c>
      <c r="F294" s="2">
        <v>41803</v>
      </c>
      <c r="G294">
        <v>3</v>
      </c>
      <c r="H294">
        <v>100764</v>
      </c>
    </row>
    <row r="295" spans="1:8" x14ac:dyDescent="0.3">
      <c r="A295">
        <v>10541</v>
      </c>
      <c r="B295" s="1" t="s">
        <v>174</v>
      </c>
      <c r="C295">
        <v>2</v>
      </c>
      <c r="D295" s="2">
        <v>41778</v>
      </c>
      <c r="E295" s="2">
        <v>41806</v>
      </c>
      <c r="F295" s="2">
        <v>41788</v>
      </c>
      <c r="G295">
        <v>1</v>
      </c>
      <c r="H295">
        <v>6865</v>
      </c>
    </row>
    <row r="296" spans="1:8" x14ac:dyDescent="0.3">
      <c r="A296">
        <v>10542</v>
      </c>
      <c r="B296" s="1" t="s">
        <v>195</v>
      </c>
      <c r="C296">
        <v>1</v>
      </c>
      <c r="D296" s="2">
        <v>41779</v>
      </c>
      <c r="E296" s="2">
        <v>41807</v>
      </c>
      <c r="F296" s="2">
        <v>41785</v>
      </c>
      <c r="G296">
        <v>3</v>
      </c>
      <c r="H296">
        <v>1095</v>
      </c>
    </row>
    <row r="297" spans="1:8" x14ac:dyDescent="0.3">
      <c r="A297">
        <v>10543</v>
      </c>
      <c r="B297" s="1" t="s">
        <v>223</v>
      </c>
      <c r="C297">
        <v>8</v>
      </c>
      <c r="D297" s="2">
        <v>41780</v>
      </c>
      <c r="E297" s="2">
        <v>41808</v>
      </c>
      <c r="F297" s="2">
        <v>41782</v>
      </c>
      <c r="G297">
        <v>2</v>
      </c>
      <c r="H297">
        <v>4817</v>
      </c>
    </row>
    <row r="298" spans="1:8" x14ac:dyDescent="0.3">
      <c r="A298">
        <v>10544</v>
      </c>
      <c r="B298" s="1" t="s">
        <v>231</v>
      </c>
      <c r="C298">
        <v>4</v>
      </c>
      <c r="D298" s="2">
        <v>41780</v>
      </c>
      <c r="E298" s="2">
        <v>41808</v>
      </c>
      <c r="F298" s="2">
        <v>41789</v>
      </c>
      <c r="G298">
        <v>1</v>
      </c>
      <c r="H298">
        <v>2491</v>
      </c>
    </row>
    <row r="299" spans="1:8" x14ac:dyDescent="0.3">
      <c r="A299">
        <v>10545</v>
      </c>
      <c r="B299" s="1" t="s">
        <v>211</v>
      </c>
      <c r="C299">
        <v>8</v>
      </c>
      <c r="D299" s="2">
        <v>41781</v>
      </c>
      <c r="E299" s="2">
        <v>41809</v>
      </c>
      <c r="F299" s="2">
        <v>41816</v>
      </c>
      <c r="G299">
        <v>2</v>
      </c>
      <c r="H299">
        <v>1192</v>
      </c>
    </row>
    <row r="300" spans="1:8" x14ac:dyDescent="0.3">
      <c r="A300">
        <v>10546</v>
      </c>
      <c r="B300" s="1" t="s">
        <v>365</v>
      </c>
      <c r="C300">
        <v>1</v>
      </c>
      <c r="D300" s="2">
        <v>41782</v>
      </c>
      <c r="E300" s="2">
        <v>41810</v>
      </c>
      <c r="F300" s="2">
        <v>41786</v>
      </c>
      <c r="G300">
        <v>3</v>
      </c>
      <c r="H300">
        <v>19472</v>
      </c>
    </row>
    <row r="301" spans="1:8" x14ac:dyDescent="0.3">
      <c r="A301">
        <v>10547</v>
      </c>
      <c r="B301" s="1" t="s">
        <v>321</v>
      </c>
      <c r="C301">
        <v>3</v>
      </c>
      <c r="D301" s="2">
        <v>41782</v>
      </c>
      <c r="E301" s="2">
        <v>41810</v>
      </c>
      <c r="F301" s="2">
        <v>41792</v>
      </c>
      <c r="G301">
        <v>2</v>
      </c>
      <c r="H301">
        <v>17843</v>
      </c>
    </row>
    <row r="302" spans="1:8" x14ac:dyDescent="0.3">
      <c r="A302">
        <v>10548</v>
      </c>
      <c r="B302" s="1" t="s">
        <v>347</v>
      </c>
      <c r="C302">
        <v>3</v>
      </c>
      <c r="D302" s="2">
        <v>41785</v>
      </c>
      <c r="E302" s="2">
        <v>41813</v>
      </c>
      <c r="F302" s="2">
        <v>41792</v>
      </c>
      <c r="G302">
        <v>2</v>
      </c>
      <c r="H302">
        <v>143</v>
      </c>
    </row>
    <row r="303" spans="1:8" x14ac:dyDescent="0.3">
      <c r="A303">
        <v>10549</v>
      </c>
      <c r="B303" s="1" t="s">
        <v>286</v>
      </c>
      <c r="C303">
        <v>5</v>
      </c>
      <c r="D303" s="2">
        <v>41786</v>
      </c>
      <c r="E303" s="2">
        <v>41800</v>
      </c>
      <c r="F303" s="2">
        <v>41789</v>
      </c>
      <c r="G303">
        <v>1</v>
      </c>
      <c r="H303">
        <v>17124</v>
      </c>
    </row>
    <row r="304" spans="1:8" x14ac:dyDescent="0.3">
      <c r="A304">
        <v>10550</v>
      </c>
      <c r="B304" s="1" t="s">
        <v>156</v>
      </c>
      <c r="C304">
        <v>7</v>
      </c>
      <c r="D304" s="2">
        <v>41787</v>
      </c>
      <c r="E304" s="2">
        <v>41815</v>
      </c>
      <c r="F304" s="2">
        <v>41796</v>
      </c>
      <c r="G304">
        <v>3</v>
      </c>
      <c r="H304">
        <v>432</v>
      </c>
    </row>
    <row r="305" spans="1:8" x14ac:dyDescent="0.3">
      <c r="A305">
        <v>10551</v>
      </c>
      <c r="B305" s="1" t="s">
        <v>147</v>
      </c>
      <c r="C305">
        <v>4</v>
      </c>
      <c r="D305" s="2">
        <v>41787</v>
      </c>
      <c r="E305" s="2">
        <v>41829</v>
      </c>
      <c r="F305" s="2">
        <v>41796</v>
      </c>
      <c r="G305">
        <v>3</v>
      </c>
      <c r="H305">
        <v>7295</v>
      </c>
    </row>
    <row r="306" spans="1:8" x14ac:dyDescent="0.3">
      <c r="A306">
        <v>10552</v>
      </c>
      <c r="B306" s="1" t="s">
        <v>178</v>
      </c>
      <c r="C306">
        <v>2</v>
      </c>
      <c r="D306" s="2">
        <v>41788</v>
      </c>
      <c r="E306" s="2">
        <v>41816</v>
      </c>
      <c r="F306" s="2">
        <v>41795</v>
      </c>
      <c r="G306">
        <v>1</v>
      </c>
      <c r="H306">
        <v>8322</v>
      </c>
    </row>
    <row r="307" spans="1:8" x14ac:dyDescent="0.3">
      <c r="A307">
        <v>10553</v>
      </c>
      <c r="B307" s="1" t="s">
        <v>377</v>
      </c>
      <c r="C307">
        <v>2</v>
      </c>
      <c r="D307" s="2">
        <v>41789</v>
      </c>
      <c r="E307" s="2">
        <v>41817</v>
      </c>
      <c r="F307" s="2">
        <v>41793</v>
      </c>
      <c r="G307">
        <v>2</v>
      </c>
      <c r="H307">
        <v>14949</v>
      </c>
    </row>
    <row r="308" spans="1:8" x14ac:dyDescent="0.3">
      <c r="A308">
        <v>10554</v>
      </c>
      <c r="B308" s="1" t="s">
        <v>262</v>
      </c>
      <c r="C308">
        <v>4</v>
      </c>
      <c r="D308" s="2">
        <v>41789</v>
      </c>
      <c r="E308" s="2">
        <v>41817</v>
      </c>
      <c r="F308" s="2">
        <v>41795</v>
      </c>
      <c r="G308">
        <v>3</v>
      </c>
      <c r="H308">
        <v>12097</v>
      </c>
    </row>
    <row r="309" spans="1:8" x14ac:dyDescent="0.3">
      <c r="A309">
        <v>10555</v>
      </c>
      <c r="B309" s="1" t="s">
        <v>317</v>
      </c>
      <c r="C309">
        <v>6</v>
      </c>
      <c r="D309" s="2">
        <v>41792</v>
      </c>
      <c r="E309" s="2">
        <v>41820</v>
      </c>
      <c r="F309" s="2">
        <v>41794</v>
      </c>
      <c r="G309">
        <v>3</v>
      </c>
      <c r="H309">
        <v>25249</v>
      </c>
    </row>
    <row r="310" spans="1:8" x14ac:dyDescent="0.3">
      <c r="A310">
        <v>10556</v>
      </c>
      <c r="B310" s="1" t="s">
        <v>324</v>
      </c>
      <c r="C310">
        <v>2</v>
      </c>
      <c r="D310" s="2">
        <v>41793</v>
      </c>
      <c r="E310" s="2">
        <v>41835</v>
      </c>
      <c r="F310" s="2">
        <v>41803</v>
      </c>
      <c r="G310">
        <v>1</v>
      </c>
      <c r="H310">
        <v>98</v>
      </c>
    </row>
    <row r="311" spans="1:8" x14ac:dyDescent="0.3">
      <c r="A311">
        <v>10557</v>
      </c>
      <c r="B311" s="1" t="s">
        <v>215</v>
      </c>
      <c r="C311">
        <v>9</v>
      </c>
      <c r="D311" s="2">
        <v>41793</v>
      </c>
      <c r="E311" s="2">
        <v>41807</v>
      </c>
      <c r="F311" s="2">
        <v>41796</v>
      </c>
      <c r="G311">
        <v>2</v>
      </c>
      <c r="H311">
        <v>9672</v>
      </c>
    </row>
    <row r="312" spans="1:8" x14ac:dyDescent="0.3">
      <c r="A312">
        <v>10558</v>
      </c>
      <c r="B312" s="1" t="s">
        <v>40</v>
      </c>
      <c r="C312">
        <v>1</v>
      </c>
      <c r="D312" s="2">
        <v>41794</v>
      </c>
      <c r="E312" s="2">
        <v>41822</v>
      </c>
      <c r="F312" s="2">
        <v>41800</v>
      </c>
      <c r="G312">
        <v>2</v>
      </c>
      <c r="H312">
        <v>7297</v>
      </c>
    </row>
    <row r="313" spans="1:8" x14ac:dyDescent="0.3">
      <c r="A313">
        <v>10559</v>
      </c>
      <c r="B313" s="1" t="s">
        <v>55</v>
      </c>
      <c r="C313">
        <v>6</v>
      </c>
      <c r="D313" s="2">
        <v>41795</v>
      </c>
      <c r="E313" s="2">
        <v>41823</v>
      </c>
      <c r="F313" s="2">
        <v>41803</v>
      </c>
      <c r="G313">
        <v>1</v>
      </c>
      <c r="H313">
        <v>805</v>
      </c>
    </row>
    <row r="314" spans="1:8" x14ac:dyDescent="0.3">
      <c r="A314">
        <v>10560</v>
      </c>
      <c r="B314" s="1" t="s">
        <v>135</v>
      </c>
      <c r="C314">
        <v>8</v>
      </c>
      <c r="D314" s="2">
        <v>41796</v>
      </c>
      <c r="E314" s="2">
        <v>41824</v>
      </c>
      <c r="F314" s="2">
        <v>41799</v>
      </c>
      <c r="G314">
        <v>1</v>
      </c>
      <c r="H314">
        <v>3665</v>
      </c>
    </row>
    <row r="315" spans="1:8" x14ac:dyDescent="0.3">
      <c r="A315">
        <v>10561</v>
      </c>
      <c r="B315" s="1" t="s">
        <v>131</v>
      </c>
      <c r="C315">
        <v>2</v>
      </c>
      <c r="D315" s="2">
        <v>41796</v>
      </c>
      <c r="E315" s="2">
        <v>41824</v>
      </c>
      <c r="F315" s="2">
        <v>41799</v>
      </c>
      <c r="G315">
        <v>2</v>
      </c>
      <c r="H315">
        <v>24221</v>
      </c>
    </row>
    <row r="316" spans="1:8" x14ac:dyDescent="0.3">
      <c r="A316">
        <v>10562</v>
      </c>
      <c r="B316" s="1" t="s">
        <v>298</v>
      </c>
      <c r="C316">
        <v>1</v>
      </c>
      <c r="D316" s="2">
        <v>41799</v>
      </c>
      <c r="E316" s="2">
        <v>41827</v>
      </c>
      <c r="F316" s="2">
        <v>41802</v>
      </c>
      <c r="G316">
        <v>1</v>
      </c>
      <c r="H316">
        <v>2295</v>
      </c>
    </row>
    <row r="317" spans="1:8" x14ac:dyDescent="0.3">
      <c r="A317">
        <v>10563</v>
      </c>
      <c r="B317" s="1" t="s">
        <v>302</v>
      </c>
      <c r="C317">
        <v>2</v>
      </c>
      <c r="D317" s="2">
        <v>41800</v>
      </c>
      <c r="E317" s="2">
        <v>41842</v>
      </c>
      <c r="F317" s="2">
        <v>41814</v>
      </c>
      <c r="G317">
        <v>2</v>
      </c>
      <c r="H317">
        <v>6043</v>
      </c>
    </row>
    <row r="318" spans="1:8" x14ac:dyDescent="0.3">
      <c r="A318">
        <v>10564</v>
      </c>
      <c r="B318" s="1" t="s">
        <v>293</v>
      </c>
      <c r="C318">
        <v>4</v>
      </c>
      <c r="D318" s="2">
        <v>41800</v>
      </c>
      <c r="E318" s="2">
        <v>41828</v>
      </c>
      <c r="F318" s="2">
        <v>41806</v>
      </c>
      <c r="G318">
        <v>3</v>
      </c>
      <c r="H318">
        <v>1375</v>
      </c>
    </row>
    <row r="319" spans="1:8" x14ac:dyDescent="0.3">
      <c r="A319">
        <v>10565</v>
      </c>
      <c r="B319" s="1" t="s">
        <v>244</v>
      </c>
      <c r="C319">
        <v>8</v>
      </c>
      <c r="D319" s="2">
        <v>41801</v>
      </c>
      <c r="E319" s="2">
        <v>41829</v>
      </c>
      <c r="F319" s="2">
        <v>41808</v>
      </c>
      <c r="G319">
        <v>2</v>
      </c>
      <c r="H319">
        <v>715</v>
      </c>
    </row>
    <row r="320" spans="1:8" x14ac:dyDescent="0.3">
      <c r="A320">
        <v>10566</v>
      </c>
      <c r="B320" s="1" t="s">
        <v>55</v>
      </c>
      <c r="C320">
        <v>9</v>
      </c>
      <c r="D320" s="2">
        <v>41802</v>
      </c>
      <c r="E320" s="2">
        <v>41830</v>
      </c>
      <c r="F320" s="2">
        <v>41808</v>
      </c>
      <c r="G320">
        <v>1</v>
      </c>
      <c r="H320">
        <v>884</v>
      </c>
    </row>
    <row r="321" spans="1:8" x14ac:dyDescent="0.3">
      <c r="A321">
        <v>10567</v>
      </c>
      <c r="B321" s="1" t="s">
        <v>186</v>
      </c>
      <c r="C321">
        <v>1</v>
      </c>
      <c r="D321" s="2">
        <v>41802</v>
      </c>
      <c r="E321" s="2">
        <v>41830</v>
      </c>
      <c r="F321" s="2">
        <v>41807</v>
      </c>
      <c r="G321">
        <v>1</v>
      </c>
      <c r="H321">
        <v>3397</v>
      </c>
    </row>
    <row r="322" spans="1:8" x14ac:dyDescent="0.3">
      <c r="A322">
        <v>10568</v>
      </c>
      <c r="B322" s="1" t="s">
        <v>152</v>
      </c>
      <c r="C322">
        <v>3</v>
      </c>
      <c r="D322" s="2">
        <v>41803</v>
      </c>
      <c r="E322" s="2">
        <v>41831</v>
      </c>
      <c r="F322" s="2">
        <v>41829</v>
      </c>
      <c r="G322">
        <v>3</v>
      </c>
      <c r="H322">
        <v>654</v>
      </c>
    </row>
    <row r="323" spans="1:8" x14ac:dyDescent="0.3">
      <c r="A323">
        <v>10569</v>
      </c>
      <c r="B323" s="1" t="s">
        <v>293</v>
      </c>
      <c r="C323">
        <v>5</v>
      </c>
      <c r="D323" s="2">
        <v>41806</v>
      </c>
      <c r="E323" s="2">
        <v>41834</v>
      </c>
      <c r="F323" s="2">
        <v>41831</v>
      </c>
      <c r="G323">
        <v>1</v>
      </c>
      <c r="H323">
        <v>5898</v>
      </c>
    </row>
    <row r="324" spans="1:8" x14ac:dyDescent="0.3">
      <c r="A324">
        <v>10570</v>
      </c>
      <c r="B324" s="1" t="s">
        <v>244</v>
      </c>
      <c r="C324">
        <v>3</v>
      </c>
      <c r="D324" s="2">
        <v>41807</v>
      </c>
      <c r="E324" s="2">
        <v>41835</v>
      </c>
      <c r="F324" s="2">
        <v>41809</v>
      </c>
      <c r="G324">
        <v>3</v>
      </c>
      <c r="H324">
        <v>18899</v>
      </c>
    </row>
    <row r="325" spans="1:8" x14ac:dyDescent="0.3">
      <c r="A325">
        <v>10571</v>
      </c>
      <c r="B325" s="1" t="s">
        <v>113</v>
      </c>
      <c r="C325">
        <v>8</v>
      </c>
      <c r="D325" s="2">
        <v>41807</v>
      </c>
      <c r="E325" s="2">
        <v>41849</v>
      </c>
      <c r="F325" s="2">
        <v>41824</v>
      </c>
      <c r="G325">
        <v>3</v>
      </c>
      <c r="H325">
        <v>2606</v>
      </c>
    </row>
    <row r="326" spans="1:8" x14ac:dyDescent="0.3">
      <c r="A326">
        <v>10572</v>
      </c>
      <c r="B326" s="1" t="s">
        <v>45</v>
      </c>
      <c r="C326">
        <v>3</v>
      </c>
      <c r="D326" s="2">
        <v>41808</v>
      </c>
      <c r="E326" s="2">
        <v>41836</v>
      </c>
      <c r="F326" s="2">
        <v>41815</v>
      </c>
      <c r="G326">
        <v>2</v>
      </c>
      <c r="H326">
        <v>11643</v>
      </c>
    </row>
    <row r="327" spans="1:8" x14ac:dyDescent="0.3">
      <c r="A327">
        <v>10573</v>
      </c>
      <c r="B327" s="1" t="s">
        <v>37</v>
      </c>
      <c r="C327">
        <v>7</v>
      </c>
      <c r="D327" s="2">
        <v>41809</v>
      </c>
      <c r="E327" s="2">
        <v>41837</v>
      </c>
      <c r="F327" s="2">
        <v>41810</v>
      </c>
      <c r="G327">
        <v>3</v>
      </c>
      <c r="H327">
        <v>8484</v>
      </c>
    </row>
    <row r="328" spans="1:8" x14ac:dyDescent="0.3">
      <c r="A328">
        <v>10574</v>
      </c>
      <c r="B328" s="1" t="s">
        <v>357</v>
      </c>
      <c r="C328">
        <v>4</v>
      </c>
      <c r="D328" s="2">
        <v>41809</v>
      </c>
      <c r="E328" s="2">
        <v>41837</v>
      </c>
      <c r="F328" s="2">
        <v>41820</v>
      </c>
      <c r="G328">
        <v>2</v>
      </c>
      <c r="H328">
        <v>376</v>
      </c>
    </row>
    <row r="329" spans="1:8" x14ac:dyDescent="0.3">
      <c r="A329">
        <v>10575</v>
      </c>
      <c r="B329" s="1" t="s">
        <v>248</v>
      </c>
      <c r="C329">
        <v>5</v>
      </c>
      <c r="D329" s="2">
        <v>41810</v>
      </c>
      <c r="E329" s="2">
        <v>41824</v>
      </c>
      <c r="F329" s="2">
        <v>41820</v>
      </c>
      <c r="G329">
        <v>1</v>
      </c>
      <c r="H329">
        <v>12734</v>
      </c>
    </row>
    <row r="330" spans="1:8" x14ac:dyDescent="0.3">
      <c r="A330">
        <v>10576</v>
      </c>
      <c r="B330" s="1" t="s">
        <v>351</v>
      </c>
      <c r="C330">
        <v>3</v>
      </c>
      <c r="D330" s="2">
        <v>41813</v>
      </c>
      <c r="E330" s="2">
        <v>41827</v>
      </c>
      <c r="F330" s="2">
        <v>41820</v>
      </c>
      <c r="G330">
        <v>3</v>
      </c>
      <c r="H330">
        <v>1856</v>
      </c>
    </row>
    <row r="331" spans="1:8" x14ac:dyDescent="0.3">
      <c r="A331">
        <v>10577</v>
      </c>
      <c r="B331" s="1" t="s">
        <v>357</v>
      </c>
      <c r="C331">
        <v>9</v>
      </c>
      <c r="D331" s="2">
        <v>41813</v>
      </c>
      <c r="E331" s="2">
        <v>41855</v>
      </c>
      <c r="F331" s="2">
        <v>41820</v>
      </c>
      <c r="G331">
        <v>2</v>
      </c>
      <c r="H331">
        <v>2541</v>
      </c>
    </row>
    <row r="332" spans="1:8" x14ac:dyDescent="0.3">
      <c r="A332">
        <v>10578</v>
      </c>
      <c r="B332" s="1" t="s">
        <v>76</v>
      </c>
      <c r="C332">
        <v>4</v>
      </c>
      <c r="D332" s="2">
        <v>41814</v>
      </c>
      <c r="E332" s="2">
        <v>41842</v>
      </c>
      <c r="F332" s="2">
        <v>41845</v>
      </c>
      <c r="G332">
        <v>3</v>
      </c>
      <c r="H332">
        <v>296</v>
      </c>
    </row>
    <row r="333" spans="1:8" x14ac:dyDescent="0.3">
      <c r="A333">
        <v>10579</v>
      </c>
      <c r="B333" s="1" t="s">
        <v>219</v>
      </c>
      <c r="C333">
        <v>1</v>
      </c>
      <c r="D333" s="2">
        <v>41815</v>
      </c>
      <c r="E333" s="2">
        <v>41843</v>
      </c>
      <c r="F333" s="2">
        <v>41824</v>
      </c>
      <c r="G333">
        <v>2</v>
      </c>
      <c r="H333">
        <v>1373</v>
      </c>
    </row>
    <row r="334" spans="1:8" x14ac:dyDescent="0.3">
      <c r="A334">
        <v>10580</v>
      </c>
      <c r="B334" s="1" t="s">
        <v>262</v>
      </c>
      <c r="C334">
        <v>4</v>
      </c>
      <c r="D334" s="2">
        <v>41816</v>
      </c>
      <c r="E334" s="2">
        <v>41844</v>
      </c>
      <c r="F334" s="2">
        <v>41821</v>
      </c>
      <c r="G334">
        <v>3</v>
      </c>
      <c r="H334">
        <v>7589</v>
      </c>
    </row>
    <row r="335" spans="1:8" x14ac:dyDescent="0.3">
      <c r="A335">
        <v>10581</v>
      </c>
      <c r="B335" s="1" t="s">
        <v>119</v>
      </c>
      <c r="C335">
        <v>3</v>
      </c>
      <c r="D335" s="2">
        <v>41816</v>
      </c>
      <c r="E335" s="2">
        <v>41844</v>
      </c>
      <c r="F335" s="2">
        <v>41822</v>
      </c>
      <c r="G335">
        <v>1</v>
      </c>
      <c r="H335">
        <v>301</v>
      </c>
    </row>
    <row r="336" spans="1:8" x14ac:dyDescent="0.3">
      <c r="A336">
        <v>10582</v>
      </c>
      <c r="B336" s="1" t="s">
        <v>51</v>
      </c>
      <c r="C336">
        <v>3</v>
      </c>
      <c r="D336" s="2">
        <v>41817</v>
      </c>
      <c r="E336" s="2">
        <v>41845</v>
      </c>
      <c r="F336" s="2">
        <v>41834</v>
      </c>
      <c r="G336">
        <v>2</v>
      </c>
      <c r="H336">
        <v>2771</v>
      </c>
    </row>
    <row r="337" spans="1:8" x14ac:dyDescent="0.3">
      <c r="A337">
        <v>10583</v>
      </c>
      <c r="B337" s="1" t="s">
        <v>377</v>
      </c>
      <c r="C337">
        <v>2</v>
      </c>
      <c r="D337" s="2">
        <v>41820</v>
      </c>
      <c r="E337" s="2">
        <v>41848</v>
      </c>
      <c r="F337" s="2">
        <v>41824</v>
      </c>
      <c r="G337">
        <v>2</v>
      </c>
      <c r="H337">
        <v>728</v>
      </c>
    </row>
    <row r="338" spans="1:8" x14ac:dyDescent="0.3">
      <c r="A338">
        <v>10584</v>
      </c>
      <c r="B338" s="1" t="s">
        <v>55</v>
      </c>
      <c r="C338">
        <v>4</v>
      </c>
      <c r="D338" s="2">
        <v>41820</v>
      </c>
      <c r="E338" s="2">
        <v>41848</v>
      </c>
      <c r="F338" s="2">
        <v>41824</v>
      </c>
      <c r="G338">
        <v>1</v>
      </c>
      <c r="H338">
        <v>5914</v>
      </c>
    </row>
    <row r="339" spans="1:8" x14ac:dyDescent="0.3">
      <c r="A339">
        <v>10585</v>
      </c>
      <c r="B339" s="1" t="s">
        <v>382</v>
      </c>
      <c r="C339">
        <v>7</v>
      </c>
      <c r="D339" s="2">
        <v>41821</v>
      </c>
      <c r="E339" s="2">
        <v>41849</v>
      </c>
      <c r="F339" s="2">
        <v>41830</v>
      </c>
      <c r="G339">
        <v>1</v>
      </c>
      <c r="H339">
        <v>1341</v>
      </c>
    </row>
    <row r="340" spans="1:8" x14ac:dyDescent="0.3">
      <c r="A340">
        <v>10586</v>
      </c>
      <c r="B340" s="1" t="s">
        <v>298</v>
      </c>
      <c r="C340">
        <v>9</v>
      </c>
      <c r="D340" s="2">
        <v>41822</v>
      </c>
      <c r="E340" s="2">
        <v>41850</v>
      </c>
      <c r="F340" s="2">
        <v>41829</v>
      </c>
      <c r="G340">
        <v>1</v>
      </c>
      <c r="H340">
        <v>48</v>
      </c>
    </row>
    <row r="341" spans="1:8" x14ac:dyDescent="0.3">
      <c r="A341">
        <v>10587</v>
      </c>
      <c r="B341" s="1" t="s">
        <v>280</v>
      </c>
      <c r="C341">
        <v>1</v>
      </c>
      <c r="D341" s="2">
        <v>41822</v>
      </c>
      <c r="E341" s="2">
        <v>41850</v>
      </c>
      <c r="F341" s="2">
        <v>41829</v>
      </c>
      <c r="G341">
        <v>1</v>
      </c>
      <c r="H341">
        <v>6252</v>
      </c>
    </row>
    <row r="342" spans="1:8" x14ac:dyDescent="0.3">
      <c r="A342">
        <v>10588</v>
      </c>
      <c r="B342" s="1" t="s">
        <v>286</v>
      </c>
      <c r="C342">
        <v>2</v>
      </c>
      <c r="D342" s="2">
        <v>41823</v>
      </c>
      <c r="E342" s="2">
        <v>41851</v>
      </c>
      <c r="F342" s="2">
        <v>41830</v>
      </c>
      <c r="G342">
        <v>3</v>
      </c>
      <c r="H342">
        <v>19467</v>
      </c>
    </row>
    <row r="343" spans="1:8" x14ac:dyDescent="0.3">
      <c r="A343">
        <v>10589</v>
      </c>
      <c r="B343" s="1" t="s">
        <v>164</v>
      </c>
      <c r="C343">
        <v>8</v>
      </c>
      <c r="D343" s="2">
        <v>41824</v>
      </c>
      <c r="E343" s="2">
        <v>41852</v>
      </c>
      <c r="F343" s="2">
        <v>41834</v>
      </c>
      <c r="G343">
        <v>2</v>
      </c>
      <c r="H343">
        <v>442</v>
      </c>
    </row>
    <row r="344" spans="1:8" x14ac:dyDescent="0.3">
      <c r="A344">
        <v>10590</v>
      </c>
      <c r="B344" s="1" t="s">
        <v>244</v>
      </c>
      <c r="C344">
        <v>4</v>
      </c>
      <c r="D344" s="2">
        <v>41827</v>
      </c>
      <c r="E344" s="2">
        <v>41855</v>
      </c>
      <c r="F344" s="2">
        <v>41834</v>
      </c>
      <c r="G344">
        <v>3</v>
      </c>
      <c r="H344">
        <v>4477</v>
      </c>
    </row>
    <row r="345" spans="1:8" x14ac:dyDescent="0.3">
      <c r="A345">
        <v>10591</v>
      </c>
      <c r="B345" s="1" t="s">
        <v>361</v>
      </c>
      <c r="C345">
        <v>1</v>
      </c>
      <c r="D345" s="2">
        <v>41827</v>
      </c>
      <c r="E345" s="2">
        <v>41841</v>
      </c>
      <c r="F345" s="2">
        <v>41836</v>
      </c>
      <c r="G345">
        <v>1</v>
      </c>
      <c r="H345">
        <v>5592</v>
      </c>
    </row>
    <row r="346" spans="1:8" x14ac:dyDescent="0.3">
      <c r="A346">
        <v>10592</v>
      </c>
      <c r="B346" s="1" t="s">
        <v>215</v>
      </c>
      <c r="C346">
        <v>3</v>
      </c>
      <c r="D346" s="2">
        <v>41828</v>
      </c>
      <c r="E346" s="2">
        <v>41856</v>
      </c>
      <c r="F346" s="2">
        <v>41836</v>
      </c>
      <c r="G346">
        <v>1</v>
      </c>
      <c r="H346">
        <v>321</v>
      </c>
    </row>
    <row r="347" spans="1:8" x14ac:dyDescent="0.3">
      <c r="A347">
        <v>10593</v>
      </c>
      <c r="B347" s="1" t="s">
        <v>215</v>
      </c>
      <c r="C347">
        <v>7</v>
      </c>
      <c r="D347" s="2">
        <v>41829</v>
      </c>
      <c r="E347" s="2">
        <v>41857</v>
      </c>
      <c r="F347" s="2">
        <v>41864</v>
      </c>
      <c r="G347">
        <v>2</v>
      </c>
      <c r="H347">
        <v>1742</v>
      </c>
    </row>
    <row r="348" spans="1:8" x14ac:dyDescent="0.3">
      <c r="A348">
        <v>10594</v>
      </c>
      <c r="B348" s="1" t="s">
        <v>258</v>
      </c>
      <c r="C348">
        <v>3</v>
      </c>
      <c r="D348" s="2">
        <v>41829</v>
      </c>
      <c r="E348" s="2">
        <v>41857</v>
      </c>
      <c r="F348" s="2">
        <v>41836</v>
      </c>
      <c r="G348">
        <v>2</v>
      </c>
      <c r="H348">
        <v>524</v>
      </c>
    </row>
    <row r="349" spans="1:8" x14ac:dyDescent="0.3">
      <c r="A349">
        <v>10595</v>
      </c>
      <c r="B349" s="1" t="s">
        <v>113</v>
      </c>
      <c r="C349">
        <v>2</v>
      </c>
      <c r="D349" s="2">
        <v>41830</v>
      </c>
      <c r="E349" s="2">
        <v>41858</v>
      </c>
      <c r="F349" s="2">
        <v>41834</v>
      </c>
      <c r="G349">
        <v>1</v>
      </c>
      <c r="H349">
        <v>9678</v>
      </c>
    </row>
    <row r="350" spans="1:8" x14ac:dyDescent="0.3">
      <c r="A350">
        <v>10596</v>
      </c>
      <c r="B350" s="1" t="s">
        <v>386</v>
      </c>
      <c r="C350">
        <v>8</v>
      </c>
      <c r="D350" s="2">
        <v>41831</v>
      </c>
      <c r="E350" s="2">
        <v>41859</v>
      </c>
      <c r="F350" s="2">
        <v>41863</v>
      </c>
      <c r="G350">
        <v>1</v>
      </c>
      <c r="H350">
        <v>1634</v>
      </c>
    </row>
    <row r="351" spans="1:8" x14ac:dyDescent="0.3">
      <c r="A351">
        <v>10597</v>
      </c>
      <c r="B351" s="1" t="s">
        <v>273</v>
      </c>
      <c r="C351">
        <v>7</v>
      </c>
      <c r="D351" s="2">
        <v>41831</v>
      </c>
      <c r="E351" s="2">
        <v>41859</v>
      </c>
      <c r="F351" s="2">
        <v>41838</v>
      </c>
      <c r="G351">
        <v>3</v>
      </c>
      <c r="H351">
        <v>3512</v>
      </c>
    </row>
    <row r="352" spans="1:8" x14ac:dyDescent="0.3">
      <c r="A352">
        <v>10598</v>
      </c>
      <c r="B352" s="1" t="s">
        <v>293</v>
      </c>
      <c r="C352">
        <v>1</v>
      </c>
      <c r="D352" s="2">
        <v>41834</v>
      </c>
      <c r="E352" s="2">
        <v>41862</v>
      </c>
      <c r="F352" s="2">
        <v>41838</v>
      </c>
      <c r="G352">
        <v>3</v>
      </c>
      <c r="H352">
        <v>4442</v>
      </c>
    </row>
    <row r="353" spans="1:8" x14ac:dyDescent="0.3">
      <c r="A353">
        <v>10599</v>
      </c>
      <c r="B353" s="1" t="s">
        <v>76</v>
      </c>
      <c r="C353">
        <v>6</v>
      </c>
      <c r="D353" s="2">
        <v>41835</v>
      </c>
      <c r="E353" s="2">
        <v>41877</v>
      </c>
      <c r="F353" s="2">
        <v>41841</v>
      </c>
      <c r="G353">
        <v>3</v>
      </c>
      <c r="H353">
        <v>2998</v>
      </c>
    </row>
    <row r="354" spans="1:8" x14ac:dyDescent="0.3">
      <c r="A354">
        <v>10600</v>
      </c>
      <c r="B354" s="1" t="s">
        <v>182</v>
      </c>
      <c r="C354">
        <v>4</v>
      </c>
      <c r="D354" s="2">
        <v>41836</v>
      </c>
      <c r="E354" s="2">
        <v>41864</v>
      </c>
      <c r="F354" s="2">
        <v>41841</v>
      </c>
      <c r="G354">
        <v>1</v>
      </c>
      <c r="H354">
        <v>4513</v>
      </c>
    </row>
    <row r="355" spans="1:8" x14ac:dyDescent="0.3">
      <c r="A355">
        <v>10601</v>
      </c>
      <c r="B355" s="1" t="s">
        <v>178</v>
      </c>
      <c r="C355">
        <v>7</v>
      </c>
      <c r="D355" s="2">
        <v>41836</v>
      </c>
      <c r="E355" s="2">
        <v>41878</v>
      </c>
      <c r="F355" s="2">
        <v>41842</v>
      </c>
      <c r="G355">
        <v>1</v>
      </c>
      <c r="H355">
        <v>583</v>
      </c>
    </row>
    <row r="356" spans="1:8" x14ac:dyDescent="0.3">
      <c r="A356">
        <v>10602</v>
      </c>
      <c r="B356" s="1" t="s">
        <v>361</v>
      </c>
      <c r="C356">
        <v>8</v>
      </c>
      <c r="D356" s="2">
        <v>41837</v>
      </c>
      <c r="E356" s="2">
        <v>41865</v>
      </c>
      <c r="F356" s="2">
        <v>41842</v>
      </c>
      <c r="G356">
        <v>2</v>
      </c>
      <c r="H356">
        <v>292</v>
      </c>
    </row>
    <row r="357" spans="1:8" x14ac:dyDescent="0.3">
      <c r="A357">
        <v>10603</v>
      </c>
      <c r="B357" s="1" t="s">
        <v>317</v>
      </c>
      <c r="C357">
        <v>8</v>
      </c>
      <c r="D357" s="2">
        <v>41838</v>
      </c>
      <c r="E357" s="2">
        <v>41866</v>
      </c>
      <c r="F357" s="2">
        <v>41859</v>
      </c>
      <c r="G357">
        <v>2</v>
      </c>
      <c r="H357">
        <v>4877</v>
      </c>
    </row>
    <row r="358" spans="1:8" x14ac:dyDescent="0.3">
      <c r="A358">
        <v>10604</v>
      </c>
      <c r="B358" s="1" t="s">
        <v>147</v>
      </c>
      <c r="C358">
        <v>1</v>
      </c>
      <c r="D358" s="2">
        <v>41838</v>
      </c>
      <c r="E358" s="2">
        <v>41866</v>
      </c>
      <c r="F358" s="2">
        <v>41849</v>
      </c>
      <c r="G358">
        <v>1</v>
      </c>
      <c r="H358">
        <v>746</v>
      </c>
    </row>
    <row r="359" spans="1:8" x14ac:dyDescent="0.3">
      <c r="A359">
        <v>10605</v>
      </c>
      <c r="B359" s="1" t="s">
        <v>244</v>
      </c>
      <c r="C359">
        <v>1</v>
      </c>
      <c r="D359" s="2">
        <v>41841</v>
      </c>
      <c r="E359" s="2">
        <v>41869</v>
      </c>
      <c r="F359" s="2">
        <v>41849</v>
      </c>
      <c r="G359">
        <v>2</v>
      </c>
      <c r="H359">
        <v>37913</v>
      </c>
    </row>
    <row r="360" spans="1:8" x14ac:dyDescent="0.3">
      <c r="A360">
        <v>10606</v>
      </c>
      <c r="B360" s="1" t="s">
        <v>354</v>
      </c>
      <c r="C360">
        <v>4</v>
      </c>
      <c r="D360" s="2">
        <v>41842</v>
      </c>
      <c r="E360" s="2">
        <v>41870</v>
      </c>
      <c r="F360" s="2">
        <v>41851</v>
      </c>
      <c r="G360">
        <v>3</v>
      </c>
      <c r="H360">
        <v>794</v>
      </c>
    </row>
    <row r="361" spans="1:8" x14ac:dyDescent="0.3">
      <c r="A361">
        <v>10607</v>
      </c>
      <c r="B361" s="1" t="s">
        <v>317</v>
      </c>
      <c r="C361">
        <v>5</v>
      </c>
      <c r="D361" s="2">
        <v>41842</v>
      </c>
      <c r="E361" s="2">
        <v>41870</v>
      </c>
      <c r="F361" s="2">
        <v>41845</v>
      </c>
      <c r="G361">
        <v>1</v>
      </c>
      <c r="H361">
        <v>20024</v>
      </c>
    </row>
    <row r="362" spans="1:8" x14ac:dyDescent="0.3">
      <c r="A362">
        <v>10608</v>
      </c>
      <c r="B362" s="1" t="s">
        <v>347</v>
      </c>
      <c r="C362">
        <v>4</v>
      </c>
      <c r="D362" s="2">
        <v>41843</v>
      </c>
      <c r="E362" s="2">
        <v>41871</v>
      </c>
      <c r="F362" s="2">
        <v>41852</v>
      </c>
      <c r="G362">
        <v>2</v>
      </c>
      <c r="H362">
        <v>2779</v>
      </c>
    </row>
    <row r="363" spans="1:8" x14ac:dyDescent="0.3">
      <c r="A363">
        <v>10609</v>
      </c>
      <c r="B363" s="1" t="s">
        <v>106</v>
      </c>
      <c r="C363">
        <v>7</v>
      </c>
      <c r="D363" s="2">
        <v>41844</v>
      </c>
      <c r="E363" s="2">
        <v>41872</v>
      </c>
      <c r="F363" s="2">
        <v>41850</v>
      </c>
      <c r="G363">
        <v>2</v>
      </c>
      <c r="H363">
        <v>185</v>
      </c>
    </row>
    <row r="364" spans="1:8" x14ac:dyDescent="0.3">
      <c r="A364">
        <v>10610</v>
      </c>
      <c r="B364" s="1" t="s">
        <v>203</v>
      </c>
      <c r="C364">
        <v>8</v>
      </c>
      <c r="D364" s="2">
        <v>41845</v>
      </c>
      <c r="E364" s="2">
        <v>41873</v>
      </c>
      <c r="F364" s="2">
        <v>41857</v>
      </c>
      <c r="G364">
        <v>1</v>
      </c>
      <c r="H364">
        <v>2678</v>
      </c>
    </row>
    <row r="365" spans="1:8" x14ac:dyDescent="0.3">
      <c r="A365">
        <v>10611</v>
      </c>
      <c r="B365" s="1" t="s">
        <v>395</v>
      </c>
      <c r="C365">
        <v>6</v>
      </c>
      <c r="D365" s="2">
        <v>41845</v>
      </c>
      <c r="E365" s="2">
        <v>41873</v>
      </c>
      <c r="F365" s="2">
        <v>41852</v>
      </c>
      <c r="G365">
        <v>2</v>
      </c>
      <c r="H365">
        <v>8065</v>
      </c>
    </row>
    <row r="366" spans="1:8" x14ac:dyDescent="0.3">
      <c r="A366">
        <v>10612</v>
      </c>
      <c r="B366" s="1" t="s">
        <v>317</v>
      </c>
      <c r="C366">
        <v>1</v>
      </c>
      <c r="D366" s="2">
        <v>41848</v>
      </c>
      <c r="E366" s="2">
        <v>41876</v>
      </c>
      <c r="F366" s="2">
        <v>41852</v>
      </c>
      <c r="G366">
        <v>2</v>
      </c>
      <c r="H366">
        <v>54408</v>
      </c>
    </row>
    <row r="367" spans="1:8" x14ac:dyDescent="0.3">
      <c r="A367">
        <v>10613</v>
      </c>
      <c r="B367" s="1" t="s">
        <v>178</v>
      </c>
      <c r="C367">
        <v>4</v>
      </c>
      <c r="D367" s="2">
        <v>41849</v>
      </c>
      <c r="E367" s="2">
        <v>41877</v>
      </c>
      <c r="F367" s="2">
        <v>41852</v>
      </c>
      <c r="G367">
        <v>2</v>
      </c>
      <c r="H367">
        <v>811</v>
      </c>
    </row>
    <row r="368" spans="1:8" x14ac:dyDescent="0.3">
      <c r="A368">
        <v>10614</v>
      </c>
      <c r="B368" s="1" t="s">
        <v>51</v>
      </c>
      <c r="C368">
        <v>8</v>
      </c>
      <c r="D368" s="2">
        <v>41849</v>
      </c>
      <c r="E368" s="2">
        <v>41877</v>
      </c>
      <c r="F368" s="2">
        <v>41852</v>
      </c>
      <c r="G368">
        <v>3</v>
      </c>
      <c r="H368">
        <v>193</v>
      </c>
    </row>
    <row r="369" spans="1:8" x14ac:dyDescent="0.3">
      <c r="A369">
        <v>10615</v>
      </c>
      <c r="B369" s="1" t="s">
        <v>390</v>
      </c>
      <c r="C369">
        <v>2</v>
      </c>
      <c r="D369" s="2">
        <v>41850</v>
      </c>
      <c r="E369" s="2">
        <v>41878</v>
      </c>
      <c r="F369" s="2">
        <v>41857</v>
      </c>
      <c r="G369">
        <v>3</v>
      </c>
      <c r="H369">
        <v>75</v>
      </c>
    </row>
    <row r="370" spans="1:8" x14ac:dyDescent="0.3">
      <c r="A370">
        <v>10616</v>
      </c>
      <c r="B370" s="1" t="s">
        <v>164</v>
      </c>
      <c r="C370">
        <v>1</v>
      </c>
      <c r="D370" s="2">
        <v>41851</v>
      </c>
      <c r="E370" s="2">
        <v>41879</v>
      </c>
      <c r="F370" s="2">
        <v>41856</v>
      </c>
      <c r="G370">
        <v>2</v>
      </c>
      <c r="H370">
        <v>11653</v>
      </c>
    </row>
    <row r="371" spans="1:8" x14ac:dyDescent="0.3">
      <c r="A371">
        <v>10617</v>
      </c>
      <c r="B371" s="1" t="s">
        <v>164</v>
      </c>
      <c r="C371">
        <v>4</v>
      </c>
      <c r="D371" s="2">
        <v>41851</v>
      </c>
      <c r="E371" s="2">
        <v>41879</v>
      </c>
      <c r="F371" s="2">
        <v>41855</v>
      </c>
      <c r="G371">
        <v>2</v>
      </c>
      <c r="H371">
        <v>1853</v>
      </c>
    </row>
    <row r="372" spans="1:8" x14ac:dyDescent="0.3">
      <c r="A372">
        <v>10618</v>
      </c>
      <c r="B372" s="1" t="s">
        <v>244</v>
      </c>
      <c r="C372">
        <v>1</v>
      </c>
      <c r="D372" s="2">
        <v>41852</v>
      </c>
      <c r="E372" s="2">
        <v>41894</v>
      </c>
      <c r="F372" s="2">
        <v>41859</v>
      </c>
      <c r="G372">
        <v>1</v>
      </c>
      <c r="H372">
        <v>15468</v>
      </c>
    </row>
    <row r="373" spans="1:8" x14ac:dyDescent="0.3">
      <c r="A373">
        <v>10619</v>
      </c>
      <c r="B373" s="1" t="s">
        <v>244</v>
      </c>
      <c r="C373">
        <v>3</v>
      </c>
      <c r="D373" s="2">
        <v>41855</v>
      </c>
      <c r="E373" s="2">
        <v>41883</v>
      </c>
      <c r="F373" s="2">
        <v>41858</v>
      </c>
      <c r="G373">
        <v>3</v>
      </c>
      <c r="H373">
        <v>9105</v>
      </c>
    </row>
    <row r="374" spans="1:8" x14ac:dyDescent="0.3">
      <c r="A374">
        <v>10620</v>
      </c>
      <c r="B374" s="1" t="s">
        <v>207</v>
      </c>
      <c r="C374">
        <v>2</v>
      </c>
      <c r="D374" s="2">
        <v>41856</v>
      </c>
      <c r="E374" s="2">
        <v>41884</v>
      </c>
      <c r="F374" s="2">
        <v>41865</v>
      </c>
      <c r="G374">
        <v>3</v>
      </c>
      <c r="H374">
        <v>94</v>
      </c>
    </row>
    <row r="375" spans="1:8" x14ac:dyDescent="0.3">
      <c r="A375">
        <v>10621</v>
      </c>
      <c r="B375" s="1" t="s">
        <v>191</v>
      </c>
      <c r="C375">
        <v>4</v>
      </c>
      <c r="D375" s="2">
        <v>41856</v>
      </c>
      <c r="E375" s="2">
        <v>41884</v>
      </c>
      <c r="F375" s="2">
        <v>41862</v>
      </c>
      <c r="G375">
        <v>2</v>
      </c>
      <c r="H375">
        <v>2373</v>
      </c>
    </row>
    <row r="376" spans="1:8" x14ac:dyDescent="0.3">
      <c r="A376">
        <v>10622</v>
      </c>
      <c r="B376" s="1" t="s">
        <v>302</v>
      </c>
      <c r="C376">
        <v>4</v>
      </c>
      <c r="D376" s="2">
        <v>41857</v>
      </c>
      <c r="E376" s="2">
        <v>41885</v>
      </c>
      <c r="F376" s="2">
        <v>41862</v>
      </c>
      <c r="G376">
        <v>3</v>
      </c>
      <c r="H376">
        <v>5097</v>
      </c>
    </row>
    <row r="377" spans="1:8" x14ac:dyDescent="0.3">
      <c r="A377">
        <v>10623</v>
      </c>
      <c r="B377" s="1" t="s">
        <v>135</v>
      </c>
      <c r="C377">
        <v>8</v>
      </c>
      <c r="D377" s="2">
        <v>41858</v>
      </c>
      <c r="E377" s="2">
        <v>41886</v>
      </c>
      <c r="F377" s="2">
        <v>41863</v>
      </c>
      <c r="G377">
        <v>2</v>
      </c>
      <c r="H377">
        <v>9718</v>
      </c>
    </row>
    <row r="378" spans="1:8" x14ac:dyDescent="0.3">
      <c r="A378">
        <v>10624</v>
      </c>
      <c r="B378" s="1" t="s">
        <v>343</v>
      </c>
      <c r="C378">
        <v>4</v>
      </c>
      <c r="D378" s="2">
        <v>41858</v>
      </c>
      <c r="E378" s="2">
        <v>41886</v>
      </c>
      <c r="F378" s="2">
        <v>41870</v>
      </c>
      <c r="G378">
        <v>2</v>
      </c>
      <c r="H378">
        <v>948</v>
      </c>
    </row>
    <row r="379" spans="1:8" x14ac:dyDescent="0.3">
      <c r="A379">
        <v>10625</v>
      </c>
      <c r="B379" s="1" t="s">
        <v>31</v>
      </c>
      <c r="C379">
        <v>3</v>
      </c>
      <c r="D379" s="2">
        <v>41859</v>
      </c>
      <c r="E379" s="2">
        <v>41887</v>
      </c>
      <c r="F379" s="2">
        <v>41865</v>
      </c>
      <c r="G379">
        <v>1</v>
      </c>
      <c r="H379">
        <v>439</v>
      </c>
    </row>
    <row r="380" spans="1:8" x14ac:dyDescent="0.3">
      <c r="A380">
        <v>10626</v>
      </c>
      <c r="B380" s="1" t="s">
        <v>45</v>
      </c>
      <c r="C380">
        <v>1</v>
      </c>
      <c r="D380" s="2">
        <v>41862</v>
      </c>
      <c r="E380" s="2">
        <v>41890</v>
      </c>
      <c r="F380" s="2">
        <v>41871</v>
      </c>
      <c r="G380">
        <v>2</v>
      </c>
      <c r="H380">
        <v>13869</v>
      </c>
    </row>
    <row r="381" spans="1:8" x14ac:dyDescent="0.3">
      <c r="A381">
        <v>10627</v>
      </c>
      <c r="B381" s="1" t="s">
        <v>317</v>
      </c>
      <c r="C381">
        <v>8</v>
      </c>
      <c r="D381" s="2">
        <v>41862</v>
      </c>
      <c r="E381" s="2">
        <v>41904</v>
      </c>
      <c r="F381" s="2">
        <v>41872</v>
      </c>
      <c r="G381">
        <v>3</v>
      </c>
      <c r="H381">
        <v>10746</v>
      </c>
    </row>
    <row r="382" spans="1:8" x14ac:dyDescent="0.3">
      <c r="A382">
        <v>10628</v>
      </c>
      <c r="B382" s="1" t="s">
        <v>55</v>
      </c>
      <c r="C382">
        <v>4</v>
      </c>
      <c r="D382" s="2">
        <v>41863</v>
      </c>
      <c r="E382" s="2">
        <v>41891</v>
      </c>
      <c r="F382" s="2">
        <v>41871</v>
      </c>
      <c r="G382">
        <v>3</v>
      </c>
      <c r="H382">
        <v>3036</v>
      </c>
    </row>
    <row r="383" spans="1:8" x14ac:dyDescent="0.3">
      <c r="A383">
        <v>10629</v>
      </c>
      <c r="B383" s="1" t="s">
        <v>156</v>
      </c>
      <c r="C383">
        <v>4</v>
      </c>
      <c r="D383" s="2">
        <v>41863</v>
      </c>
      <c r="E383" s="2">
        <v>41891</v>
      </c>
      <c r="F383" s="2">
        <v>41871</v>
      </c>
      <c r="G383">
        <v>3</v>
      </c>
      <c r="H383">
        <v>8546</v>
      </c>
    </row>
    <row r="384" spans="1:8" x14ac:dyDescent="0.3">
      <c r="A384">
        <v>10630</v>
      </c>
      <c r="B384" s="1" t="s">
        <v>195</v>
      </c>
      <c r="C384">
        <v>1</v>
      </c>
      <c r="D384" s="2">
        <v>41864</v>
      </c>
      <c r="E384" s="2">
        <v>41892</v>
      </c>
      <c r="F384" s="2">
        <v>41870</v>
      </c>
      <c r="G384">
        <v>2</v>
      </c>
      <c r="H384">
        <v>3235</v>
      </c>
    </row>
    <row r="385" spans="1:8" x14ac:dyDescent="0.3">
      <c r="A385">
        <v>10631</v>
      </c>
      <c r="B385" s="1" t="s">
        <v>203</v>
      </c>
      <c r="C385">
        <v>8</v>
      </c>
      <c r="D385" s="2">
        <v>41865</v>
      </c>
      <c r="E385" s="2">
        <v>41893</v>
      </c>
      <c r="F385" s="2">
        <v>41866</v>
      </c>
      <c r="G385">
        <v>1</v>
      </c>
      <c r="H385">
        <v>87</v>
      </c>
    </row>
    <row r="386" spans="1:8" x14ac:dyDescent="0.3">
      <c r="A386">
        <v>10632</v>
      </c>
      <c r="B386" s="1" t="s">
        <v>373</v>
      </c>
      <c r="C386">
        <v>8</v>
      </c>
      <c r="D386" s="2">
        <v>41865</v>
      </c>
      <c r="E386" s="2">
        <v>41893</v>
      </c>
      <c r="F386" s="2">
        <v>41870</v>
      </c>
      <c r="G386">
        <v>1</v>
      </c>
      <c r="H386">
        <v>4138</v>
      </c>
    </row>
    <row r="387" spans="1:8" x14ac:dyDescent="0.3">
      <c r="A387">
        <v>10633</v>
      </c>
      <c r="B387" s="1" t="s">
        <v>113</v>
      </c>
      <c r="C387">
        <v>7</v>
      </c>
      <c r="D387" s="2">
        <v>41866</v>
      </c>
      <c r="E387" s="2">
        <v>41894</v>
      </c>
      <c r="F387" s="2">
        <v>41869</v>
      </c>
      <c r="G387">
        <v>3</v>
      </c>
      <c r="H387">
        <v>4779</v>
      </c>
    </row>
    <row r="388" spans="1:8" x14ac:dyDescent="0.3">
      <c r="A388">
        <v>10634</v>
      </c>
      <c r="B388" s="1" t="s">
        <v>126</v>
      </c>
      <c r="C388">
        <v>4</v>
      </c>
      <c r="D388" s="2">
        <v>41866</v>
      </c>
      <c r="E388" s="2">
        <v>41894</v>
      </c>
      <c r="F388" s="2">
        <v>41872</v>
      </c>
      <c r="G388">
        <v>3</v>
      </c>
      <c r="H388">
        <v>48738</v>
      </c>
    </row>
    <row r="389" spans="1:8" x14ac:dyDescent="0.3">
      <c r="A389">
        <v>10635</v>
      </c>
      <c r="B389" s="1" t="s">
        <v>235</v>
      </c>
      <c r="C389">
        <v>8</v>
      </c>
      <c r="D389" s="2">
        <v>41869</v>
      </c>
      <c r="E389" s="2">
        <v>41897</v>
      </c>
      <c r="F389" s="2">
        <v>41872</v>
      </c>
      <c r="G389">
        <v>3</v>
      </c>
      <c r="H389">
        <v>4746</v>
      </c>
    </row>
    <row r="390" spans="1:8" x14ac:dyDescent="0.3">
      <c r="A390">
        <v>10636</v>
      </c>
      <c r="B390" s="1" t="s">
        <v>377</v>
      </c>
      <c r="C390">
        <v>4</v>
      </c>
      <c r="D390" s="2">
        <v>41870</v>
      </c>
      <c r="E390" s="2">
        <v>41898</v>
      </c>
      <c r="F390" s="2">
        <v>41877</v>
      </c>
      <c r="G390">
        <v>1</v>
      </c>
      <c r="H390">
        <v>115</v>
      </c>
    </row>
    <row r="391" spans="1:8" x14ac:dyDescent="0.3">
      <c r="A391">
        <v>10637</v>
      </c>
      <c r="B391" s="1" t="s">
        <v>283</v>
      </c>
      <c r="C391">
        <v>6</v>
      </c>
      <c r="D391" s="2">
        <v>41870</v>
      </c>
      <c r="E391" s="2">
        <v>41898</v>
      </c>
      <c r="F391" s="2">
        <v>41877</v>
      </c>
      <c r="G391">
        <v>1</v>
      </c>
      <c r="H391">
        <v>20129</v>
      </c>
    </row>
    <row r="392" spans="1:8" x14ac:dyDescent="0.3">
      <c r="A392">
        <v>10638</v>
      </c>
      <c r="B392" s="1" t="s">
        <v>227</v>
      </c>
      <c r="C392">
        <v>3</v>
      </c>
      <c r="D392" s="2">
        <v>41871</v>
      </c>
      <c r="E392" s="2">
        <v>41899</v>
      </c>
      <c r="F392" s="2">
        <v>41883</v>
      </c>
      <c r="G392">
        <v>1</v>
      </c>
      <c r="H392">
        <v>15844</v>
      </c>
    </row>
    <row r="393" spans="1:8" x14ac:dyDescent="0.3">
      <c r="A393">
        <v>10639</v>
      </c>
      <c r="B393" s="1" t="s">
        <v>312</v>
      </c>
      <c r="C393">
        <v>7</v>
      </c>
      <c r="D393" s="2">
        <v>41871</v>
      </c>
      <c r="E393" s="2">
        <v>41899</v>
      </c>
      <c r="F393" s="2">
        <v>41878</v>
      </c>
      <c r="G393">
        <v>3</v>
      </c>
      <c r="H393">
        <v>3864</v>
      </c>
    </row>
    <row r="394" spans="1:8" x14ac:dyDescent="0.3">
      <c r="A394">
        <v>10640</v>
      </c>
      <c r="B394" s="1" t="s">
        <v>373</v>
      </c>
      <c r="C394">
        <v>4</v>
      </c>
      <c r="D394" s="2">
        <v>41872</v>
      </c>
      <c r="E394" s="2">
        <v>41900</v>
      </c>
      <c r="F394" s="2">
        <v>41879</v>
      </c>
      <c r="G394">
        <v>1</v>
      </c>
      <c r="H394">
        <v>2355</v>
      </c>
    </row>
    <row r="395" spans="1:8" x14ac:dyDescent="0.3">
      <c r="A395">
        <v>10641</v>
      </c>
      <c r="B395" s="1" t="s">
        <v>178</v>
      </c>
      <c r="C395">
        <v>4</v>
      </c>
      <c r="D395" s="2">
        <v>41873</v>
      </c>
      <c r="E395" s="2">
        <v>41901</v>
      </c>
      <c r="F395" s="2">
        <v>41877</v>
      </c>
      <c r="G395">
        <v>2</v>
      </c>
      <c r="H395">
        <v>17961</v>
      </c>
    </row>
    <row r="396" spans="1:8" x14ac:dyDescent="0.3">
      <c r="A396">
        <v>10642</v>
      </c>
      <c r="B396" s="1" t="s">
        <v>324</v>
      </c>
      <c r="C396">
        <v>7</v>
      </c>
      <c r="D396" s="2">
        <v>41873</v>
      </c>
      <c r="E396" s="2">
        <v>41901</v>
      </c>
      <c r="F396" s="2">
        <v>41887</v>
      </c>
      <c r="G396">
        <v>3</v>
      </c>
      <c r="H396">
        <v>4189</v>
      </c>
    </row>
    <row r="397" spans="1:8" x14ac:dyDescent="0.3">
      <c r="A397">
        <v>10643</v>
      </c>
      <c r="B397" s="1" t="s">
        <v>25</v>
      </c>
      <c r="C397">
        <v>6</v>
      </c>
      <c r="D397" s="2">
        <v>41876</v>
      </c>
      <c r="E397" s="2">
        <v>41904</v>
      </c>
      <c r="F397" s="2">
        <v>41884</v>
      </c>
      <c r="G397">
        <v>1</v>
      </c>
      <c r="H397">
        <v>2946</v>
      </c>
    </row>
    <row r="398" spans="1:8" x14ac:dyDescent="0.3">
      <c r="A398">
        <v>10644</v>
      </c>
      <c r="B398" s="1" t="s">
        <v>382</v>
      </c>
      <c r="C398">
        <v>3</v>
      </c>
      <c r="D398" s="2">
        <v>41876</v>
      </c>
      <c r="E398" s="2">
        <v>41904</v>
      </c>
      <c r="F398" s="2">
        <v>41883</v>
      </c>
      <c r="G398">
        <v>2</v>
      </c>
      <c r="H398">
        <v>14</v>
      </c>
    </row>
    <row r="399" spans="1:8" x14ac:dyDescent="0.3">
      <c r="A399">
        <v>10645</v>
      </c>
      <c r="B399" s="1" t="s">
        <v>174</v>
      </c>
      <c r="C399">
        <v>4</v>
      </c>
      <c r="D399" s="2">
        <v>41877</v>
      </c>
      <c r="E399" s="2">
        <v>41905</v>
      </c>
      <c r="F399" s="2">
        <v>41884</v>
      </c>
      <c r="G399">
        <v>1</v>
      </c>
      <c r="H399">
        <v>1241</v>
      </c>
    </row>
    <row r="400" spans="1:8" x14ac:dyDescent="0.3">
      <c r="A400">
        <v>10646</v>
      </c>
      <c r="B400" s="1" t="s">
        <v>186</v>
      </c>
      <c r="C400">
        <v>9</v>
      </c>
      <c r="D400" s="2">
        <v>41878</v>
      </c>
      <c r="E400" s="2">
        <v>41920</v>
      </c>
      <c r="F400" s="2">
        <v>41885</v>
      </c>
      <c r="G400">
        <v>3</v>
      </c>
      <c r="H400">
        <v>14233</v>
      </c>
    </row>
    <row r="401" spans="1:8" x14ac:dyDescent="0.3">
      <c r="A401">
        <v>10647</v>
      </c>
      <c r="B401" s="1" t="s">
        <v>280</v>
      </c>
      <c r="C401">
        <v>4</v>
      </c>
      <c r="D401" s="2">
        <v>41878</v>
      </c>
      <c r="E401" s="2">
        <v>41892</v>
      </c>
      <c r="F401" s="2">
        <v>41885</v>
      </c>
      <c r="G401">
        <v>2</v>
      </c>
      <c r="H401">
        <v>4554</v>
      </c>
    </row>
    <row r="402" spans="1:8" x14ac:dyDescent="0.3">
      <c r="A402">
        <v>10648</v>
      </c>
      <c r="B402" s="1" t="s">
        <v>302</v>
      </c>
      <c r="C402">
        <v>5</v>
      </c>
      <c r="D402" s="2">
        <v>41879</v>
      </c>
      <c r="E402" s="2">
        <v>41921</v>
      </c>
      <c r="F402" s="2">
        <v>41891</v>
      </c>
      <c r="G402">
        <v>2</v>
      </c>
      <c r="H402">
        <v>1425</v>
      </c>
    </row>
    <row r="403" spans="1:8" x14ac:dyDescent="0.3">
      <c r="A403">
        <v>10649</v>
      </c>
      <c r="B403" s="1" t="s">
        <v>239</v>
      </c>
      <c r="C403">
        <v>5</v>
      </c>
      <c r="D403" s="2">
        <v>41879</v>
      </c>
      <c r="E403" s="2">
        <v>41907</v>
      </c>
      <c r="F403" s="2">
        <v>41880</v>
      </c>
      <c r="G403">
        <v>3</v>
      </c>
      <c r="H403">
        <v>62</v>
      </c>
    </row>
    <row r="404" spans="1:8" x14ac:dyDescent="0.3">
      <c r="A404">
        <v>10650</v>
      </c>
      <c r="B404" s="1" t="s">
        <v>119</v>
      </c>
      <c r="C404">
        <v>5</v>
      </c>
      <c r="D404" s="2">
        <v>41880</v>
      </c>
      <c r="E404" s="2">
        <v>41908</v>
      </c>
      <c r="F404" s="2">
        <v>41885</v>
      </c>
      <c r="G404">
        <v>3</v>
      </c>
      <c r="H404">
        <v>17681</v>
      </c>
    </row>
    <row r="405" spans="1:8" x14ac:dyDescent="0.3">
      <c r="A405">
        <v>10651</v>
      </c>
      <c r="B405" s="1" t="s">
        <v>373</v>
      </c>
      <c r="C405">
        <v>8</v>
      </c>
      <c r="D405" s="2">
        <v>41883</v>
      </c>
      <c r="E405" s="2">
        <v>41911</v>
      </c>
      <c r="F405" s="2">
        <v>41893</v>
      </c>
      <c r="G405">
        <v>2</v>
      </c>
      <c r="H405">
        <v>206</v>
      </c>
    </row>
    <row r="406" spans="1:8" x14ac:dyDescent="0.3">
      <c r="A406">
        <v>10652</v>
      </c>
      <c r="B406" s="1" t="s">
        <v>160</v>
      </c>
      <c r="C406">
        <v>4</v>
      </c>
      <c r="D406" s="2">
        <v>41883</v>
      </c>
      <c r="E406" s="2">
        <v>41911</v>
      </c>
      <c r="F406" s="2">
        <v>41890</v>
      </c>
      <c r="G406">
        <v>2</v>
      </c>
      <c r="H406">
        <v>714</v>
      </c>
    </row>
    <row r="407" spans="1:8" x14ac:dyDescent="0.3">
      <c r="A407">
        <v>10653</v>
      </c>
      <c r="B407" s="1" t="s">
        <v>135</v>
      </c>
      <c r="C407">
        <v>1</v>
      </c>
      <c r="D407" s="2">
        <v>41884</v>
      </c>
      <c r="E407" s="2">
        <v>41912</v>
      </c>
      <c r="F407" s="2">
        <v>41901</v>
      </c>
      <c r="G407">
        <v>1</v>
      </c>
      <c r="H407">
        <v>9325</v>
      </c>
    </row>
    <row r="408" spans="1:8" x14ac:dyDescent="0.3">
      <c r="A408">
        <v>10654</v>
      </c>
      <c r="B408" s="1" t="s">
        <v>45</v>
      </c>
      <c r="C408">
        <v>5</v>
      </c>
      <c r="D408" s="2">
        <v>41884</v>
      </c>
      <c r="E408" s="2">
        <v>41912</v>
      </c>
      <c r="F408" s="2">
        <v>41893</v>
      </c>
      <c r="G408">
        <v>1</v>
      </c>
      <c r="H408">
        <v>5526</v>
      </c>
    </row>
    <row r="409" spans="1:8" x14ac:dyDescent="0.3">
      <c r="A409">
        <v>10655</v>
      </c>
      <c r="B409" s="1" t="s">
        <v>298</v>
      </c>
      <c r="C409">
        <v>1</v>
      </c>
      <c r="D409" s="2">
        <v>41885</v>
      </c>
      <c r="E409" s="2">
        <v>41913</v>
      </c>
      <c r="F409" s="2">
        <v>41893</v>
      </c>
      <c r="G409">
        <v>2</v>
      </c>
      <c r="H409">
        <v>441</v>
      </c>
    </row>
    <row r="410" spans="1:8" x14ac:dyDescent="0.3">
      <c r="A410">
        <v>10656</v>
      </c>
      <c r="B410" s="1" t="s">
        <v>164</v>
      </c>
      <c r="C410">
        <v>6</v>
      </c>
      <c r="D410" s="2">
        <v>41886</v>
      </c>
      <c r="E410" s="2">
        <v>41914</v>
      </c>
      <c r="F410" s="2">
        <v>41892</v>
      </c>
      <c r="G410">
        <v>1</v>
      </c>
      <c r="H410">
        <v>5715</v>
      </c>
    </row>
    <row r="411" spans="1:8" x14ac:dyDescent="0.3">
      <c r="A411">
        <v>10657</v>
      </c>
      <c r="B411" s="1" t="s">
        <v>317</v>
      </c>
      <c r="C411">
        <v>2</v>
      </c>
      <c r="D411" s="2">
        <v>41886</v>
      </c>
      <c r="E411" s="2">
        <v>41914</v>
      </c>
      <c r="F411" s="2">
        <v>41897</v>
      </c>
      <c r="G411">
        <v>2</v>
      </c>
      <c r="H411">
        <v>35269</v>
      </c>
    </row>
    <row r="412" spans="1:8" x14ac:dyDescent="0.3">
      <c r="A412">
        <v>10658</v>
      </c>
      <c r="B412" s="1" t="s">
        <v>286</v>
      </c>
      <c r="C412">
        <v>4</v>
      </c>
      <c r="D412" s="2">
        <v>41887</v>
      </c>
      <c r="E412" s="2">
        <v>41915</v>
      </c>
      <c r="F412" s="2">
        <v>41890</v>
      </c>
      <c r="G412">
        <v>1</v>
      </c>
      <c r="H412">
        <v>36415</v>
      </c>
    </row>
    <row r="413" spans="1:8" x14ac:dyDescent="0.3">
      <c r="A413">
        <v>10659</v>
      </c>
      <c r="B413" s="1" t="s">
        <v>283</v>
      </c>
      <c r="C413">
        <v>7</v>
      </c>
      <c r="D413" s="2">
        <v>41887</v>
      </c>
      <c r="E413" s="2">
        <v>41915</v>
      </c>
      <c r="F413" s="2">
        <v>41892</v>
      </c>
      <c r="G413">
        <v>2</v>
      </c>
      <c r="H413">
        <v>10581</v>
      </c>
    </row>
    <row r="414" spans="1:8" x14ac:dyDescent="0.3">
      <c r="A414">
        <v>10660</v>
      </c>
      <c r="B414" s="1" t="s">
        <v>182</v>
      </c>
      <c r="C414">
        <v>8</v>
      </c>
      <c r="D414" s="2">
        <v>41890</v>
      </c>
      <c r="E414" s="2">
        <v>41918</v>
      </c>
      <c r="F414" s="2">
        <v>41927</v>
      </c>
      <c r="G414">
        <v>1</v>
      </c>
      <c r="H414">
        <v>11129</v>
      </c>
    </row>
    <row r="415" spans="1:8" x14ac:dyDescent="0.3">
      <c r="A415">
        <v>10661</v>
      </c>
      <c r="B415" s="1" t="s">
        <v>186</v>
      </c>
      <c r="C415">
        <v>7</v>
      </c>
      <c r="D415" s="2">
        <v>41891</v>
      </c>
      <c r="E415" s="2">
        <v>41919</v>
      </c>
      <c r="F415" s="2">
        <v>41897</v>
      </c>
      <c r="G415">
        <v>3</v>
      </c>
      <c r="H415">
        <v>1755</v>
      </c>
    </row>
    <row r="416" spans="1:8" x14ac:dyDescent="0.3">
      <c r="A416">
        <v>10662</v>
      </c>
      <c r="B416" s="1" t="s">
        <v>231</v>
      </c>
      <c r="C416">
        <v>3</v>
      </c>
      <c r="D416" s="2">
        <v>41891</v>
      </c>
      <c r="E416" s="2">
        <v>41919</v>
      </c>
      <c r="F416" s="2">
        <v>41900</v>
      </c>
      <c r="G416">
        <v>2</v>
      </c>
      <c r="H416">
        <v>128</v>
      </c>
    </row>
    <row r="417" spans="1:8" x14ac:dyDescent="0.3">
      <c r="A417">
        <v>10663</v>
      </c>
      <c r="B417" s="1" t="s">
        <v>66</v>
      </c>
      <c r="C417">
        <v>2</v>
      </c>
      <c r="D417" s="2">
        <v>41892</v>
      </c>
      <c r="E417" s="2">
        <v>41906</v>
      </c>
      <c r="F417" s="2">
        <v>41915</v>
      </c>
      <c r="G417">
        <v>2</v>
      </c>
      <c r="H417">
        <v>11315</v>
      </c>
    </row>
    <row r="418" spans="1:8" x14ac:dyDescent="0.3">
      <c r="A418">
        <v>10664</v>
      </c>
      <c r="B418" s="1" t="s">
        <v>147</v>
      </c>
      <c r="C418">
        <v>1</v>
      </c>
      <c r="D418" s="2">
        <v>41892</v>
      </c>
      <c r="E418" s="2">
        <v>41920</v>
      </c>
      <c r="F418" s="2">
        <v>41901</v>
      </c>
      <c r="G418">
        <v>3</v>
      </c>
      <c r="H418">
        <v>127</v>
      </c>
    </row>
    <row r="419" spans="1:8" x14ac:dyDescent="0.3">
      <c r="A419">
        <v>10665</v>
      </c>
      <c r="B419" s="1" t="s">
        <v>231</v>
      </c>
      <c r="C419">
        <v>1</v>
      </c>
      <c r="D419" s="2">
        <v>41893</v>
      </c>
      <c r="E419" s="2">
        <v>41921</v>
      </c>
      <c r="F419" s="2">
        <v>41899</v>
      </c>
      <c r="G419">
        <v>2</v>
      </c>
      <c r="H419">
        <v>2631</v>
      </c>
    </row>
    <row r="420" spans="1:8" x14ac:dyDescent="0.3">
      <c r="A420">
        <v>10666</v>
      </c>
      <c r="B420" s="1" t="s">
        <v>305</v>
      </c>
      <c r="C420">
        <v>7</v>
      </c>
      <c r="D420" s="2">
        <v>41894</v>
      </c>
      <c r="E420" s="2">
        <v>41922</v>
      </c>
      <c r="F420" s="2">
        <v>41904</v>
      </c>
      <c r="G420">
        <v>2</v>
      </c>
      <c r="H420">
        <v>23242</v>
      </c>
    </row>
    <row r="421" spans="1:8" x14ac:dyDescent="0.3">
      <c r="A421">
        <v>10667</v>
      </c>
      <c r="B421" s="1" t="s">
        <v>113</v>
      </c>
      <c r="C421">
        <v>7</v>
      </c>
      <c r="D421" s="2">
        <v>41894</v>
      </c>
      <c r="E421" s="2">
        <v>41922</v>
      </c>
      <c r="F421" s="2">
        <v>41901</v>
      </c>
      <c r="G421">
        <v>1</v>
      </c>
      <c r="H421">
        <v>7809</v>
      </c>
    </row>
    <row r="422" spans="1:8" x14ac:dyDescent="0.3">
      <c r="A422">
        <v>10668</v>
      </c>
      <c r="B422" s="1" t="s">
        <v>373</v>
      </c>
      <c r="C422">
        <v>1</v>
      </c>
      <c r="D422" s="2">
        <v>41897</v>
      </c>
      <c r="E422" s="2">
        <v>41925</v>
      </c>
      <c r="F422" s="2">
        <v>41905</v>
      </c>
      <c r="G422">
        <v>2</v>
      </c>
      <c r="H422">
        <v>4722</v>
      </c>
    </row>
    <row r="423" spans="1:8" x14ac:dyDescent="0.3">
      <c r="A423">
        <v>10669</v>
      </c>
      <c r="B423" s="1" t="s">
        <v>324</v>
      </c>
      <c r="C423">
        <v>2</v>
      </c>
      <c r="D423" s="2">
        <v>41897</v>
      </c>
      <c r="E423" s="2">
        <v>41925</v>
      </c>
      <c r="F423" s="2">
        <v>41904</v>
      </c>
      <c r="G423">
        <v>1</v>
      </c>
      <c r="H423">
        <v>2439</v>
      </c>
    </row>
    <row r="424" spans="1:8" x14ac:dyDescent="0.3">
      <c r="A424">
        <v>10670</v>
      </c>
      <c r="B424" s="1" t="s">
        <v>135</v>
      </c>
      <c r="C424">
        <v>4</v>
      </c>
      <c r="D424" s="2">
        <v>41898</v>
      </c>
      <c r="E424" s="2">
        <v>41926</v>
      </c>
      <c r="F424" s="2">
        <v>41900</v>
      </c>
      <c r="G424">
        <v>1</v>
      </c>
      <c r="H424">
        <v>20348</v>
      </c>
    </row>
    <row r="425" spans="1:8" x14ac:dyDescent="0.3">
      <c r="A425">
        <v>10671</v>
      </c>
      <c r="B425" s="1" t="s">
        <v>139</v>
      </c>
      <c r="C425">
        <v>1</v>
      </c>
      <c r="D425" s="2">
        <v>41899</v>
      </c>
      <c r="E425" s="2">
        <v>41927</v>
      </c>
      <c r="F425" s="2">
        <v>41906</v>
      </c>
      <c r="G425">
        <v>1</v>
      </c>
      <c r="H425">
        <v>3034</v>
      </c>
    </row>
    <row r="426" spans="1:8" x14ac:dyDescent="0.3">
      <c r="A426">
        <v>10672</v>
      </c>
      <c r="B426" s="1" t="s">
        <v>45</v>
      </c>
      <c r="C426">
        <v>9</v>
      </c>
      <c r="D426" s="2">
        <v>41899</v>
      </c>
      <c r="E426" s="2">
        <v>41913</v>
      </c>
      <c r="F426" s="2">
        <v>41908</v>
      </c>
      <c r="G426">
        <v>2</v>
      </c>
      <c r="H426">
        <v>9575</v>
      </c>
    </row>
    <row r="427" spans="1:8" x14ac:dyDescent="0.3">
      <c r="A427">
        <v>10673</v>
      </c>
      <c r="B427" s="1" t="s">
        <v>390</v>
      </c>
      <c r="C427">
        <v>2</v>
      </c>
      <c r="D427" s="2">
        <v>41900</v>
      </c>
      <c r="E427" s="2">
        <v>41928</v>
      </c>
      <c r="F427" s="2">
        <v>41901</v>
      </c>
      <c r="G427">
        <v>1</v>
      </c>
      <c r="H427">
        <v>2276</v>
      </c>
    </row>
    <row r="428" spans="1:8" x14ac:dyDescent="0.3">
      <c r="A428">
        <v>10674</v>
      </c>
      <c r="B428" s="1" t="s">
        <v>191</v>
      </c>
      <c r="C428">
        <v>4</v>
      </c>
      <c r="D428" s="2">
        <v>41900</v>
      </c>
      <c r="E428" s="2">
        <v>41928</v>
      </c>
      <c r="F428" s="2">
        <v>41912</v>
      </c>
      <c r="G428">
        <v>2</v>
      </c>
      <c r="H428">
        <v>9</v>
      </c>
    </row>
    <row r="429" spans="1:8" x14ac:dyDescent="0.3">
      <c r="A429">
        <v>10675</v>
      </c>
      <c r="B429" s="1" t="s">
        <v>135</v>
      </c>
      <c r="C429">
        <v>5</v>
      </c>
      <c r="D429" s="2">
        <v>41901</v>
      </c>
      <c r="E429" s="2">
        <v>41929</v>
      </c>
      <c r="F429" s="2">
        <v>41905</v>
      </c>
      <c r="G429">
        <v>2</v>
      </c>
      <c r="H429">
        <v>3185</v>
      </c>
    </row>
    <row r="430" spans="1:8" x14ac:dyDescent="0.3">
      <c r="A430">
        <v>10676</v>
      </c>
      <c r="B430" s="1" t="s">
        <v>351</v>
      </c>
      <c r="C430">
        <v>2</v>
      </c>
      <c r="D430" s="2">
        <v>41904</v>
      </c>
      <c r="E430" s="2">
        <v>41932</v>
      </c>
      <c r="F430" s="2">
        <v>41911</v>
      </c>
      <c r="G430">
        <v>2</v>
      </c>
      <c r="H430">
        <v>201</v>
      </c>
    </row>
    <row r="431" spans="1:8" x14ac:dyDescent="0.3">
      <c r="A431">
        <v>10677</v>
      </c>
      <c r="B431" s="1" t="s">
        <v>37</v>
      </c>
      <c r="C431">
        <v>1</v>
      </c>
      <c r="D431" s="2">
        <v>41904</v>
      </c>
      <c r="E431" s="2">
        <v>41932</v>
      </c>
      <c r="F431" s="2">
        <v>41908</v>
      </c>
      <c r="G431">
        <v>3</v>
      </c>
      <c r="H431">
        <v>403</v>
      </c>
    </row>
    <row r="432" spans="1:8" x14ac:dyDescent="0.3">
      <c r="A432">
        <v>10678</v>
      </c>
      <c r="B432" s="1" t="s">
        <v>317</v>
      </c>
      <c r="C432">
        <v>7</v>
      </c>
      <c r="D432" s="2">
        <v>41905</v>
      </c>
      <c r="E432" s="2">
        <v>41933</v>
      </c>
      <c r="F432" s="2">
        <v>41928</v>
      </c>
      <c r="G432">
        <v>3</v>
      </c>
      <c r="H432">
        <v>38898</v>
      </c>
    </row>
    <row r="433" spans="1:8" x14ac:dyDescent="0.3">
      <c r="A433">
        <v>10679</v>
      </c>
      <c r="B433" s="1" t="s">
        <v>55</v>
      </c>
      <c r="C433">
        <v>8</v>
      </c>
      <c r="D433" s="2">
        <v>41905</v>
      </c>
      <c r="E433" s="2">
        <v>41933</v>
      </c>
      <c r="F433" s="2">
        <v>41912</v>
      </c>
      <c r="G433">
        <v>3</v>
      </c>
      <c r="H433">
        <v>2794</v>
      </c>
    </row>
    <row r="434" spans="1:8" x14ac:dyDescent="0.3">
      <c r="A434">
        <v>10680</v>
      </c>
      <c r="B434" s="1" t="s">
        <v>258</v>
      </c>
      <c r="C434">
        <v>1</v>
      </c>
      <c r="D434" s="2">
        <v>41906</v>
      </c>
      <c r="E434" s="2">
        <v>41934</v>
      </c>
      <c r="F434" s="2">
        <v>41908</v>
      </c>
      <c r="G434">
        <v>1</v>
      </c>
      <c r="H434">
        <v>2661</v>
      </c>
    </row>
    <row r="435" spans="1:8" x14ac:dyDescent="0.3">
      <c r="A435">
        <v>10681</v>
      </c>
      <c r="B435" s="1" t="s">
        <v>164</v>
      </c>
      <c r="C435">
        <v>3</v>
      </c>
      <c r="D435" s="2">
        <v>41907</v>
      </c>
      <c r="E435" s="2">
        <v>41935</v>
      </c>
      <c r="F435" s="2">
        <v>41912</v>
      </c>
      <c r="G435">
        <v>3</v>
      </c>
      <c r="H435">
        <v>7613</v>
      </c>
    </row>
    <row r="436" spans="1:8" x14ac:dyDescent="0.3">
      <c r="A436">
        <v>10682</v>
      </c>
      <c r="B436" s="1" t="s">
        <v>37</v>
      </c>
      <c r="C436">
        <v>3</v>
      </c>
      <c r="D436" s="2">
        <v>41907</v>
      </c>
      <c r="E436" s="2">
        <v>41935</v>
      </c>
      <c r="F436" s="2">
        <v>41913</v>
      </c>
      <c r="G436">
        <v>2</v>
      </c>
      <c r="H436">
        <v>3613</v>
      </c>
    </row>
    <row r="437" spans="1:8" x14ac:dyDescent="0.3">
      <c r="A437">
        <v>10683</v>
      </c>
      <c r="B437" s="1" t="s">
        <v>106</v>
      </c>
      <c r="C437">
        <v>2</v>
      </c>
      <c r="D437" s="2">
        <v>41908</v>
      </c>
      <c r="E437" s="2">
        <v>41936</v>
      </c>
      <c r="F437" s="2">
        <v>41913</v>
      </c>
      <c r="G437">
        <v>1</v>
      </c>
      <c r="H437">
        <v>44</v>
      </c>
    </row>
    <row r="438" spans="1:8" x14ac:dyDescent="0.3">
      <c r="A438">
        <v>10684</v>
      </c>
      <c r="B438" s="1" t="s">
        <v>262</v>
      </c>
      <c r="C438">
        <v>3</v>
      </c>
      <c r="D438" s="2">
        <v>41908</v>
      </c>
      <c r="E438" s="2">
        <v>41936</v>
      </c>
      <c r="F438" s="2">
        <v>41912</v>
      </c>
      <c r="G438">
        <v>1</v>
      </c>
      <c r="H438">
        <v>14563</v>
      </c>
    </row>
    <row r="439" spans="1:8" x14ac:dyDescent="0.3">
      <c r="A439">
        <v>10685</v>
      </c>
      <c r="B439" s="1" t="s">
        <v>160</v>
      </c>
      <c r="C439">
        <v>4</v>
      </c>
      <c r="D439" s="2">
        <v>41911</v>
      </c>
      <c r="E439" s="2">
        <v>41925</v>
      </c>
      <c r="F439" s="2">
        <v>41915</v>
      </c>
      <c r="G439">
        <v>2</v>
      </c>
      <c r="H439">
        <v>3375</v>
      </c>
    </row>
    <row r="440" spans="1:8" x14ac:dyDescent="0.3">
      <c r="A440">
        <v>10686</v>
      </c>
      <c r="B440" s="1" t="s">
        <v>273</v>
      </c>
      <c r="C440">
        <v>2</v>
      </c>
      <c r="D440" s="2">
        <v>41912</v>
      </c>
      <c r="E440" s="2">
        <v>41940</v>
      </c>
      <c r="F440" s="2">
        <v>41920</v>
      </c>
      <c r="G440">
        <v>1</v>
      </c>
      <c r="H440">
        <v>965</v>
      </c>
    </row>
    <row r="441" spans="1:8" x14ac:dyDescent="0.3">
      <c r="A441">
        <v>10687</v>
      </c>
      <c r="B441" s="1" t="s">
        <v>186</v>
      </c>
      <c r="C441">
        <v>9</v>
      </c>
      <c r="D441" s="2">
        <v>41912</v>
      </c>
      <c r="E441" s="2">
        <v>41940</v>
      </c>
      <c r="F441" s="2">
        <v>41942</v>
      </c>
      <c r="G441">
        <v>2</v>
      </c>
      <c r="H441">
        <v>29643</v>
      </c>
    </row>
    <row r="442" spans="1:8" x14ac:dyDescent="0.3">
      <c r="A442">
        <v>10688</v>
      </c>
      <c r="B442" s="1" t="s">
        <v>361</v>
      </c>
      <c r="C442">
        <v>4</v>
      </c>
      <c r="D442" s="2">
        <v>41913</v>
      </c>
      <c r="E442" s="2">
        <v>41927</v>
      </c>
      <c r="F442" s="2">
        <v>41919</v>
      </c>
      <c r="G442">
        <v>2</v>
      </c>
      <c r="H442">
        <v>29909</v>
      </c>
    </row>
    <row r="443" spans="1:8" x14ac:dyDescent="0.3">
      <c r="A443">
        <v>10689</v>
      </c>
      <c r="B443" s="1" t="s">
        <v>45</v>
      </c>
      <c r="C443">
        <v>1</v>
      </c>
      <c r="D443" s="2">
        <v>41913</v>
      </c>
      <c r="E443" s="2">
        <v>41941</v>
      </c>
      <c r="F443" s="2">
        <v>41919</v>
      </c>
      <c r="G443">
        <v>2</v>
      </c>
      <c r="H443">
        <v>1342</v>
      </c>
    </row>
    <row r="444" spans="1:8" x14ac:dyDescent="0.3">
      <c r="A444">
        <v>10690</v>
      </c>
      <c r="B444" s="1" t="s">
        <v>174</v>
      </c>
      <c r="C444">
        <v>1</v>
      </c>
      <c r="D444" s="2">
        <v>41914</v>
      </c>
      <c r="E444" s="2">
        <v>41942</v>
      </c>
      <c r="F444" s="2">
        <v>41915</v>
      </c>
      <c r="G444">
        <v>1</v>
      </c>
      <c r="H444">
        <v>158</v>
      </c>
    </row>
    <row r="445" spans="1:8" x14ac:dyDescent="0.3">
      <c r="A445">
        <v>10691</v>
      </c>
      <c r="B445" s="1" t="s">
        <v>286</v>
      </c>
      <c r="C445">
        <v>2</v>
      </c>
      <c r="D445" s="2">
        <v>41915</v>
      </c>
      <c r="E445" s="2">
        <v>41957</v>
      </c>
      <c r="F445" s="2">
        <v>41934</v>
      </c>
      <c r="G445">
        <v>2</v>
      </c>
      <c r="H445">
        <v>81005</v>
      </c>
    </row>
    <row r="446" spans="1:8" x14ac:dyDescent="0.3">
      <c r="A446">
        <v>10692</v>
      </c>
      <c r="B446" s="1" t="s">
        <v>25</v>
      </c>
      <c r="C446">
        <v>4</v>
      </c>
      <c r="D446" s="2">
        <v>41915</v>
      </c>
      <c r="E446" s="2">
        <v>41943</v>
      </c>
      <c r="F446" s="2">
        <v>41925</v>
      </c>
      <c r="G446">
        <v>2</v>
      </c>
      <c r="H446">
        <v>6102</v>
      </c>
    </row>
    <row r="447" spans="1:8" x14ac:dyDescent="0.3">
      <c r="A447">
        <v>10693</v>
      </c>
      <c r="B447" s="1" t="s">
        <v>386</v>
      </c>
      <c r="C447">
        <v>3</v>
      </c>
      <c r="D447" s="2">
        <v>41918</v>
      </c>
      <c r="E447" s="2">
        <v>41932</v>
      </c>
      <c r="F447" s="2">
        <v>41922</v>
      </c>
      <c r="G447">
        <v>3</v>
      </c>
      <c r="H447">
        <v>13934</v>
      </c>
    </row>
    <row r="448" spans="1:8" x14ac:dyDescent="0.3">
      <c r="A448">
        <v>10694</v>
      </c>
      <c r="B448" s="1" t="s">
        <v>286</v>
      </c>
      <c r="C448">
        <v>8</v>
      </c>
      <c r="D448" s="2">
        <v>41918</v>
      </c>
      <c r="E448" s="2">
        <v>41946</v>
      </c>
      <c r="F448" s="2">
        <v>41921</v>
      </c>
      <c r="G448">
        <v>3</v>
      </c>
      <c r="H448">
        <v>39836</v>
      </c>
    </row>
    <row r="449" spans="1:8" x14ac:dyDescent="0.3">
      <c r="A449">
        <v>10695</v>
      </c>
      <c r="B449" s="1" t="s">
        <v>390</v>
      </c>
      <c r="C449">
        <v>7</v>
      </c>
      <c r="D449" s="2">
        <v>41919</v>
      </c>
      <c r="E449" s="2">
        <v>41961</v>
      </c>
      <c r="F449" s="2">
        <v>41926</v>
      </c>
      <c r="G449">
        <v>1</v>
      </c>
      <c r="H449">
        <v>1672</v>
      </c>
    </row>
    <row r="450" spans="1:8" x14ac:dyDescent="0.3">
      <c r="A450">
        <v>10696</v>
      </c>
      <c r="B450" s="1" t="s">
        <v>386</v>
      </c>
      <c r="C450">
        <v>8</v>
      </c>
      <c r="D450" s="2">
        <v>41920</v>
      </c>
      <c r="E450" s="2">
        <v>41962</v>
      </c>
      <c r="F450" s="2">
        <v>41926</v>
      </c>
      <c r="G450">
        <v>3</v>
      </c>
      <c r="H450">
        <v>10255</v>
      </c>
    </row>
    <row r="451" spans="1:8" x14ac:dyDescent="0.3">
      <c r="A451">
        <v>10697</v>
      </c>
      <c r="B451" s="1" t="s">
        <v>227</v>
      </c>
      <c r="C451">
        <v>3</v>
      </c>
      <c r="D451" s="2">
        <v>41920</v>
      </c>
      <c r="E451" s="2">
        <v>41948</v>
      </c>
      <c r="F451" s="2">
        <v>41926</v>
      </c>
      <c r="G451">
        <v>1</v>
      </c>
      <c r="H451">
        <v>4552</v>
      </c>
    </row>
    <row r="452" spans="1:8" x14ac:dyDescent="0.3">
      <c r="A452">
        <v>10698</v>
      </c>
      <c r="B452" s="1" t="s">
        <v>113</v>
      </c>
      <c r="C452">
        <v>4</v>
      </c>
      <c r="D452" s="2">
        <v>41921</v>
      </c>
      <c r="E452" s="2">
        <v>41949</v>
      </c>
      <c r="F452" s="2">
        <v>41929</v>
      </c>
      <c r="G452">
        <v>1</v>
      </c>
      <c r="H452">
        <v>27247</v>
      </c>
    </row>
    <row r="453" spans="1:8" x14ac:dyDescent="0.3">
      <c r="A453">
        <v>10699</v>
      </c>
      <c r="B453" s="1" t="s">
        <v>248</v>
      </c>
      <c r="C453">
        <v>3</v>
      </c>
      <c r="D453" s="2">
        <v>41921</v>
      </c>
      <c r="E453" s="2">
        <v>41949</v>
      </c>
      <c r="F453" s="2">
        <v>41925</v>
      </c>
      <c r="G453">
        <v>3</v>
      </c>
      <c r="H453">
        <v>58</v>
      </c>
    </row>
    <row r="454" spans="1:8" x14ac:dyDescent="0.3">
      <c r="A454">
        <v>10700</v>
      </c>
      <c r="B454" s="1" t="s">
        <v>317</v>
      </c>
      <c r="C454">
        <v>3</v>
      </c>
      <c r="D454" s="2">
        <v>41922</v>
      </c>
      <c r="E454" s="2">
        <v>41950</v>
      </c>
      <c r="F454" s="2">
        <v>41928</v>
      </c>
      <c r="G454">
        <v>1</v>
      </c>
      <c r="H454">
        <v>651</v>
      </c>
    </row>
    <row r="455" spans="1:8" x14ac:dyDescent="0.3">
      <c r="A455">
        <v>10701</v>
      </c>
      <c r="B455" s="1" t="s">
        <v>186</v>
      </c>
      <c r="C455">
        <v>6</v>
      </c>
      <c r="D455" s="2">
        <v>41925</v>
      </c>
      <c r="E455" s="2">
        <v>41939</v>
      </c>
      <c r="F455" s="2">
        <v>41927</v>
      </c>
      <c r="G455">
        <v>3</v>
      </c>
      <c r="H455">
        <v>22031</v>
      </c>
    </row>
    <row r="456" spans="1:8" x14ac:dyDescent="0.3">
      <c r="A456">
        <v>10702</v>
      </c>
      <c r="B456" s="1" t="s">
        <v>25</v>
      </c>
      <c r="C456">
        <v>4</v>
      </c>
      <c r="D456" s="2">
        <v>41925</v>
      </c>
      <c r="E456" s="2">
        <v>41967</v>
      </c>
      <c r="F456" s="2">
        <v>41933</v>
      </c>
      <c r="G456">
        <v>1</v>
      </c>
      <c r="H456">
        <v>2394</v>
      </c>
    </row>
    <row r="457" spans="1:8" x14ac:dyDescent="0.3">
      <c r="A457">
        <v>10703</v>
      </c>
      <c r="B457" s="1" t="s">
        <v>131</v>
      </c>
      <c r="C457">
        <v>6</v>
      </c>
      <c r="D457" s="2">
        <v>41926</v>
      </c>
      <c r="E457" s="2">
        <v>41954</v>
      </c>
      <c r="F457" s="2">
        <v>41932</v>
      </c>
      <c r="G457">
        <v>2</v>
      </c>
      <c r="H457">
        <v>1523</v>
      </c>
    </row>
    <row r="458" spans="1:8" x14ac:dyDescent="0.3">
      <c r="A458">
        <v>10704</v>
      </c>
      <c r="B458" s="1" t="s">
        <v>283</v>
      </c>
      <c r="C458">
        <v>6</v>
      </c>
      <c r="D458" s="2">
        <v>41926</v>
      </c>
      <c r="E458" s="2">
        <v>41954</v>
      </c>
      <c r="F458" s="2">
        <v>41950</v>
      </c>
      <c r="G458">
        <v>1</v>
      </c>
      <c r="H458">
        <v>478</v>
      </c>
    </row>
    <row r="459" spans="1:8" x14ac:dyDescent="0.3">
      <c r="A459">
        <v>10705</v>
      </c>
      <c r="B459" s="1" t="s">
        <v>178</v>
      </c>
      <c r="C459">
        <v>9</v>
      </c>
      <c r="D459" s="2">
        <v>41927</v>
      </c>
      <c r="E459" s="2">
        <v>41955</v>
      </c>
      <c r="F459" s="2">
        <v>41961</v>
      </c>
      <c r="G459">
        <v>2</v>
      </c>
      <c r="H459">
        <v>352</v>
      </c>
    </row>
    <row r="460" spans="1:8" x14ac:dyDescent="0.3">
      <c r="A460">
        <v>10706</v>
      </c>
      <c r="B460" s="1" t="s">
        <v>258</v>
      </c>
      <c r="C460">
        <v>8</v>
      </c>
      <c r="D460" s="2">
        <v>41928</v>
      </c>
      <c r="E460" s="2">
        <v>41956</v>
      </c>
      <c r="F460" s="2">
        <v>41933</v>
      </c>
      <c r="G460">
        <v>3</v>
      </c>
      <c r="H460">
        <v>13563</v>
      </c>
    </row>
    <row r="461" spans="1:8" x14ac:dyDescent="0.3">
      <c r="A461">
        <v>10707</v>
      </c>
      <c r="B461" s="1" t="s">
        <v>40</v>
      </c>
      <c r="C461">
        <v>4</v>
      </c>
      <c r="D461" s="2">
        <v>41928</v>
      </c>
      <c r="E461" s="2">
        <v>41942</v>
      </c>
      <c r="F461" s="2">
        <v>41935</v>
      </c>
      <c r="G461">
        <v>3</v>
      </c>
      <c r="H461">
        <v>2174</v>
      </c>
    </row>
    <row r="462" spans="1:8" x14ac:dyDescent="0.3">
      <c r="A462">
        <v>10708</v>
      </c>
      <c r="B462" s="1" t="s">
        <v>340</v>
      </c>
      <c r="C462">
        <v>6</v>
      </c>
      <c r="D462" s="2">
        <v>41929</v>
      </c>
      <c r="E462" s="2">
        <v>41971</v>
      </c>
      <c r="F462" s="2">
        <v>41948</v>
      </c>
      <c r="G462">
        <v>2</v>
      </c>
      <c r="H462">
        <v>296</v>
      </c>
    </row>
    <row r="463" spans="1:8" x14ac:dyDescent="0.3">
      <c r="A463">
        <v>10709</v>
      </c>
      <c r="B463" s="1" t="s">
        <v>160</v>
      </c>
      <c r="C463">
        <v>1</v>
      </c>
      <c r="D463" s="2">
        <v>41929</v>
      </c>
      <c r="E463" s="2">
        <v>41957</v>
      </c>
      <c r="F463" s="2">
        <v>41963</v>
      </c>
      <c r="G463">
        <v>3</v>
      </c>
      <c r="H463">
        <v>2108</v>
      </c>
    </row>
    <row r="464" spans="1:8" x14ac:dyDescent="0.3">
      <c r="A464">
        <v>10710</v>
      </c>
      <c r="B464" s="1" t="s">
        <v>142</v>
      </c>
      <c r="C464">
        <v>1</v>
      </c>
      <c r="D464" s="2">
        <v>41932</v>
      </c>
      <c r="E464" s="2">
        <v>41960</v>
      </c>
      <c r="F464" s="2">
        <v>41935</v>
      </c>
      <c r="G464">
        <v>1</v>
      </c>
      <c r="H464">
        <v>498</v>
      </c>
    </row>
    <row r="465" spans="1:8" x14ac:dyDescent="0.3">
      <c r="A465">
        <v>10711</v>
      </c>
      <c r="B465" s="1" t="s">
        <v>317</v>
      </c>
      <c r="C465">
        <v>5</v>
      </c>
      <c r="D465" s="2">
        <v>41933</v>
      </c>
      <c r="E465" s="2">
        <v>41975</v>
      </c>
      <c r="F465" s="2">
        <v>41941</v>
      </c>
      <c r="G465">
        <v>2</v>
      </c>
      <c r="H465">
        <v>5241</v>
      </c>
    </row>
    <row r="466" spans="1:8" x14ac:dyDescent="0.3">
      <c r="A466">
        <v>10712</v>
      </c>
      <c r="B466" s="1" t="s">
        <v>186</v>
      </c>
      <c r="C466">
        <v>3</v>
      </c>
      <c r="D466" s="2">
        <v>41933</v>
      </c>
      <c r="E466" s="2">
        <v>41961</v>
      </c>
      <c r="F466" s="2">
        <v>41943</v>
      </c>
      <c r="G466">
        <v>1</v>
      </c>
      <c r="H466">
        <v>8993</v>
      </c>
    </row>
    <row r="467" spans="1:8" x14ac:dyDescent="0.3">
      <c r="A467">
        <v>10713</v>
      </c>
      <c r="B467" s="1" t="s">
        <v>317</v>
      </c>
      <c r="C467">
        <v>1</v>
      </c>
      <c r="D467" s="2">
        <v>41934</v>
      </c>
      <c r="E467" s="2">
        <v>41962</v>
      </c>
      <c r="F467" s="2">
        <v>41936</v>
      </c>
      <c r="G467">
        <v>1</v>
      </c>
      <c r="H467">
        <v>16705</v>
      </c>
    </row>
    <row r="468" spans="1:8" x14ac:dyDescent="0.3">
      <c r="A468">
        <v>10714</v>
      </c>
      <c r="B468" s="1" t="s">
        <v>317</v>
      </c>
      <c r="C468">
        <v>5</v>
      </c>
      <c r="D468" s="2">
        <v>41934</v>
      </c>
      <c r="E468" s="2">
        <v>41962</v>
      </c>
      <c r="F468" s="2">
        <v>41939</v>
      </c>
      <c r="G468">
        <v>3</v>
      </c>
      <c r="H468">
        <v>2449</v>
      </c>
    </row>
    <row r="469" spans="1:8" x14ac:dyDescent="0.3">
      <c r="A469">
        <v>10715</v>
      </c>
      <c r="B469" s="1" t="s">
        <v>66</v>
      </c>
      <c r="C469">
        <v>3</v>
      </c>
      <c r="D469" s="2">
        <v>41935</v>
      </c>
      <c r="E469" s="2">
        <v>41949</v>
      </c>
      <c r="F469" s="2">
        <v>41941</v>
      </c>
      <c r="G469">
        <v>1</v>
      </c>
      <c r="H469">
        <v>632</v>
      </c>
    </row>
    <row r="470" spans="1:8" x14ac:dyDescent="0.3">
      <c r="A470">
        <v>10716</v>
      </c>
      <c r="B470" s="1" t="s">
        <v>290</v>
      </c>
      <c r="C470">
        <v>4</v>
      </c>
      <c r="D470" s="2">
        <v>41936</v>
      </c>
      <c r="E470" s="2">
        <v>41964</v>
      </c>
      <c r="F470" s="2">
        <v>41939</v>
      </c>
      <c r="G470">
        <v>2</v>
      </c>
      <c r="H470">
        <v>2257</v>
      </c>
    </row>
    <row r="471" spans="1:8" x14ac:dyDescent="0.3">
      <c r="A471">
        <v>10717</v>
      </c>
      <c r="B471" s="1" t="s">
        <v>135</v>
      </c>
      <c r="C471">
        <v>1</v>
      </c>
      <c r="D471" s="2">
        <v>41936</v>
      </c>
      <c r="E471" s="2">
        <v>41964</v>
      </c>
      <c r="F471" s="2">
        <v>41941</v>
      </c>
      <c r="G471">
        <v>2</v>
      </c>
      <c r="H471">
        <v>5925</v>
      </c>
    </row>
    <row r="472" spans="1:8" x14ac:dyDescent="0.3">
      <c r="A472">
        <v>10718</v>
      </c>
      <c r="B472" s="1" t="s">
        <v>195</v>
      </c>
      <c r="C472">
        <v>1</v>
      </c>
      <c r="D472" s="2">
        <v>41939</v>
      </c>
      <c r="E472" s="2">
        <v>41967</v>
      </c>
      <c r="F472" s="2">
        <v>41941</v>
      </c>
      <c r="G472">
        <v>3</v>
      </c>
      <c r="H472">
        <v>17088</v>
      </c>
    </row>
    <row r="473" spans="1:8" x14ac:dyDescent="0.3">
      <c r="A473">
        <v>10719</v>
      </c>
      <c r="B473" s="1" t="s">
        <v>219</v>
      </c>
      <c r="C473">
        <v>8</v>
      </c>
      <c r="D473" s="2">
        <v>41939</v>
      </c>
      <c r="E473" s="2">
        <v>41967</v>
      </c>
      <c r="F473" s="2">
        <v>41948</v>
      </c>
      <c r="G473">
        <v>2</v>
      </c>
      <c r="H473">
        <v>5144</v>
      </c>
    </row>
    <row r="474" spans="1:8" x14ac:dyDescent="0.3">
      <c r="A474">
        <v>10720</v>
      </c>
      <c r="B474" s="1" t="s">
        <v>280</v>
      </c>
      <c r="C474">
        <v>8</v>
      </c>
      <c r="D474" s="2">
        <v>41940</v>
      </c>
      <c r="E474" s="2">
        <v>41954</v>
      </c>
      <c r="F474" s="2">
        <v>41948</v>
      </c>
      <c r="G474">
        <v>2</v>
      </c>
      <c r="H474">
        <v>953</v>
      </c>
    </row>
    <row r="475" spans="1:8" x14ac:dyDescent="0.3">
      <c r="A475">
        <v>10721</v>
      </c>
      <c r="B475" s="1" t="s">
        <v>286</v>
      </c>
      <c r="C475">
        <v>5</v>
      </c>
      <c r="D475" s="2">
        <v>41941</v>
      </c>
      <c r="E475" s="2">
        <v>41969</v>
      </c>
      <c r="F475" s="2">
        <v>41943</v>
      </c>
      <c r="G475">
        <v>3</v>
      </c>
      <c r="H475">
        <v>4892</v>
      </c>
    </row>
    <row r="476" spans="1:8" x14ac:dyDescent="0.3">
      <c r="A476">
        <v>10722</v>
      </c>
      <c r="B476" s="1" t="s">
        <v>317</v>
      </c>
      <c r="C476">
        <v>8</v>
      </c>
      <c r="D476" s="2">
        <v>41941</v>
      </c>
      <c r="E476" s="2">
        <v>41983</v>
      </c>
      <c r="F476" s="2">
        <v>41947</v>
      </c>
      <c r="G476">
        <v>1</v>
      </c>
      <c r="H476">
        <v>7458</v>
      </c>
    </row>
    <row r="477" spans="1:8" x14ac:dyDescent="0.3">
      <c r="A477">
        <v>10723</v>
      </c>
      <c r="B477" s="1" t="s">
        <v>386</v>
      </c>
      <c r="C477">
        <v>3</v>
      </c>
      <c r="D477" s="2">
        <v>41942</v>
      </c>
      <c r="E477" s="2">
        <v>41970</v>
      </c>
      <c r="F477" s="2">
        <v>41968</v>
      </c>
      <c r="G477">
        <v>1</v>
      </c>
      <c r="H477">
        <v>2172</v>
      </c>
    </row>
    <row r="478" spans="1:8" x14ac:dyDescent="0.3">
      <c r="A478">
        <v>10724</v>
      </c>
      <c r="B478" s="1" t="s">
        <v>244</v>
      </c>
      <c r="C478">
        <v>8</v>
      </c>
      <c r="D478" s="2">
        <v>41942</v>
      </c>
      <c r="E478" s="2">
        <v>41984</v>
      </c>
      <c r="F478" s="2">
        <v>41948</v>
      </c>
      <c r="G478">
        <v>2</v>
      </c>
      <c r="H478">
        <v>5775</v>
      </c>
    </row>
    <row r="479" spans="1:8" x14ac:dyDescent="0.3">
      <c r="A479">
        <v>10725</v>
      </c>
      <c r="B479" s="1" t="s">
        <v>119</v>
      </c>
      <c r="C479">
        <v>4</v>
      </c>
      <c r="D479" s="2">
        <v>41943</v>
      </c>
      <c r="E479" s="2">
        <v>41971</v>
      </c>
      <c r="F479" s="2">
        <v>41948</v>
      </c>
      <c r="G479">
        <v>3</v>
      </c>
      <c r="H479">
        <v>1083</v>
      </c>
    </row>
    <row r="480" spans="1:8" x14ac:dyDescent="0.3">
      <c r="A480">
        <v>10726</v>
      </c>
      <c r="B480" s="1" t="s">
        <v>110</v>
      </c>
      <c r="C480">
        <v>4</v>
      </c>
      <c r="D480" s="2">
        <v>41946</v>
      </c>
      <c r="E480" s="2">
        <v>41960</v>
      </c>
      <c r="F480" s="2">
        <v>41978</v>
      </c>
      <c r="G480">
        <v>1</v>
      </c>
      <c r="H480">
        <v>1656</v>
      </c>
    </row>
    <row r="481" spans="1:8" x14ac:dyDescent="0.3">
      <c r="A481">
        <v>10727</v>
      </c>
      <c r="B481" s="1" t="s">
        <v>298</v>
      </c>
      <c r="C481">
        <v>2</v>
      </c>
      <c r="D481" s="2">
        <v>41946</v>
      </c>
      <c r="E481" s="2">
        <v>41974</v>
      </c>
      <c r="F481" s="2">
        <v>41978</v>
      </c>
      <c r="G481">
        <v>1</v>
      </c>
      <c r="H481">
        <v>899</v>
      </c>
    </row>
    <row r="482" spans="1:8" x14ac:dyDescent="0.3">
      <c r="A482">
        <v>10728</v>
      </c>
      <c r="B482" s="1" t="s">
        <v>283</v>
      </c>
      <c r="C482">
        <v>4</v>
      </c>
      <c r="D482" s="2">
        <v>41947</v>
      </c>
      <c r="E482" s="2">
        <v>41975</v>
      </c>
      <c r="F482" s="2">
        <v>41954</v>
      </c>
      <c r="G482">
        <v>2</v>
      </c>
      <c r="H482">
        <v>5833</v>
      </c>
    </row>
    <row r="483" spans="1:8" x14ac:dyDescent="0.3">
      <c r="A483">
        <v>10729</v>
      </c>
      <c r="B483" s="1" t="s">
        <v>227</v>
      </c>
      <c r="C483">
        <v>8</v>
      </c>
      <c r="D483" s="2">
        <v>41947</v>
      </c>
      <c r="E483" s="2">
        <v>41989</v>
      </c>
      <c r="F483" s="2">
        <v>41957</v>
      </c>
      <c r="G483">
        <v>3</v>
      </c>
      <c r="H483">
        <v>14106</v>
      </c>
    </row>
    <row r="484" spans="1:8" x14ac:dyDescent="0.3">
      <c r="A484">
        <v>10730</v>
      </c>
      <c r="B484" s="1" t="s">
        <v>66</v>
      </c>
      <c r="C484">
        <v>5</v>
      </c>
      <c r="D484" s="2">
        <v>41948</v>
      </c>
      <c r="E484" s="2">
        <v>41976</v>
      </c>
      <c r="F484" s="2">
        <v>41957</v>
      </c>
      <c r="G484">
        <v>1</v>
      </c>
      <c r="H484">
        <v>2012</v>
      </c>
    </row>
    <row r="485" spans="1:8" x14ac:dyDescent="0.3">
      <c r="A485">
        <v>10731</v>
      </c>
      <c r="B485" s="1" t="s">
        <v>88</v>
      </c>
      <c r="C485">
        <v>7</v>
      </c>
      <c r="D485" s="2">
        <v>41949</v>
      </c>
      <c r="E485" s="2">
        <v>41977</v>
      </c>
      <c r="F485" s="2">
        <v>41957</v>
      </c>
      <c r="G485">
        <v>1</v>
      </c>
      <c r="H485">
        <v>9665</v>
      </c>
    </row>
    <row r="486" spans="1:8" x14ac:dyDescent="0.3">
      <c r="A486">
        <v>10732</v>
      </c>
      <c r="B486" s="1" t="s">
        <v>66</v>
      </c>
      <c r="C486">
        <v>3</v>
      </c>
      <c r="D486" s="2">
        <v>41949</v>
      </c>
      <c r="E486" s="2">
        <v>41977</v>
      </c>
      <c r="F486" s="2">
        <v>41950</v>
      </c>
      <c r="G486">
        <v>1</v>
      </c>
      <c r="H486">
        <v>1697</v>
      </c>
    </row>
    <row r="487" spans="1:8" x14ac:dyDescent="0.3">
      <c r="A487">
        <v>10733</v>
      </c>
      <c r="B487" s="1" t="s">
        <v>45</v>
      </c>
      <c r="C487">
        <v>1</v>
      </c>
      <c r="D487" s="2">
        <v>41950</v>
      </c>
      <c r="E487" s="2">
        <v>41978</v>
      </c>
      <c r="F487" s="2">
        <v>41953</v>
      </c>
      <c r="G487">
        <v>3</v>
      </c>
      <c r="H487">
        <v>11011</v>
      </c>
    </row>
    <row r="488" spans="1:8" x14ac:dyDescent="0.3">
      <c r="A488">
        <v>10734</v>
      </c>
      <c r="B488" s="1" t="s">
        <v>160</v>
      </c>
      <c r="C488">
        <v>2</v>
      </c>
      <c r="D488" s="2">
        <v>41950</v>
      </c>
      <c r="E488" s="2">
        <v>41978</v>
      </c>
      <c r="F488" s="2">
        <v>41955</v>
      </c>
      <c r="G488">
        <v>3</v>
      </c>
      <c r="H488">
        <v>163</v>
      </c>
    </row>
    <row r="489" spans="1:8" x14ac:dyDescent="0.3">
      <c r="A489">
        <v>10735</v>
      </c>
      <c r="B489" s="1" t="s">
        <v>219</v>
      </c>
      <c r="C489">
        <v>6</v>
      </c>
      <c r="D489" s="2">
        <v>41953</v>
      </c>
      <c r="E489" s="2">
        <v>41981</v>
      </c>
      <c r="F489" s="2">
        <v>41964</v>
      </c>
      <c r="G489">
        <v>2</v>
      </c>
      <c r="H489">
        <v>4597</v>
      </c>
    </row>
    <row r="490" spans="1:8" x14ac:dyDescent="0.3">
      <c r="A490">
        <v>10736</v>
      </c>
      <c r="B490" s="1" t="s">
        <v>186</v>
      </c>
      <c r="C490">
        <v>9</v>
      </c>
      <c r="D490" s="2">
        <v>41954</v>
      </c>
      <c r="E490" s="2">
        <v>41982</v>
      </c>
      <c r="F490" s="2">
        <v>41964</v>
      </c>
      <c r="G490">
        <v>2</v>
      </c>
      <c r="H490">
        <v>441</v>
      </c>
    </row>
    <row r="491" spans="1:8" x14ac:dyDescent="0.3">
      <c r="A491">
        <v>10737</v>
      </c>
      <c r="B491" s="1" t="s">
        <v>369</v>
      </c>
      <c r="C491">
        <v>2</v>
      </c>
      <c r="D491" s="2">
        <v>41954</v>
      </c>
      <c r="E491" s="2">
        <v>41982</v>
      </c>
      <c r="F491" s="2">
        <v>41961</v>
      </c>
      <c r="G491">
        <v>2</v>
      </c>
      <c r="H491">
        <v>779</v>
      </c>
    </row>
    <row r="492" spans="1:8" x14ac:dyDescent="0.3">
      <c r="A492">
        <v>10738</v>
      </c>
      <c r="B492" s="1" t="s">
        <v>329</v>
      </c>
      <c r="C492">
        <v>2</v>
      </c>
      <c r="D492" s="2">
        <v>41955</v>
      </c>
      <c r="E492" s="2">
        <v>41983</v>
      </c>
      <c r="F492" s="2">
        <v>41961</v>
      </c>
      <c r="G492">
        <v>1</v>
      </c>
      <c r="H492">
        <v>291</v>
      </c>
    </row>
    <row r="493" spans="1:8" x14ac:dyDescent="0.3">
      <c r="A493">
        <v>10739</v>
      </c>
      <c r="B493" s="1" t="s">
        <v>369</v>
      </c>
      <c r="C493">
        <v>3</v>
      </c>
      <c r="D493" s="2">
        <v>41955</v>
      </c>
      <c r="E493" s="2">
        <v>41983</v>
      </c>
      <c r="F493" s="2">
        <v>41960</v>
      </c>
      <c r="G493">
        <v>3</v>
      </c>
      <c r="H493">
        <v>1108</v>
      </c>
    </row>
    <row r="494" spans="1:8" x14ac:dyDescent="0.3">
      <c r="A494">
        <v>10740</v>
      </c>
      <c r="B494" s="1" t="s">
        <v>386</v>
      </c>
      <c r="C494">
        <v>4</v>
      </c>
      <c r="D494" s="2">
        <v>41956</v>
      </c>
      <c r="E494" s="2">
        <v>41984</v>
      </c>
      <c r="F494" s="2">
        <v>41968</v>
      </c>
      <c r="G494">
        <v>2</v>
      </c>
      <c r="H494">
        <v>8188</v>
      </c>
    </row>
    <row r="495" spans="1:8" x14ac:dyDescent="0.3">
      <c r="A495">
        <v>10741</v>
      </c>
      <c r="B495" s="1" t="s">
        <v>40</v>
      </c>
      <c r="C495">
        <v>4</v>
      </c>
      <c r="D495" s="2">
        <v>41957</v>
      </c>
      <c r="E495" s="2">
        <v>41971</v>
      </c>
      <c r="F495" s="2">
        <v>41961</v>
      </c>
      <c r="G495">
        <v>3</v>
      </c>
      <c r="H495">
        <v>1096</v>
      </c>
    </row>
    <row r="496" spans="1:8" x14ac:dyDescent="0.3">
      <c r="A496">
        <v>10742</v>
      </c>
      <c r="B496" s="1" t="s">
        <v>70</v>
      </c>
      <c r="C496">
        <v>3</v>
      </c>
      <c r="D496" s="2">
        <v>41957</v>
      </c>
      <c r="E496" s="2">
        <v>41985</v>
      </c>
      <c r="F496" s="2">
        <v>41961</v>
      </c>
      <c r="G496">
        <v>3</v>
      </c>
      <c r="H496">
        <v>24373</v>
      </c>
    </row>
    <row r="497" spans="1:8" x14ac:dyDescent="0.3">
      <c r="A497">
        <v>10743</v>
      </c>
      <c r="B497" s="1" t="s">
        <v>40</v>
      </c>
      <c r="C497">
        <v>1</v>
      </c>
      <c r="D497" s="2">
        <v>41960</v>
      </c>
      <c r="E497" s="2">
        <v>41988</v>
      </c>
      <c r="F497" s="2">
        <v>41964</v>
      </c>
      <c r="G497">
        <v>2</v>
      </c>
      <c r="H497">
        <v>2372</v>
      </c>
    </row>
    <row r="498" spans="1:8" x14ac:dyDescent="0.3">
      <c r="A498">
        <v>10744</v>
      </c>
      <c r="B498" s="1" t="s">
        <v>361</v>
      </c>
      <c r="C498">
        <v>6</v>
      </c>
      <c r="D498" s="2">
        <v>41960</v>
      </c>
      <c r="E498" s="2">
        <v>41988</v>
      </c>
      <c r="F498" s="2">
        <v>41967</v>
      </c>
      <c r="G498">
        <v>1</v>
      </c>
      <c r="H498">
        <v>6919</v>
      </c>
    </row>
    <row r="499" spans="1:8" x14ac:dyDescent="0.3">
      <c r="A499">
        <v>10745</v>
      </c>
      <c r="B499" s="1" t="s">
        <v>286</v>
      </c>
      <c r="C499">
        <v>9</v>
      </c>
      <c r="D499" s="2">
        <v>41961</v>
      </c>
      <c r="E499" s="2">
        <v>41989</v>
      </c>
      <c r="F499" s="2">
        <v>41970</v>
      </c>
      <c r="G499">
        <v>1</v>
      </c>
      <c r="H499">
        <v>352</v>
      </c>
    </row>
    <row r="500" spans="1:8" x14ac:dyDescent="0.3">
      <c r="A500">
        <v>10746</v>
      </c>
      <c r="B500" s="1" t="s">
        <v>88</v>
      </c>
      <c r="C500">
        <v>1</v>
      </c>
      <c r="D500" s="2">
        <v>41962</v>
      </c>
      <c r="E500" s="2">
        <v>41990</v>
      </c>
      <c r="F500" s="2">
        <v>41964</v>
      </c>
      <c r="G500">
        <v>3</v>
      </c>
      <c r="H500">
        <v>3143</v>
      </c>
    </row>
    <row r="501" spans="1:8" x14ac:dyDescent="0.3">
      <c r="A501">
        <v>10747</v>
      </c>
      <c r="B501" s="1" t="s">
        <v>273</v>
      </c>
      <c r="C501">
        <v>6</v>
      </c>
      <c r="D501" s="2">
        <v>41962</v>
      </c>
      <c r="E501" s="2">
        <v>41990</v>
      </c>
      <c r="F501" s="2">
        <v>41969</v>
      </c>
      <c r="G501">
        <v>1</v>
      </c>
      <c r="H501">
        <v>11733</v>
      </c>
    </row>
    <row r="502" spans="1:8" x14ac:dyDescent="0.3">
      <c r="A502">
        <v>10748</v>
      </c>
      <c r="B502" s="1" t="s">
        <v>317</v>
      </c>
      <c r="C502">
        <v>3</v>
      </c>
      <c r="D502" s="2">
        <v>41963</v>
      </c>
      <c r="E502" s="2">
        <v>41991</v>
      </c>
      <c r="F502" s="2">
        <v>41971</v>
      </c>
      <c r="G502">
        <v>1</v>
      </c>
      <c r="H502">
        <v>23255</v>
      </c>
    </row>
    <row r="503" spans="1:8" x14ac:dyDescent="0.3">
      <c r="A503">
        <v>10749</v>
      </c>
      <c r="B503" s="1" t="s">
        <v>191</v>
      </c>
      <c r="C503">
        <v>4</v>
      </c>
      <c r="D503" s="2">
        <v>41963</v>
      </c>
      <c r="E503" s="2">
        <v>41991</v>
      </c>
      <c r="F503" s="2">
        <v>41992</v>
      </c>
      <c r="G503">
        <v>2</v>
      </c>
      <c r="H503">
        <v>6153</v>
      </c>
    </row>
    <row r="504" spans="1:8" x14ac:dyDescent="0.3">
      <c r="A504">
        <v>10750</v>
      </c>
      <c r="B504" s="1" t="s">
        <v>377</v>
      </c>
      <c r="C504">
        <v>9</v>
      </c>
      <c r="D504" s="2">
        <v>41964</v>
      </c>
      <c r="E504" s="2">
        <v>41992</v>
      </c>
      <c r="F504" s="2">
        <v>41967</v>
      </c>
      <c r="G504">
        <v>1</v>
      </c>
      <c r="H504">
        <v>793</v>
      </c>
    </row>
    <row r="505" spans="1:8" x14ac:dyDescent="0.3">
      <c r="A505">
        <v>10751</v>
      </c>
      <c r="B505" s="1" t="s">
        <v>305</v>
      </c>
      <c r="C505">
        <v>3</v>
      </c>
      <c r="D505" s="2">
        <v>41967</v>
      </c>
      <c r="E505" s="2">
        <v>41995</v>
      </c>
      <c r="F505" s="2">
        <v>41976</v>
      </c>
      <c r="G505">
        <v>3</v>
      </c>
      <c r="H505">
        <v>13079</v>
      </c>
    </row>
    <row r="506" spans="1:8" x14ac:dyDescent="0.3">
      <c r="A506">
        <v>10752</v>
      </c>
      <c r="B506" s="1" t="s">
        <v>252</v>
      </c>
      <c r="C506">
        <v>2</v>
      </c>
      <c r="D506" s="2">
        <v>41967</v>
      </c>
      <c r="E506" s="2">
        <v>41995</v>
      </c>
      <c r="F506" s="2">
        <v>41971</v>
      </c>
      <c r="G506">
        <v>3</v>
      </c>
      <c r="H506">
        <v>139</v>
      </c>
    </row>
    <row r="507" spans="1:8" x14ac:dyDescent="0.3">
      <c r="A507">
        <v>10753</v>
      </c>
      <c r="B507" s="1" t="s">
        <v>142</v>
      </c>
      <c r="C507">
        <v>3</v>
      </c>
      <c r="D507" s="2">
        <v>41968</v>
      </c>
      <c r="E507" s="2">
        <v>41996</v>
      </c>
      <c r="F507" s="2">
        <v>41970</v>
      </c>
      <c r="G507">
        <v>1</v>
      </c>
      <c r="H507">
        <v>77</v>
      </c>
    </row>
    <row r="508" spans="1:8" x14ac:dyDescent="0.3">
      <c r="A508">
        <v>10754</v>
      </c>
      <c r="B508" s="1" t="s">
        <v>235</v>
      </c>
      <c r="C508">
        <v>6</v>
      </c>
      <c r="D508" s="2">
        <v>41968</v>
      </c>
      <c r="E508" s="2">
        <v>41996</v>
      </c>
      <c r="F508" s="2">
        <v>41970</v>
      </c>
      <c r="G508">
        <v>3</v>
      </c>
      <c r="H508">
        <v>238</v>
      </c>
    </row>
    <row r="509" spans="1:8" x14ac:dyDescent="0.3">
      <c r="A509">
        <v>10755</v>
      </c>
      <c r="B509" s="1" t="s">
        <v>66</v>
      </c>
      <c r="C509">
        <v>4</v>
      </c>
      <c r="D509" s="2">
        <v>41969</v>
      </c>
      <c r="E509" s="2">
        <v>41997</v>
      </c>
      <c r="F509" s="2">
        <v>41971</v>
      </c>
      <c r="G509">
        <v>2</v>
      </c>
      <c r="H509">
        <v>1671</v>
      </c>
    </row>
    <row r="510" spans="1:8" x14ac:dyDescent="0.3">
      <c r="A510">
        <v>10756</v>
      </c>
      <c r="B510" s="1" t="s">
        <v>332</v>
      </c>
      <c r="C510">
        <v>8</v>
      </c>
      <c r="D510" s="2">
        <v>41970</v>
      </c>
      <c r="E510" s="2">
        <v>41998</v>
      </c>
      <c r="F510" s="2">
        <v>41975</v>
      </c>
      <c r="G510">
        <v>2</v>
      </c>
      <c r="H510">
        <v>7321</v>
      </c>
    </row>
    <row r="511" spans="1:8" x14ac:dyDescent="0.3">
      <c r="A511">
        <v>10757</v>
      </c>
      <c r="B511" s="1" t="s">
        <v>317</v>
      </c>
      <c r="C511">
        <v>6</v>
      </c>
      <c r="D511" s="2">
        <v>41970</v>
      </c>
      <c r="E511" s="2">
        <v>41998</v>
      </c>
      <c r="F511" s="2">
        <v>41988</v>
      </c>
      <c r="G511">
        <v>1</v>
      </c>
      <c r="H511">
        <v>819</v>
      </c>
    </row>
    <row r="512" spans="1:8" x14ac:dyDescent="0.3">
      <c r="A512">
        <v>10758</v>
      </c>
      <c r="B512" s="1" t="s">
        <v>305</v>
      </c>
      <c r="C512">
        <v>3</v>
      </c>
      <c r="D512" s="2">
        <v>41971</v>
      </c>
      <c r="E512" s="2">
        <v>41999</v>
      </c>
      <c r="F512" s="2">
        <v>41977</v>
      </c>
      <c r="G512">
        <v>3</v>
      </c>
      <c r="H512">
        <v>13817</v>
      </c>
    </row>
    <row r="513" spans="1:8" x14ac:dyDescent="0.3">
      <c r="A513">
        <v>10759</v>
      </c>
      <c r="B513" s="1" t="s">
        <v>31</v>
      </c>
      <c r="C513">
        <v>3</v>
      </c>
      <c r="D513" s="2">
        <v>41971</v>
      </c>
      <c r="E513" s="2">
        <v>41999</v>
      </c>
      <c r="F513" s="2">
        <v>41985</v>
      </c>
      <c r="G513">
        <v>3</v>
      </c>
      <c r="H513">
        <v>1199</v>
      </c>
    </row>
    <row r="514" spans="1:8" x14ac:dyDescent="0.3">
      <c r="A514">
        <v>10760</v>
      </c>
      <c r="B514" s="1" t="s">
        <v>239</v>
      </c>
      <c r="C514">
        <v>4</v>
      </c>
      <c r="D514" s="2">
        <v>41974</v>
      </c>
      <c r="E514" s="2">
        <v>42002</v>
      </c>
      <c r="F514" s="2">
        <v>41983</v>
      </c>
      <c r="G514">
        <v>1</v>
      </c>
      <c r="H514">
        <v>15564</v>
      </c>
    </row>
    <row r="515" spans="1:8" x14ac:dyDescent="0.3">
      <c r="A515">
        <v>10761</v>
      </c>
      <c r="B515" s="1" t="s">
        <v>293</v>
      </c>
      <c r="C515">
        <v>5</v>
      </c>
      <c r="D515" s="2">
        <v>41975</v>
      </c>
      <c r="E515" s="2">
        <v>42003</v>
      </c>
      <c r="F515" s="2">
        <v>41981</v>
      </c>
      <c r="G515">
        <v>2</v>
      </c>
      <c r="H515">
        <v>1866</v>
      </c>
    </row>
    <row r="516" spans="1:8" x14ac:dyDescent="0.3">
      <c r="A516">
        <v>10762</v>
      </c>
      <c r="B516" s="1" t="s">
        <v>131</v>
      </c>
      <c r="C516">
        <v>3</v>
      </c>
      <c r="D516" s="2">
        <v>41975</v>
      </c>
      <c r="E516" s="2">
        <v>42003</v>
      </c>
      <c r="F516" s="2">
        <v>41982</v>
      </c>
      <c r="G516">
        <v>1</v>
      </c>
      <c r="H516">
        <v>32874</v>
      </c>
    </row>
    <row r="517" spans="1:8" x14ac:dyDescent="0.3">
      <c r="A517">
        <v>10763</v>
      </c>
      <c r="B517" s="1" t="s">
        <v>126</v>
      </c>
      <c r="C517">
        <v>3</v>
      </c>
      <c r="D517" s="2">
        <v>41976</v>
      </c>
      <c r="E517" s="2">
        <v>42004</v>
      </c>
      <c r="F517" s="2">
        <v>41981</v>
      </c>
      <c r="G517">
        <v>3</v>
      </c>
      <c r="H517">
        <v>3735</v>
      </c>
    </row>
    <row r="518" spans="1:8" x14ac:dyDescent="0.3">
      <c r="A518">
        <v>10764</v>
      </c>
      <c r="B518" s="1" t="s">
        <v>113</v>
      </c>
      <c r="C518">
        <v>6</v>
      </c>
      <c r="D518" s="2">
        <v>41976</v>
      </c>
      <c r="E518" s="2">
        <v>42004</v>
      </c>
      <c r="F518" s="2">
        <v>41981</v>
      </c>
      <c r="G518">
        <v>3</v>
      </c>
      <c r="H518">
        <v>14545</v>
      </c>
    </row>
    <row r="519" spans="1:8" x14ac:dyDescent="0.3">
      <c r="A519">
        <v>10765</v>
      </c>
      <c r="B519" s="1" t="s">
        <v>286</v>
      </c>
      <c r="C519">
        <v>3</v>
      </c>
      <c r="D519" s="2">
        <v>41977</v>
      </c>
      <c r="E519" s="2">
        <v>42005</v>
      </c>
      <c r="F519" s="2">
        <v>41982</v>
      </c>
      <c r="G519">
        <v>3</v>
      </c>
      <c r="H519">
        <v>4274</v>
      </c>
    </row>
    <row r="520" spans="1:8" x14ac:dyDescent="0.3">
      <c r="A520">
        <v>10766</v>
      </c>
      <c r="B520" s="1" t="s">
        <v>262</v>
      </c>
      <c r="C520">
        <v>4</v>
      </c>
      <c r="D520" s="2">
        <v>41978</v>
      </c>
      <c r="E520" s="2">
        <v>42006</v>
      </c>
      <c r="F520" s="2">
        <v>41982</v>
      </c>
      <c r="G520">
        <v>1</v>
      </c>
      <c r="H520">
        <v>15755</v>
      </c>
    </row>
    <row r="521" spans="1:8" x14ac:dyDescent="0.3">
      <c r="A521">
        <v>10767</v>
      </c>
      <c r="B521" s="1" t="s">
        <v>336</v>
      </c>
      <c r="C521">
        <v>4</v>
      </c>
      <c r="D521" s="2">
        <v>41978</v>
      </c>
      <c r="E521" s="2">
        <v>42006</v>
      </c>
      <c r="F521" s="2">
        <v>41988</v>
      </c>
      <c r="G521">
        <v>3</v>
      </c>
      <c r="H521">
        <v>159</v>
      </c>
    </row>
    <row r="522" spans="1:8" x14ac:dyDescent="0.3">
      <c r="A522">
        <v>10768</v>
      </c>
      <c r="B522" s="1" t="s">
        <v>40</v>
      </c>
      <c r="C522">
        <v>3</v>
      </c>
      <c r="D522" s="2">
        <v>41981</v>
      </c>
      <c r="E522" s="2">
        <v>42009</v>
      </c>
      <c r="F522" s="2">
        <v>41988</v>
      </c>
      <c r="G522">
        <v>2</v>
      </c>
      <c r="H522">
        <v>14632</v>
      </c>
    </row>
    <row r="523" spans="1:8" x14ac:dyDescent="0.3">
      <c r="A523">
        <v>10769</v>
      </c>
      <c r="B523" s="1" t="s">
        <v>361</v>
      </c>
      <c r="C523">
        <v>3</v>
      </c>
      <c r="D523" s="2">
        <v>41981</v>
      </c>
      <c r="E523" s="2">
        <v>42009</v>
      </c>
      <c r="F523" s="2">
        <v>41985</v>
      </c>
      <c r="G523">
        <v>1</v>
      </c>
      <c r="H523">
        <v>6506</v>
      </c>
    </row>
    <row r="524" spans="1:8" x14ac:dyDescent="0.3">
      <c r="A524">
        <v>10770</v>
      </c>
      <c r="B524" s="1" t="s">
        <v>174</v>
      </c>
      <c r="C524">
        <v>8</v>
      </c>
      <c r="D524" s="2">
        <v>41982</v>
      </c>
      <c r="E524" s="2">
        <v>42010</v>
      </c>
      <c r="F524" s="2">
        <v>41990</v>
      </c>
      <c r="G524">
        <v>3</v>
      </c>
      <c r="H524">
        <v>532</v>
      </c>
    </row>
    <row r="525" spans="1:8" x14ac:dyDescent="0.3">
      <c r="A525">
        <v>10771</v>
      </c>
      <c r="B525" s="1" t="s">
        <v>113</v>
      </c>
      <c r="C525">
        <v>9</v>
      </c>
      <c r="D525" s="2">
        <v>41983</v>
      </c>
      <c r="E525" s="2">
        <v>42011</v>
      </c>
      <c r="F525" s="2">
        <v>42006</v>
      </c>
      <c r="G525">
        <v>2</v>
      </c>
      <c r="H525">
        <v>1119</v>
      </c>
    </row>
    <row r="526" spans="1:8" x14ac:dyDescent="0.3">
      <c r="A526">
        <v>10772</v>
      </c>
      <c r="B526" s="1" t="s">
        <v>215</v>
      </c>
      <c r="C526">
        <v>3</v>
      </c>
      <c r="D526" s="2">
        <v>41983</v>
      </c>
      <c r="E526" s="2">
        <v>42011</v>
      </c>
      <c r="F526" s="2">
        <v>41992</v>
      </c>
      <c r="G526">
        <v>2</v>
      </c>
      <c r="H526">
        <v>9128</v>
      </c>
    </row>
    <row r="527" spans="1:8" x14ac:dyDescent="0.3">
      <c r="A527">
        <v>10773</v>
      </c>
      <c r="B527" s="1" t="s">
        <v>113</v>
      </c>
      <c r="C527">
        <v>1</v>
      </c>
      <c r="D527" s="2">
        <v>41984</v>
      </c>
      <c r="E527" s="2">
        <v>42012</v>
      </c>
      <c r="F527" s="2">
        <v>41989</v>
      </c>
      <c r="G527">
        <v>3</v>
      </c>
      <c r="H527">
        <v>9643</v>
      </c>
    </row>
    <row r="528" spans="1:8" x14ac:dyDescent="0.3">
      <c r="A528">
        <v>10774</v>
      </c>
      <c r="B528" s="1" t="s">
        <v>131</v>
      </c>
      <c r="C528">
        <v>4</v>
      </c>
      <c r="D528" s="2">
        <v>41984</v>
      </c>
      <c r="E528" s="2">
        <v>41998</v>
      </c>
      <c r="F528" s="2">
        <v>41985</v>
      </c>
      <c r="G528">
        <v>1</v>
      </c>
      <c r="H528">
        <v>482</v>
      </c>
    </row>
    <row r="529" spans="1:8" x14ac:dyDescent="0.3">
      <c r="A529">
        <v>10775</v>
      </c>
      <c r="B529" s="1" t="s">
        <v>343</v>
      </c>
      <c r="C529">
        <v>7</v>
      </c>
      <c r="D529" s="2">
        <v>41985</v>
      </c>
      <c r="E529" s="2">
        <v>42013</v>
      </c>
      <c r="F529" s="2">
        <v>41999</v>
      </c>
      <c r="G529">
        <v>1</v>
      </c>
      <c r="H529">
        <v>2025</v>
      </c>
    </row>
    <row r="530" spans="1:8" x14ac:dyDescent="0.3">
      <c r="A530">
        <v>10776</v>
      </c>
      <c r="B530" s="1" t="s">
        <v>113</v>
      </c>
      <c r="C530">
        <v>1</v>
      </c>
      <c r="D530" s="2">
        <v>41988</v>
      </c>
      <c r="E530" s="2">
        <v>42016</v>
      </c>
      <c r="F530" s="2">
        <v>41991</v>
      </c>
      <c r="G530">
        <v>3</v>
      </c>
      <c r="H530">
        <v>35153</v>
      </c>
    </row>
    <row r="531" spans="1:8" x14ac:dyDescent="0.3">
      <c r="A531">
        <v>10777</v>
      </c>
      <c r="B531" s="1" t="s">
        <v>160</v>
      </c>
      <c r="C531">
        <v>7</v>
      </c>
      <c r="D531" s="2">
        <v>41988</v>
      </c>
      <c r="E531" s="2">
        <v>42002</v>
      </c>
      <c r="F531" s="2">
        <v>42025</v>
      </c>
      <c r="G531">
        <v>2</v>
      </c>
      <c r="H531">
        <v>301</v>
      </c>
    </row>
    <row r="532" spans="1:8" x14ac:dyDescent="0.3">
      <c r="A532">
        <v>10778</v>
      </c>
      <c r="B532" s="1" t="s">
        <v>45</v>
      </c>
      <c r="C532">
        <v>3</v>
      </c>
      <c r="D532" s="2">
        <v>41989</v>
      </c>
      <c r="E532" s="2">
        <v>42017</v>
      </c>
      <c r="F532" s="2">
        <v>41997</v>
      </c>
      <c r="G532">
        <v>1</v>
      </c>
      <c r="H532">
        <v>679</v>
      </c>
    </row>
    <row r="533" spans="1:8" x14ac:dyDescent="0.3">
      <c r="A533">
        <v>10779</v>
      </c>
      <c r="B533" s="1" t="s">
        <v>248</v>
      </c>
      <c r="C533">
        <v>3</v>
      </c>
      <c r="D533" s="2">
        <v>41989</v>
      </c>
      <c r="E533" s="2">
        <v>42017</v>
      </c>
      <c r="F533" s="2">
        <v>42018</v>
      </c>
      <c r="G533">
        <v>2</v>
      </c>
      <c r="H533">
        <v>5813</v>
      </c>
    </row>
    <row r="534" spans="1:8" x14ac:dyDescent="0.3">
      <c r="A534">
        <v>10780</v>
      </c>
      <c r="B534" s="1" t="s">
        <v>223</v>
      </c>
      <c r="C534">
        <v>2</v>
      </c>
      <c r="D534" s="2">
        <v>41989</v>
      </c>
      <c r="E534" s="2">
        <v>42003</v>
      </c>
      <c r="F534" s="2">
        <v>41998</v>
      </c>
      <c r="G534">
        <v>1</v>
      </c>
      <c r="H534">
        <v>4213</v>
      </c>
    </row>
    <row r="535" spans="1:8" x14ac:dyDescent="0.3">
      <c r="A535">
        <v>10781</v>
      </c>
      <c r="B535" s="1" t="s">
        <v>377</v>
      </c>
      <c r="C535">
        <v>2</v>
      </c>
      <c r="D535" s="2">
        <v>41990</v>
      </c>
      <c r="E535" s="2">
        <v>42018</v>
      </c>
      <c r="F535" s="2">
        <v>41992</v>
      </c>
      <c r="G535">
        <v>3</v>
      </c>
      <c r="H535">
        <v>7316</v>
      </c>
    </row>
    <row r="536" spans="1:8" x14ac:dyDescent="0.3">
      <c r="A536">
        <v>10782</v>
      </c>
      <c r="B536" s="1" t="s">
        <v>79</v>
      </c>
      <c r="C536">
        <v>9</v>
      </c>
      <c r="D536" s="2">
        <v>41990</v>
      </c>
      <c r="E536" s="2">
        <v>42018</v>
      </c>
      <c r="F536" s="2">
        <v>41995</v>
      </c>
      <c r="G536">
        <v>3</v>
      </c>
      <c r="H536">
        <v>11</v>
      </c>
    </row>
    <row r="537" spans="1:8" x14ac:dyDescent="0.3">
      <c r="A537">
        <v>10783</v>
      </c>
      <c r="B537" s="1" t="s">
        <v>174</v>
      </c>
      <c r="C537">
        <v>4</v>
      </c>
      <c r="D537" s="2">
        <v>41991</v>
      </c>
      <c r="E537" s="2">
        <v>42019</v>
      </c>
      <c r="F537" s="2">
        <v>41992</v>
      </c>
      <c r="G537">
        <v>2</v>
      </c>
      <c r="H537">
        <v>12498</v>
      </c>
    </row>
    <row r="538" spans="1:8" x14ac:dyDescent="0.3">
      <c r="A538">
        <v>10784</v>
      </c>
      <c r="B538" s="1" t="s">
        <v>235</v>
      </c>
      <c r="C538">
        <v>4</v>
      </c>
      <c r="D538" s="2">
        <v>41991</v>
      </c>
      <c r="E538" s="2">
        <v>42019</v>
      </c>
      <c r="F538" s="2">
        <v>41995</v>
      </c>
      <c r="G538">
        <v>3</v>
      </c>
      <c r="H538">
        <v>7009</v>
      </c>
    </row>
    <row r="539" spans="1:8" x14ac:dyDescent="0.3">
      <c r="A539">
        <v>10785</v>
      </c>
      <c r="B539" s="1" t="s">
        <v>169</v>
      </c>
      <c r="C539">
        <v>1</v>
      </c>
      <c r="D539" s="2">
        <v>41991</v>
      </c>
      <c r="E539" s="2">
        <v>42019</v>
      </c>
      <c r="F539" s="2">
        <v>41997</v>
      </c>
      <c r="G539">
        <v>3</v>
      </c>
      <c r="H539">
        <v>151</v>
      </c>
    </row>
    <row r="540" spans="1:8" x14ac:dyDescent="0.3">
      <c r="A540">
        <v>10786</v>
      </c>
      <c r="B540" s="1" t="s">
        <v>283</v>
      </c>
      <c r="C540">
        <v>8</v>
      </c>
      <c r="D540" s="2">
        <v>41992</v>
      </c>
      <c r="E540" s="2">
        <v>42020</v>
      </c>
      <c r="F540" s="2">
        <v>41996</v>
      </c>
      <c r="G540">
        <v>1</v>
      </c>
      <c r="H540">
        <v>11087</v>
      </c>
    </row>
    <row r="541" spans="1:8" x14ac:dyDescent="0.3">
      <c r="A541">
        <v>10787</v>
      </c>
      <c r="B541" s="1" t="s">
        <v>203</v>
      </c>
      <c r="C541">
        <v>2</v>
      </c>
      <c r="D541" s="2">
        <v>41992</v>
      </c>
      <c r="E541" s="2">
        <v>42006</v>
      </c>
      <c r="F541" s="2">
        <v>41999</v>
      </c>
      <c r="G541">
        <v>1</v>
      </c>
      <c r="H541">
        <v>24993</v>
      </c>
    </row>
    <row r="542" spans="1:8" x14ac:dyDescent="0.3">
      <c r="A542">
        <v>10788</v>
      </c>
      <c r="B542" s="1" t="s">
        <v>286</v>
      </c>
      <c r="C542">
        <v>1</v>
      </c>
      <c r="D542" s="2">
        <v>41995</v>
      </c>
      <c r="E542" s="2">
        <v>42023</v>
      </c>
      <c r="F542" s="2">
        <v>42023</v>
      </c>
      <c r="G542">
        <v>2</v>
      </c>
      <c r="H542">
        <v>427</v>
      </c>
    </row>
    <row r="543" spans="1:8" x14ac:dyDescent="0.3">
      <c r="A543">
        <v>10789</v>
      </c>
      <c r="B543" s="1" t="s">
        <v>126</v>
      </c>
      <c r="C543">
        <v>1</v>
      </c>
      <c r="D543" s="2">
        <v>41995</v>
      </c>
      <c r="E543" s="2">
        <v>42023</v>
      </c>
      <c r="F543" s="2">
        <v>42004</v>
      </c>
      <c r="G543">
        <v>2</v>
      </c>
      <c r="H543">
        <v>1006</v>
      </c>
    </row>
    <row r="544" spans="1:8" x14ac:dyDescent="0.3">
      <c r="A544">
        <v>10790</v>
      </c>
      <c r="B544" s="1" t="s">
        <v>160</v>
      </c>
      <c r="C544">
        <v>6</v>
      </c>
      <c r="D544" s="2">
        <v>41995</v>
      </c>
      <c r="E544" s="2">
        <v>42023</v>
      </c>
      <c r="F544" s="2">
        <v>41999</v>
      </c>
      <c r="G544">
        <v>1</v>
      </c>
      <c r="H544">
        <v>2823</v>
      </c>
    </row>
    <row r="545" spans="1:8" x14ac:dyDescent="0.3">
      <c r="A545">
        <v>10791</v>
      </c>
      <c r="B545" s="1" t="s">
        <v>135</v>
      </c>
      <c r="C545">
        <v>6</v>
      </c>
      <c r="D545" s="2">
        <v>41996</v>
      </c>
      <c r="E545" s="2">
        <v>42024</v>
      </c>
      <c r="F545" s="2">
        <v>42005</v>
      </c>
      <c r="G545">
        <v>2</v>
      </c>
      <c r="H545">
        <v>1685</v>
      </c>
    </row>
    <row r="546" spans="1:8" x14ac:dyDescent="0.3">
      <c r="A546">
        <v>10792</v>
      </c>
      <c r="B546" s="1" t="s">
        <v>395</v>
      </c>
      <c r="C546">
        <v>1</v>
      </c>
      <c r="D546" s="2">
        <v>41996</v>
      </c>
      <c r="E546" s="2">
        <v>42024</v>
      </c>
      <c r="F546" s="2">
        <v>42004</v>
      </c>
      <c r="G546">
        <v>3</v>
      </c>
      <c r="H546">
        <v>2379</v>
      </c>
    </row>
    <row r="547" spans="1:8" x14ac:dyDescent="0.3">
      <c r="A547">
        <v>10793</v>
      </c>
      <c r="B547" s="1" t="s">
        <v>40</v>
      </c>
      <c r="C547">
        <v>3</v>
      </c>
      <c r="D547" s="2">
        <v>41997</v>
      </c>
      <c r="E547" s="2">
        <v>42025</v>
      </c>
      <c r="F547" s="2">
        <v>42012</v>
      </c>
      <c r="G547">
        <v>3</v>
      </c>
      <c r="H547">
        <v>452</v>
      </c>
    </row>
    <row r="548" spans="1:8" x14ac:dyDescent="0.3">
      <c r="A548">
        <v>10794</v>
      </c>
      <c r="B548" s="1" t="s">
        <v>280</v>
      </c>
      <c r="C548">
        <v>6</v>
      </c>
      <c r="D548" s="2">
        <v>41997</v>
      </c>
      <c r="E548" s="2">
        <v>42025</v>
      </c>
      <c r="F548" s="2">
        <v>42006</v>
      </c>
      <c r="G548">
        <v>1</v>
      </c>
      <c r="H548">
        <v>2149</v>
      </c>
    </row>
    <row r="549" spans="1:8" x14ac:dyDescent="0.3">
      <c r="A549">
        <v>10795</v>
      </c>
      <c r="B549" s="1" t="s">
        <v>113</v>
      </c>
      <c r="C549">
        <v>8</v>
      </c>
      <c r="D549" s="2">
        <v>41997</v>
      </c>
      <c r="E549" s="2">
        <v>42025</v>
      </c>
      <c r="F549" s="2">
        <v>42024</v>
      </c>
      <c r="G549">
        <v>2</v>
      </c>
      <c r="H549">
        <v>12666</v>
      </c>
    </row>
    <row r="550" spans="1:8" x14ac:dyDescent="0.3">
      <c r="A550">
        <v>10796</v>
      </c>
      <c r="B550" s="1" t="s">
        <v>178</v>
      </c>
      <c r="C550">
        <v>3</v>
      </c>
      <c r="D550" s="2">
        <v>41998</v>
      </c>
      <c r="E550" s="2">
        <v>42026</v>
      </c>
      <c r="F550" s="2">
        <v>42018</v>
      </c>
      <c r="G550">
        <v>1</v>
      </c>
      <c r="H550">
        <v>2652</v>
      </c>
    </row>
    <row r="551" spans="1:8" x14ac:dyDescent="0.3">
      <c r="A551">
        <v>10797</v>
      </c>
      <c r="B551" s="1" t="s">
        <v>102</v>
      </c>
      <c r="C551">
        <v>7</v>
      </c>
      <c r="D551" s="2">
        <v>41998</v>
      </c>
      <c r="E551" s="2">
        <v>42026</v>
      </c>
      <c r="F551" s="2">
        <v>42009</v>
      </c>
      <c r="G551">
        <v>2</v>
      </c>
      <c r="H551">
        <v>3335</v>
      </c>
    </row>
    <row r="552" spans="1:8" x14ac:dyDescent="0.3">
      <c r="A552">
        <v>10798</v>
      </c>
      <c r="B552" s="1" t="s">
        <v>191</v>
      </c>
      <c r="C552">
        <v>2</v>
      </c>
      <c r="D552" s="2">
        <v>41999</v>
      </c>
      <c r="E552" s="2">
        <v>42027</v>
      </c>
      <c r="F552" s="2">
        <v>42009</v>
      </c>
      <c r="G552">
        <v>1</v>
      </c>
      <c r="H552">
        <v>233</v>
      </c>
    </row>
    <row r="553" spans="1:8" x14ac:dyDescent="0.3">
      <c r="A553">
        <v>10799</v>
      </c>
      <c r="B553" s="1" t="s">
        <v>195</v>
      </c>
      <c r="C553">
        <v>9</v>
      </c>
      <c r="D553" s="2">
        <v>41999</v>
      </c>
      <c r="E553" s="2">
        <v>42041</v>
      </c>
      <c r="F553" s="2">
        <v>42009</v>
      </c>
      <c r="G553">
        <v>3</v>
      </c>
      <c r="H553">
        <v>3076</v>
      </c>
    </row>
    <row r="554" spans="1:8" x14ac:dyDescent="0.3">
      <c r="A554">
        <v>10800</v>
      </c>
      <c r="B554" s="1" t="s">
        <v>321</v>
      </c>
      <c r="C554">
        <v>1</v>
      </c>
      <c r="D554" s="2">
        <v>41999</v>
      </c>
      <c r="E554" s="2">
        <v>42027</v>
      </c>
      <c r="F554" s="2">
        <v>42009</v>
      </c>
      <c r="G554">
        <v>3</v>
      </c>
      <c r="H554">
        <v>13744</v>
      </c>
    </row>
    <row r="555" spans="1:8" x14ac:dyDescent="0.3">
      <c r="A555">
        <v>10801</v>
      </c>
      <c r="B555" s="1" t="s">
        <v>61</v>
      </c>
      <c r="C555">
        <v>4</v>
      </c>
      <c r="D555" s="2">
        <v>42002</v>
      </c>
      <c r="E555" s="2">
        <v>42030</v>
      </c>
      <c r="F555" s="2">
        <v>42004</v>
      </c>
      <c r="G555">
        <v>2</v>
      </c>
      <c r="H555">
        <v>9709</v>
      </c>
    </row>
    <row r="556" spans="1:8" x14ac:dyDescent="0.3">
      <c r="A556">
        <v>10802</v>
      </c>
      <c r="B556" s="1" t="s">
        <v>324</v>
      </c>
      <c r="C556">
        <v>4</v>
      </c>
      <c r="D556" s="2">
        <v>42002</v>
      </c>
      <c r="E556" s="2">
        <v>42030</v>
      </c>
      <c r="F556" s="2">
        <v>42006</v>
      </c>
      <c r="G556">
        <v>2</v>
      </c>
      <c r="H556">
        <v>25726</v>
      </c>
    </row>
    <row r="557" spans="1:8" x14ac:dyDescent="0.3">
      <c r="A557">
        <v>10803</v>
      </c>
      <c r="B557" s="1" t="s">
        <v>382</v>
      </c>
      <c r="C557">
        <v>4</v>
      </c>
      <c r="D557" s="2">
        <v>42003</v>
      </c>
      <c r="E557" s="2">
        <v>42031</v>
      </c>
      <c r="F557" s="2">
        <v>42010</v>
      </c>
      <c r="G557">
        <v>1</v>
      </c>
      <c r="H557">
        <v>5523</v>
      </c>
    </row>
    <row r="558" spans="1:8" x14ac:dyDescent="0.3">
      <c r="A558">
        <v>10804</v>
      </c>
      <c r="B558" s="1" t="s">
        <v>321</v>
      </c>
      <c r="C558">
        <v>6</v>
      </c>
      <c r="D558" s="2">
        <v>42003</v>
      </c>
      <c r="E558" s="2">
        <v>42031</v>
      </c>
      <c r="F558" s="2">
        <v>42011</v>
      </c>
      <c r="G558">
        <v>2</v>
      </c>
      <c r="H558">
        <v>2733</v>
      </c>
    </row>
    <row r="559" spans="1:8" x14ac:dyDescent="0.3">
      <c r="A559">
        <v>10805</v>
      </c>
      <c r="B559" s="1" t="s">
        <v>340</v>
      </c>
      <c r="C559">
        <v>2</v>
      </c>
      <c r="D559" s="2">
        <v>42003</v>
      </c>
      <c r="E559" s="2">
        <v>42031</v>
      </c>
      <c r="F559" s="2">
        <v>42013</v>
      </c>
      <c r="G559">
        <v>3</v>
      </c>
      <c r="H559">
        <v>23734</v>
      </c>
    </row>
    <row r="560" spans="1:8" x14ac:dyDescent="0.3">
      <c r="A560">
        <v>10806</v>
      </c>
      <c r="B560" s="1" t="s">
        <v>365</v>
      </c>
      <c r="C560">
        <v>3</v>
      </c>
      <c r="D560" s="2">
        <v>42004</v>
      </c>
      <c r="E560" s="2">
        <v>42032</v>
      </c>
      <c r="F560" s="2">
        <v>42009</v>
      </c>
      <c r="G560">
        <v>2</v>
      </c>
      <c r="H560">
        <v>2211</v>
      </c>
    </row>
    <row r="561" spans="1:8" x14ac:dyDescent="0.3">
      <c r="A561">
        <v>10807</v>
      </c>
      <c r="B561" s="1" t="s">
        <v>142</v>
      </c>
      <c r="C561">
        <v>4</v>
      </c>
      <c r="D561" s="2">
        <v>42004</v>
      </c>
      <c r="E561" s="2">
        <v>42032</v>
      </c>
      <c r="F561" s="2">
        <v>42034</v>
      </c>
      <c r="G561">
        <v>1</v>
      </c>
      <c r="H561">
        <v>136</v>
      </c>
    </row>
    <row r="562" spans="1:8" x14ac:dyDescent="0.3">
      <c r="A562">
        <v>10808</v>
      </c>
      <c r="B562" s="1" t="s">
        <v>258</v>
      </c>
      <c r="C562">
        <v>2</v>
      </c>
      <c r="D562" s="2">
        <v>42005</v>
      </c>
      <c r="E562" s="2">
        <v>42033</v>
      </c>
      <c r="F562" s="2">
        <v>42013</v>
      </c>
      <c r="G562">
        <v>3</v>
      </c>
      <c r="H562">
        <v>4553</v>
      </c>
    </row>
    <row r="563" spans="1:8" x14ac:dyDescent="0.3">
      <c r="A563">
        <v>10809</v>
      </c>
      <c r="B563" s="1" t="s">
        <v>382</v>
      </c>
      <c r="C563">
        <v>7</v>
      </c>
      <c r="D563" s="2">
        <v>42005</v>
      </c>
      <c r="E563" s="2">
        <v>42033</v>
      </c>
      <c r="F563" s="2">
        <v>42011</v>
      </c>
      <c r="G563">
        <v>1</v>
      </c>
      <c r="H563">
        <v>487</v>
      </c>
    </row>
    <row r="564" spans="1:8" x14ac:dyDescent="0.3">
      <c r="A564">
        <v>10810</v>
      </c>
      <c r="B564" s="1" t="s">
        <v>207</v>
      </c>
      <c r="C564">
        <v>2</v>
      </c>
      <c r="D564" s="2">
        <v>42005</v>
      </c>
      <c r="E564" s="2">
        <v>42033</v>
      </c>
      <c r="F564" s="2">
        <v>42011</v>
      </c>
      <c r="G564">
        <v>3</v>
      </c>
      <c r="H564">
        <v>433</v>
      </c>
    </row>
    <row r="565" spans="1:8" x14ac:dyDescent="0.3">
      <c r="A565">
        <v>10811</v>
      </c>
      <c r="B565" s="1" t="s">
        <v>227</v>
      </c>
      <c r="C565">
        <v>8</v>
      </c>
      <c r="D565" s="2">
        <v>42006</v>
      </c>
      <c r="E565" s="2">
        <v>42034</v>
      </c>
      <c r="F565" s="2">
        <v>42012</v>
      </c>
      <c r="G565">
        <v>1</v>
      </c>
      <c r="H565">
        <v>3122</v>
      </c>
    </row>
    <row r="566" spans="1:8" x14ac:dyDescent="0.3">
      <c r="A566">
        <v>10812</v>
      </c>
      <c r="B566" s="1" t="s">
        <v>298</v>
      </c>
      <c r="C566">
        <v>5</v>
      </c>
      <c r="D566" s="2">
        <v>42006</v>
      </c>
      <c r="E566" s="2">
        <v>42034</v>
      </c>
      <c r="F566" s="2">
        <v>42016</v>
      </c>
      <c r="G566">
        <v>1</v>
      </c>
      <c r="H566">
        <v>5978</v>
      </c>
    </row>
    <row r="567" spans="1:8" x14ac:dyDescent="0.3">
      <c r="A567">
        <v>10813</v>
      </c>
      <c r="B567" s="1" t="s">
        <v>302</v>
      </c>
      <c r="C567">
        <v>1</v>
      </c>
      <c r="D567" s="2">
        <v>42009</v>
      </c>
      <c r="E567" s="2">
        <v>42037</v>
      </c>
      <c r="F567" s="2">
        <v>42013</v>
      </c>
      <c r="G567">
        <v>1</v>
      </c>
      <c r="H567">
        <v>4738</v>
      </c>
    </row>
    <row r="568" spans="1:8" x14ac:dyDescent="0.3">
      <c r="A568">
        <v>10814</v>
      </c>
      <c r="B568" s="1" t="s">
        <v>365</v>
      </c>
      <c r="C568">
        <v>3</v>
      </c>
      <c r="D568" s="2">
        <v>42009</v>
      </c>
      <c r="E568" s="2">
        <v>42037</v>
      </c>
      <c r="F568" s="2">
        <v>42018</v>
      </c>
      <c r="G568">
        <v>3</v>
      </c>
      <c r="H568">
        <v>13094</v>
      </c>
    </row>
    <row r="569" spans="1:8" x14ac:dyDescent="0.3">
      <c r="A569">
        <v>10815</v>
      </c>
      <c r="B569" s="1" t="s">
        <v>317</v>
      </c>
      <c r="C569">
        <v>2</v>
      </c>
      <c r="D569" s="2">
        <v>42009</v>
      </c>
      <c r="E569" s="2">
        <v>42037</v>
      </c>
      <c r="F569" s="2">
        <v>42018</v>
      </c>
      <c r="G569">
        <v>3</v>
      </c>
      <c r="H569">
        <v>1462</v>
      </c>
    </row>
    <row r="570" spans="1:8" x14ac:dyDescent="0.3">
      <c r="A570">
        <v>10816</v>
      </c>
      <c r="B570" s="1" t="s">
        <v>164</v>
      </c>
      <c r="C570">
        <v>4</v>
      </c>
      <c r="D570" s="2">
        <v>42010</v>
      </c>
      <c r="E570" s="2">
        <v>42038</v>
      </c>
      <c r="F570" s="2">
        <v>42039</v>
      </c>
      <c r="G570">
        <v>2</v>
      </c>
      <c r="H570">
        <v>71978</v>
      </c>
    </row>
    <row r="571" spans="1:8" x14ac:dyDescent="0.3">
      <c r="A571">
        <v>10817</v>
      </c>
      <c r="B571" s="1" t="s">
        <v>195</v>
      </c>
      <c r="C571">
        <v>3</v>
      </c>
      <c r="D571" s="2">
        <v>42010</v>
      </c>
      <c r="E571" s="2">
        <v>42024</v>
      </c>
      <c r="F571" s="2">
        <v>42017</v>
      </c>
      <c r="G571">
        <v>2</v>
      </c>
      <c r="H571">
        <v>30607</v>
      </c>
    </row>
    <row r="572" spans="1:8" x14ac:dyDescent="0.3">
      <c r="A572">
        <v>10818</v>
      </c>
      <c r="B572" s="1" t="s">
        <v>235</v>
      </c>
      <c r="C572">
        <v>7</v>
      </c>
      <c r="D572" s="2">
        <v>42011</v>
      </c>
      <c r="E572" s="2">
        <v>42039</v>
      </c>
      <c r="F572" s="2">
        <v>42016</v>
      </c>
      <c r="G572">
        <v>3</v>
      </c>
      <c r="H572">
        <v>6548</v>
      </c>
    </row>
    <row r="573" spans="1:8" x14ac:dyDescent="0.3">
      <c r="A573">
        <v>10819</v>
      </c>
      <c r="B573" s="1" t="s">
        <v>79</v>
      </c>
      <c r="C573">
        <v>2</v>
      </c>
      <c r="D573" s="2">
        <v>42011</v>
      </c>
      <c r="E573" s="2">
        <v>42039</v>
      </c>
      <c r="F573" s="2">
        <v>42020</v>
      </c>
      <c r="G573">
        <v>3</v>
      </c>
      <c r="H573">
        <v>1976</v>
      </c>
    </row>
    <row r="574" spans="1:8" x14ac:dyDescent="0.3">
      <c r="A574">
        <v>10820</v>
      </c>
      <c r="B574" s="1" t="s">
        <v>293</v>
      </c>
      <c r="C574">
        <v>3</v>
      </c>
      <c r="D574" s="2">
        <v>42011</v>
      </c>
      <c r="E574" s="2">
        <v>42039</v>
      </c>
      <c r="F574" s="2">
        <v>42017</v>
      </c>
      <c r="G574">
        <v>2</v>
      </c>
      <c r="H574">
        <v>3752</v>
      </c>
    </row>
    <row r="575" spans="1:8" x14ac:dyDescent="0.3">
      <c r="A575">
        <v>10821</v>
      </c>
      <c r="B575" s="1" t="s">
        <v>332</v>
      </c>
      <c r="C575">
        <v>1</v>
      </c>
      <c r="D575" s="2">
        <v>42012</v>
      </c>
      <c r="E575" s="2">
        <v>42040</v>
      </c>
      <c r="F575" s="2">
        <v>42019</v>
      </c>
      <c r="G575">
        <v>1</v>
      </c>
      <c r="H575">
        <v>3668</v>
      </c>
    </row>
    <row r="576" spans="1:8" x14ac:dyDescent="0.3">
      <c r="A576">
        <v>10822</v>
      </c>
      <c r="B576" s="1" t="s">
        <v>357</v>
      </c>
      <c r="C576">
        <v>6</v>
      </c>
      <c r="D576" s="2">
        <v>42012</v>
      </c>
      <c r="E576" s="2">
        <v>42040</v>
      </c>
      <c r="F576" s="2">
        <v>42020</v>
      </c>
      <c r="G576">
        <v>3</v>
      </c>
      <c r="H576">
        <v>7</v>
      </c>
    </row>
    <row r="577" spans="1:8" x14ac:dyDescent="0.3">
      <c r="A577">
        <v>10823</v>
      </c>
      <c r="B577" s="1" t="s">
        <v>223</v>
      </c>
      <c r="C577">
        <v>5</v>
      </c>
      <c r="D577" s="2">
        <v>42013</v>
      </c>
      <c r="E577" s="2">
        <v>42041</v>
      </c>
      <c r="F577" s="2">
        <v>42017</v>
      </c>
      <c r="G577">
        <v>2</v>
      </c>
      <c r="H577">
        <v>16397</v>
      </c>
    </row>
    <row r="578" spans="1:8" x14ac:dyDescent="0.3">
      <c r="A578">
        <v>10824</v>
      </c>
      <c r="B578" s="1" t="s">
        <v>131</v>
      </c>
      <c r="C578">
        <v>8</v>
      </c>
      <c r="D578" s="2">
        <v>42013</v>
      </c>
      <c r="E578" s="2">
        <v>42041</v>
      </c>
      <c r="F578" s="2">
        <v>42034</v>
      </c>
      <c r="G578">
        <v>1</v>
      </c>
      <c r="H578">
        <v>123</v>
      </c>
    </row>
    <row r="579" spans="1:8" x14ac:dyDescent="0.3">
      <c r="A579">
        <v>10825</v>
      </c>
      <c r="B579" s="1" t="s">
        <v>102</v>
      </c>
      <c r="C579">
        <v>1</v>
      </c>
      <c r="D579" s="2">
        <v>42013</v>
      </c>
      <c r="E579" s="2">
        <v>42041</v>
      </c>
      <c r="F579" s="2">
        <v>42018</v>
      </c>
      <c r="G579">
        <v>1</v>
      </c>
      <c r="H579">
        <v>7925</v>
      </c>
    </row>
    <row r="580" spans="1:8" x14ac:dyDescent="0.3">
      <c r="A580">
        <v>10826</v>
      </c>
      <c r="B580" s="1" t="s">
        <v>55</v>
      </c>
      <c r="C580">
        <v>6</v>
      </c>
      <c r="D580" s="2">
        <v>42016</v>
      </c>
      <c r="E580" s="2">
        <v>42044</v>
      </c>
      <c r="F580" s="2">
        <v>42041</v>
      </c>
      <c r="G580">
        <v>1</v>
      </c>
      <c r="H580">
        <v>709</v>
      </c>
    </row>
    <row r="581" spans="1:8" x14ac:dyDescent="0.3">
      <c r="A581">
        <v>10827</v>
      </c>
      <c r="B581" s="1" t="s">
        <v>66</v>
      </c>
      <c r="C581">
        <v>1</v>
      </c>
      <c r="D581" s="2">
        <v>42016</v>
      </c>
      <c r="E581" s="2">
        <v>42030</v>
      </c>
      <c r="F581" s="2">
        <v>42041</v>
      </c>
      <c r="G581">
        <v>2</v>
      </c>
      <c r="H581">
        <v>6354</v>
      </c>
    </row>
    <row r="582" spans="1:8" x14ac:dyDescent="0.3">
      <c r="A582">
        <v>10828</v>
      </c>
      <c r="B582" s="1" t="s">
        <v>290</v>
      </c>
      <c r="C582">
        <v>9</v>
      </c>
      <c r="D582" s="2">
        <v>42017</v>
      </c>
      <c r="E582" s="2">
        <v>42031</v>
      </c>
      <c r="F582" s="2">
        <v>42039</v>
      </c>
      <c r="G582">
        <v>1</v>
      </c>
      <c r="H582">
        <v>9085</v>
      </c>
    </row>
    <row r="583" spans="1:8" x14ac:dyDescent="0.3">
      <c r="A583">
        <v>10829</v>
      </c>
      <c r="B583" s="1" t="s">
        <v>191</v>
      </c>
      <c r="C583">
        <v>9</v>
      </c>
      <c r="D583" s="2">
        <v>42017</v>
      </c>
      <c r="E583" s="2">
        <v>42045</v>
      </c>
      <c r="F583" s="2">
        <v>42027</v>
      </c>
      <c r="G583">
        <v>1</v>
      </c>
      <c r="H583">
        <v>15472</v>
      </c>
    </row>
    <row r="584" spans="1:8" x14ac:dyDescent="0.3">
      <c r="A584">
        <v>10830</v>
      </c>
      <c r="B584" s="1" t="s">
        <v>354</v>
      </c>
      <c r="C584">
        <v>4</v>
      </c>
      <c r="D584" s="2">
        <v>42017</v>
      </c>
      <c r="E584" s="2">
        <v>42059</v>
      </c>
      <c r="F584" s="2">
        <v>42025</v>
      </c>
      <c r="G584">
        <v>2</v>
      </c>
      <c r="H584">
        <v>8183</v>
      </c>
    </row>
    <row r="585" spans="1:8" x14ac:dyDescent="0.3">
      <c r="A585">
        <v>10831</v>
      </c>
      <c r="B585" s="1" t="s">
        <v>312</v>
      </c>
      <c r="C585">
        <v>3</v>
      </c>
      <c r="D585" s="2">
        <v>42018</v>
      </c>
      <c r="E585" s="2">
        <v>42046</v>
      </c>
      <c r="F585" s="2">
        <v>42027</v>
      </c>
      <c r="G585">
        <v>2</v>
      </c>
      <c r="H585">
        <v>7219</v>
      </c>
    </row>
    <row r="586" spans="1:8" x14ac:dyDescent="0.3">
      <c r="A586">
        <v>10832</v>
      </c>
      <c r="B586" s="1" t="s">
        <v>203</v>
      </c>
      <c r="C586">
        <v>2</v>
      </c>
      <c r="D586" s="2">
        <v>42018</v>
      </c>
      <c r="E586" s="2">
        <v>42046</v>
      </c>
      <c r="F586" s="2">
        <v>42023</v>
      </c>
      <c r="G586">
        <v>2</v>
      </c>
      <c r="H586">
        <v>4326</v>
      </c>
    </row>
    <row r="587" spans="1:8" x14ac:dyDescent="0.3">
      <c r="A587">
        <v>10833</v>
      </c>
      <c r="B587" s="1" t="s">
        <v>262</v>
      </c>
      <c r="C587">
        <v>6</v>
      </c>
      <c r="D587" s="2">
        <v>42019</v>
      </c>
      <c r="E587" s="2">
        <v>42047</v>
      </c>
      <c r="F587" s="2">
        <v>42027</v>
      </c>
      <c r="G587">
        <v>2</v>
      </c>
      <c r="H587">
        <v>7149</v>
      </c>
    </row>
    <row r="588" spans="1:8" x14ac:dyDescent="0.3">
      <c r="A588">
        <v>10834</v>
      </c>
      <c r="B588" s="1" t="s">
        <v>354</v>
      </c>
      <c r="C588">
        <v>1</v>
      </c>
      <c r="D588" s="2">
        <v>42019</v>
      </c>
      <c r="E588" s="2">
        <v>42047</v>
      </c>
      <c r="F588" s="2">
        <v>42023</v>
      </c>
      <c r="G588">
        <v>3</v>
      </c>
      <c r="H588">
        <v>2978</v>
      </c>
    </row>
    <row r="589" spans="1:8" x14ac:dyDescent="0.3">
      <c r="A589">
        <v>10835</v>
      </c>
      <c r="B589" s="1" t="s">
        <v>25</v>
      </c>
      <c r="C589">
        <v>1</v>
      </c>
      <c r="D589" s="2">
        <v>42019</v>
      </c>
      <c r="E589" s="2">
        <v>42047</v>
      </c>
      <c r="F589" s="2">
        <v>42025</v>
      </c>
      <c r="G589">
        <v>3</v>
      </c>
      <c r="H589">
        <v>6953</v>
      </c>
    </row>
    <row r="590" spans="1:8" x14ac:dyDescent="0.3">
      <c r="A590">
        <v>10836</v>
      </c>
      <c r="B590" s="1" t="s">
        <v>113</v>
      </c>
      <c r="C590">
        <v>7</v>
      </c>
      <c r="D590" s="2">
        <v>42020</v>
      </c>
      <c r="E590" s="2">
        <v>42048</v>
      </c>
      <c r="F590" s="2">
        <v>42025</v>
      </c>
      <c r="G590">
        <v>1</v>
      </c>
      <c r="H590">
        <v>41188</v>
      </c>
    </row>
    <row r="591" spans="1:8" x14ac:dyDescent="0.3">
      <c r="A591">
        <v>10837</v>
      </c>
      <c r="B591" s="1" t="s">
        <v>45</v>
      </c>
      <c r="C591">
        <v>9</v>
      </c>
      <c r="D591" s="2">
        <v>42020</v>
      </c>
      <c r="E591" s="2">
        <v>42048</v>
      </c>
      <c r="F591" s="2">
        <v>42027</v>
      </c>
      <c r="G591">
        <v>3</v>
      </c>
      <c r="H591">
        <v>1332</v>
      </c>
    </row>
    <row r="592" spans="1:8" x14ac:dyDescent="0.3">
      <c r="A592">
        <v>10838</v>
      </c>
      <c r="B592" s="1" t="s">
        <v>227</v>
      </c>
      <c r="C592">
        <v>3</v>
      </c>
      <c r="D592" s="2">
        <v>42023</v>
      </c>
      <c r="E592" s="2">
        <v>42051</v>
      </c>
      <c r="F592" s="2">
        <v>42027</v>
      </c>
      <c r="G592">
        <v>3</v>
      </c>
      <c r="H592">
        <v>5928</v>
      </c>
    </row>
    <row r="593" spans="1:8" x14ac:dyDescent="0.3">
      <c r="A593">
        <v>10839</v>
      </c>
      <c r="B593" s="1" t="s">
        <v>354</v>
      </c>
      <c r="C593">
        <v>3</v>
      </c>
      <c r="D593" s="2">
        <v>42023</v>
      </c>
      <c r="E593" s="2">
        <v>42051</v>
      </c>
      <c r="F593" s="2">
        <v>42026</v>
      </c>
      <c r="G593">
        <v>3</v>
      </c>
      <c r="H593">
        <v>3543</v>
      </c>
    </row>
    <row r="594" spans="1:8" x14ac:dyDescent="0.3">
      <c r="A594">
        <v>10840</v>
      </c>
      <c r="B594" s="1" t="s">
        <v>227</v>
      </c>
      <c r="C594">
        <v>4</v>
      </c>
      <c r="D594" s="2">
        <v>42023</v>
      </c>
      <c r="E594" s="2">
        <v>42065</v>
      </c>
      <c r="F594" s="2">
        <v>42051</v>
      </c>
      <c r="G594">
        <v>2</v>
      </c>
      <c r="H594">
        <v>271</v>
      </c>
    </row>
    <row r="595" spans="1:8" x14ac:dyDescent="0.3">
      <c r="A595">
        <v>10841</v>
      </c>
      <c r="B595" s="1" t="s">
        <v>336</v>
      </c>
      <c r="C595">
        <v>5</v>
      </c>
      <c r="D595" s="2">
        <v>42024</v>
      </c>
      <c r="E595" s="2">
        <v>42052</v>
      </c>
      <c r="F595" s="2">
        <v>42033</v>
      </c>
      <c r="G595">
        <v>2</v>
      </c>
      <c r="H595">
        <v>4243</v>
      </c>
    </row>
    <row r="596" spans="1:8" x14ac:dyDescent="0.3">
      <c r="A596">
        <v>10842</v>
      </c>
      <c r="B596" s="1" t="s">
        <v>351</v>
      </c>
      <c r="C596">
        <v>1</v>
      </c>
      <c r="D596" s="2">
        <v>42024</v>
      </c>
      <c r="E596" s="2">
        <v>42052</v>
      </c>
      <c r="F596" s="2">
        <v>42033</v>
      </c>
      <c r="G596">
        <v>3</v>
      </c>
      <c r="H596">
        <v>5442</v>
      </c>
    </row>
    <row r="597" spans="1:8" x14ac:dyDescent="0.3">
      <c r="A597">
        <v>10843</v>
      </c>
      <c r="B597" s="1" t="s">
        <v>365</v>
      </c>
      <c r="C597">
        <v>4</v>
      </c>
      <c r="D597" s="2">
        <v>42025</v>
      </c>
      <c r="E597" s="2">
        <v>42053</v>
      </c>
      <c r="F597" s="2">
        <v>42030</v>
      </c>
      <c r="G597">
        <v>2</v>
      </c>
      <c r="H597">
        <v>926</v>
      </c>
    </row>
    <row r="598" spans="1:8" x14ac:dyDescent="0.3">
      <c r="A598">
        <v>10844</v>
      </c>
      <c r="B598" s="1" t="s">
        <v>273</v>
      </c>
      <c r="C598">
        <v>8</v>
      </c>
      <c r="D598" s="2">
        <v>42025</v>
      </c>
      <c r="E598" s="2">
        <v>42053</v>
      </c>
      <c r="F598" s="2">
        <v>42030</v>
      </c>
      <c r="G598">
        <v>2</v>
      </c>
      <c r="H598">
        <v>2522</v>
      </c>
    </row>
    <row r="599" spans="1:8" x14ac:dyDescent="0.3">
      <c r="A599">
        <v>10845</v>
      </c>
      <c r="B599" s="1" t="s">
        <v>286</v>
      </c>
      <c r="C599">
        <v>8</v>
      </c>
      <c r="D599" s="2">
        <v>42025</v>
      </c>
      <c r="E599" s="2">
        <v>42039</v>
      </c>
      <c r="F599" s="2">
        <v>42034</v>
      </c>
      <c r="G599">
        <v>1</v>
      </c>
      <c r="H599">
        <v>21298</v>
      </c>
    </row>
    <row r="600" spans="1:8" x14ac:dyDescent="0.3">
      <c r="A600">
        <v>10846</v>
      </c>
      <c r="B600" s="1" t="s">
        <v>336</v>
      </c>
      <c r="C600">
        <v>2</v>
      </c>
      <c r="D600" s="2">
        <v>42026</v>
      </c>
      <c r="E600" s="2">
        <v>42068</v>
      </c>
      <c r="F600" s="2">
        <v>42027</v>
      </c>
      <c r="G600">
        <v>3</v>
      </c>
      <c r="H600">
        <v>5646</v>
      </c>
    </row>
    <row r="601" spans="1:8" x14ac:dyDescent="0.3">
      <c r="A601">
        <v>10847</v>
      </c>
      <c r="B601" s="1" t="s">
        <v>317</v>
      </c>
      <c r="C601">
        <v>4</v>
      </c>
      <c r="D601" s="2">
        <v>42026</v>
      </c>
      <c r="E601" s="2">
        <v>42040</v>
      </c>
      <c r="F601" s="2">
        <v>42045</v>
      </c>
      <c r="G601">
        <v>3</v>
      </c>
      <c r="H601">
        <v>48757</v>
      </c>
    </row>
    <row r="602" spans="1:8" x14ac:dyDescent="0.3">
      <c r="A602">
        <v>10848</v>
      </c>
      <c r="B602" s="1" t="s">
        <v>99</v>
      </c>
      <c r="C602">
        <v>7</v>
      </c>
      <c r="D602" s="2">
        <v>42027</v>
      </c>
      <c r="E602" s="2">
        <v>42055</v>
      </c>
      <c r="F602" s="2">
        <v>42033</v>
      </c>
      <c r="G602">
        <v>2</v>
      </c>
      <c r="H602">
        <v>3824</v>
      </c>
    </row>
    <row r="603" spans="1:8" x14ac:dyDescent="0.3">
      <c r="A603">
        <v>10849</v>
      </c>
      <c r="B603" s="1" t="s">
        <v>195</v>
      </c>
      <c r="C603">
        <v>9</v>
      </c>
      <c r="D603" s="2">
        <v>42027</v>
      </c>
      <c r="E603" s="2">
        <v>42055</v>
      </c>
      <c r="F603" s="2">
        <v>42034</v>
      </c>
      <c r="G603">
        <v>2</v>
      </c>
      <c r="H603">
        <v>56</v>
      </c>
    </row>
    <row r="604" spans="1:8" x14ac:dyDescent="0.3">
      <c r="A604">
        <v>10850</v>
      </c>
      <c r="B604" s="1" t="s">
        <v>365</v>
      </c>
      <c r="C604">
        <v>1</v>
      </c>
      <c r="D604" s="2">
        <v>42027</v>
      </c>
      <c r="E604" s="2">
        <v>42069</v>
      </c>
      <c r="F604" s="2">
        <v>42034</v>
      </c>
      <c r="G604">
        <v>1</v>
      </c>
      <c r="H604">
        <v>4919</v>
      </c>
    </row>
    <row r="605" spans="1:8" x14ac:dyDescent="0.3">
      <c r="A605">
        <v>10851</v>
      </c>
      <c r="B605" s="1" t="s">
        <v>302</v>
      </c>
      <c r="C605">
        <v>5</v>
      </c>
      <c r="D605" s="2">
        <v>42030</v>
      </c>
      <c r="E605" s="2">
        <v>42058</v>
      </c>
      <c r="F605" s="2">
        <v>42037</v>
      </c>
      <c r="G605">
        <v>1</v>
      </c>
      <c r="H605">
        <v>16055</v>
      </c>
    </row>
    <row r="606" spans="1:8" x14ac:dyDescent="0.3">
      <c r="A606">
        <v>10852</v>
      </c>
      <c r="B606" s="1" t="s">
        <v>293</v>
      </c>
      <c r="C606">
        <v>8</v>
      </c>
      <c r="D606" s="2">
        <v>42030</v>
      </c>
      <c r="E606" s="2">
        <v>42044</v>
      </c>
      <c r="F606" s="2">
        <v>42034</v>
      </c>
      <c r="G606">
        <v>1</v>
      </c>
      <c r="H606">
        <v>17405</v>
      </c>
    </row>
    <row r="607" spans="1:8" x14ac:dyDescent="0.3">
      <c r="A607">
        <v>10853</v>
      </c>
      <c r="B607" s="1" t="s">
        <v>51</v>
      </c>
      <c r="C607">
        <v>9</v>
      </c>
      <c r="D607" s="2">
        <v>42031</v>
      </c>
      <c r="E607" s="2">
        <v>42059</v>
      </c>
      <c r="F607" s="2">
        <v>42038</v>
      </c>
      <c r="G607">
        <v>2</v>
      </c>
      <c r="H607">
        <v>5383</v>
      </c>
    </row>
    <row r="608" spans="1:8" x14ac:dyDescent="0.3">
      <c r="A608">
        <v>10854</v>
      </c>
      <c r="B608" s="1" t="s">
        <v>113</v>
      </c>
      <c r="C608">
        <v>3</v>
      </c>
      <c r="D608" s="2">
        <v>42031</v>
      </c>
      <c r="E608" s="2">
        <v>42059</v>
      </c>
      <c r="F608" s="2">
        <v>42040</v>
      </c>
      <c r="G608">
        <v>2</v>
      </c>
      <c r="H608">
        <v>10022</v>
      </c>
    </row>
    <row r="609" spans="1:8" x14ac:dyDescent="0.3">
      <c r="A609">
        <v>10855</v>
      </c>
      <c r="B609" s="1" t="s">
        <v>258</v>
      </c>
      <c r="C609">
        <v>3</v>
      </c>
      <c r="D609" s="2">
        <v>42031</v>
      </c>
      <c r="E609" s="2">
        <v>42059</v>
      </c>
      <c r="F609" s="2">
        <v>42039</v>
      </c>
      <c r="G609">
        <v>1</v>
      </c>
      <c r="H609">
        <v>17097</v>
      </c>
    </row>
    <row r="610" spans="1:8" x14ac:dyDescent="0.3">
      <c r="A610">
        <v>10856</v>
      </c>
      <c r="B610" s="1" t="s">
        <v>37</v>
      </c>
      <c r="C610">
        <v>3</v>
      </c>
      <c r="D610" s="2">
        <v>42032</v>
      </c>
      <c r="E610" s="2">
        <v>42060</v>
      </c>
      <c r="F610" s="2">
        <v>42045</v>
      </c>
      <c r="G610">
        <v>2</v>
      </c>
      <c r="H610">
        <v>5843</v>
      </c>
    </row>
    <row r="611" spans="1:8" x14ac:dyDescent="0.3">
      <c r="A611">
        <v>10857</v>
      </c>
      <c r="B611" s="1" t="s">
        <v>45</v>
      </c>
      <c r="C611">
        <v>8</v>
      </c>
      <c r="D611" s="2">
        <v>42032</v>
      </c>
      <c r="E611" s="2">
        <v>42060</v>
      </c>
      <c r="F611" s="2">
        <v>42041</v>
      </c>
      <c r="G611">
        <v>2</v>
      </c>
      <c r="H611">
        <v>18885</v>
      </c>
    </row>
    <row r="612" spans="1:8" x14ac:dyDescent="0.3">
      <c r="A612">
        <v>10858</v>
      </c>
      <c r="B612" s="1" t="s">
        <v>199</v>
      </c>
      <c r="C612">
        <v>2</v>
      </c>
      <c r="D612" s="2">
        <v>42033</v>
      </c>
      <c r="E612" s="2">
        <v>42061</v>
      </c>
      <c r="F612" s="2">
        <v>42038</v>
      </c>
      <c r="G612">
        <v>1</v>
      </c>
      <c r="H612">
        <v>5251</v>
      </c>
    </row>
    <row r="613" spans="1:8" x14ac:dyDescent="0.3">
      <c r="A613">
        <v>10859</v>
      </c>
      <c r="B613" s="1" t="s">
        <v>135</v>
      </c>
      <c r="C613">
        <v>1</v>
      </c>
      <c r="D613" s="2">
        <v>42033</v>
      </c>
      <c r="E613" s="2">
        <v>42061</v>
      </c>
      <c r="F613" s="2">
        <v>42037</v>
      </c>
      <c r="G613">
        <v>2</v>
      </c>
      <c r="H613">
        <v>761</v>
      </c>
    </row>
    <row r="614" spans="1:8" x14ac:dyDescent="0.3">
      <c r="A614">
        <v>10860</v>
      </c>
      <c r="B614" s="1" t="s">
        <v>139</v>
      </c>
      <c r="C614">
        <v>3</v>
      </c>
      <c r="D614" s="2">
        <v>42033</v>
      </c>
      <c r="E614" s="2">
        <v>42061</v>
      </c>
      <c r="F614" s="2">
        <v>42039</v>
      </c>
      <c r="G614">
        <v>3</v>
      </c>
      <c r="H614">
        <v>1926</v>
      </c>
    </row>
    <row r="615" spans="1:8" x14ac:dyDescent="0.3">
      <c r="A615">
        <v>10861</v>
      </c>
      <c r="B615" s="1" t="s">
        <v>386</v>
      </c>
      <c r="C615">
        <v>4</v>
      </c>
      <c r="D615" s="2">
        <v>42034</v>
      </c>
      <c r="E615" s="2">
        <v>42062</v>
      </c>
      <c r="F615" s="2">
        <v>42052</v>
      </c>
      <c r="G615">
        <v>2</v>
      </c>
      <c r="H615">
        <v>1493</v>
      </c>
    </row>
    <row r="616" spans="1:8" x14ac:dyDescent="0.3">
      <c r="A616">
        <v>10862</v>
      </c>
      <c r="B616" s="1" t="s">
        <v>215</v>
      </c>
      <c r="C616">
        <v>8</v>
      </c>
      <c r="D616" s="2">
        <v>42034</v>
      </c>
      <c r="E616" s="2">
        <v>42076</v>
      </c>
      <c r="F616" s="2">
        <v>42037</v>
      </c>
      <c r="G616">
        <v>2</v>
      </c>
      <c r="H616">
        <v>5323</v>
      </c>
    </row>
    <row r="617" spans="1:8" x14ac:dyDescent="0.3">
      <c r="A617">
        <v>10863</v>
      </c>
      <c r="B617" s="1" t="s">
        <v>178</v>
      </c>
      <c r="C617">
        <v>4</v>
      </c>
      <c r="D617" s="2">
        <v>42037</v>
      </c>
      <c r="E617" s="2">
        <v>42065</v>
      </c>
      <c r="F617" s="2">
        <v>42052</v>
      </c>
      <c r="G617">
        <v>2</v>
      </c>
      <c r="H617">
        <v>3026</v>
      </c>
    </row>
    <row r="618" spans="1:8" x14ac:dyDescent="0.3">
      <c r="A618">
        <v>10864</v>
      </c>
      <c r="B618" s="1" t="s">
        <v>40</v>
      </c>
      <c r="C618">
        <v>4</v>
      </c>
      <c r="D618" s="2">
        <v>42037</v>
      </c>
      <c r="E618" s="2">
        <v>42065</v>
      </c>
      <c r="F618" s="2">
        <v>42044</v>
      </c>
      <c r="G618">
        <v>2</v>
      </c>
      <c r="H618">
        <v>304</v>
      </c>
    </row>
    <row r="619" spans="1:8" x14ac:dyDescent="0.3">
      <c r="A619">
        <v>10865</v>
      </c>
      <c r="B619" s="1" t="s">
        <v>286</v>
      </c>
      <c r="C619">
        <v>2</v>
      </c>
      <c r="D619" s="2">
        <v>42037</v>
      </c>
      <c r="E619" s="2">
        <v>42051</v>
      </c>
      <c r="F619" s="2">
        <v>42047</v>
      </c>
      <c r="G619">
        <v>1</v>
      </c>
      <c r="H619">
        <v>34814</v>
      </c>
    </row>
    <row r="620" spans="1:8" x14ac:dyDescent="0.3">
      <c r="A620">
        <v>10866</v>
      </c>
      <c r="B620" s="1" t="s">
        <v>45</v>
      </c>
      <c r="C620">
        <v>5</v>
      </c>
      <c r="D620" s="2">
        <v>42038</v>
      </c>
      <c r="E620" s="2">
        <v>42066</v>
      </c>
      <c r="F620" s="2">
        <v>42047</v>
      </c>
      <c r="G620">
        <v>1</v>
      </c>
      <c r="H620">
        <v>10911</v>
      </c>
    </row>
    <row r="621" spans="1:8" x14ac:dyDescent="0.3">
      <c r="A621">
        <v>10867</v>
      </c>
      <c r="B621" s="1" t="s">
        <v>231</v>
      </c>
      <c r="C621">
        <v>6</v>
      </c>
      <c r="D621" s="2">
        <v>42038</v>
      </c>
      <c r="E621" s="2">
        <v>42080</v>
      </c>
      <c r="F621" s="2">
        <v>42046</v>
      </c>
      <c r="G621">
        <v>1</v>
      </c>
      <c r="H621">
        <v>193</v>
      </c>
    </row>
    <row r="622" spans="1:8" x14ac:dyDescent="0.3">
      <c r="A622">
        <v>10868</v>
      </c>
      <c r="B622" s="1" t="s">
        <v>283</v>
      </c>
      <c r="C622">
        <v>7</v>
      </c>
      <c r="D622" s="2">
        <v>42039</v>
      </c>
      <c r="E622" s="2">
        <v>42067</v>
      </c>
      <c r="F622" s="2">
        <v>42058</v>
      </c>
      <c r="G622">
        <v>2</v>
      </c>
      <c r="H622">
        <v>19127</v>
      </c>
    </row>
    <row r="623" spans="1:8" x14ac:dyDescent="0.3">
      <c r="A623">
        <v>10869</v>
      </c>
      <c r="B623" s="1" t="s">
        <v>321</v>
      </c>
      <c r="C623">
        <v>5</v>
      </c>
      <c r="D623" s="2">
        <v>42039</v>
      </c>
      <c r="E623" s="2">
        <v>42067</v>
      </c>
      <c r="F623" s="2">
        <v>42044</v>
      </c>
      <c r="G623">
        <v>1</v>
      </c>
      <c r="H623">
        <v>14328</v>
      </c>
    </row>
    <row r="624" spans="1:8" x14ac:dyDescent="0.3">
      <c r="A624">
        <v>10870</v>
      </c>
      <c r="B624" s="1" t="s">
        <v>395</v>
      </c>
      <c r="C624">
        <v>5</v>
      </c>
      <c r="D624" s="2">
        <v>42039</v>
      </c>
      <c r="E624" s="2">
        <v>42067</v>
      </c>
      <c r="F624" s="2">
        <v>42048</v>
      </c>
      <c r="G624">
        <v>3</v>
      </c>
      <c r="H624">
        <v>1204</v>
      </c>
    </row>
    <row r="625" spans="1:8" x14ac:dyDescent="0.3">
      <c r="A625">
        <v>10871</v>
      </c>
      <c r="B625" s="1" t="s">
        <v>66</v>
      </c>
      <c r="C625">
        <v>9</v>
      </c>
      <c r="D625" s="2">
        <v>42040</v>
      </c>
      <c r="E625" s="2">
        <v>42068</v>
      </c>
      <c r="F625" s="2">
        <v>42045</v>
      </c>
      <c r="G625">
        <v>2</v>
      </c>
      <c r="H625">
        <v>11227</v>
      </c>
    </row>
    <row r="626" spans="1:8" x14ac:dyDescent="0.3">
      <c r="A626">
        <v>10872</v>
      </c>
      <c r="B626" s="1" t="s">
        <v>156</v>
      </c>
      <c r="C626">
        <v>5</v>
      </c>
      <c r="D626" s="2">
        <v>42040</v>
      </c>
      <c r="E626" s="2">
        <v>42068</v>
      </c>
      <c r="F626" s="2">
        <v>42044</v>
      </c>
      <c r="G626">
        <v>2</v>
      </c>
      <c r="H626">
        <v>17532</v>
      </c>
    </row>
    <row r="627" spans="1:8" x14ac:dyDescent="0.3">
      <c r="A627">
        <v>10873</v>
      </c>
      <c r="B627" s="1" t="s">
        <v>390</v>
      </c>
      <c r="C627">
        <v>4</v>
      </c>
      <c r="D627" s="2">
        <v>42041</v>
      </c>
      <c r="E627" s="2">
        <v>42069</v>
      </c>
      <c r="F627" s="2">
        <v>42044</v>
      </c>
      <c r="G627">
        <v>1</v>
      </c>
      <c r="H627">
        <v>82</v>
      </c>
    </row>
    <row r="628" spans="1:8" x14ac:dyDescent="0.3">
      <c r="A628">
        <v>10874</v>
      </c>
      <c r="B628" s="1" t="s">
        <v>156</v>
      </c>
      <c r="C628">
        <v>5</v>
      </c>
      <c r="D628" s="2">
        <v>42041</v>
      </c>
      <c r="E628" s="2">
        <v>42069</v>
      </c>
      <c r="F628" s="2">
        <v>42046</v>
      </c>
      <c r="G628">
        <v>2</v>
      </c>
      <c r="H628">
        <v>1958</v>
      </c>
    </row>
    <row r="629" spans="1:8" x14ac:dyDescent="0.3">
      <c r="A629">
        <v>10875</v>
      </c>
      <c r="B629" s="1" t="s">
        <v>45</v>
      </c>
      <c r="C629">
        <v>4</v>
      </c>
      <c r="D629" s="2">
        <v>42041</v>
      </c>
      <c r="E629" s="2">
        <v>42069</v>
      </c>
      <c r="F629" s="2">
        <v>42066</v>
      </c>
      <c r="G629">
        <v>2</v>
      </c>
      <c r="H629">
        <v>3237</v>
      </c>
    </row>
    <row r="630" spans="1:8" x14ac:dyDescent="0.3">
      <c r="A630">
        <v>10876</v>
      </c>
      <c r="B630" s="1" t="s">
        <v>66</v>
      </c>
      <c r="C630">
        <v>7</v>
      </c>
      <c r="D630" s="2">
        <v>42044</v>
      </c>
      <c r="E630" s="2">
        <v>42072</v>
      </c>
      <c r="F630" s="2">
        <v>42047</v>
      </c>
      <c r="G630">
        <v>3</v>
      </c>
      <c r="H630">
        <v>6042</v>
      </c>
    </row>
    <row r="631" spans="1:8" x14ac:dyDescent="0.3">
      <c r="A631">
        <v>10877</v>
      </c>
      <c r="B631" s="1" t="s">
        <v>302</v>
      </c>
      <c r="C631">
        <v>1</v>
      </c>
      <c r="D631" s="2">
        <v>42044</v>
      </c>
      <c r="E631" s="2">
        <v>42072</v>
      </c>
      <c r="F631" s="2">
        <v>42054</v>
      </c>
      <c r="G631">
        <v>1</v>
      </c>
      <c r="H631">
        <v>3806</v>
      </c>
    </row>
    <row r="632" spans="1:8" x14ac:dyDescent="0.3">
      <c r="A632">
        <v>10878</v>
      </c>
      <c r="B632" s="1" t="s">
        <v>286</v>
      </c>
      <c r="C632">
        <v>4</v>
      </c>
      <c r="D632" s="2">
        <v>42045</v>
      </c>
      <c r="E632" s="2">
        <v>42073</v>
      </c>
      <c r="F632" s="2">
        <v>42047</v>
      </c>
      <c r="G632">
        <v>1</v>
      </c>
      <c r="H632">
        <v>4669</v>
      </c>
    </row>
    <row r="633" spans="1:8" x14ac:dyDescent="0.3">
      <c r="A633">
        <v>10879</v>
      </c>
      <c r="B633" s="1" t="s">
        <v>390</v>
      </c>
      <c r="C633">
        <v>3</v>
      </c>
      <c r="D633" s="2">
        <v>42045</v>
      </c>
      <c r="E633" s="2">
        <v>42073</v>
      </c>
      <c r="F633" s="2">
        <v>42047</v>
      </c>
      <c r="G633">
        <v>3</v>
      </c>
      <c r="H633">
        <v>85</v>
      </c>
    </row>
    <row r="634" spans="1:8" x14ac:dyDescent="0.3">
      <c r="A634">
        <v>10880</v>
      </c>
      <c r="B634" s="1" t="s">
        <v>131</v>
      </c>
      <c r="C634">
        <v>7</v>
      </c>
      <c r="D634" s="2">
        <v>42045</v>
      </c>
      <c r="E634" s="2">
        <v>42087</v>
      </c>
      <c r="F634" s="2">
        <v>42053</v>
      </c>
      <c r="G634">
        <v>1</v>
      </c>
      <c r="H634">
        <v>8801</v>
      </c>
    </row>
    <row r="635" spans="1:8" x14ac:dyDescent="0.3">
      <c r="A635">
        <v>10881</v>
      </c>
      <c r="B635" s="1" t="s">
        <v>79</v>
      </c>
      <c r="C635">
        <v>4</v>
      </c>
      <c r="D635" s="2">
        <v>42046</v>
      </c>
      <c r="E635" s="2">
        <v>42074</v>
      </c>
      <c r="F635" s="2">
        <v>42053</v>
      </c>
      <c r="G635">
        <v>1</v>
      </c>
      <c r="H635">
        <v>284</v>
      </c>
    </row>
    <row r="636" spans="1:8" x14ac:dyDescent="0.3">
      <c r="A636">
        <v>10882</v>
      </c>
      <c r="B636" s="1" t="s">
        <v>317</v>
      </c>
      <c r="C636">
        <v>4</v>
      </c>
      <c r="D636" s="2">
        <v>42046</v>
      </c>
      <c r="E636" s="2">
        <v>42074</v>
      </c>
      <c r="F636" s="2">
        <v>42055</v>
      </c>
      <c r="G636">
        <v>3</v>
      </c>
      <c r="H636">
        <v>231</v>
      </c>
    </row>
    <row r="637" spans="1:8" x14ac:dyDescent="0.3">
      <c r="A637">
        <v>10883</v>
      </c>
      <c r="B637" s="1" t="s">
        <v>231</v>
      </c>
      <c r="C637">
        <v>8</v>
      </c>
      <c r="D637" s="2">
        <v>42047</v>
      </c>
      <c r="E637" s="2">
        <v>42075</v>
      </c>
      <c r="F637" s="2">
        <v>42055</v>
      </c>
      <c r="G637">
        <v>3</v>
      </c>
      <c r="H637">
        <v>53</v>
      </c>
    </row>
    <row r="638" spans="1:8" x14ac:dyDescent="0.3">
      <c r="A638">
        <v>10884</v>
      </c>
      <c r="B638" s="1" t="s">
        <v>219</v>
      </c>
      <c r="C638">
        <v>4</v>
      </c>
      <c r="D638" s="2">
        <v>42047</v>
      </c>
      <c r="E638" s="2">
        <v>42075</v>
      </c>
      <c r="F638" s="2">
        <v>42048</v>
      </c>
      <c r="G638">
        <v>2</v>
      </c>
      <c r="H638">
        <v>9097</v>
      </c>
    </row>
    <row r="639" spans="1:8" x14ac:dyDescent="0.3">
      <c r="A639">
        <v>10885</v>
      </c>
      <c r="B639" s="1" t="s">
        <v>336</v>
      </c>
      <c r="C639">
        <v>6</v>
      </c>
      <c r="D639" s="2">
        <v>42047</v>
      </c>
      <c r="E639" s="2">
        <v>42075</v>
      </c>
      <c r="F639" s="2">
        <v>42053</v>
      </c>
      <c r="G639">
        <v>3</v>
      </c>
      <c r="H639">
        <v>564</v>
      </c>
    </row>
    <row r="640" spans="1:8" x14ac:dyDescent="0.3">
      <c r="A640">
        <v>10886</v>
      </c>
      <c r="B640" s="1" t="s">
        <v>174</v>
      </c>
      <c r="C640">
        <v>1</v>
      </c>
      <c r="D640" s="2">
        <v>42048</v>
      </c>
      <c r="E640" s="2">
        <v>42076</v>
      </c>
      <c r="F640" s="2">
        <v>42065</v>
      </c>
      <c r="G640">
        <v>1</v>
      </c>
      <c r="H640">
        <v>499</v>
      </c>
    </row>
    <row r="641" spans="1:8" x14ac:dyDescent="0.3">
      <c r="A641">
        <v>10887</v>
      </c>
      <c r="B641" s="1" t="s">
        <v>152</v>
      </c>
      <c r="C641">
        <v>8</v>
      </c>
      <c r="D641" s="2">
        <v>42048</v>
      </c>
      <c r="E641" s="2">
        <v>42076</v>
      </c>
      <c r="F641" s="2">
        <v>42051</v>
      </c>
      <c r="G641">
        <v>3</v>
      </c>
      <c r="H641">
        <v>125</v>
      </c>
    </row>
    <row r="642" spans="1:8" x14ac:dyDescent="0.3">
      <c r="A642">
        <v>10888</v>
      </c>
      <c r="B642" s="1" t="s">
        <v>156</v>
      </c>
      <c r="C642">
        <v>1</v>
      </c>
      <c r="D642" s="2">
        <v>42051</v>
      </c>
      <c r="E642" s="2">
        <v>42079</v>
      </c>
      <c r="F642" s="2">
        <v>42058</v>
      </c>
      <c r="G642">
        <v>2</v>
      </c>
      <c r="H642">
        <v>5187</v>
      </c>
    </row>
    <row r="643" spans="1:8" x14ac:dyDescent="0.3">
      <c r="A643">
        <v>10889</v>
      </c>
      <c r="B643" s="1" t="s">
        <v>293</v>
      </c>
      <c r="C643">
        <v>9</v>
      </c>
      <c r="D643" s="2">
        <v>42051</v>
      </c>
      <c r="E643" s="2">
        <v>42079</v>
      </c>
      <c r="F643" s="2">
        <v>42058</v>
      </c>
      <c r="G643">
        <v>3</v>
      </c>
      <c r="H643">
        <v>28061</v>
      </c>
    </row>
    <row r="644" spans="1:8" x14ac:dyDescent="0.3">
      <c r="A644">
        <v>10890</v>
      </c>
      <c r="B644" s="1" t="s">
        <v>106</v>
      </c>
      <c r="C644">
        <v>7</v>
      </c>
      <c r="D644" s="2">
        <v>42051</v>
      </c>
      <c r="E644" s="2">
        <v>42079</v>
      </c>
      <c r="F644" s="2">
        <v>42053</v>
      </c>
      <c r="G644">
        <v>1</v>
      </c>
      <c r="H644">
        <v>3276</v>
      </c>
    </row>
    <row r="645" spans="1:8" x14ac:dyDescent="0.3">
      <c r="A645">
        <v>10891</v>
      </c>
      <c r="B645" s="1" t="s">
        <v>215</v>
      </c>
      <c r="C645">
        <v>7</v>
      </c>
      <c r="D645" s="2">
        <v>42052</v>
      </c>
      <c r="E645" s="2">
        <v>42080</v>
      </c>
      <c r="F645" s="2">
        <v>42054</v>
      </c>
      <c r="G645">
        <v>2</v>
      </c>
      <c r="H645">
        <v>2037</v>
      </c>
    </row>
    <row r="646" spans="1:8" x14ac:dyDescent="0.3">
      <c r="A646">
        <v>10892</v>
      </c>
      <c r="B646" s="1" t="s">
        <v>239</v>
      </c>
      <c r="C646">
        <v>4</v>
      </c>
      <c r="D646" s="2">
        <v>42052</v>
      </c>
      <c r="E646" s="2">
        <v>42080</v>
      </c>
      <c r="F646" s="2">
        <v>42054</v>
      </c>
      <c r="G646">
        <v>2</v>
      </c>
      <c r="H646">
        <v>12027</v>
      </c>
    </row>
    <row r="647" spans="1:8" x14ac:dyDescent="0.3">
      <c r="A647">
        <v>10893</v>
      </c>
      <c r="B647" s="1" t="s">
        <v>195</v>
      </c>
      <c r="C647">
        <v>9</v>
      </c>
      <c r="D647" s="2">
        <v>42053</v>
      </c>
      <c r="E647" s="2">
        <v>42081</v>
      </c>
      <c r="F647" s="2">
        <v>42055</v>
      </c>
      <c r="G647">
        <v>2</v>
      </c>
      <c r="H647">
        <v>7778</v>
      </c>
    </row>
    <row r="648" spans="1:8" x14ac:dyDescent="0.3">
      <c r="A648">
        <v>10894</v>
      </c>
      <c r="B648" s="1" t="s">
        <v>317</v>
      </c>
      <c r="C648">
        <v>1</v>
      </c>
      <c r="D648" s="2">
        <v>42053</v>
      </c>
      <c r="E648" s="2">
        <v>42081</v>
      </c>
      <c r="F648" s="2">
        <v>42055</v>
      </c>
      <c r="G648">
        <v>1</v>
      </c>
      <c r="H648">
        <v>11613</v>
      </c>
    </row>
    <row r="649" spans="1:8" x14ac:dyDescent="0.3">
      <c r="A649">
        <v>10895</v>
      </c>
      <c r="B649" s="1" t="s">
        <v>113</v>
      </c>
      <c r="C649">
        <v>3</v>
      </c>
      <c r="D649" s="2">
        <v>42053</v>
      </c>
      <c r="E649" s="2">
        <v>42081</v>
      </c>
      <c r="F649" s="2">
        <v>42058</v>
      </c>
      <c r="G649">
        <v>1</v>
      </c>
      <c r="H649">
        <v>16275</v>
      </c>
    </row>
    <row r="650" spans="1:8" x14ac:dyDescent="0.3">
      <c r="A650">
        <v>10896</v>
      </c>
      <c r="B650" s="1" t="s">
        <v>239</v>
      </c>
      <c r="C650">
        <v>7</v>
      </c>
      <c r="D650" s="2">
        <v>42054</v>
      </c>
      <c r="E650" s="2">
        <v>42082</v>
      </c>
      <c r="F650" s="2">
        <v>42062</v>
      </c>
      <c r="G650">
        <v>3</v>
      </c>
      <c r="H650">
        <v>3245</v>
      </c>
    </row>
    <row r="651" spans="1:8" x14ac:dyDescent="0.3">
      <c r="A651">
        <v>10897</v>
      </c>
      <c r="B651" s="1" t="s">
        <v>186</v>
      </c>
      <c r="C651">
        <v>3</v>
      </c>
      <c r="D651" s="2">
        <v>42054</v>
      </c>
      <c r="E651" s="2">
        <v>42082</v>
      </c>
      <c r="F651" s="2">
        <v>42060</v>
      </c>
      <c r="G651">
        <v>2</v>
      </c>
      <c r="H651">
        <v>60354</v>
      </c>
    </row>
    <row r="652" spans="1:8" x14ac:dyDescent="0.3">
      <c r="A652">
        <v>10898</v>
      </c>
      <c r="B652" s="1" t="s">
        <v>255</v>
      </c>
      <c r="C652">
        <v>4</v>
      </c>
      <c r="D652" s="2">
        <v>42055</v>
      </c>
      <c r="E652" s="2">
        <v>42083</v>
      </c>
      <c r="F652" s="2">
        <v>42069</v>
      </c>
      <c r="G652">
        <v>2</v>
      </c>
      <c r="H652">
        <v>127</v>
      </c>
    </row>
    <row r="653" spans="1:8" x14ac:dyDescent="0.3">
      <c r="A653">
        <v>10899</v>
      </c>
      <c r="B653" s="1" t="s">
        <v>223</v>
      </c>
      <c r="C653">
        <v>5</v>
      </c>
      <c r="D653" s="2">
        <v>42055</v>
      </c>
      <c r="E653" s="2">
        <v>42083</v>
      </c>
      <c r="F653" s="2">
        <v>42061</v>
      </c>
      <c r="G653">
        <v>3</v>
      </c>
      <c r="H653">
        <v>121</v>
      </c>
    </row>
    <row r="654" spans="1:8" x14ac:dyDescent="0.3">
      <c r="A654">
        <v>10900</v>
      </c>
      <c r="B654" s="1" t="s">
        <v>382</v>
      </c>
      <c r="C654">
        <v>1</v>
      </c>
      <c r="D654" s="2">
        <v>42055</v>
      </c>
      <c r="E654" s="2">
        <v>42083</v>
      </c>
      <c r="F654" s="2">
        <v>42067</v>
      </c>
      <c r="G654">
        <v>2</v>
      </c>
      <c r="H654">
        <v>166</v>
      </c>
    </row>
    <row r="655" spans="1:8" x14ac:dyDescent="0.3">
      <c r="A655">
        <v>10901</v>
      </c>
      <c r="B655" s="1" t="s">
        <v>178</v>
      </c>
      <c r="C655">
        <v>4</v>
      </c>
      <c r="D655" s="2">
        <v>42058</v>
      </c>
      <c r="E655" s="2">
        <v>42086</v>
      </c>
      <c r="F655" s="2">
        <v>42061</v>
      </c>
      <c r="G655">
        <v>1</v>
      </c>
      <c r="H655">
        <v>6209</v>
      </c>
    </row>
    <row r="656" spans="1:8" x14ac:dyDescent="0.3">
      <c r="A656">
        <v>10902</v>
      </c>
      <c r="B656" s="1" t="s">
        <v>131</v>
      </c>
      <c r="C656">
        <v>1</v>
      </c>
      <c r="D656" s="2">
        <v>42058</v>
      </c>
      <c r="E656" s="2">
        <v>42086</v>
      </c>
      <c r="F656" s="2">
        <v>42066</v>
      </c>
      <c r="G656">
        <v>1</v>
      </c>
      <c r="H656">
        <v>4415</v>
      </c>
    </row>
    <row r="657" spans="1:8" x14ac:dyDescent="0.3">
      <c r="A657">
        <v>10903</v>
      </c>
      <c r="B657" s="1" t="s">
        <v>174</v>
      </c>
      <c r="C657">
        <v>3</v>
      </c>
      <c r="D657" s="2">
        <v>42059</v>
      </c>
      <c r="E657" s="2">
        <v>42087</v>
      </c>
      <c r="F657" s="2">
        <v>42067</v>
      </c>
      <c r="G657">
        <v>3</v>
      </c>
      <c r="H657">
        <v>3671</v>
      </c>
    </row>
    <row r="658" spans="1:8" x14ac:dyDescent="0.3">
      <c r="A658">
        <v>10904</v>
      </c>
      <c r="B658" s="1" t="s">
        <v>386</v>
      </c>
      <c r="C658">
        <v>3</v>
      </c>
      <c r="D658" s="2">
        <v>42059</v>
      </c>
      <c r="E658" s="2">
        <v>42087</v>
      </c>
      <c r="F658" s="2">
        <v>42062</v>
      </c>
      <c r="G658">
        <v>3</v>
      </c>
      <c r="H658">
        <v>16295</v>
      </c>
    </row>
    <row r="659" spans="1:8" x14ac:dyDescent="0.3">
      <c r="A659">
        <v>10905</v>
      </c>
      <c r="B659" s="1" t="s">
        <v>382</v>
      </c>
      <c r="C659">
        <v>9</v>
      </c>
      <c r="D659" s="2">
        <v>42059</v>
      </c>
      <c r="E659" s="2">
        <v>42087</v>
      </c>
      <c r="F659" s="2">
        <v>42069</v>
      </c>
      <c r="G659">
        <v>2</v>
      </c>
      <c r="H659">
        <v>1372</v>
      </c>
    </row>
    <row r="660" spans="1:8" x14ac:dyDescent="0.3">
      <c r="A660">
        <v>10906</v>
      </c>
      <c r="B660" s="1" t="s">
        <v>395</v>
      </c>
      <c r="C660">
        <v>4</v>
      </c>
      <c r="D660" s="2">
        <v>42060</v>
      </c>
      <c r="E660" s="2">
        <v>42074</v>
      </c>
      <c r="F660" s="2">
        <v>42066</v>
      </c>
      <c r="G660">
        <v>3</v>
      </c>
      <c r="H660">
        <v>2629</v>
      </c>
    </row>
    <row r="661" spans="1:8" x14ac:dyDescent="0.3">
      <c r="A661">
        <v>10907</v>
      </c>
      <c r="B661" s="1" t="s">
        <v>329</v>
      </c>
      <c r="C661">
        <v>6</v>
      </c>
      <c r="D661" s="2">
        <v>42060</v>
      </c>
      <c r="E661" s="2">
        <v>42088</v>
      </c>
      <c r="F661" s="2">
        <v>42062</v>
      </c>
      <c r="G661">
        <v>3</v>
      </c>
      <c r="H661">
        <v>919</v>
      </c>
    </row>
    <row r="662" spans="1:8" x14ac:dyDescent="0.3">
      <c r="A662">
        <v>10908</v>
      </c>
      <c r="B662" s="1" t="s">
        <v>298</v>
      </c>
      <c r="C662">
        <v>4</v>
      </c>
      <c r="D662" s="2">
        <v>42061</v>
      </c>
      <c r="E662" s="2">
        <v>42089</v>
      </c>
      <c r="F662" s="2">
        <v>42069</v>
      </c>
      <c r="G662">
        <v>2</v>
      </c>
      <c r="H662">
        <v>3296</v>
      </c>
    </row>
    <row r="663" spans="1:8" x14ac:dyDescent="0.3">
      <c r="A663">
        <v>10909</v>
      </c>
      <c r="B663" s="1" t="s">
        <v>312</v>
      </c>
      <c r="C663">
        <v>1</v>
      </c>
      <c r="D663" s="2">
        <v>42061</v>
      </c>
      <c r="E663" s="2">
        <v>42089</v>
      </c>
      <c r="F663" s="2">
        <v>42073</v>
      </c>
      <c r="G663">
        <v>2</v>
      </c>
      <c r="H663">
        <v>5305</v>
      </c>
    </row>
    <row r="664" spans="1:8" x14ac:dyDescent="0.3">
      <c r="A664">
        <v>10910</v>
      </c>
      <c r="B664" s="1" t="s">
        <v>390</v>
      </c>
      <c r="C664">
        <v>1</v>
      </c>
      <c r="D664" s="2">
        <v>42061</v>
      </c>
      <c r="E664" s="2">
        <v>42089</v>
      </c>
      <c r="F664" s="2">
        <v>42067</v>
      </c>
      <c r="G664">
        <v>3</v>
      </c>
      <c r="H664">
        <v>3811</v>
      </c>
    </row>
    <row r="665" spans="1:8" x14ac:dyDescent="0.3">
      <c r="A665">
        <v>10911</v>
      </c>
      <c r="B665" s="1" t="s">
        <v>156</v>
      </c>
      <c r="C665">
        <v>3</v>
      </c>
      <c r="D665" s="2">
        <v>42061</v>
      </c>
      <c r="E665" s="2">
        <v>42089</v>
      </c>
      <c r="F665" s="2">
        <v>42068</v>
      </c>
      <c r="G665">
        <v>1</v>
      </c>
      <c r="H665">
        <v>3819</v>
      </c>
    </row>
    <row r="666" spans="1:8" x14ac:dyDescent="0.3">
      <c r="A666">
        <v>10912</v>
      </c>
      <c r="B666" s="1" t="s">
        <v>186</v>
      </c>
      <c r="C666">
        <v>2</v>
      </c>
      <c r="D666" s="2">
        <v>42061</v>
      </c>
      <c r="E666" s="2">
        <v>42089</v>
      </c>
      <c r="F666" s="2">
        <v>42081</v>
      </c>
      <c r="G666">
        <v>2</v>
      </c>
      <c r="H666">
        <v>58091</v>
      </c>
    </row>
    <row r="667" spans="1:8" x14ac:dyDescent="0.3">
      <c r="A667">
        <v>10913</v>
      </c>
      <c r="B667" s="1" t="s">
        <v>283</v>
      </c>
      <c r="C667">
        <v>4</v>
      </c>
      <c r="D667" s="2">
        <v>42061</v>
      </c>
      <c r="E667" s="2">
        <v>42089</v>
      </c>
      <c r="F667" s="2">
        <v>42067</v>
      </c>
      <c r="G667">
        <v>1</v>
      </c>
      <c r="H667">
        <v>3305</v>
      </c>
    </row>
    <row r="668" spans="1:8" x14ac:dyDescent="0.3">
      <c r="A668">
        <v>10914</v>
      </c>
      <c r="B668" s="1" t="s">
        <v>283</v>
      </c>
      <c r="C668">
        <v>6</v>
      </c>
      <c r="D668" s="2">
        <v>42062</v>
      </c>
      <c r="E668" s="2">
        <v>42090</v>
      </c>
      <c r="F668" s="2">
        <v>42065</v>
      </c>
      <c r="G668">
        <v>1</v>
      </c>
      <c r="H668">
        <v>2119</v>
      </c>
    </row>
    <row r="669" spans="1:8" x14ac:dyDescent="0.3">
      <c r="A669">
        <v>10915</v>
      </c>
      <c r="B669" s="1" t="s">
        <v>351</v>
      </c>
      <c r="C669">
        <v>2</v>
      </c>
      <c r="D669" s="2">
        <v>42062</v>
      </c>
      <c r="E669" s="2">
        <v>42090</v>
      </c>
      <c r="F669" s="2">
        <v>42065</v>
      </c>
      <c r="G669">
        <v>2</v>
      </c>
      <c r="H669">
        <v>351</v>
      </c>
    </row>
    <row r="670" spans="1:8" x14ac:dyDescent="0.3">
      <c r="A670">
        <v>10916</v>
      </c>
      <c r="B670" s="1" t="s">
        <v>290</v>
      </c>
      <c r="C670">
        <v>1</v>
      </c>
      <c r="D670" s="2">
        <v>42062</v>
      </c>
      <c r="E670" s="2">
        <v>42090</v>
      </c>
      <c r="F670" s="2">
        <v>42072</v>
      </c>
      <c r="G670">
        <v>2</v>
      </c>
      <c r="H670">
        <v>6377</v>
      </c>
    </row>
    <row r="671" spans="1:8" x14ac:dyDescent="0.3">
      <c r="A671">
        <v>10917</v>
      </c>
      <c r="B671" s="1" t="s">
        <v>309</v>
      </c>
      <c r="C671">
        <v>4</v>
      </c>
      <c r="D671" s="2">
        <v>42065</v>
      </c>
      <c r="E671" s="2">
        <v>42093</v>
      </c>
      <c r="F671" s="2">
        <v>42074</v>
      </c>
      <c r="G671">
        <v>2</v>
      </c>
      <c r="H671">
        <v>829</v>
      </c>
    </row>
    <row r="672" spans="1:8" x14ac:dyDescent="0.3">
      <c r="A672">
        <v>10918</v>
      </c>
      <c r="B672" s="1" t="s">
        <v>70</v>
      </c>
      <c r="C672">
        <v>3</v>
      </c>
      <c r="D672" s="2">
        <v>42065</v>
      </c>
      <c r="E672" s="2">
        <v>42093</v>
      </c>
      <c r="F672" s="2">
        <v>42074</v>
      </c>
      <c r="G672">
        <v>3</v>
      </c>
      <c r="H672">
        <v>4883</v>
      </c>
    </row>
    <row r="673" spans="1:8" x14ac:dyDescent="0.3">
      <c r="A673">
        <v>10919</v>
      </c>
      <c r="B673" s="1" t="s">
        <v>227</v>
      </c>
      <c r="C673">
        <v>2</v>
      </c>
      <c r="D673" s="2">
        <v>42065</v>
      </c>
      <c r="E673" s="2">
        <v>42093</v>
      </c>
      <c r="F673" s="2">
        <v>42067</v>
      </c>
      <c r="G673">
        <v>2</v>
      </c>
      <c r="H673">
        <v>198</v>
      </c>
    </row>
    <row r="674" spans="1:8" x14ac:dyDescent="0.3">
      <c r="A674">
        <v>10920</v>
      </c>
      <c r="B674" s="1" t="s">
        <v>40</v>
      </c>
      <c r="C674">
        <v>4</v>
      </c>
      <c r="D674" s="2">
        <v>42066</v>
      </c>
      <c r="E674" s="2">
        <v>42094</v>
      </c>
      <c r="F674" s="2">
        <v>42072</v>
      </c>
      <c r="G674">
        <v>2</v>
      </c>
      <c r="H674">
        <v>2961</v>
      </c>
    </row>
    <row r="675" spans="1:8" x14ac:dyDescent="0.3">
      <c r="A675">
        <v>10921</v>
      </c>
      <c r="B675" s="1" t="s">
        <v>361</v>
      </c>
      <c r="C675">
        <v>1</v>
      </c>
      <c r="D675" s="2">
        <v>42066</v>
      </c>
      <c r="E675" s="2">
        <v>42108</v>
      </c>
      <c r="F675" s="2">
        <v>42072</v>
      </c>
      <c r="G675">
        <v>1</v>
      </c>
      <c r="H675">
        <v>17648</v>
      </c>
    </row>
    <row r="676" spans="1:8" x14ac:dyDescent="0.3">
      <c r="A676">
        <v>10922</v>
      </c>
      <c r="B676" s="1" t="s">
        <v>174</v>
      </c>
      <c r="C676">
        <v>5</v>
      </c>
      <c r="D676" s="2">
        <v>42066</v>
      </c>
      <c r="E676" s="2">
        <v>42094</v>
      </c>
      <c r="F676" s="2">
        <v>42068</v>
      </c>
      <c r="G676">
        <v>3</v>
      </c>
      <c r="H676">
        <v>6274</v>
      </c>
    </row>
    <row r="677" spans="1:8" x14ac:dyDescent="0.3">
      <c r="A677">
        <v>10923</v>
      </c>
      <c r="B677" s="1" t="s">
        <v>203</v>
      </c>
      <c r="C677">
        <v>7</v>
      </c>
      <c r="D677" s="2">
        <v>42066</v>
      </c>
      <c r="E677" s="2">
        <v>42108</v>
      </c>
      <c r="F677" s="2">
        <v>42076</v>
      </c>
      <c r="G677">
        <v>3</v>
      </c>
      <c r="H677">
        <v>6826</v>
      </c>
    </row>
    <row r="678" spans="1:8" x14ac:dyDescent="0.3">
      <c r="A678">
        <v>10924</v>
      </c>
      <c r="B678" s="1" t="s">
        <v>45</v>
      </c>
      <c r="C678">
        <v>3</v>
      </c>
      <c r="D678" s="2">
        <v>42067</v>
      </c>
      <c r="E678" s="2">
        <v>42095</v>
      </c>
      <c r="F678" s="2">
        <v>42102</v>
      </c>
      <c r="G678">
        <v>2</v>
      </c>
      <c r="H678">
        <v>15152</v>
      </c>
    </row>
    <row r="679" spans="1:8" x14ac:dyDescent="0.3">
      <c r="A679">
        <v>10925</v>
      </c>
      <c r="B679" s="1" t="s">
        <v>174</v>
      </c>
      <c r="C679">
        <v>3</v>
      </c>
      <c r="D679" s="2">
        <v>42067</v>
      </c>
      <c r="E679" s="2">
        <v>42095</v>
      </c>
      <c r="F679" s="2">
        <v>42076</v>
      </c>
      <c r="G679">
        <v>1</v>
      </c>
      <c r="H679">
        <v>227</v>
      </c>
    </row>
    <row r="680" spans="1:8" x14ac:dyDescent="0.3">
      <c r="A680">
        <v>10926</v>
      </c>
      <c r="B680" s="1" t="s">
        <v>31</v>
      </c>
      <c r="C680">
        <v>4</v>
      </c>
      <c r="D680" s="2">
        <v>42067</v>
      </c>
      <c r="E680" s="2">
        <v>42095</v>
      </c>
      <c r="F680" s="2">
        <v>42074</v>
      </c>
      <c r="G680">
        <v>3</v>
      </c>
      <c r="H680">
        <v>3992</v>
      </c>
    </row>
    <row r="681" spans="1:8" x14ac:dyDescent="0.3">
      <c r="A681">
        <v>10927</v>
      </c>
      <c r="B681" s="1" t="s">
        <v>199</v>
      </c>
      <c r="C681">
        <v>4</v>
      </c>
      <c r="D681" s="2">
        <v>42068</v>
      </c>
      <c r="E681" s="2">
        <v>42096</v>
      </c>
      <c r="F681" s="2">
        <v>42102</v>
      </c>
      <c r="G681">
        <v>1</v>
      </c>
      <c r="H681">
        <v>1979</v>
      </c>
    </row>
    <row r="682" spans="1:8" x14ac:dyDescent="0.3">
      <c r="A682">
        <v>10928</v>
      </c>
      <c r="B682" s="1" t="s">
        <v>152</v>
      </c>
      <c r="C682">
        <v>1</v>
      </c>
      <c r="D682" s="2">
        <v>42068</v>
      </c>
      <c r="E682" s="2">
        <v>42096</v>
      </c>
      <c r="F682" s="2">
        <v>42081</v>
      </c>
      <c r="G682">
        <v>1</v>
      </c>
      <c r="H682">
        <v>136</v>
      </c>
    </row>
    <row r="683" spans="1:8" x14ac:dyDescent="0.3">
      <c r="A683">
        <v>10929</v>
      </c>
      <c r="B683" s="1" t="s">
        <v>135</v>
      </c>
      <c r="C683">
        <v>6</v>
      </c>
      <c r="D683" s="2">
        <v>42068</v>
      </c>
      <c r="E683" s="2">
        <v>42096</v>
      </c>
      <c r="F683" s="2">
        <v>42075</v>
      </c>
      <c r="G683">
        <v>1</v>
      </c>
      <c r="H683">
        <v>3393</v>
      </c>
    </row>
    <row r="684" spans="1:8" x14ac:dyDescent="0.3">
      <c r="A684">
        <v>10930</v>
      </c>
      <c r="B684" s="1" t="s">
        <v>336</v>
      </c>
      <c r="C684">
        <v>4</v>
      </c>
      <c r="D684" s="2">
        <v>42069</v>
      </c>
      <c r="E684" s="2">
        <v>42111</v>
      </c>
      <c r="F684" s="2">
        <v>42081</v>
      </c>
      <c r="G684">
        <v>3</v>
      </c>
      <c r="H684">
        <v>1555</v>
      </c>
    </row>
    <row r="685" spans="1:8" x14ac:dyDescent="0.3">
      <c r="A685">
        <v>10931</v>
      </c>
      <c r="B685" s="1" t="s">
        <v>305</v>
      </c>
      <c r="C685">
        <v>4</v>
      </c>
      <c r="D685" s="2">
        <v>42069</v>
      </c>
      <c r="E685" s="2">
        <v>42083</v>
      </c>
      <c r="F685" s="2">
        <v>42082</v>
      </c>
      <c r="G685">
        <v>2</v>
      </c>
      <c r="H685">
        <v>136</v>
      </c>
    </row>
    <row r="686" spans="1:8" x14ac:dyDescent="0.3">
      <c r="A686">
        <v>10932</v>
      </c>
      <c r="B686" s="1" t="s">
        <v>66</v>
      </c>
      <c r="C686">
        <v>8</v>
      </c>
      <c r="D686" s="2">
        <v>42069</v>
      </c>
      <c r="E686" s="2">
        <v>42097</v>
      </c>
      <c r="F686" s="2">
        <v>42087</v>
      </c>
      <c r="G686">
        <v>1</v>
      </c>
      <c r="H686">
        <v>13464</v>
      </c>
    </row>
    <row r="687" spans="1:8" x14ac:dyDescent="0.3">
      <c r="A687">
        <v>10933</v>
      </c>
      <c r="B687" s="1" t="s">
        <v>191</v>
      </c>
      <c r="C687">
        <v>6</v>
      </c>
      <c r="D687" s="2">
        <v>42069</v>
      </c>
      <c r="E687" s="2">
        <v>42097</v>
      </c>
      <c r="F687" s="2">
        <v>42079</v>
      </c>
      <c r="G687">
        <v>3</v>
      </c>
      <c r="H687">
        <v>5415</v>
      </c>
    </row>
    <row r="688" spans="1:8" x14ac:dyDescent="0.3">
      <c r="A688">
        <v>10934</v>
      </c>
      <c r="B688" s="1" t="s">
        <v>215</v>
      </c>
      <c r="C688">
        <v>3</v>
      </c>
      <c r="D688" s="2">
        <v>42072</v>
      </c>
      <c r="E688" s="2">
        <v>42100</v>
      </c>
      <c r="F688" s="2">
        <v>42075</v>
      </c>
      <c r="G688">
        <v>3</v>
      </c>
      <c r="H688">
        <v>3201</v>
      </c>
    </row>
    <row r="689" spans="1:8" x14ac:dyDescent="0.3">
      <c r="A689">
        <v>10935</v>
      </c>
      <c r="B689" s="1" t="s">
        <v>382</v>
      </c>
      <c r="C689">
        <v>4</v>
      </c>
      <c r="D689" s="2">
        <v>42072</v>
      </c>
      <c r="E689" s="2">
        <v>42100</v>
      </c>
      <c r="F689" s="2">
        <v>42081</v>
      </c>
      <c r="G689">
        <v>3</v>
      </c>
      <c r="H689">
        <v>4759</v>
      </c>
    </row>
    <row r="690" spans="1:8" x14ac:dyDescent="0.3">
      <c r="A690">
        <v>10936</v>
      </c>
      <c r="B690" s="1" t="s">
        <v>164</v>
      </c>
      <c r="C690">
        <v>3</v>
      </c>
      <c r="D690" s="2">
        <v>42072</v>
      </c>
      <c r="E690" s="2">
        <v>42100</v>
      </c>
      <c r="F690" s="2">
        <v>42081</v>
      </c>
      <c r="G690">
        <v>2</v>
      </c>
      <c r="H690">
        <v>3368</v>
      </c>
    </row>
    <row r="691" spans="1:8" x14ac:dyDescent="0.3">
      <c r="A691">
        <v>10937</v>
      </c>
      <c r="B691" s="1" t="s">
        <v>79</v>
      </c>
      <c r="C691">
        <v>7</v>
      </c>
      <c r="D691" s="2">
        <v>42073</v>
      </c>
      <c r="E691" s="2">
        <v>42087</v>
      </c>
      <c r="F691" s="2">
        <v>42076</v>
      </c>
      <c r="G691">
        <v>3</v>
      </c>
      <c r="H691">
        <v>3151</v>
      </c>
    </row>
    <row r="692" spans="1:8" x14ac:dyDescent="0.3">
      <c r="A692">
        <v>10938</v>
      </c>
      <c r="B692" s="1" t="s">
        <v>286</v>
      </c>
      <c r="C692">
        <v>3</v>
      </c>
      <c r="D692" s="2">
        <v>42073</v>
      </c>
      <c r="E692" s="2">
        <v>42101</v>
      </c>
      <c r="F692" s="2">
        <v>42079</v>
      </c>
      <c r="G692">
        <v>2</v>
      </c>
      <c r="H692">
        <v>3189</v>
      </c>
    </row>
    <row r="693" spans="1:8" x14ac:dyDescent="0.3">
      <c r="A693">
        <v>10939</v>
      </c>
      <c r="B693" s="1" t="s">
        <v>235</v>
      </c>
      <c r="C693">
        <v>2</v>
      </c>
      <c r="D693" s="2">
        <v>42073</v>
      </c>
      <c r="E693" s="2">
        <v>42101</v>
      </c>
      <c r="F693" s="2">
        <v>42076</v>
      </c>
      <c r="G693">
        <v>2</v>
      </c>
      <c r="H693">
        <v>7633</v>
      </c>
    </row>
    <row r="694" spans="1:8" x14ac:dyDescent="0.3">
      <c r="A694">
        <v>10940</v>
      </c>
      <c r="B694" s="1" t="s">
        <v>66</v>
      </c>
      <c r="C694">
        <v>8</v>
      </c>
      <c r="D694" s="2">
        <v>42074</v>
      </c>
      <c r="E694" s="2">
        <v>42102</v>
      </c>
      <c r="F694" s="2">
        <v>42086</v>
      </c>
      <c r="G694">
        <v>3</v>
      </c>
      <c r="H694">
        <v>1977</v>
      </c>
    </row>
    <row r="695" spans="1:8" x14ac:dyDescent="0.3">
      <c r="A695">
        <v>10941</v>
      </c>
      <c r="B695" s="1" t="s">
        <v>317</v>
      </c>
      <c r="C695">
        <v>7</v>
      </c>
      <c r="D695" s="2">
        <v>42074</v>
      </c>
      <c r="E695" s="2">
        <v>42102</v>
      </c>
      <c r="F695" s="2">
        <v>42083</v>
      </c>
      <c r="G695">
        <v>2</v>
      </c>
      <c r="H695">
        <v>40081</v>
      </c>
    </row>
    <row r="696" spans="1:8" x14ac:dyDescent="0.3">
      <c r="A696">
        <v>10942</v>
      </c>
      <c r="B696" s="1" t="s">
        <v>298</v>
      </c>
      <c r="C696">
        <v>9</v>
      </c>
      <c r="D696" s="2">
        <v>42074</v>
      </c>
      <c r="E696" s="2">
        <v>42102</v>
      </c>
      <c r="F696" s="2">
        <v>42081</v>
      </c>
      <c r="G696">
        <v>3</v>
      </c>
      <c r="H696">
        <v>1795</v>
      </c>
    </row>
    <row r="697" spans="1:8" x14ac:dyDescent="0.3">
      <c r="A697">
        <v>10943</v>
      </c>
      <c r="B697" s="1" t="s">
        <v>76</v>
      </c>
      <c r="C697">
        <v>4</v>
      </c>
      <c r="D697" s="2">
        <v>42074</v>
      </c>
      <c r="E697" s="2">
        <v>42102</v>
      </c>
      <c r="F697" s="2">
        <v>42082</v>
      </c>
      <c r="G697">
        <v>2</v>
      </c>
      <c r="H697">
        <v>217</v>
      </c>
    </row>
    <row r="698" spans="1:8" x14ac:dyDescent="0.3">
      <c r="A698">
        <v>10944</v>
      </c>
      <c r="B698" s="1" t="s">
        <v>70</v>
      </c>
      <c r="C698">
        <v>6</v>
      </c>
      <c r="D698" s="2">
        <v>42075</v>
      </c>
      <c r="E698" s="2">
        <v>42089</v>
      </c>
      <c r="F698" s="2">
        <v>42076</v>
      </c>
      <c r="G698">
        <v>3</v>
      </c>
      <c r="H698">
        <v>5292</v>
      </c>
    </row>
    <row r="699" spans="1:8" x14ac:dyDescent="0.3">
      <c r="A699">
        <v>10945</v>
      </c>
      <c r="B699" s="1" t="s">
        <v>248</v>
      </c>
      <c r="C699">
        <v>4</v>
      </c>
      <c r="D699" s="2">
        <v>42075</v>
      </c>
      <c r="E699" s="2">
        <v>42103</v>
      </c>
      <c r="F699" s="2">
        <v>42081</v>
      </c>
      <c r="G699">
        <v>1</v>
      </c>
      <c r="H699">
        <v>1022</v>
      </c>
    </row>
    <row r="700" spans="1:8" x14ac:dyDescent="0.3">
      <c r="A700">
        <v>10946</v>
      </c>
      <c r="B700" s="1" t="s">
        <v>361</v>
      </c>
      <c r="C700">
        <v>1</v>
      </c>
      <c r="D700" s="2">
        <v>42075</v>
      </c>
      <c r="E700" s="2">
        <v>42103</v>
      </c>
      <c r="F700" s="2">
        <v>42082</v>
      </c>
      <c r="G700">
        <v>2</v>
      </c>
      <c r="H700">
        <v>272</v>
      </c>
    </row>
    <row r="701" spans="1:8" x14ac:dyDescent="0.3">
      <c r="A701">
        <v>10947</v>
      </c>
      <c r="B701" s="1" t="s">
        <v>76</v>
      </c>
      <c r="C701">
        <v>3</v>
      </c>
      <c r="D701" s="2">
        <v>42076</v>
      </c>
      <c r="E701" s="2">
        <v>42104</v>
      </c>
      <c r="F701" s="2">
        <v>42079</v>
      </c>
      <c r="G701">
        <v>2</v>
      </c>
      <c r="H701">
        <v>326</v>
      </c>
    </row>
    <row r="702" spans="1:8" x14ac:dyDescent="0.3">
      <c r="A702">
        <v>10948</v>
      </c>
      <c r="B702" s="1" t="s">
        <v>156</v>
      </c>
      <c r="C702">
        <v>3</v>
      </c>
      <c r="D702" s="2">
        <v>42076</v>
      </c>
      <c r="E702" s="2">
        <v>42104</v>
      </c>
      <c r="F702" s="2">
        <v>42082</v>
      </c>
      <c r="G702">
        <v>3</v>
      </c>
      <c r="H702">
        <v>2339</v>
      </c>
    </row>
    <row r="703" spans="1:8" x14ac:dyDescent="0.3">
      <c r="A703">
        <v>10949</v>
      </c>
      <c r="B703" s="1" t="s">
        <v>70</v>
      </c>
      <c r="C703">
        <v>2</v>
      </c>
      <c r="D703" s="2">
        <v>42076</v>
      </c>
      <c r="E703" s="2">
        <v>42104</v>
      </c>
      <c r="F703" s="2">
        <v>42080</v>
      </c>
      <c r="G703">
        <v>3</v>
      </c>
      <c r="H703">
        <v>7444</v>
      </c>
    </row>
    <row r="704" spans="1:8" x14ac:dyDescent="0.3">
      <c r="A704">
        <v>10950</v>
      </c>
      <c r="B704" s="1" t="s">
        <v>235</v>
      </c>
      <c r="C704">
        <v>1</v>
      </c>
      <c r="D704" s="2">
        <v>42079</v>
      </c>
      <c r="E704" s="2">
        <v>42107</v>
      </c>
      <c r="F704" s="2">
        <v>42086</v>
      </c>
      <c r="G704">
        <v>2</v>
      </c>
      <c r="H704">
        <v>25</v>
      </c>
    </row>
    <row r="705" spans="1:8" x14ac:dyDescent="0.3">
      <c r="A705">
        <v>10951</v>
      </c>
      <c r="B705" s="1" t="s">
        <v>305</v>
      </c>
      <c r="C705">
        <v>9</v>
      </c>
      <c r="D705" s="2">
        <v>42079</v>
      </c>
      <c r="E705" s="2">
        <v>42121</v>
      </c>
      <c r="F705" s="2">
        <v>42101</v>
      </c>
      <c r="G705">
        <v>2</v>
      </c>
      <c r="H705">
        <v>3085</v>
      </c>
    </row>
    <row r="706" spans="1:8" x14ac:dyDescent="0.3">
      <c r="A706">
        <v>10952</v>
      </c>
      <c r="B706" s="1" t="s">
        <v>25</v>
      </c>
      <c r="C706">
        <v>1</v>
      </c>
      <c r="D706" s="2">
        <v>42079</v>
      </c>
      <c r="E706" s="2">
        <v>42121</v>
      </c>
      <c r="F706" s="2">
        <v>42087</v>
      </c>
      <c r="G706">
        <v>1</v>
      </c>
      <c r="H706">
        <v>4042</v>
      </c>
    </row>
    <row r="707" spans="1:8" x14ac:dyDescent="0.3">
      <c r="A707">
        <v>10953</v>
      </c>
      <c r="B707" s="1" t="s">
        <v>40</v>
      </c>
      <c r="C707">
        <v>9</v>
      </c>
      <c r="D707" s="2">
        <v>42079</v>
      </c>
      <c r="E707" s="2">
        <v>42093</v>
      </c>
      <c r="F707" s="2">
        <v>42088</v>
      </c>
      <c r="G707">
        <v>2</v>
      </c>
      <c r="H707">
        <v>2372</v>
      </c>
    </row>
    <row r="708" spans="1:8" x14ac:dyDescent="0.3">
      <c r="A708">
        <v>10954</v>
      </c>
      <c r="B708" s="1" t="s">
        <v>227</v>
      </c>
      <c r="C708">
        <v>5</v>
      </c>
      <c r="D708" s="2">
        <v>42080</v>
      </c>
      <c r="E708" s="2">
        <v>42122</v>
      </c>
      <c r="F708" s="2">
        <v>42083</v>
      </c>
      <c r="G708">
        <v>1</v>
      </c>
      <c r="H708">
        <v>2791</v>
      </c>
    </row>
    <row r="709" spans="1:8" x14ac:dyDescent="0.3">
      <c r="A709">
        <v>10955</v>
      </c>
      <c r="B709" s="1" t="s">
        <v>131</v>
      </c>
      <c r="C709">
        <v>8</v>
      </c>
      <c r="D709" s="2">
        <v>42080</v>
      </c>
      <c r="E709" s="2">
        <v>42108</v>
      </c>
      <c r="F709" s="2">
        <v>42083</v>
      </c>
      <c r="G709">
        <v>2</v>
      </c>
      <c r="H709">
        <v>326</v>
      </c>
    </row>
    <row r="710" spans="1:8" x14ac:dyDescent="0.3">
      <c r="A710">
        <v>10956</v>
      </c>
      <c r="B710" s="1" t="s">
        <v>51</v>
      </c>
      <c r="C710">
        <v>6</v>
      </c>
      <c r="D710" s="2">
        <v>42080</v>
      </c>
      <c r="E710" s="2">
        <v>42122</v>
      </c>
      <c r="F710" s="2">
        <v>42083</v>
      </c>
      <c r="G710">
        <v>2</v>
      </c>
      <c r="H710">
        <v>4465</v>
      </c>
    </row>
    <row r="711" spans="1:8" x14ac:dyDescent="0.3">
      <c r="A711">
        <v>10957</v>
      </c>
      <c r="B711" s="1" t="s">
        <v>178</v>
      </c>
      <c r="C711">
        <v>8</v>
      </c>
      <c r="D711" s="2">
        <v>42081</v>
      </c>
      <c r="E711" s="2">
        <v>42109</v>
      </c>
      <c r="F711" s="2">
        <v>42090</v>
      </c>
      <c r="G711">
        <v>3</v>
      </c>
      <c r="H711">
        <v>10536</v>
      </c>
    </row>
    <row r="712" spans="1:8" x14ac:dyDescent="0.3">
      <c r="A712">
        <v>10958</v>
      </c>
      <c r="B712" s="1" t="s">
        <v>255</v>
      </c>
      <c r="C712">
        <v>7</v>
      </c>
      <c r="D712" s="2">
        <v>42081</v>
      </c>
      <c r="E712" s="2">
        <v>42109</v>
      </c>
      <c r="F712" s="2">
        <v>42090</v>
      </c>
      <c r="G712">
        <v>2</v>
      </c>
      <c r="H712">
        <v>4956</v>
      </c>
    </row>
    <row r="713" spans="1:8" x14ac:dyDescent="0.3">
      <c r="A713">
        <v>10959</v>
      </c>
      <c r="B713" s="1" t="s">
        <v>160</v>
      </c>
      <c r="C713">
        <v>6</v>
      </c>
      <c r="D713" s="2">
        <v>42081</v>
      </c>
      <c r="E713" s="2">
        <v>42123</v>
      </c>
      <c r="F713" s="2">
        <v>42086</v>
      </c>
      <c r="G713">
        <v>2</v>
      </c>
      <c r="H713">
        <v>498</v>
      </c>
    </row>
    <row r="714" spans="1:8" x14ac:dyDescent="0.3">
      <c r="A714">
        <v>10960</v>
      </c>
      <c r="B714" s="1" t="s">
        <v>178</v>
      </c>
      <c r="C714">
        <v>3</v>
      </c>
      <c r="D714" s="2">
        <v>42082</v>
      </c>
      <c r="E714" s="2">
        <v>42096</v>
      </c>
      <c r="F714" s="2">
        <v>42102</v>
      </c>
      <c r="G714">
        <v>1</v>
      </c>
      <c r="H714">
        <v>208</v>
      </c>
    </row>
    <row r="715" spans="1:8" x14ac:dyDescent="0.3">
      <c r="A715">
        <v>10961</v>
      </c>
      <c r="B715" s="1" t="s">
        <v>283</v>
      </c>
      <c r="C715">
        <v>8</v>
      </c>
      <c r="D715" s="2">
        <v>42082</v>
      </c>
      <c r="E715" s="2">
        <v>42110</v>
      </c>
      <c r="F715" s="2">
        <v>42093</v>
      </c>
      <c r="G715">
        <v>1</v>
      </c>
      <c r="H715">
        <v>10447</v>
      </c>
    </row>
    <row r="716" spans="1:8" x14ac:dyDescent="0.3">
      <c r="A716">
        <v>10962</v>
      </c>
      <c r="B716" s="1" t="s">
        <v>286</v>
      </c>
      <c r="C716">
        <v>8</v>
      </c>
      <c r="D716" s="2">
        <v>42082</v>
      </c>
      <c r="E716" s="2">
        <v>42110</v>
      </c>
      <c r="F716" s="2">
        <v>42086</v>
      </c>
      <c r="G716">
        <v>2</v>
      </c>
      <c r="H716">
        <v>27579</v>
      </c>
    </row>
    <row r="717" spans="1:8" x14ac:dyDescent="0.3">
      <c r="A717">
        <v>10963</v>
      </c>
      <c r="B717" s="1" t="s">
        <v>147</v>
      </c>
      <c r="C717">
        <v>9</v>
      </c>
      <c r="D717" s="2">
        <v>42082</v>
      </c>
      <c r="E717" s="2">
        <v>42110</v>
      </c>
      <c r="F717" s="2">
        <v>42089</v>
      </c>
      <c r="G717">
        <v>3</v>
      </c>
      <c r="H717">
        <v>27</v>
      </c>
    </row>
    <row r="718" spans="1:8" x14ac:dyDescent="0.3">
      <c r="A718">
        <v>10964</v>
      </c>
      <c r="B718" s="1" t="s">
        <v>329</v>
      </c>
      <c r="C718">
        <v>3</v>
      </c>
      <c r="D718" s="2">
        <v>42083</v>
      </c>
      <c r="E718" s="2">
        <v>42111</v>
      </c>
      <c r="F718" s="2">
        <v>42087</v>
      </c>
      <c r="G718">
        <v>2</v>
      </c>
      <c r="H718">
        <v>8738</v>
      </c>
    </row>
    <row r="719" spans="1:8" x14ac:dyDescent="0.3">
      <c r="A719">
        <v>10965</v>
      </c>
      <c r="B719" s="1" t="s">
        <v>258</v>
      </c>
      <c r="C719">
        <v>6</v>
      </c>
      <c r="D719" s="2">
        <v>42083</v>
      </c>
      <c r="E719" s="2">
        <v>42111</v>
      </c>
      <c r="F719" s="2">
        <v>42093</v>
      </c>
      <c r="G719">
        <v>3</v>
      </c>
      <c r="H719">
        <v>14438</v>
      </c>
    </row>
    <row r="720" spans="1:8" x14ac:dyDescent="0.3">
      <c r="A720">
        <v>10966</v>
      </c>
      <c r="B720" s="1" t="s">
        <v>88</v>
      </c>
      <c r="C720">
        <v>4</v>
      </c>
      <c r="D720" s="2">
        <v>42083</v>
      </c>
      <c r="E720" s="2">
        <v>42111</v>
      </c>
      <c r="F720" s="2">
        <v>42102</v>
      </c>
      <c r="G720">
        <v>1</v>
      </c>
      <c r="H720">
        <v>2719</v>
      </c>
    </row>
    <row r="721" spans="1:8" x14ac:dyDescent="0.3">
      <c r="A721">
        <v>10967</v>
      </c>
      <c r="B721" s="1" t="s">
        <v>347</v>
      </c>
      <c r="C721">
        <v>2</v>
      </c>
      <c r="D721" s="2">
        <v>42086</v>
      </c>
      <c r="E721" s="2">
        <v>42114</v>
      </c>
      <c r="F721" s="2">
        <v>42096</v>
      </c>
      <c r="G721">
        <v>2</v>
      </c>
      <c r="H721">
        <v>6222</v>
      </c>
    </row>
    <row r="722" spans="1:8" x14ac:dyDescent="0.3">
      <c r="A722">
        <v>10968</v>
      </c>
      <c r="B722" s="1" t="s">
        <v>113</v>
      </c>
      <c r="C722">
        <v>1</v>
      </c>
      <c r="D722" s="2">
        <v>42086</v>
      </c>
      <c r="E722" s="2">
        <v>42114</v>
      </c>
      <c r="F722" s="2">
        <v>42095</v>
      </c>
      <c r="G722">
        <v>3</v>
      </c>
      <c r="H722">
        <v>746</v>
      </c>
    </row>
    <row r="723" spans="1:8" x14ac:dyDescent="0.3">
      <c r="A723">
        <v>10969</v>
      </c>
      <c r="B723" s="1" t="s">
        <v>93</v>
      </c>
      <c r="C723">
        <v>1</v>
      </c>
      <c r="D723" s="2">
        <v>42086</v>
      </c>
      <c r="E723" s="2">
        <v>42114</v>
      </c>
      <c r="F723" s="2">
        <v>42093</v>
      </c>
      <c r="G723">
        <v>2</v>
      </c>
      <c r="H723">
        <v>21</v>
      </c>
    </row>
    <row r="724" spans="1:8" x14ac:dyDescent="0.3">
      <c r="A724">
        <v>10970</v>
      </c>
      <c r="B724" s="1" t="s">
        <v>61</v>
      </c>
      <c r="C724">
        <v>9</v>
      </c>
      <c r="D724" s="2">
        <v>42087</v>
      </c>
      <c r="E724" s="2">
        <v>42101</v>
      </c>
      <c r="F724" s="2">
        <v>42118</v>
      </c>
      <c r="G724">
        <v>1</v>
      </c>
      <c r="H724">
        <v>1616</v>
      </c>
    </row>
    <row r="725" spans="1:8" x14ac:dyDescent="0.3">
      <c r="A725">
        <v>10971</v>
      </c>
      <c r="B725" s="1" t="s">
        <v>139</v>
      </c>
      <c r="C725">
        <v>2</v>
      </c>
      <c r="D725" s="2">
        <v>42087</v>
      </c>
      <c r="E725" s="2">
        <v>42115</v>
      </c>
      <c r="F725" s="2">
        <v>42096</v>
      </c>
      <c r="G725">
        <v>2</v>
      </c>
      <c r="H725">
        <v>12182</v>
      </c>
    </row>
    <row r="726" spans="1:8" x14ac:dyDescent="0.3">
      <c r="A726">
        <v>10972</v>
      </c>
      <c r="B726" s="1" t="s">
        <v>199</v>
      </c>
      <c r="C726">
        <v>4</v>
      </c>
      <c r="D726" s="2">
        <v>42087</v>
      </c>
      <c r="E726" s="2">
        <v>42115</v>
      </c>
      <c r="F726" s="2">
        <v>42089</v>
      </c>
      <c r="G726">
        <v>2</v>
      </c>
      <c r="H726">
        <v>2</v>
      </c>
    </row>
    <row r="727" spans="1:8" x14ac:dyDescent="0.3">
      <c r="A727">
        <v>10973</v>
      </c>
      <c r="B727" s="1" t="s">
        <v>199</v>
      </c>
      <c r="C727">
        <v>6</v>
      </c>
      <c r="D727" s="2">
        <v>42087</v>
      </c>
      <c r="E727" s="2">
        <v>42115</v>
      </c>
      <c r="F727" s="2">
        <v>42090</v>
      </c>
      <c r="G727">
        <v>2</v>
      </c>
      <c r="H727">
        <v>1517</v>
      </c>
    </row>
    <row r="728" spans="1:8" x14ac:dyDescent="0.3">
      <c r="A728">
        <v>10974</v>
      </c>
      <c r="B728" s="1" t="s">
        <v>332</v>
      </c>
      <c r="C728">
        <v>3</v>
      </c>
      <c r="D728" s="2">
        <v>42088</v>
      </c>
      <c r="E728" s="2">
        <v>42102</v>
      </c>
      <c r="F728" s="2">
        <v>42097</v>
      </c>
      <c r="G728">
        <v>3</v>
      </c>
      <c r="H728">
        <v>1296</v>
      </c>
    </row>
    <row r="729" spans="1:8" x14ac:dyDescent="0.3">
      <c r="A729">
        <v>10975</v>
      </c>
      <c r="B729" s="1" t="s">
        <v>70</v>
      </c>
      <c r="C729">
        <v>1</v>
      </c>
      <c r="D729" s="2">
        <v>42088</v>
      </c>
      <c r="E729" s="2">
        <v>42116</v>
      </c>
      <c r="F729" s="2">
        <v>42090</v>
      </c>
      <c r="G729">
        <v>3</v>
      </c>
      <c r="H729">
        <v>3227</v>
      </c>
    </row>
    <row r="730" spans="1:8" x14ac:dyDescent="0.3">
      <c r="A730">
        <v>10976</v>
      </c>
      <c r="B730" s="1" t="s">
        <v>178</v>
      </c>
      <c r="C730">
        <v>1</v>
      </c>
      <c r="D730" s="2">
        <v>42088</v>
      </c>
      <c r="E730" s="2">
        <v>42130</v>
      </c>
      <c r="F730" s="2">
        <v>42097</v>
      </c>
      <c r="G730">
        <v>1</v>
      </c>
      <c r="H730">
        <v>3797</v>
      </c>
    </row>
    <row r="731" spans="1:8" x14ac:dyDescent="0.3">
      <c r="A731">
        <v>10977</v>
      </c>
      <c r="B731" s="1" t="s">
        <v>131</v>
      </c>
      <c r="C731">
        <v>8</v>
      </c>
      <c r="D731" s="2">
        <v>42089</v>
      </c>
      <c r="E731" s="2">
        <v>42117</v>
      </c>
      <c r="F731" s="2">
        <v>42104</v>
      </c>
      <c r="G731">
        <v>3</v>
      </c>
      <c r="H731">
        <v>2085</v>
      </c>
    </row>
    <row r="732" spans="1:8" x14ac:dyDescent="0.3">
      <c r="A732">
        <v>10978</v>
      </c>
      <c r="B732" s="1" t="s">
        <v>239</v>
      </c>
      <c r="C732">
        <v>9</v>
      </c>
      <c r="D732" s="2">
        <v>42089</v>
      </c>
      <c r="E732" s="2">
        <v>42117</v>
      </c>
      <c r="F732" s="2">
        <v>42117</v>
      </c>
      <c r="G732">
        <v>2</v>
      </c>
      <c r="H732">
        <v>3282</v>
      </c>
    </row>
    <row r="733" spans="1:8" x14ac:dyDescent="0.3">
      <c r="A733">
        <v>10979</v>
      </c>
      <c r="B733" s="1" t="s">
        <v>113</v>
      </c>
      <c r="C733">
        <v>8</v>
      </c>
      <c r="D733" s="2">
        <v>42089</v>
      </c>
      <c r="E733" s="2">
        <v>42117</v>
      </c>
      <c r="F733" s="2">
        <v>42094</v>
      </c>
      <c r="G733">
        <v>2</v>
      </c>
      <c r="H733">
        <v>35307</v>
      </c>
    </row>
    <row r="734" spans="1:8" x14ac:dyDescent="0.3">
      <c r="A734">
        <v>10980</v>
      </c>
      <c r="B734" s="1" t="s">
        <v>131</v>
      </c>
      <c r="C734">
        <v>4</v>
      </c>
      <c r="D734" s="2">
        <v>42090</v>
      </c>
      <c r="E734" s="2">
        <v>42132</v>
      </c>
      <c r="F734" s="2">
        <v>42111</v>
      </c>
      <c r="G734">
        <v>1</v>
      </c>
      <c r="H734">
        <v>126</v>
      </c>
    </row>
    <row r="735" spans="1:8" x14ac:dyDescent="0.3">
      <c r="A735">
        <v>10981</v>
      </c>
      <c r="B735" s="1" t="s">
        <v>174</v>
      </c>
      <c r="C735">
        <v>1</v>
      </c>
      <c r="D735" s="2">
        <v>42090</v>
      </c>
      <c r="E735" s="2">
        <v>42118</v>
      </c>
      <c r="F735" s="2">
        <v>42096</v>
      </c>
      <c r="G735">
        <v>2</v>
      </c>
      <c r="H735">
        <v>19337</v>
      </c>
    </row>
    <row r="736" spans="1:8" x14ac:dyDescent="0.3">
      <c r="A736">
        <v>10982</v>
      </c>
      <c r="B736" s="1" t="s">
        <v>70</v>
      </c>
      <c r="C736">
        <v>2</v>
      </c>
      <c r="D736" s="2">
        <v>42090</v>
      </c>
      <c r="E736" s="2">
        <v>42118</v>
      </c>
      <c r="F736" s="2">
        <v>42102</v>
      </c>
      <c r="G736">
        <v>1</v>
      </c>
      <c r="H736">
        <v>1401</v>
      </c>
    </row>
    <row r="737" spans="1:8" x14ac:dyDescent="0.3">
      <c r="A737">
        <v>10983</v>
      </c>
      <c r="B737" s="1" t="s">
        <v>317</v>
      </c>
      <c r="C737">
        <v>2</v>
      </c>
      <c r="D737" s="2">
        <v>42090</v>
      </c>
      <c r="E737" s="2">
        <v>42118</v>
      </c>
      <c r="F737" s="2">
        <v>42100</v>
      </c>
      <c r="G737">
        <v>2</v>
      </c>
      <c r="H737">
        <v>65754</v>
      </c>
    </row>
    <row r="738" spans="1:8" x14ac:dyDescent="0.3">
      <c r="A738">
        <v>10984</v>
      </c>
      <c r="B738" s="1" t="s">
        <v>317</v>
      </c>
      <c r="C738">
        <v>1</v>
      </c>
      <c r="D738" s="2">
        <v>42093</v>
      </c>
      <c r="E738" s="2">
        <v>42121</v>
      </c>
      <c r="F738" s="2">
        <v>42097</v>
      </c>
      <c r="G738">
        <v>3</v>
      </c>
      <c r="H738">
        <v>21122</v>
      </c>
    </row>
    <row r="739" spans="1:8" x14ac:dyDescent="0.3">
      <c r="A739">
        <v>10985</v>
      </c>
      <c r="B739" s="1" t="s">
        <v>186</v>
      </c>
      <c r="C739">
        <v>2</v>
      </c>
      <c r="D739" s="2">
        <v>42093</v>
      </c>
      <c r="E739" s="2">
        <v>42121</v>
      </c>
      <c r="F739" s="2">
        <v>42096</v>
      </c>
      <c r="G739">
        <v>1</v>
      </c>
      <c r="H739">
        <v>9151</v>
      </c>
    </row>
    <row r="740" spans="1:8" x14ac:dyDescent="0.3">
      <c r="A740">
        <v>10986</v>
      </c>
      <c r="B740" s="1" t="s">
        <v>255</v>
      </c>
      <c r="C740">
        <v>8</v>
      </c>
      <c r="D740" s="2">
        <v>42093</v>
      </c>
      <c r="E740" s="2">
        <v>42121</v>
      </c>
      <c r="F740" s="2">
        <v>42115</v>
      </c>
      <c r="G740">
        <v>2</v>
      </c>
      <c r="H740">
        <v>21786</v>
      </c>
    </row>
    <row r="741" spans="1:8" x14ac:dyDescent="0.3">
      <c r="A741">
        <v>10987</v>
      </c>
      <c r="B741" s="1" t="s">
        <v>110</v>
      </c>
      <c r="C741">
        <v>8</v>
      </c>
      <c r="D741" s="2">
        <v>42094</v>
      </c>
      <c r="E741" s="2">
        <v>42122</v>
      </c>
      <c r="F741" s="2">
        <v>42100</v>
      </c>
      <c r="G741">
        <v>1</v>
      </c>
      <c r="H741">
        <v>18548</v>
      </c>
    </row>
    <row r="742" spans="1:8" x14ac:dyDescent="0.3">
      <c r="A742">
        <v>10988</v>
      </c>
      <c r="B742" s="1" t="s">
        <v>293</v>
      </c>
      <c r="C742">
        <v>3</v>
      </c>
      <c r="D742" s="2">
        <v>42094</v>
      </c>
      <c r="E742" s="2">
        <v>42122</v>
      </c>
      <c r="F742" s="2">
        <v>42104</v>
      </c>
      <c r="G742">
        <v>2</v>
      </c>
      <c r="H742">
        <v>6114</v>
      </c>
    </row>
    <row r="743" spans="1:8" x14ac:dyDescent="0.3">
      <c r="A743">
        <v>10989</v>
      </c>
      <c r="B743" s="1" t="s">
        <v>280</v>
      </c>
      <c r="C743">
        <v>2</v>
      </c>
      <c r="D743" s="2">
        <v>42094</v>
      </c>
      <c r="E743" s="2">
        <v>42122</v>
      </c>
      <c r="F743" s="2">
        <v>42096</v>
      </c>
      <c r="G743">
        <v>1</v>
      </c>
      <c r="H743">
        <v>3476</v>
      </c>
    </row>
    <row r="744" spans="1:8" x14ac:dyDescent="0.3">
      <c r="A744">
        <v>10990</v>
      </c>
      <c r="B744" s="1" t="s">
        <v>113</v>
      </c>
      <c r="C744">
        <v>2</v>
      </c>
      <c r="D744" s="2">
        <v>42095</v>
      </c>
      <c r="E744" s="2">
        <v>42137</v>
      </c>
      <c r="F744" s="2">
        <v>42101</v>
      </c>
      <c r="G744">
        <v>3</v>
      </c>
      <c r="H744">
        <v>11761</v>
      </c>
    </row>
    <row r="745" spans="1:8" x14ac:dyDescent="0.3">
      <c r="A745">
        <v>10991</v>
      </c>
      <c r="B745" s="1" t="s">
        <v>286</v>
      </c>
      <c r="C745">
        <v>1</v>
      </c>
      <c r="D745" s="2">
        <v>42095</v>
      </c>
      <c r="E745" s="2">
        <v>42123</v>
      </c>
      <c r="F745" s="2">
        <v>42101</v>
      </c>
      <c r="G745">
        <v>1</v>
      </c>
      <c r="H745">
        <v>3851</v>
      </c>
    </row>
    <row r="746" spans="1:8" x14ac:dyDescent="0.3">
      <c r="A746">
        <v>10992</v>
      </c>
      <c r="B746" s="1" t="s">
        <v>340</v>
      </c>
      <c r="C746">
        <v>1</v>
      </c>
      <c r="D746" s="2">
        <v>42095</v>
      </c>
      <c r="E746" s="2">
        <v>42123</v>
      </c>
      <c r="F746" s="2">
        <v>42097</v>
      </c>
      <c r="G746">
        <v>3</v>
      </c>
      <c r="H746">
        <v>427</v>
      </c>
    </row>
    <row r="747" spans="1:8" x14ac:dyDescent="0.3">
      <c r="A747">
        <v>10993</v>
      </c>
      <c r="B747" s="1" t="s">
        <v>131</v>
      </c>
      <c r="C747">
        <v>7</v>
      </c>
      <c r="D747" s="2">
        <v>42095</v>
      </c>
      <c r="E747" s="2">
        <v>42123</v>
      </c>
      <c r="F747" s="2">
        <v>42104</v>
      </c>
      <c r="G747">
        <v>3</v>
      </c>
      <c r="H747">
        <v>881</v>
      </c>
    </row>
    <row r="748" spans="1:8" x14ac:dyDescent="0.3">
      <c r="A748">
        <v>10994</v>
      </c>
      <c r="B748" s="1" t="s">
        <v>361</v>
      </c>
      <c r="C748">
        <v>2</v>
      </c>
      <c r="D748" s="2">
        <v>42096</v>
      </c>
      <c r="E748" s="2">
        <v>42110</v>
      </c>
      <c r="F748" s="2">
        <v>42103</v>
      </c>
      <c r="G748">
        <v>3</v>
      </c>
      <c r="H748">
        <v>6553</v>
      </c>
    </row>
    <row r="749" spans="1:8" x14ac:dyDescent="0.3">
      <c r="A749">
        <v>10995</v>
      </c>
      <c r="B749" s="1" t="s">
        <v>270</v>
      </c>
      <c r="C749">
        <v>1</v>
      </c>
      <c r="D749" s="2">
        <v>42096</v>
      </c>
      <c r="E749" s="2">
        <v>42124</v>
      </c>
      <c r="F749" s="2">
        <v>42100</v>
      </c>
      <c r="G749">
        <v>3</v>
      </c>
      <c r="H749">
        <v>46</v>
      </c>
    </row>
    <row r="750" spans="1:8" x14ac:dyDescent="0.3">
      <c r="A750">
        <v>10996</v>
      </c>
      <c r="B750" s="1" t="s">
        <v>286</v>
      </c>
      <c r="C750">
        <v>4</v>
      </c>
      <c r="D750" s="2">
        <v>42096</v>
      </c>
      <c r="E750" s="2">
        <v>42124</v>
      </c>
      <c r="F750" s="2">
        <v>42104</v>
      </c>
      <c r="G750">
        <v>2</v>
      </c>
      <c r="H750">
        <v>112</v>
      </c>
    </row>
    <row r="751" spans="1:8" x14ac:dyDescent="0.3">
      <c r="A751">
        <v>10997</v>
      </c>
      <c r="B751" s="1" t="s">
        <v>223</v>
      </c>
      <c r="C751">
        <v>8</v>
      </c>
      <c r="D751" s="2">
        <v>42097</v>
      </c>
      <c r="E751" s="2">
        <v>42139</v>
      </c>
      <c r="F751" s="2">
        <v>42107</v>
      </c>
      <c r="G751">
        <v>2</v>
      </c>
      <c r="H751">
        <v>7391</v>
      </c>
    </row>
    <row r="752" spans="1:8" x14ac:dyDescent="0.3">
      <c r="A752">
        <v>10998</v>
      </c>
      <c r="B752" s="1" t="s">
        <v>395</v>
      </c>
      <c r="C752">
        <v>8</v>
      </c>
      <c r="D752" s="2">
        <v>42097</v>
      </c>
      <c r="E752" s="2">
        <v>42111</v>
      </c>
      <c r="F752" s="2">
        <v>42111</v>
      </c>
      <c r="G752">
        <v>2</v>
      </c>
      <c r="H752">
        <v>2031</v>
      </c>
    </row>
    <row r="753" spans="1:8" x14ac:dyDescent="0.3">
      <c r="A753">
        <v>10999</v>
      </c>
      <c r="B753" s="1" t="s">
        <v>262</v>
      </c>
      <c r="C753">
        <v>6</v>
      </c>
      <c r="D753" s="2">
        <v>42097</v>
      </c>
      <c r="E753" s="2">
        <v>42125</v>
      </c>
      <c r="F753" s="2">
        <v>42104</v>
      </c>
      <c r="G753">
        <v>2</v>
      </c>
      <c r="H753">
        <v>9635</v>
      </c>
    </row>
    <row r="754" spans="1:8" x14ac:dyDescent="0.3">
      <c r="A754">
        <v>11000</v>
      </c>
      <c r="B754" s="1" t="s">
        <v>293</v>
      </c>
      <c r="C754">
        <v>2</v>
      </c>
      <c r="D754" s="2">
        <v>42100</v>
      </c>
      <c r="E754" s="2">
        <v>42128</v>
      </c>
      <c r="F754" s="2">
        <v>42108</v>
      </c>
      <c r="G754">
        <v>3</v>
      </c>
      <c r="H754">
        <v>5512</v>
      </c>
    </row>
    <row r="755" spans="1:8" x14ac:dyDescent="0.3">
      <c r="A755">
        <v>11001</v>
      </c>
      <c r="B755" s="1" t="s">
        <v>131</v>
      </c>
      <c r="C755">
        <v>2</v>
      </c>
      <c r="D755" s="2">
        <v>42100</v>
      </c>
      <c r="E755" s="2">
        <v>42128</v>
      </c>
      <c r="F755" s="2">
        <v>42108</v>
      </c>
      <c r="G755">
        <v>2</v>
      </c>
      <c r="H755">
        <v>1973</v>
      </c>
    </row>
    <row r="756" spans="1:8" x14ac:dyDescent="0.3">
      <c r="A756">
        <v>11002</v>
      </c>
      <c r="B756" s="1" t="s">
        <v>317</v>
      </c>
      <c r="C756">
        <v>4</v>
      </c>
      <c r="D756" s="2">
        <v>42100</v>
      </c>
      <c r="E756" s="2">
        <v>42128</v>
      </c>
      <c r="F756" s="2">
        <v>42110</v>
      </c>
      <c r="G756">
        <v>1</v>
      </c>
      <c r="H756">
        <v>14116</v>
      </c>
    </row>
    <row r="757" spans="1:8" x14ac:dyDescent="0.3">
      <c r="A757">
        <v>11003</v>
      </c>
      <c r="B757" s="1" t="s">
        <v>343</v>
      </c>
      <c r="C757">
        <v>3</v>
      </c>
      <c r="D757" s="2">
        <v>42100</v>
      </c>
      <c r="E757" s="2">
        <v>42128</v>
      </c>
      <c r="F757" s="2">
        <v>42102</v>
      </c>
      <c r="G757">
        <v>3</v>
      </c>
      <c r="H757">
        <v>1491</v>
      </c>
    </row>
    <row r="758" spans="1:8" x14ac:dyDescent="0.3">
      <c r="A758">
        <v>11004</v>
      </c>
      <c r="B758" s="1" t="s">
        <v>239</v>
      </c>
      <c r="C758">
        <v>3</v>
      </c>
      <c r="D758" s="2">
        <v>42101</v>
      </c>
      <c r="E758" s="2">
        <v>42129</v>
      </c>
      <c r="F758" s="2">
        <v>42114</v>
      </c>
      <c r="G758">
        <v>1</v>
      </c>
      <c r="H758">
        <v>4484</v>
      </c>
    </row>
    <row r="759" spans="1:8" x14ac:dyDescent="0.3">
      <c r="A759">
        <v>11005</v>
      </c>
      <c r="B759" s="1" t="s">
        <v>390</v>
      </c>
      <c r="C759">
        <v>2</v>
      </c>
      <c r="D759" s="2">
        <v>42101</v>
      </c>
      <c r="E759" s="2">
        <v>42129</v>
      </c>
      <c r="F759" s="2">
        <v>42104</v>
      </c>
      <c r="G759">
        <v>1</v>
      </c>
      <c r="H759">
        <v>75</v>
      </c>
    </row>
    <row r="760" spans="1:8" x14ac:dyDescent="0.3">
      <c r="A760">
        <v>11006</v>
      </c>
      <c r="B760" s="1" t="s">
        <v>164</v>
      </c>
      <c r="C760">
        <v>3</v>
      </c>
      <c r="D760" s="2">
        <v>42101</v>
      </c>
      <c r="E760" s="2">
        <v>42129</v>
      </c>
      <c r="F760" s="2">
        <v>42109</v>
      </c>
      <c r="G760">
        <v>2</v>
      </c>
      <c r="H760">
        <v>2519</v>
      </c>
    </row>
    <row r="761" spans="1:8" x14ac:dyDescent="0.3">
      <c r="A761">
        <v>11007</v>
      </c>
      <c r="B761" s="1" t="s">
        <v>277</v>
      </c>
      <c r="C761">
        <v>8</v>
      </c>
      <c r="D761" s="2">
        <v>42102</v>
      </c>
      <c r="E761" s="2">
        <v>42130</v>
      </c>
      <c r="F761" s="2">
        <v>42107</v>
      </c>
      <c r="G761">
        <v>2</v>
      </c>
      <c r="H761">
        <v>20224</v>
      </c>
    </row>
    <row r="762" spans="1:8" x14ac:dyDescent="0.3">
      <c r="A762">
        <v>11008</v>
      </c>
      <c r="B762" s="1" t="s">
        <v>113</v>
      </c>
      <c r="C762">
        <v>7</v>
      </c>
      <c r="D762" s="2">
        <v>42102</v>
      </c>
      <c r="E762" s="2">
        <v>42130</v>
      </c>
      <c r="F762" s="2"/>
      <c r="G762">
        <v>3</v>
      </c>
      <c r="H762">
        <v>7946</v>
      </c>
    </row>
    <row r="763" spans="1:8" x14ac:dyDescent="0.3">
      <c r="A763">
        <v>11009</v>
      </c>
      <c r="B763" s="1" t="s">
        <v>156</v>
      </c>
      <c r="C763">
        <v>2</v>
      </c>
      <c r="D763" s="2">
        <v>42102</v>
      </c>
      <c r="E763" s="2">
        <v>42130</v>
      </c>
      <c r="F763" s="2">
        <v>42104</v>
      </c>
      <c r="G763">
        <v>1</v>
      </c>
      <c r="H763">
        <v>5911</v>
      </c>
    </row>
    <row r="764" spans="1:8" x14ac:dyDescent="0.3">
      <c r="A764">
        <v>11010</v>
      </c>
      <c r="B764" s="1" t="s">
        <v>298</v>
      </c>
      <c r="C764">
        <v>2</v>
      </c>
      <c r="D764" s="2">
        <v>42103</v>
      </c>
      <c r="E764" s="2">
        <v>42131</v>
      </c>
      <c r="F764" s="2">
        <v>42115</v>
      </c>
      <c r="G764">
        <v>2</v>
      </c>
      <c r="H764">
        <v>2871</v>
      </c>
    </row>
    <row r="765" spans="1:8" x14ac:dyDescent="0.3">
      <c r="A765">
        <v>11011</v>
      </c>
      <c r="B765" s="1" t="s">
        <v>25</v>
      </c>
      <c r="C765">
        <v>3</v>
      </c>
      <c r="D765" s="2">
        <v>42103</v>
      </c>
      <c r="E765" s="2">
        <v>42131</v>
      </c>
      <c r="F765" s="2">
        <v>42107</v>
      </c>
      <c r="G765">
        <v>1</v>
      </c>
      <c r="H765">
        <v>121</v>
      </c>
    </row>
    <row r="766" spans="1:8" x14ac:dyDescent="0.3">
      <c r="A766">
        <v>11012</v>
      </c>
      <c r="B766" s="1" t="s">
        <v>135</v>
      </c>
      <c r="C766">
        <v>1</v>
      </c>
      <c r="D766" s="2">
        <v>42103</v>
      </c>
      <c r="E766" s="2">
        <v>42117</v>
      </c>
      <c r="F766" s="2">
        <v>42111</v>
      </c>
      <c r="G766">
        <v>3</v>
      </c>
      <c r="H766">
        <v>24295</v>
      </c>
    </row>
    <row r="767" spans="1:8" x14ac:dyDescent="0.3">
      <c r="A767">
        <v>11013</v>
      </c>
      <c r="B767" s="1" t="s">
        <v>309</v>
      </c>
      <c r="C767">
        <v>2</v>
      </c>
      <c r="D767" s="2">
        <v>42103</v>
      </c>
      <c r="E767" s="2">
        <v>42131</v>
      </c>
      <c r="F767" s="2">
        <v>42104</v>
      </c>
      <c r="G767">
        <v>1</v>
      </c>
      <c r="H767">
        <v>3299</v>
      </c>
    </row>
    <row r="768" spans="1:8" x14ac:dyDescent="0.3">
      <c r="A768">
        <v>11014</v>
      </c>
      <c r="B768" s="1" t="s">
        <v>227</v>
      </c>
      <c r="C768">
        <v>2</v>
      </c>
      <c r="D768" s="2">
        <v>42104</v>
      </c>
      <c r="E768" s="2">
        <v>42132</v>
      </c>
      <c r="F768" s="2">
        <v>42109</v>
      </c>
      <c r="G768">
        <v>3</v>
      </c>
      <c r="H768">
        <v>236</v>
      </c>
    </row>
    <row r="769" spans="1:8" x14ac:dyDescent="0.3">
      <c r="A769">
        <v>11015</v>
      </c>
      <c r="B769" s="1" t="s">
        <v>312</v>
      </c>
      <c r="C769">
        <v>2</v>
      </c>
      <c r="D769" s="2">
        <v>42104</v>
      </c>
      <c r="E769" s="2">
        <v>42118</v>
      </c>
      <c r="F769" s="2">
        <v>42114</v>
      </c>
      <c r="G769">
        <v>2</v>
      </c>
      <c r="H769">
        <v>462</v>
      </c>
    </row>
    <row r="770" spans="1:8" x14ac:dyDescent="0.3">
      <c r="A770">
        <v>11016</v>
      </c>
      <c r="B770" s="1" t="s">
        <v>40</v>
      </c>
      <c r="C770">
        <v>9</v>
      </c>
      <c r="D770" s="2">
        <v>42104</v>
      </c>
      <c r="E770" s="2">
        <v>42132</v>
      </c>
      <c r="F770" s="2">
        <v>42107</v>
      </c>
      <c r="G770">
        <v>2</v>
      </c>
      <c r="H770">
        <v>338</v>
      </c>
    </row>
    <row r="771" spans="1:8" x14ac:dyDescent="0.3">
      <c r="A771">
        <v>11017</v>
      </c>
      <c r="B771" s="1" t="s">
        <v>113</v>
      </c>
      <c r="C771">
        <v>9</v>
      </c>
      <c r="D771" s="2">
        <v>42107</v>
      </c>
      <c r="E771" s="2">
        <v>42135</v>
      </c>
      <c r="F771" s="2">
        <v>42114</v>
      </c>
      <c r="G771">
        <v>2</v>
      </c>
      <c r="H771">
        <v>75426</v>
      </c>
    </row>
    <row r="772" spans="1:8" x14ac:dyDescent="0.3">
      <c r="A772">
        <v>11018</v>
      </c>
      <c r="B772" s="1" t="s">
        <v>231</v>
      </c>
      <c r="C772">
        <v>4</v>
      </c>
      <c r="D772" s="2">
        <v>42107</v>
      </c>
      <c r="E772" s="2">
        <v>42135</v>
      </c>
      <c r="F772" s="2">
        <v>42110</v>
      </c>
      <c r="G772">
        <v>2</v>
      </c>
      <c r="H772">
        <v>1165</v>
      </c>
    </row>
    <row r="773" spans="1:8" x14ac:dyDescent="0.3">
      <c r="A773">
        <v>11019</v>
      </c>
      <c r="B773" s="1" t="s">
        <v>290</v>
      </c>
      <c r="C773">
        <v>6</v>
      </c>
      <c r="D773" s="2">
        <v>42107</v>
      </c>
      <c r="E773" s="2">
        <v>42135</v>
      </c>
      <c r="F773" s="2"/>
      <c r="G773">
        <v>3</v>
      </c>
      <c r="H773">
        <v>317</v>
      </c>
    </row>
    <row r="774" spans="1:8" x14ac:dyDescent="0.3">
      <c r="A774">
        <v>11020</v>
      </c>
      <c r="B774" s="1" t="s">
        <v>262</v>
      </c>
      <c r="C774">
        <v>2</v>
      </c>
      <c r="D774" s="2">
        <v>42108</v>
      </c>
      <c r="E774" s="2">
        <v>42136</v>
      </c>
      <c r="F774" s="2">
        <v>42110</v>
      </c>
      <c r="G774">
        <v>2</v>
      </c>
      <c r="H774">
        <v>433</v>
      </c>
    </row>
    <row r="775" spans="1:8" x14ac:dyDescent="0.3">
      <c r="A775">
        <v>11021</v>
      </c>
      <c r="B775" s="1" t="s">
        <v>286</v>
      </c>
      <c r="C775">
        <v>3</v>
      </c>
      <c r="D775" s="2">
        <v>42108</v>
      </c>
      <c r="E775" s="2">
        <v>42136</v>
      </c>
      <c r="F775" s="2">
        <v>42115</v>
      </c>
      <c r="G775">
        <v>1</v>
      </c>
      <c r="H775">
        <v>29718</v>
      </c>
    </row>
    <row r="776" spans="1:8" x14ac:dyDescent="0.3">
      <c r="A776">
        <v>11022</v>
      </c>
      <c r="B776" s="1" t="s">
        <v>174</v>
      </c>
      <c r="C776">
        <v>9</v>
      </c>
      <c r="D776" s="2">
        <v>42108</v>
      </c>
      <c r="E776" s="2">
        <v>42136</v>
      </c>
      <c r="F776" s="2">
        <v>42128</v>
      </c>
      <c r="G776">
        <v>2</v>
      </c>
      <c r="H776">
        <v>627</v>
      </c>
    </row>
    <row r="777" spans="1:8" x14ac:dyDescent="0.3">
      <c r="A777">
        <v>11023</v>
      </c>
      <c r="B777" s="1" t="s">
        <v>76</v>
      </c>
      <c r="C777">
        <v>1</v>
      </c>
      <c r="D777" s="2">
        <v>42108</v>
      </c>
      <c r="E777" s="2">
        <v>42122</v>
      </c>
      <c r="F777" s="2">
        <v>42118</v>
      </c>
      <c r="G777">
        <v>2</v>
      </c>
      <c r="H777">
        <v>12383</v>
      </c>
    </row>
    <row r="778" spans="1:8" x14ac:dyDescent="0.3">
      <c r="A778">
        <v>11024</v>
      </c>
      <c r="B778" s="1" t="s">
        <v>110</v>
      </c>
      <c r="C778">
        <v>4</v>
      </c>
      <c r="D778" s="2">
        <v>42109</v>
      </c>
      <c r="E778" s="2">
        <v>42137</v>
      </c>
      <c r="F778" s="2">
        <v>42114</v>
      </c>
      <c r="G778">
        <v>1</v>
      </c>
      <c r="H778">
        <v>7436</v>
      </c>
    </row>
    <row r="779" spans="1:8" x14ac:dyDescent="0.3">
      <c r="A779">
        <v>11025</v>
      </c>
      <c r="B779" s="1" t="s">
        <v>377</v>
      </c>
      <c r="C779">
        <v>6</v>
      </c>
      <c r="D779" s="2">
        <v>42109</v>
      </c>
      <c r="E779" s="2">
        <v>42137</v>
      </c>
      <c r="F779" s="2">
        <v>42118</v>
      </c>
      <c r="G779">
        <v>3</v>
      </c>
      <c r="H779">
        <v>2917</v>
      </c>
    </row>
    <row r="780" spans="1:8" x14ac:dyDescent="0.3">
      <c r="A780">
        <v>11026</v>
      </c>
      <c r="B780" s="1" t="s">
        <v>142</v>
      </c>
      <c r="C780">
        <v>4</v>
      </c>
      <c r="D780" s="2">
        <v>42109</v>
      </c>
      <c r="E780" s="2">
        <v>42137</v>
      </c>
      <c r="F780" s="2">
        <v>42122</v>
      </c>
      <c r="G780">
        <v>1</v>
      </c>
      <c r="H780">
        <v>4709</v>
      </c>
    </row>
    <row r="781" spans="1:8" x14ac:dyDescent="0.3">
      <c r="A781">
        <v>11027</v>
      </c>
      <c r="B781" s="1" t="s">
        <v>70</v>
      </c>
      <c r="C781">
        <v>1</v>
      </c>
      <c r="D781" s="2">
        <v>42110</v>
      </c>
      <c r="E781" s="2">
        <v>42138</v>
      </c>
      <c r="F781" s="2">
        <v>42114</v>
      </c>
      <c r="G781">
        <v>1</v>
      </c>
      <c r="H781">
        <v>5252</v>
      </c>
    </row>
    <row r="782" spans="1:8" x14ac:dyDescent="0.3">
      <c r="A782">
        <v>11028</v>
      </c>
      <c r="B782" s="1" t="s">
        <v>195</v>
      </c>
      <c r="C782">
        <v>2</v>
      </c>
      <c r="D782" s="2">
        <v>42110</v>
      </c>
      <c r="E782" s="2">
        <v>42138</v>
      </c>
      <c r="F782" s="2">
        <v>42116</v>
      </c>
      <c r="G782">
        <v>1</v>
      </c>
      <c r="H782">
        <v>2959</v>
      </c>
    </row>
    <row r="783" spans="1:8" x14ac:dyDescent="0.3">
      <c r="A783">
        <v>11029</v>
      </c>
      <c r="B783" s="1" t="s">
        <v>88</v>
      </c>
      <c r="C783">
        <v>4</v>
      </c>
      <c r="D783" s="2">
        <v>42110</v>
      </c>
      <c r="E783" s="2">
        <v>42138</v>
      </c>
      <c r="F783" s="2">
        <v>42121</v>
      </c>
      <c r="G783">
        <v>1</v>
      </c>
      <c r="H783">
        <v>4784</v>
      </c>
    </row>
    <row r="784" spans="1:8" x14ac:dyDescent="0.3">
      <c r="A784">
        <v>11030</v>
      </c>
      <c r="B784" s="1" t="s">
        <v>317</v>
      </c>
      <c r="C784">
        <v>7</v>
      </c>
      <c r="D784" s="2">
        <v>42111</v>
      </c>
      <c r="E784" s="2">
        <v>42139</v>
      </c>
      <c r="F784" s="2">
        <v>42121</v>
      </c>
      <c r="G784">
        <v>2</v>
      </c>
      <c r="H784">
        <v>83075</v>
      </c>
    </row>
    <row r="785" spans="1:8" x14ac:dyDescent="0.3">
      <c r="A785">
        <v>11031</v>
      </c>
      <c r="B785" s="1" t="s">
        <v>317</v>
      </c>
      <c r="C785">
        <v>6</v>
      </c>
      <c r="D785" s="2">
        <v>42111</v>
      </c>
      <c r="E785" s="2">
        <v>42139</v>
      </c>
      <c r="F785" s="2">
        <v>42118</v>
      </c>
      <c r="G785">
        <v>2</v>
      </c>
      <c r="H785">
        <v>22722</v>
      </c>
    </row>
    <row r="786" spans="1:8" x14ac:dyDescent="0.3">
      <c r="A786">
        <v>11032</v>
      </c>
      <c r="B786" s="1" t="s">
        <v>386</v>
      </c>
      <c r="C786">
        <v>2</v>
      </c>
      <c r="D786" s="2">
        <v>42111</v>
      </c>
      <c r="E786" s="2">
        <v>42139</v>
      </c>
      <c r="F786" s="2">
        <v>42117</v>
      </c>
      <c r="G786">
        <v>3</v>
      </c>
      <c r="H786">
        <v>60619</v>
      </c>
    </row>
    <row r="787" spans="1:8" x14ac:dyDescent="0.3">
      <c r="A787">
        <v>11033</v>
      </c>
      <c r="B787" s="1" t="s">
        <v>305</v>
      </c>
      <c r="C787">
        <v>7</v>
      </c>
      <c r="D787" s="2">
        <v>42111</v>
      </c>
      <c r="E787" s="2">
        <v>42139</v>
      </c>
      <c r="F787" s="2">
        <v>42117</v>
      </c>
      <c r="G787">
        <v>3</v>
      </c>
      <c r="H787">
        <v>8474</v>
      </c>
    </row>
    <row r="788" spans="1:8" x14ac:dyDescent="0.3">
      <c r="A788">
        <v>11034</v>
      </c>
      <c r="B788" s="1" t="s">
        <v>258</v>
      </c>
      <c r="C788">
        <v>8</v>
      </c>
      <c r="D788" s="2">
        <v>42114</v>
      </c>
      <c r="E788" s="2">
        <v>42156</v>
      </c>
      <c r="F788" s="2">
        <v>42121</v>
      </c>
      <c r="G788">
        <v>1</v>
      </c>
      <c r="H788">
        <v>4032</v>
      </c>
    </row>
    <row r="789" spans="1:8" x14ac:dyDescent="0.3">
      <c r="A789">
        <v>11035</v>
      </c>
      <c r="B789" s="1" t="s">
        <v>336</v>
      </c>
      <c r="C789">
        <v>2</v>
      </c>
      <c r="D789" s="2">
        <v>42114</v>
      </c>
      <c r="E789" s="2">
        <v>42142</v>
      </c>
      <c r="F789" s="2">
        <v>42118</v>
      </c>
      <c r="G789">
        <v>2</v>
      </c>
      <c r="H789">
        <v>17</v>
      </c>
    </row>
    <row r="790" spans="1:8" x14ac:dyDescent="0.3">
      <c r="A790">
        <v>11036</v>
      </c>
      <c r="B790" s="1" t="s">
        <v>102</v>
      </c>
      <c r="C790">
        <v>8</v>
      </c>
      <c r="D790" s="2">
        <v>42114</v>
      </c>
      <c r="E790" s="2">
        <v>42142</v>
      </c>
      <c r="F790" s="2">
        <v>42116</v>
      </c>
      <c r="G790">
        <v>3</v>
      </c>
      <c r="H790">
        <v>14947</v>
      </c>
    </row>
    <row r="791" spans="1:8" x14ac:dyDescent="0.3">
      <c r="A791">
        <v>11037</v>
      </c>
      <c r="B791" s="1" t="s">
        <v>156</v>
      </c>
      <c r="C791">
        <v>7</v>
      </c>
      <c r="D791" s="2">
        <v>42115</v>
      </c>
      <c r="E791" s="2">
        <v>42143</v>
      </c>
      <c r="F791" s="2">
        <v>42121</v>
      </c>
      <c r="G791">
        <v>1</v>
      </c>
      <c r="H791">
        <v>32</v>
      </c>
    </row>
    <row r="792" spans="1:8" x14ac:dyDescent="0.3">
      <c r="A792">
        <v>11038</v>
      </c>
      <c r="B792" s="1" t="s">
        <v>336</v>
      </c>
      <c r="C792">
        <v>1</v>
      </c>
      <c r="D792" s="2">
        <v>42115</v>
      </c>
      <c r="E792" s="2">
        <v>42143</v>
      </c>
      <c r="F792" s="2">
        <v>42124</v>
      </c>
      <c r="G792">
        <v>2</v>
      </c>
      <c r="H792">
        <v>2959</v>
      </c>
    </row>
    <row r="793" spans="1:8" x14ac:dyDescent="0.3">
      <c r="A793">
        <v>11039</v>
      </c>
      <c r="B793" s="1" t="s">
        <v>227</v>
      </c>
      <c r="C793">
        <v>1</v>
      </c>
      <c r="D793" s="2">
        <v>42115</v>
      </c>
      <c r="E793" s="2">
        <v>42143</v>
      </c>
      <c r="F793" s="2"/>
      <c r="G793">
        <v>2</v>
      </c>
      <c r="H793">
        <v>65</v>
      </c>
    </row>
    <row r="794" spans="1:8" x14ac:dyDescent="0.3">
      <c r="A794">
        <v>11040</v>
      </c>
      <c r="B794" s="1" t="s">
        <v>164</v>
      </c>
      <c r="C794">
        <v>4</v>
      </c>
      <c r="D794" s="2">
        <v>42116</v>
      </c>
      <c r="E794" s="2">
        <v>42144</v>
      </c>
      <c r="F794" s="2"/>
      <c r="G794">
        <v>3</v>
      </c>
      <c r="H794">
        <v>1884</v>
      </c>
    </row>
    <row r="795" spans="1:8" x14ac:dyDescent="0.3">
      <c r="A795">
        <v>11041</v>
      </c>
      <c r="B795" s="1" t="s">
        <v>88</v>
      </c>
      <c r="C795">
        <v>3</v>
      </c>
      <c r="D795" s="2">
        <v>42116</v>
      </c>
      <c r="E795" s="2">
        <v>42144</v>
      </c>
      <c r="F795" s="2">
        <v>42122</v>
      </c>
      <c r="G795">
        <v>2</v>
      </c>
      <c r="H795">
        <v>4822</v>
      </c>
    </row>
    <row r="796" spans="1:8" x14ac:dyDescent="0.3">
      <c r="A796">
        <v>11042</v>
      </c>
      <c r="B796" s="1" t="s">
        <v>93</v>
      </c>
      <c r="C796">
        <v>2</v>
      </c>
      <c r="D796" s="2">
        <v>42116</v>
      </c>
      <c r="E796" s="2">
        <v>42130</v>
      </c>
      <c r="F796" s="2">
        <v>42125</v>
      </c>
      <c r="G796">
        <v>1</v>
      </c>
      <c r="H796">
        <v>2999</v>
      </c>
    </row>
    <row r="797" spans="1:8" x14ac:dyDescent="0.3">
      <c r="A797">
        <v>11043</v>
      </c>
      <c r="B797" s="1" t="s">
        <v>329</v>
      </c>
      <c r="C797">
        <v>5</v>
      </c>
      <c r="D797" s="2">
        <v>42116</v>
      </c>
      <c r="E797" s="2">
        <v>42144</v>
      </c>
      <c r="F797" s="2">
        <v>42123</v>
      </c>
      <c r="G797">
        <v>2</v>
      </c>
      <c r="H797">
        <v>88</v>
      </c>
    </row>
    <row r="798" spans="1:8" x14ac:dyDescent="0.3">
      <c r="A798">
        <v>11044</v>
      </c>
      <c r="B798" s="1" t="s">
        <v>395</v>
      </c>
      <c r="C798">
        <v>4</v>
      </c>
      <c r="D798" s="2">
        <v>42117</v>
      </c>
      <c r="E798" s="2">
        <v>42145</v>
      </c>
      <c r="F798" s="2">
        <v>42125</v>
      </c>
      <c r="G798">
        <v>1</v>
      </c>
      <c r="H798">
        <v>872</v>
      </c>
    </row>
    <row r="799" spans="1:8" x14ac:dyDescent="0.3">
      <c r="A799">
        <v>11045</v>
      </c>
      <c r="B799" s="1" t="s">
        <v>70</v>
      </c>
      <c r="C799">
        <v>6</v>
      </c>
      <c r="D799" s="2">
        <v>42117</v>
      </c>
      <c r="E799" s="2">
        <v>42145</v>
      </c>
      <c r="F799" s="2"/>
      <c r="G799">
        <v>2</v>
      </c>
      <c r="H799">
        <v>7058</v>
      </c>
    </row>
    <row r="800" spans="1:8" x14ac:dyDescent="0.3">
      <c r="A800">
        <v>11046</v>
      </c>
      <c r="B800" s="1" t="s">
        <v>373</v>
      </c>
      <c r="C800">
        <v>8</v>
      </c>
      <c r="D800" s="2">
        <v>42117</v>
      </c>
      <c r="E800" s="2">
        <v>42145</v>
      </c>
      <c r="F800" s="2">
        <v>42118</v>
      </c>
      <c r="G800">
        <v>2</v>
      </c>
      <c r="H800">
        <v>7164</v>
      </c>
    </row>
    <row r="801" spans="1:8" x14ac:dyDescent="0.3">
      <c r="A801">
        <v>11047</v>
      </c>
      <c r="B801" s="1" t="s">
        <v>110</v>
      </c>
      <c r="C801">
        <v>7</v>
      </c>
      <c r="D801" s="2">
        <v>42118</v>
      </c>
      <c r="E801" s="2">
        <v>42146</v>
      </c>
      <c r="F801" s="2">
        <v>42125</v>
      </c>
      <c r="G801">
        <v>3</v>
      </c>
      <c r="H801">
        <v>4662</v>
      </c>
    </row>
    <row r="802" spans="1:8" x14ac:dyDescent="0.3">
      <c r="A802">
        <v>11048</v>
      </c>
      <c r="B802" s="1" t="s">
        <v>70</v>
      </c>
      <c r="C802">
        <v>7</v>
      </c>
      <c r="D802" s="2">
        <v>42118</v>
      </c>
      <c r="E802" s="2">
        <v>42146</v>
      </c>
      <c r="F802" s="2">
        <v>42124</v>
      </c>
      <c r="G802">
        <v>3</v>
      </c>
      <c r="H802">
        <v>2412</v>
      </c>
    </row>
    <row r="803" spans="1:8" x14ac:dyDescent="0.3">
      <c r="A803">
        <v>11049</v>
      </c>
      <c r="B803" s="1" t="s">
        <v>160</v>
      </c>
      <c r="C803">
        <v>3</v>
      </c>
      <c r="D803" s="2">
        <v>42118</v>
      </c>
      <c r="E803" s="2">
        <v>42146</v>
      </c>
      <c r="F803" s="2">
        <v>42128</v>
      </c>
      <c r="G803">
        <v>1</v>
      </c>
      <c r="H803">
        <v>834</v>
      </c>
    </row>
    <row r="804" spans="1:8" x14ac:dyDescent="0.3">
      <c r="A804">
        <v>11050</v>
      </c>
      <c r="B804" s="1" t="s">
        <v>131</v>
      </c>
      <c r="C804">
        <v>8</v>
      </c>
      <c r="D804" s="2">
        <v>42121</v>
      </c>
      <c r="E804" s="2">
        <v>42149</v>
      </c>
      <c r="F804" s="2">
        <v>42129</v>
      </c>
      <c r="G804">
        <v>2</v>
      </c>
      <c r="H804">
        <v>5941</v>
      </c>
    </row>
    <row r="805" spans="1:8" x14ac:dyDescent="0.3">
      <c r="A805">
        <v>11051</v>
      </c>
      <c r="B805" s="1" t="s">
        <v>203</v>
      </c>
      <c r="C805">
        <v>7</v>
      </c>
      <c r="D805" s="2">
        <v>42121</v>
      </c>
      <c r="E805" s="2">
        <v>42149</v>
      </c>
      <c r="F805" s="2"/>
      <c r="G805">
        <v>3</v>
      </c>
      <c r="H805">
        <v>279</v>
      </c>
    </row>
    <row r="806" spans="1:8" x14ac:dyDescent="0.3">
      <c r="A806">
        <v>11052</v>
      </c>
      <c r="B806" s="1" t="s">
        <v>174</v>
      </c>
      <c r="C806">
        <v>3</v>
      </c>
      <c r="D806" s="2">
        <v>42121</v>
      </c>
      <c r="E806" s="2">
        <v>42149</v>
      </c>
      <c r="F806" s="2">
        <v>42125</v>
      </c>
      <c r="G806">
        <v>1</v>
      </c>
      <c r="H806">
        <v>6726</v>
      </c>
    </row>
    <row r="807" spans="1:8" x14ac:dyDescent="0.3">
      <c r="A807">
        <v>11053</v>
      </c>
      <c r="B807" s="1" t="s">
        <v>273</v>
      </c>
      <c r="C807">
        <v>2</v>
      </c>
      <c r="D807" s="2">
        <v>42121</v>
      </c>
      <c r="E807" s="2">
        <v>42149</v>
      </c>
      <c r="F807" s="2">
        <v>42123</v>
      </c>
      <c r="G807">
        <v>2</v>
      </c>
      <c r="H807">
        <v>5305</v>
      </c>
    </row>
    <row r="808" spans="1:8" x14ac:dyDescent="0.3">
      <c r="A808">
        <v>11054</v>
      </c>
      <c r="B808" s="1" t="s">
        <v>79</v>
      </c>
      <c r="C808">
        <v>8</v>
      </c>
      <c r="D808" s="2">
        <v>42122</v>
      </c>
      <c r="E808" s="2">
        <v>42150</v>
      </c>
      <c r="F808" s="2"/>
      <c r="G808">
        <v>1</v>
      </c>
      <c r="H808">
        <v>33</v>
      </c>
    </row>
    <row r="809" spans="1:8" x14ac:dyDescent="0.3">
      <c r="A809">
        <v>11055</v>
      </c>
      <c r="B809" s="1" t="s">
        <v>178</v>
      </c>
      <c r="C809">
        <v>7</v>
      </c>
      <c r="D809" s="2">
        <v>42122</v>
      </c>
      <c r="E809" s="2">
        <v>42150</v>
      </c>
      <c r="F809" s="2">
        <v>42129</v>
      </c>
      <c r="G809">
        <v>2</v>
      </c>
      <c r="H809">
        <v>12092</v>
      </c>
    </row>
    <row r="810" spans="1:8" x14ac:dyDescent="0.3">
      <c r="A810">
        <v>11056</v>
      </c>
      <c r="B810" s="1" t="s">
        <v>110</v>
      </c>
      <c r="C810">
        <v>8</v>
      </c>
      <c r="D810" s="2">
        <v>42122</v>
      </c>
      <c r="E810" s="2">
        <v>42136</v>
      </c>
      <c r="F810" s="2">
        <v>42125</v>
      </c>
      <c r="G810">
        <v>2</v>
      </c>
      <c r="H810">
        <v>27896</v>
      </c>
    </row>
    <row r="811" spans="1:8" x14ac:dyDescent="0.3">
      <c r="A811">
        <v>11057</v>
      </c>
      <c r="B811" s="1" t="s">
        <v>252</v>
      </c>
      <c r="C811">
        <v>3</v>
      </c>
      <c r="D811" s="2">
        <v>42123</v>
      </c>
      <c r="E811" s="2">
        <v>42151</v>
      </c>
      <c r="F811" s="2">
        <v>42125</v>
      </c>
      <c r="G811">
        <v>3</v>
      </c>
      <c r="H811">
        <v>413</v>
      </c>
    </row>
    <row r="812" spans="1:8" x14ac:dyDescent="0.3">
      <c r="A812">
        <v>11058</v>
      </c>
      <c r="B812" s="1" t="s">
        <v>51</v>
      </c>
      <c r="C812">
        <v>9</v>
      </c>
      <c r="D812" s="2">
        <v>42123</v>
      </c>
      <c r="E812" s="2">
        <v>42151</v>
      </c>
      <c r="F812" s="2"/>
      <c r="G812">
        <v>3</v>
      </c>
      <c r="H812">
        <v>3114</v>
      </c>
    </row>
    <row r="813" spans="1:8" x14ac:dyDescent="0.3">
      <c r="A813">
        <v>11059</v>
      </c>
      <c r="B813" s="1" t="s">
        <v>302</v>
      </c>
      <c r="C813">
        <v>2</v>
      </c>
      <c r="D813" s="2">
        <v>42123</v>
      </c>
      <c r="E813" s="2">
        <v>42165</v>
      </c>
      <c r="F813" s="2"/>
      <c r="G813">
        <v>2</v>
      </c>
      <c r="H813">
        <v>858</v>
      </c>
    </row>
    <row r="814" spans="1:8" x14ac:dyDescent="0.3">
      <c r="A814">
        <v>11060</v>
      </c>
      <c r="B814" s="1" t="s">
        <v>142</v>
      </c>
      <c r="C814">
        <v>2</v>
      </c>
      <c r="D814" s="2">
        <v>42124</v>
      </c>
      <c r="E814" s="2">
        <v>42152</v>
      </c>
      <c r="F814" s="2">
        <v>42128</v>
      </c>
      <c r="G814">
        <v>2</v>
      </c>
      <c r="H814">
        <v>1098</v>
      </c>
    </row>
    <row r="815" spans="1:8" x14ac:dyDescent="0.3">
      <c r="A815">
        <v>11061</v>
      </c>
      <c r="B815" s="1" t="s">
        <v>164</v>
      </c>
      <c r="C815">
        <v>4</v>
      </c>
      <c r="D815" s="2">
        <v>42124</v>
      </c>
      <c r="E815" s="2">
        <v>42166</v>
      </c>
      <c r="F815" s="2"/>
      <c r="G815">
        <v>3</v>
      </c>
      <c r="H815">
        <v>1401</v>
      </c>
    </row>
    <row r="816" spans="1:8" x14ac:dyDescent="0.3">
      <c r="A816">
        <v>11062</v>
      </c>
      <c r="B816" s="1" t="s">
        <v>298</v>
      </c>
      <c r="C816">
        <v>4</v>
      </c>
      <c r="D816" s="2">
        <v>42124</v>
      </c>
      <c r="E816" s="2">
        <v>42152</v>
      </c>
      <c r="F816" s="2"/>
      <c r="G816">
        <v>2</v>
      </c>
      <c r="H816">
        <v>2993</v>
      </c>
    </row>
    <row r="817" spans="1:8" x14ac:dyDescent="0.3">
      <c r="A817">
        <v>11063</v>
      </c>
      <c r="B817" s="1" t="s">
        <v>186</v>
      </c>
      <c r="C817">
        <v>3</v>
      </c>
      <c r="D817" s="2">
        <v>42124</v>
      </c>
      <c r="E817" s="2">
        <v>42152</v>
      </c>
      <c r="F817" s="2">
        <v>42130</v>
      </c>
      <c r="G817">
        <v>2</v>
      </c>
      <c r="H817">
        <v>8173</v>
      </c>
    </row>
    <row r="818" spans="1:8" x14ac:dyDescent="0.3">
      <c r="A818">
        <v>11064</v>
      </c>
      <c r="B818" s="1" t="s">
        <v>317</v>
      </c>
      <c r="C818">
        <v>1</v>
      </c>
      <c r="D818" s="2">
        <v>42125</v>
      </c>
      <c r="E818" s="2">
        <v>42153</v>
      </c>
      <c r="F818" s="2">
        <v>42128</v>
      </c>
      <c r="G818">
        <v>1</v>
      </c>
      <c r="H818">
        <v>3009</v>
      </c>
    </row>
    <row r="819" spans="1:8" x14ac:dyDescent="0.3">
      <c r="A819">
        <v>11065</v>
      </c>
      <c r="B819" s="1" t="s">
        <v>223</v>
      </c>
      <c r="C819">
        <v>8</v>
      </c>
      <c r="D819" s="2">
        <v>42125</v>
      </c>
      <c r="E819" s="2">
        <v>42153</v>
      </c>
      <c r="F819" s="2"/>
      <c r="G819">
        <v>1</v>
      </c>
      <c r="H819">
        <v>1291</v>
      </c>
    </row>
    <row r="820" spans="1:8" x14ac:dyDescent="0.3">
      <c r="A820">
        <v>11066</v>
      </c>
      <c r="B820" s="1" t="s">
        <v>386</v>
      </c>
      <c r="C820">
        <v>7</v>
      </c>
      <c r="D820" s="2">
        <v>42125</v>
      </c>
      <c r="E820" s="2">
        <v>42153</v>
      </c>
      <c r="F820" s="2">
        <v>42128</v>
      </c>
      <c r="G820">
        <v>2</v>
      </c>
      <c r="H820">
        <v>4472</v>
      </c>
    </row>
    <row r="821" spans="1:8" x14ac:dyDescent="0.3">
      <c r="A821">
        <v>11067</v>
      </c>
      <c r="B821" s="1" t="s">
        <v>102</v>
      </c>
      <c r="C821">
        <v>1</v>
      </c>
      <c r="D821" s="2">
        <v>42128</v>
      </c>
      <c r="E821" s="2">
        <v>42142</v>
      </c>
      <c r="F821" s="2">
        <v>42130</v>
      </c>
      <c r="G821">
        <v>2</v>
      </c>
      <c r="H821">
        <v>798</v>
      </c>
    </row>
    <row r="822" spans="1:8" x14ac:dyDescent="0.3">
      <c r="A822">
        <v>11068</v>
      </c>
      <c r="B822" s="1" t="s">
        <v>283</v>
      </c>
      <c r="C822">
        <v>8</v>
      </c>
      <c r="D822" s="2">
        <v>42128</v>
      </c>
      <c r="E822" s="2">
        <v>42156</v>
      </c>
      <c r="F822" s="2"/>
      <c r="G822">
        <v>2</v>
      </c>
      <c r="H822">
        <v>8175</v>
      </c>
    </row>
    <row r="823" spans="1:8" x14ac:dyDescent="0.3">
      <c r="A823">
        <v>11069</v>
      </c>
      <c r="B823" s="1" t="s">
        <v>351</v>
      </c>
      <c r="C823">
        <v>1</v>
      </c>
      <c r="D823" s="2">
        <v>42128</v>
      </c>
      <c r="E823" s="2">
        <v>42156</v>
      </c>
      <c r="F823" s="2">
        <v>42130</v>
      </c>
      <c r="G823">
        <v>2</v>
      </c>
      <c r="H823">
        <v>1567</v>
      </c>
    </row>
    <row r="824" spans="1:8" x14ac:dyDescent="0.3">
      <c r="A824">
        <v>11070</v>
      </c>
      <c r="B824" s="1" t="s">
        <v>215</v>
      </c>
      <c r="C824">
        <v>2</v>
      </c>
      <c r="D824" s="2">
        <v>42129</v>
      </c>
      <c r="E824" s="2">
        <v>42157</v>
      </c>
      <c r="F824" s="2"/>
      <c r="G824">
        <v>1</v>
      </c>
      <c r="H824">
        <v>136</v>
      </c>
    </row>
    <row r="825" spans="1:8" x14ac:dyDescent="0.3">
      <c r="A825">
        <v>11071</v>
      </c>
      <c r="B825" s="1" t="s">
        <v>223</v>
      </c>
      <c r="C825">
        <v>1</v>
      </c>
      <c r="D825" s="2">
        <v>42129</v>
      </c>
      <c r="E825" s="2">
        <v>42157</v>
      </c>
      <c r="F825" s="2"/>
      <c r="G825">
        <v>1</v>
      </c>
      <c r="H825">
        <v>93</v>
      </c>
    </row>
    <row r="826" spans="1:8" x14ac:dyDescent="0.3">
      <c r="A826">
        <v>11072</v>
      </c>
      <c r="B826" s="1" t="s">
        <v>113</v>
      </c>
      <c r="C826">
        <v>4</v>
      </c>
      <c r="D826" s="2">
        <v>42129</v>
      </c>
      <c r="E826" s="2">
        <v>42157</v>
      </c>
      <c r="F826" s="2"/>
      <c r="G826">
        <v>2</v>
      </c>
      <c r="H826">
        <v>25864</v>
      </c>
    </row>
    <row r="827" spans="1:8" x14ac:dyDescent="0.3">
      <c r="A827">
        <v>11073</v>
      </c>
      <c r="B827" s="1" t="s">
        <v>270</v>
      </c>
      <c r="C827">
        <v>2</v>
      </c>
      <c r="D827" s="2">
        <v>42129</v>
      </c>
      <c r="E827" s="2">
        <v>42157</v>
      </c>
      <c r="F827" s="2"/>
      <c r="G827">
        <v>2</v>
      </c>
      <c r="H827">
        <v>2495</v>
      </c>
    </row>
    <row r="828" spans="1:8" x14ac:dyDescent="0.3">
      <c r="A828">
        <v>11074</v>
      </c>
      <c r="B828" s="1" t="s">
        <v>324</v>
      </c>
      <c r="C828">
        <v>7</v>
      </c>
      <c r="D828" s="2">
        <v>42130</v>
      </c>
      <c r="E828" s="2">
        <v>42158</v>
      </c>
      <c r="F828" s="2"/>
      <c r="G828">
        <v>2</v>
      </c>
      <c r="H828">
        <v>1844</v>
      </c>
    </row>
    <row r="829" spans="1:8" x14ac:dyDescent="0.3">
      <c r="A829">
        <v>11075</v>
      </c>
      <c r="B829" s="1" t="s">
        <v>305</v>
      </c>
      <c r="C829">
        <v>8</v>
      </c>
      <c r="D829" s="2">
        <v>42130</v>
      </c>
      <c r="E829" s="2">
        <v>42158</v>
      </c>
      <c r="F829" s="2"/>
      <c r="G829">
        <v>2</v>
      </c>
      <c r="H829">
        <v>619</v>
      </c>
    </row>
    <row r="830" spans="1:8" x14ac:dyDescent="0.3">
      <c r="A830">
        <v>11076</v>
      </c>
      <c r="B830" s="1" t="s">
        <v>66</v>
      </c>
      <c r="C830">
        <v>4</v>
      </c>
      <c r="D830" s="2">
        <v>42130</v>
      </c>
      <c r="E830" s="2">
        <v>42158</v>
      </c>
      <c r="F830" s="2"/>
      <c r="G830">
        <v>2</v>
      </c>
      <c r="H830">
        <v>3828</v>
      </c>
    </row>
    <row r="831" spans="1:8" x14ac:dyDescent="0.3">
      <c r="A831">
        <v>11077</v>
      </c>
      <c r="B831" s="1" t="s">
        <v>293</v>
      </c>
      <c r="C831">
        <v>1</v>
      </c>
      <c r="D831" s="2">
        <v>42130</v>
      </c>
      <c r="E831" s="2">
        <v>42158</v>
      </c>
      <c r="F831" s="2"/>
      <c r="G831">
        <v>2</v>
      </c>
      <c r="H831">
        <v>853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DED4D-15A8-4EF8-BCD1-1245BB270B5D}">
  <dimension ref="A1:E2156"/>
  <sheetViews>
    <sheetView workbookViewId="0">
      <selection activeCell="H15" sqref="H15"/>
    </sheetView>
  </sheetViews>
  <sheetFormatPr defaultRowHeight="14.4" x14ac:dyDescent="0.3"/>
  <cols>
    <col min="1" max="1" width="9.5546875" bestFit="1" customWidth="1"/>
    <col min="2" max="2" width="11.6640625" bestFit="1" customWidth="1"/>
    <col min="3" max="3" width="10.6640625" bestFit="1" customWidth="1"/>
    <col min="4" max="4" width="10.33203125" bestFit="1" customWidth="1"/>
    <col min="5" max="5" width="10.44140625" bestFit="1" customWidth="1"/>
  </cols>
  <sheetData>
    <row r="1" spans="1:5" x14ac:dyDescent="0.3">
      <c r="A1" t="s">
        <v>415</v>
      </c>
      <c r="B1" t="s">
        <v>416</v>
      </c>
      <c r="C1" t="s">
        <v>417</v>
      </c>
      <c r="D1" t="s">
        <v>418</v>
      </c>
      <c r="E1" t="s">
        <v>419</v>
      </c>
    </row>
    <row r="2" spans="1:5" x14ac:dyDescent="0.3">
      <c r="A2">
        <v>10248</v>
      </c>
      <c r="B2">
        <v>11</v>
      </c>
      <c r="C2">
        <v>14</v>
      </c>
      <c r="D2">
        <v>12</v>
      </c>
      <c r="E2">
        <v>0</v>
      </c>
    </row>
    <row r="3" spans="1:5" x14ac:dyDescent="0.3">
      <c r="A3">
        <v>10248</v>
      </c>
      <c r="B3">
        <v>42</v>
      </c>
      <c r="C3">
        <v>98</v>
      </c>
      <c r="D3">
        <v>10</v>
      </c>
      <c r="E3">
        <v>0</v>
      </c>
    </row>
    <row r="4" spans="1:5" x14ac:dyDescent="0.3">
      <c r="A4">
        <v>10248</v>
      </c>
      <c r="B4">
        <v>72</v>
      </c>
      <c r="C4">
        <v>348</v>
      </c>
      <c r="D4">
        <v>5</v>
      </c>
      <c r="E4">
        <v>0</v>
      </c>
    </row>
    <row r="5" spans="1:5" x14ac:dyDescent="0.3">
      <c r="A5">
        <v>10249</v>
      </c>
      <c r="B5">
        <v>14</v>
      </c>
      <c r="C5">
        <v>186</v>
      </c>
      <c r="D5">
        <v>9</v>
      </c>
      <c r="E5">
        <v>0</v>
      </c>
    </row>
    <row r="6" spans="1:5" x14ac:dyDescent="0.3">
      <c r="A6">
        <v>10249</v>
      </c>
      <c r="B6">
        <v>51</v>
      </c>
      <c r="C6">
        <v>424</v>
      </c>
      <c r="D6">
        <v>40</v>
      </c>
      <c r="E6">
        <v>0</v>
      </c>
    </row>
    <row r="7" spans="1:5" x14ac:dyDescent="0.3">
      <c r="A7">
        <v>10250</v>
      </c>
      <c r="B7">
        <v>41</v>
      </c>
      <c r="C7">
        <v>77</v>
      </c>
      <c r="D7">
        <v>10</v>
      </c>
      <c r="E7">
        <v>0</v>
      </c>
    </row>
    <row r="8" spans="1:5" x14ac:dyDescent="0.3">
      <c r="A8">
        <v>10250</v>
      </c>
      <c r="B8">
        <v>51</v>
      </c>
      <c r="C8">
        <v>424</v>
      </c>
      <c r="D8">
        <v>35</v>
      </c>
      <c r="E8">
        <v>15</v>
      </c>
    </row>
    <row r="9" spans="1:5" x14ac:dyDescent="0.3">
      <c r="A9">
        <v>10250</v>
      </c>
      <c r="B9">
        <v>65</v>
      </c>
      <c r="C9">
        <v>168</v>
      </c>
      <c r="D9">
        <v>15</v>
      </c>
      <c r="E9">
        <v>15</v>
      </c>
    </row>
    <row r="10" spans="1:5" x14ac:dyDescent="0.3">
      <c r="A10">
        <v>10251</v>
      </c>
      <c r="B10">
        <v>22</v>
      </c>
      <c r="C10">
        <v>168</v>
      </c>
      <c r="D10">
        <v>6</v>
      </c>
      <c r="E10">
        <v>5</v>
      </c>
    </row>
    <row r="11" spans="1:5" x14ac:dyDescent="0.3">
      <c r="A11">
        <v>10251</v>
      </c>
      <c r="B11">
        <v>57</v>
      </c>
      <c r="C11">
        <v>156</v>
      </c>
      <c r="D11">
        <v>15</v>
      </c>
      <c r="E11">
        <v>5</v>
      </c>
    </row>
    <row r="12" spans="1:5" x14ac:dyDescent="0.3">
      <c r="A12">
        <v>10251</v>
      </c>
      <c r="B12">
        <v>65</v>
      </c>
      <c r="C12">
        <v>168</v>
      </c>
      <c r="D12">
        <v>20</v>
      </c>
      <c r="E12">
        <v>0</v>
      </c>
    </row>
    <row r="13" spans="1:5" x14ac:dyDescent="0.3">
      <c r="A13">
        <v>10252</v>
      </c>
      <c r="B13">
        <v>20</v>
      </c>
      <c r="C13">
        <v>648</v>
      </c>
      <c r="D13">
        <v>40</v>
      </c>
      <c r="E13">
        <v>5</v>
      </c>
    </row>
    <row r="14" spans="1:5" x14ac:dyDescent="0.3">
      <c r="A14">
        <v>10252</v>
      </c>
      <c r="B14">
        <v>33</v>
      </c>
      <c r="C14">
        <v>2</v>
      </c>
      <c r="D14">
        <v>25</v>
      </c>
      <c r="E14">
        <v>5</v>
      </c>
    </row>
    <row r="15" spans="1:5" x14ac:dyDescent="0.3">
      <c r="A15">
        <v>10252</v>
      </c>
      <c r="B15">
        <v>60</v>
      </c>
      <c r="C15">
        <v>272</v>
      </c>
      <c r="D15">
        <v>40</v>
      </c>
      <c r="E15">
        <v>0</v>
      </c>
    </row>
    <row r="16" spans="1:5" x14ac:dyDescent="0.3">
      <c r="A16">
        <v>10253</v>
      </c>
      <c r="B16">
        <v>31</v>
      </c>
      <c r="C16">
        <v>10</v>
      </c>
      <c r="D16">
        <v>20</v>
      </c>
      <c r="E16">
        <v>0</v>
      </c>
    </row>
    <row r="17" spans="1:5" x14ac:dyDescent="0.3">
      <c r="A17">
        <v>10253</v>
      </c>
      <c r="B17">
        <v>39</v>
      </c>
      <c r="C17">
        <v>144</v>
      </c>
      <c r="D17">
        <v>42</v>
      </c>
      <c r="E17">
        <v>0</v>
      </c>
    </row>
    <row r="18" spans="1:5" x14ac:dyDescent="0.3">
      <c r="A18">
        <v>10253</v>
      </c>
      <c r="B18">
        <v>49</v>
      </c>
      <c r="C18">
        <v>16</v>
      </c>
      <c r="D18">
        <v>40</v>
      </c>
      <c r="E18">
        <v>0</v>
      </c>
    </row>
    <row r="19" spans="1:5" x14ac:dyDescent="0.3">
      <c r="A19">
        <v>10254</v>
      </c>
      <c r="B19">
        <v>24</v>
      </c>
      <c r="C19">
        <v>36</v>
      </c>
      <c r="D19">
        <v>15</v>
      </c>
      <c r="E19">
        <v>15</v>
      </c>
    </row>
    <row r="20" spans="1:5" x14ac:dyDescent="0.3">
      <c r="A20">
        <v>10254</v>
      </c>
      <c r="B20">
        <v>55</v>
      </c>
      <c r="C20">
        <v>192</v>
      </c>
      <c r="D20">
        <v>21</v>
      </c>
      <c r="E20">
        <v>15</v>
      </c>
    </row>
    <row r="21" spans="1:5" x14ac:dyDescent="0.3">
      <c r="A21">
        <v>10254</v>
      </c>
      <c r="B21">
        <v>74</v>
      </c>
      <c r="C21">
        <v>8</v>
      </c>
      <c r="D21">
        <v>21</v>
      </c>
      <c r="E21">
        <v>0</v>
      </c>
    </row>
    <row r="22" spans="1:5" x14ac:dyDescent="0.3">
      <c r="A22">
        <v>10255</v>
      </c>
      <c r="B22">
        <v>2</v>
      </c>
      <c r="C22">
        <v>152</v>
      </c>
      <c r="D22">
        <v>20</v>
      </c>
      <c r="E22">
        <v>0</v>
      </c>
    </row>
    <row r="23" spans="1:5" x14ac:dyDescent="0.3">
      <c r="A23">
        <v>10255</v>
      </c>
      <c r="B23">
        <v>16</v>
      </c>
      <c r="C23">
        <v>139</v>
      </c>
      <c r="D23">
        <v>35</v>
      </c>
      <c r="E23">
        <v>0</v>
      </c>
    </row>
    <row r="24" spans="1:5" x14ac:dyDescent="0.3">
      <c r="A24">
        <v>10255</v>
      </c>
      <c r="B24">
        <v>36</v>
      </c>
      <c r="C24">
        <v>152</v>
      </c>
      <c r="D24">
        <v>25</v>
      </c>
      <c r="E24">
        <v>0</v>
      </c>
    </row>
    <row r="25" spans="1:5" x14ac:dyDescent="0.3">
      <c r="A25">
        <v>10255</v>
      </c>
      <c r="B25">
        <v>59</v>
      </c>
      <c r="C25">
        <v>44</v>
      </c>
      <c r="D25">
        <v>30</v>
      </c>
      <c r="E25">
        <v>0</v>
      </c>
    </row>
    <row r="26" spans="1:5" x14ac:dyDescent="0.3">
      <c r="A26">
        <v>10256</v>
      </c>
      <c r="B26">
        <v>53</v>
      </c>
      <c r="C26">
        <v>262</v>
      </c>
      <c r="D26">
        <v>15</v>
      </c>
      <c r="E26">
        <v>0</v>
      </c>
    </row>
    <row r="27" spans="1:5" x14ac:dyDescent="0.3">
      <c r="A27">
        <v>10256</v>
      </c>
      <c r="B27">
        <v>77</v>
      </c>
      <c r="C27">
        <v>104</v>
      </c>
      <c r="D27">
        <v>12</v>
      </c>
      <c r="E27">
        <v>0</v>
      </c>
    </row>
    <row r="28" spans="1:5" x14ac:dyDescent="0.3">
      <c r="A28">
        <v>10257</v>
      </c>
      <c r="B28">
        <v>27</v>
      </c>
      <c r="C28">
        <v>351</v>
      </c>
      <c r="D28">
        <v>25</v>
      </c>
      <c r="E28">
        <v>0</v>
      </c>
    </row>
    <row r="29" spans="1:5" x14ac:dyDescent="0.3">
      <c r="A29">
        <v>10257</v>
      </c>
      <c r="B29">
        <v>39</v>
      </c>
      <c r="C29">
        <v>144</v>
      </c>
      <c r="D29">
        <v>6</v>
      </c>
      <c r="E29">
        <v>0</v>
      </c>
    </row>
    <row r="30" spans="1:5" x14ac:dyDescent="0.3">
      <c r="A30">
        <v>10257</v>
      </c>
      <c r="B30">
        <v>77</v>
      </c>
      <c r="C30">
        <v>104</v>
      </c>
      <c r="D30">
        <v>15</v>
      </c>
      <c r="E30">
        <v>0</v>
      </c>
    </row>
    <row r="31" spans="1:5" x14ac:dyDescent="0.3">
      <c r="A31">
        <v>10258</v>
      </c>
      <c r="B31">
        <v>2</v>
      </c>
      <c r="C31">
        <v>152</v>
      </c>
      <c r="D31">
        <v>50</v>
      </c>
      <c r="E31">
        <v>2</v>
      </c>
    </row>
    <row r="32" spans="1:5" x14ac:dyDescent="0.3">
      <c r="A32">
        <v>10258</v>
      </c>
      <c r="B32">
        <v>5</v>
      </c>
      <c r="C32">
        <v>17</v>
      </c>
      <c r="D32">
        <v>65</v>
      </c>
      <c r="E32">
        <v>2</v>
      </c>
    </row>
    <row r="33" spans="1:5" x14ac:dyDescent="0.3">
      <c r="A33">
        <v>10258</v>
      </c>
      <c r="B33">
        <v>32</v>
      </c>
      <c r="C33">
        <v>256</v>
      </c>
      <c r="D33">
        <v>6</v>
      </c>
      <c r="E33">
        <v>2</v>
      </c>
    </row>
    <row r="34" spans="1:5" x14ac:dyDescent="0.3">
      <c r="A34">
        <v>10259</v>
      </c>
      <c r="B34">
        <v>21</v>
      </c>
      <c r="C34">
        <v>8</v>
      </c>
      <c r="D34">
        <v>10</v>
      </c>
      <c r="E34">
        <v>0</v>
      </c>
    </row>
    <row r="35" spans="1:5" x14ac:dyDescent="0.3">
      <c r="A35">
        <v>10259</v>
      </c>
      <c r="B35">
        <v>37</v>
      </c>
      <c r="C35">
        <v>208</v>
      </c>
      <c r="D35">
        <v>1</v>
      </c>
      <c r="E35">
        <v>0</v>
      </c>
    </row>
    <row r="36" spans="1:5" x14ac:dyDescent="0.3">
      <c r="A36">
        <v>10260</v>
      </c>
      <c r="B36">
        <v>41</v>
      </c>
      <c r="C36">
        <v>77</v>
      </c>
      <c r="D36">
        <v>16</v>
      </c>
      <c r="E36">
        <v>25</v>
      </c>
    </row>
    <row r="37" spans="1:5" x14ac:dyDescent="0.3">
      <c r="A37">
        <v>10260</v>
      </c>
      <c r="B37">
        <v>57</v>
      </c>
      <c r="C37">
        <v>156</v>
      </c>
      <c r="D37">
        <v>50</v>
      </c>
      <c r="E37">
        <v>0</v>
      </c>
    </row>
    <row r="38" spans="1:5" x14ac:dyDescent="0.3">
      <c r="A38">
        <v>10260</v>
      </c>
      <c r="B38">
        <v>62</v>
      </c>
      <c r="C38">
        <v>394</v>
      </c>
      <c r="D38">
        <v>15</v>
      </c>
      <c r="E38">
        <v>25</v>
      </c>
    </row>
    <row r="39" spans="1:5" x14ac:dyDescent="0.3">
      <c r="A39">
        <v>10260</v>
      </c>
      <c r="B39">
        <v>70</v>
      </c>
      <c r="C39">
        <v>12</v>
      </c>
      <c r="D39">
        <v>21</v>
      </c>
      <c r="E39">
        <v>25</v>
      </c>
    </row>
    <row r="40" spans="1:5" x14ac:dyDescent="0.3">
      <c r="A40">
        <v>10261</v>
      </c>
      <c r="B40">
        <v>21</v>
      </c>
      <c r="C40">
        <v>8</v>
      </c>
      <c r="D40">
        <v>20</v>
      </c>
      <c r="E40">
        <v>0</v>
      </c>
    </row>
    <row r="41" spans="1:5" x14ac:dyDescent="0.3">
      <c r="A41">
        <v>10261</v>
      </c>
      <c r="B41">
        <v>35</v>
      </c>
      <c r="C41">
        <v>144</v>
      </c>
      <c r="D41">
        <v>20</v>
      </c>
      <c r="E41">
        <v>0</v>
      </c>
    </row>
    <row r="42" spans="1:5" x14ac:dyDescent="0.3">
      <c r="A42">
        <v>10262</v>
      </c>
      <c r="B42">
        <v>5</v>
      </c>
      <c r="C42">
        <v>17</v>
      </c>
      <c r="D42">
        <v>12</v>
      </c>
      <c r="E42">
        <v>2</v>
      </c>
    </row>
    <row r="43" spans="1:5" x14ac:dyDescent="0.3">
      <c r="A43">
        <v>10262</v>
      </c>
      <c r="B43">
        <v>7</v>
      </c>
      <c r="C43">
        <v>24</v>
      </c>
      <c r="D43">
        <v>15</v>
      </c>
      <c r="E43">
        <v>0</v>
      </c>
    </row>
    <row r="44" spans="1:5" x14ac:dyDescent="0.3">
      <c r="A44">
        <v>10262</v>
      </c>
      <c r="B44">
        <v>56</v>
      </c>
      <c r="C44">
        <v>304</v>
      </c>
      <c r="D44">
        <v>2</v>
      </c>
      <c r="E44">
        <v>0</v>
      </c>
    </row>
    <row r="45" spans="1:5" x14ac:dyDescent="0.3">
      <c r="A45">
        <v>10263</v>
      </c>
      <c r="B45">
        <v>16</v>
      </c>
      <c r="C45">
        <v>139</v>
      </c>
      <c r="D45">
        <v>60</v>
      </c>
      <c r="E45">
        <v>25</v>
      </c>
    </row>
    <row r="46" spans="1:5" x14ac:dyDescent="0.3">
      <c r="A46">
        <v>10263</v>
      </c>
      <c r="B46">
        <v>24</v>
      </c>
      <c r="C46">
        <v>36</v>
      </c>
      <c r="D46">
        <v>28</v>
      </c>
      <c r="E46">
        <v>0</v>
      </c>
    </row>
    <row r="47" spans="1:5" x14ac:dyDescent="0.3">
      <c r="A47">
        <v>10263</v>
      </c>
      <c r="B47">
        <v>30</v>
      </c>
      <c r="C47">
        <v>207</v>
      </c>
      <c r="D47">
        <v>60</v>
      </c>
      <c r="E47">
        <v>25</v>
      </c>
    </row>
    <row r="48" spans="1:5" x14ac:dyDescent="0.3">
      <c r="A48">
        <v>10263</v>
      </c>
      <c r="B48">
        <v>74</v>
      </c>
      <c r="C48">
        <v>8</v>
      </c>
      <c r="D48">
        <v>36</v>
      </c>
      <c r="E48">
        <v>25</v>
      </c>
    </row>
    <row r="49" spans="1:5" x14ac:dyDescent="0.3">
      <c r="A49">
        <v>10264</v>
      </c>
      <c r="B49">
        <v>2</v>
      </c>
      <c r="C49">
        <v>152</v>
      </c>
      <c r="D49">
        <v>35</v>
      </c>
      <c r="E49">
        <v>0</v>
      </c>
    </row>
    <row r="50" spans="1:5" x14ac:dyDescent="0.3">
      <c r="A50">
        <v>10264</v>
      </c>
      <c r="B50">
        <v>41</v>
      </c>
      <c r="C50">
        <v>77</v>
      </c>
      <c r="D50">
        <v>25</v>
      </c>
      <c r="E50">
        <v>15</v>
      </c>
    </row>
    <row r="51" spans="1:5" x14ac:dyDescent="0.3">
      <c r="A51">
        <v>10265</v>
      </c>
      <c r="B51">
        <v>17</v>
      </c>
      <c r="C51">
        <v>312</v>
      </c>
      <c r="D51">
        <v>30</v>
      </c>
      <c r="E51">
        <v>0</v>
      </c>
    </row>
    <row r="52" spans="1:5" x14ac:dyDescent="0.3">
      <c r="A52">
        <v>10265</v>
      </c>
      <c r="B52">
        <v>70</v>
      </c>
      <c r="C52">
        <v>12</v>
      </c>
      <c r="D52">
        <v>20</v>
      </c>
      <c r="E52">
        <v>0</v>
      </c>
    </row>
    <row r="53" spans="1:5" x14ac:dyDescent="0.3">
      <c r="A53">
        <v>10266</v>
      </c>
      <c r="B53">
        <v>12</v>
      </c>
      <c r="C53">
        <v>304</v>
      </c>
      <c r="D53">
        <v>12</v>
      </c>
      <c r="E53">
        <v>5</v>
      </c>
    </row>
    <row r="54" spans="1:5" x14ac:dyDescent="0.3">
      <c r="A54">
        <v>10267</v>
      </c>
      <c r="B54">
        <v>40</v>
      </c>
      <c r="C54">
        <v>147</v>
      </c>
      <c r="D54">
        <v>50</v>
      </c>
      <c r="E54">
        <v>0</v>
      </c>
    </row>
    <row r="55" spans="1:5" x14ac:dyDescent="0.3">
      <c r="A55">
        <v>10267</v>
      </c>
      <c r="B55">
        <v>59</v>
      </c>
      <c r="C55">
        <v>44</v>
      </c>
      <c r="D55">
        <v>70</v>
      </c>
      <c r="E55">
        <v>15</v>
      </c>
    </row>
    <row r="56" spans="1:5" x14ac:dyDescent="0.3">
      <c r="A56">
        <v>10267</v>
      </c>
      <c r="B56">
        <v>76</v>
      </c>
      <c r="C56">
        <v>144</v>
      </c>
      <c r="D56">
        <v>15</v>
      </c>
      <c r="E56">
        <v>15</v>
      </c>
    </row>
    <row r="57" spans="1:5" x14ac:dyDescent="0.3">
      <c r="A57">
        <v>10268</v>
      </c>
      <c r="B57">
        <v>29</v>
      </c>
      <c r="C57">
        <v>99</v>
      </c>
      <c r="D57">
        <v>10</v>
      </c>
      <c r="E57">
        <v>0</v>
      </c>
    </row>
    <row r="58" spans="1:5" x14ac:dyDescent="0.3">
      <c r="A58">
        <v>10268</v>
      </c>
      <c r="B58">
        <v>72</v>
      </c>
      <c r="C58">
        <v>278</v>
      </c>
      <c r="D58">
        <v>4</v>
      </c>
      <c r="E58">
        <v>0</v>
      </c>
    </row>
    <row r="59" spans="1:5" x14ac:dyDescent="0.3">
      <c r="A59">
        <v>10269</v>
      </c>
      <c r="B59">
        <v>33</v>
      </c>
      <c r="C59">
        <v>2</v>
      </c>
      <c r="D59">
        <v>60</v>
      </c>
      <c r="E59">
        <v>5</v>
      </c>
    </row>
    <row r="60" spans="1:5" x14ac:dyDescent="0.3">
      <c r="A60">
        <v>10269</v>
      </c>
      <c r="B60">
        <v>72</v>
      </c>
      <c r="C60">
        <v>278</v>
      </c>
      <c r="D60">
        <v>20</v>
      </c>
      <c r="E60">
        <v>5</v>
      </c>
    </row>
    <row r="61" spans="1:5" x14ac:dyDescent="0.3">
      <c r="A61">
        <v>10270</v>
      </c>
      <c r="B61">
        <v>36</v>
      </c>
      <c r="C61">
        <v>152</v>
      </c>
      <c r="D61">
        <v>30</v>
      </c>
      <c r="E61">
        <v>0</v>
      </c>
    </row>
    <row r="62" spans="1:5" x14ac:dyDescent="0.3">
      <c r="A62">
        <v>10270</v>
      </c>
      <c r="B62">
        <v>43</v>
      </c>
      <c r="C62">
        <v>368</v>
      </c>
      <c r="D62">
        <v>25</v>
      </c>
      <c r="E62">
        <v>0</v>
      </c>
    </row>
    <row r="63" spans="1:5" x14ac:dyDescent="0.3">
      <c r="A63">
        <v>10271</v>
      </c>
      <c r="B63">
        <v>33</v>
      </c>
      <c r="C63">
        <v>2</v>
      </c>
      <c r="D63">
        <v>24</v>
      </c>
      <c r="E63">
        <v>0</v>
      </c>
    </row>
    <row r="64" spans="1:5" x14ac:dyDescent="0.3">
      <c r="A64">
        <v>10272</v>
      </c>
      <c r="B64">
        <v>20</v>
      </c>
      <c r="C64">
        <v>648</v>
      </c>
      <c r="D64">
        <v>6</v>
      </c>
      <c r="E64">
        <v>0</v>
      </c>
    </row>
    <row r="65" spans="1:5" x14ac:dyDescent="0.3">
      <c r="A65">
        <v>10272</v>
      </c>
      <c r="B65">
        <v>31</v>
      </c>
      <c r="C65">
        <v>10</v>
      </c>
      <c r="D65">
        <v>40</v>
      </c>
      <c r="E65">
        <v>0</v>
      </c>
    </row>
    <row r="66" spans="1:5" x14ac:dyDescent="0.3">
      <c r="A66">
        <v>10272</v>
      </c>
      <c r="B66">
        <v>72</v>
      </c>
      <c r="C66">
        <v>278</v>
      </c>
      <c r="D66">
        <v>24</v>
      </c>
      <c r="E66">
        <v>0</v>
      </c>
    </row>
    <row r="67" spans="1:5" x14ac:dyDescent="0.3">
      <c r="A67">
        <v>10273</v>
      </c>
      <c r="B67">
        <v>10</v>
      </c>
      <c r="C67">
        <v>248</v>
      </c>
      <c r="D67">
        <v>24</v>
      </c>
      <c r="E67">
        <v>5</v>
      </c>
    </row>
    <row r="68" spans="1:5" x14ac:dyDescent="0.3">
      <c r="A68">
        <v>10273</v>
      </c>
      <c r="B68">
        <v>31</v>
      </c>
      <c r="C68">
        <v>10</v>
      </c>
      <c r="D68">
        <v>15</v>
      </c>
      <c r="E68">
        <v>5</v>
      </c>
    </row>
    <row r="69" spans="1:5" x14ac:dyDescent="0.3">
      <c r="A69">
        <v>10273</v>
      </c>
      <c r="B69">
        <v>33</v>
      </c>
      <c r="C69">
        <v>2</v>
      </c>
      <c r="D69">
        <v>20</v>
      </c>
      <c r="E69">
        <v>0</v>
      </c>
    </row>
    <row r="70" spans="1:5" x14ac:dyDescent="0.3">
      <c r="A70">
        <v>10273</v>
      </c>
      <c r="B70">
        <v>40</v>
      </c>
      <c r="C70">
        <v>147</v>
      </c>
      <c r="D70">
        <v>60</v>
      </c>
      <c r="E70">
        <v>5</v>
      </c>
    </row>
    <row r="71" spans="1:5" x14ac:dyDescent="0.3">
      <c r="A71">
        <v>10273</v>
      </c>
      <c r="B71">
        <v>76</v>
      </c>
      <c r="C71">
        <v>144</v>
      </c>
      <c r="D71">
        <v>33</v>
      </c>
      <c r="E71">
        <v>5</v>
      </c>
    </row>
    <row r="72" spans="1:5" x14ac:dyDescent="0.3">
      <c r="A72">
        <v>10274</v>
      </c>
      <c r="B72">
        <v>71</v>
      </c>
      <c r="C72">
        <v>172</v>
      </c>
      <c r="D72">
        <v>20</v>
      </c>
      <c r="E72">
        <v>0</v>
      </c>
    </row>
    <row r="73" spans="1:5" x14ac:dyDescent="0.3">
      <c r="A73">
        <v>10274</v>
      </c>
      <c r="B73">
        <v>72</v>
      </c>
      <c r="C73">
        <v>278</v>
      </c>
      <c r="D73">
        <v>7</v>
      </c>
      <c r="E73">
        <v>0</v>
      </c>
    </row>
    <row r="74" spans="1:5" x14ac:dyDescent="0.3">
      <c r="A74">
        <v>10275</v>
      </c>
      <c r="B74">
        <v>24</v>
      </c>
      <c r="C74">
        <v>36</v>
      </c>
      <c r="D74">
        <v>12</v>
      </c>
      <c r="E74">
        <v>5</v>
      </c>
    </row>
    <row r="75" spans="1:5" x14ac:dyDescent="0.3">
      <c r="A75">
        <v>10275</v>
      </c>
      <c r="B75">
        <v>59</v>
      </c>
      <c r="C75">
        <v>44</v>
      </c>
      <c r="D75">
        <v>6</v>
      </c>
      <c r="E75">
        <v>5</v>
      </c>
    </row>
    <row r="76" spans="1:5" x14ac:dyDescent="0.3">
      <c r="A76">
        <v>10276</v>
      </c>
      <c r="B76">
        <v>10</v>
      </c>
      <c r="C76">
        <v>248</v>
      </c>
      <c r="D76">
        <v>15</v>
      </c>
      <c r="E76">
        <v>0</v>
      </c>
    </row>
    <row r="77" spans="1:5" x14ac:dyDescent="0.3">
      <c r="A77">
        <v>10276</v>
      </c>
      <c r="B77">
        <v>13</v>
      </c>
      <c r="C77">
        <v>48</v>
      </c>
      <c r="D77">
        <v>10</v>
      </c>
      <c r="E77">
        <v>0</v>
      </c>
    </row>
    <row r="78" spans="1:5" x14ac:dyDescent="0.3">
      <c r="A78">
        <v>10277</v>
      </c>
      <c r="B78">
        <v>28</v>
      </c>
      <c r="C78">
        <v>364</v>
      </c>
      <c r="D78">
        <v>20</v>
      </c>
      <c r="E78">
        <v>0</v>
      </c>
    </row>
    <row r="79" spans="1:5" x14ac:dyDescent="0.3">
      <c r="A79">
        <v>10277</v>
      </c>
      <c r="B79">
        <v>62</v>
      </c>
      <c r="C79">
        <v>394</v>
      </c>
      <c r="D79">
        <v>12</v>
      </c>
      <c r="E79">
        <v>0</v>
      </c>
    </row>
    <row r="80" spans="1:5" x14ac:dyDescent="0.3">
      <c r="A80">
        <v>10278</v>
      </c>
      <c r="B80">
        <v>44</v>
      </c>
      <c r="C80">
        <v>155</v>
      </c>
      <c r="D80">
        <v>16</v>
      </c>
      <c r="E80">
        <v>0</v>
      </c>
    </row>
    <row r="81" spans="1:5" x14ac:dyDescent="0.3">
      <c r="A81">
        <v>10278</v>
      </c>
      <c r="B81">
        <v>59</v>
      </c>
      <c r="C81">
        <v>44</v>
      </c>
      <c r="D81">
        <v>15</v>
      </c>
      <c r="E81">
        <v>0</v>
      </c>
    </row>
    <row r="82" spans="1:5" x14ac:dyDescent="0.3">
      <c r="A82">
        <v>10278</v>
      </c>
      <c r="B82">
        <v>63</v>
      </c>
      <c r="C82">
        <v>351</v>
      </c>
      <c r="D82">
        <v>8</v>
      </c>
      <c r="E82">
        <v>0</v>
      </c>
    </row>
    <row r="83" spans="1:5" x14ac:dyDescent="0.3">
      <c r="A83">
        <v>10278</v>
      </c>
      <c r="B83">
        <v>73</v>
      </c>
      <c r="C83">
        <v>12</v>
      </c>
      <c r="D83">
        <v>25</v>
      </c>
      <c r="E83">
        <v>0</v>
      </c>
    </row>
    <row r="84" spans="1:5" x14ac:dyDescent="0.3">
      <c r="A84">
        <v>10279</v>
      </c>
      <c r="B84">
        <v>17</v>
      </c>
      <c r="C84">
        <v>312</v>
      </c>
      <c r="D84">
        <v>15</v>
      </c>
      <c r="E84">
        <v>25</v>
      </c>
    </row>
    <row r="85" spans="1:5" x14ac:dyDescent="0.3">
      <c r="A85">
        <v>10280</v>
      </c>
      <c r="B85">
        <v>24</v>
      </c>
      <c r="C85">
        <v>36</v>
      </c>
      <c r="D85">
        <v>12</v>
      </c>
      <c r="E85">
        <v>0</v>
      </c>
    </row>
    <row r="86" spans="1:5" x14ac:dyDescent="0.3">
      <c r="A86">
        <v>10280</v>
      </c>
      <c r="B86">
        <v>55</v>
      </c>
      <c r="C86">
        <v>192</v>
      </c>
      <c r="D86">
        <v>20</v>
      </c>
      <c r="E86">
        <v>0</v>
      </c>
    </row>
    <row r="87" spans="1:5" x14ac:dyDescent="0.3">
      <c r="A87">
        <v>10280</v>
      </c>
      <c r="B87">
        <v>75</v>
      </c>
      <c r="C87">
        <v>62</v>
      </c>
      <c r="D87">
        <v>30</v>
      </c>
      <c r="E87">
        <v>0</v>
      </c>
    </row>
    <row r="88" spans="1:5" x14ac:dyDescent="0.3">
      <c r="A88">
        <v>10281</v>
      </c>
      <c r="B88">
        <v>19</v>
      </c>
      <c r="C88">
        <v>73</v>
      </c>
      <c r="D88">
        <v>1</v>
      </c>
      <c r="E88">
        <v>0</v>
      </c>
    </row>
    <row r="89" spans="1:5" x14ac:dyDescent="0.3">
      <c r="A89">
        <v>10281</v>
      </c>
      <c r="B89">
        <v>24</v>
      </c>
      <c r="C89">
        <v>36</v>
      </c>
      <c r="D89">
        <v>6</v>
      </c>
      <c r="E89">
        <v>0</v>
      </c>
    </row>
    <row r="90" spans="1:5" x14ac:dyDescent="0.3">
      <c r="A90">
        <v>10281</v>
      </c>
      <c r="B90">
        <v>35</v>
      </c>
      <c r="C90">
        <v>144</v>
      </c>
      <c r="D90">
        <v>4</v>
      </c>
      <c r="E90">
        <v>0</v>
      </c>
    </row>
    <row r="91" spans="1:5" x14ac:dyDescent="0.3">
      <c r="A91">
        <v>10282</v>
      </c>
      <c r="B91">
        <v>30</v>
      </c>
      <c r="C91">
        <v>207</v>
      </c>
      <c r="D91">
        <v>6</v>
      </c>
      <c r="E91">
        <v>0</v>
      </c>
    </row>
    <row r="92" spans="1:5" x14ac:dyDescent="0.3">
      <c r="A92">
        <v>10282</v>
      </c>
      <c r="B92">
        <v>57</v>
      </c>
      <c r="C92">
        <v>156</v>
      </c>
      <c r="D92">
        <v>2</v>
      </c>
      <c r="E92">
        <v>0</v>
      </c>
    </row>
    <row r="93" spans="1:5" x14ac:dyDescent="0.3">
      <c r="A93">
        <v>10283</v>
      </c>
      <c r="B93">
        <v>15</v>
      </c>
      <c r="C93">
        <v>124</v>
      </c>
      <c r="D93">
        <v>20</v>
      </c>
      <c r="E93">
        <v>0</v>
      </c>
    </row>
    <row r="94" spans="1:5" x14ac:dyDescent="0.3">
      <c r="A94">
        <v>10283</v>
      </c>
      <c r="B94">
        <v>19</v>
      </c>
      <c r="C94">
        <v>73</v>
      </c>
      <c r="D94">
        <v>18</v>
      </c>
      <c r="E94">
        <v>0</v>
      </c>
    </row>
    <row r="95" spans="1:5" x14ac:dyDescent="0.3">
      <c r="A95">
        <v>10283</v>
      </c>
      <c r="B95">
        <v>60</v>
      </c>
      <c r="C95">
        <v>272</v>
      </c>
      <c r="D95">
        <v>35</v>
      </c>
      <c r="E95">
        <v>0</v>
      </c>
    </row>
    <row r="96" spans="1:5" x14ac:dyDescent="0.3">
      <c r="A96">
        <v>10283</v>
      </c>
      <c r="B96">
        <v>72</v>
      </c>
      <c r="C96">
        <v>278</v>
      </c>
      <c r="D96">
        <v>3</v>
      </c>
      <c r="E96">
        <v>0</v>
      </c>
    </row>
    <row r="97" spans="1:5" x14ac:dyDescent="0.3">
      <c r="A97">
        <v>10284</v>
      </c>
      <c r="B97">
        <v>27</v>
      </c>
      <c r="C97">
        <v>351</v>
      </c>
      <c r="D97">
        <v>15</v>
      </c>
      <c r="E97">
        <v>25</v>
      </c>
    </row>
    <row r="98" spans="1:5" x14ac:dyDescent="0.3">
      <c r="A98">
        <v>10284</v>
      </c>
      <c r="B98">
        <v>44</v>
      </c>
      <c r="C98">
        <v>155</v>
      </c>
      <c r="D98">
        <v>21</v>
      </c>
      <c r="E98">
        <v>0</v>
      </c>
    </row>
    <row r="99" spans="1:5" x14ac:dyDescent="0.3">
      <c r="A99">
        <v>10284</v>
      </c>
      <c r="B99">
        <v>60</v>
      </c>
      <c r="C99">
        <v>272</v>
      </c>
      <c r="D99">
        <v>20</v>
      </c>
      <c r="E99">
        <v>25</v>
      </c>
    </row>
    <row r="100" spans="1:5" x14ac:dyDescent="0.3">
      <c r="A100">
        <v>10284</v>
      </c>
      <c r="B100">
        <v>67</v>
      </c>
      <c r="C100">
        <v>112</v>
      </c>
      <c r="D100">
        <v>5</v>
      </c>
      <c r="E100">
        <v>25</v>
      </c>
    </row>
    <row r="101" spans="1:5" x14ac:dyDescent="0.3">
      <c r="A101">
        <v>10285</v>
      </c>
      <c r="B101">
        <v>1</v>
      </c>
      <c r="C101">
        <v>144</v>
      </c>
      <c r="D101">
        <v>45</v>
      </c>
      <c r="E101">
        <v>2</v>
      </c>
    </row>
    <row r="102" spans="1:5" x14ac:dyDescent="0.3">
      <c r="A102">
        <v>10285</v>
      </c>
      <c r="B102">
        <v>40</v>
      </c>
      <c r="C102">
        <v>147</v>
      </c>
      <c r="D102">
        <v>40</v>
      </c>
      <c r="E102">
        <v>2</v>
      </c>
    </row>
    <row r="103" spans="1:5" x14ac:dyDescent="0.3">
      <c r="A103">
        <v>10285</v>
      </c>
      <c r="B103">
        <v>53</v>
      </c>
      <c r="C103">
        <v>262</v>
      </c>
      <c r="D103">
        <v>36</v>
      </c>
      <c r="E103">
        <v>2</v>
      </c>
    </row>
    <row r="104" spans="1:5" x14ac:dyDescent="0.3">
      <c r="A104">
        <v>10286</v>
      </c>
      <c r="B104">
        <v>35</v>
      </c>
      <c r="C104">
        <v>144</v>
      </c>
      <c r="D104">
        <v>100</v>
      </c>
      <c r="E104">
        <v>0</v>
      </c>
    </row>
    <row r="105" spans="1:5" x14ac:dyDescent="0.3">
      <c r="A105">
        <v>10286</v>
      </c>
      <c r="B105">
        <v>62</v>
      </c>
      <c r="C105">
        <v>394</v>
      </c>
      <c r="D105">
        <v>40</v>
      </c>
      <c r="E105">
        <v>0</v>
      </c>
    </row>
    <row r="106" spans="1:5" x14ac:dyDescent="0.3">
      <c r="A106">
        <v>10287</v>
      </c>
      <c r="B106">
        <v>16</v>
      </c>
      <c r="C106">
        <v>139</v>
      </c>
      <c r="D106">
        <v>40</v>
      </c>
      <c r="E106">
        <v>15</v>
      </c>
    </row>
    <row r="107" spans="1:5" x14ac:dyDescent="0.3">
      <c r="A107">
        <v>10287</v>
      </c>
      <c r="B107">
        <v>34</v>
      </c>
      <c r="C107">
        <v>112</v>
      </c>
      <c r="D107">
        <v>20</v>
      </c>
      <c r="E107">
        <v>0</v>
      </c>
    </row>
    <row r="108" spans="1:5" x14ac:dyDescent="0.3">
      <c r="A108">
        <v>10287</v>
      </c>
      <c r="B108">
        <v>46</v>
      </c>
      <c r="C108">
        <v>96</v>
      </c>
      <c r="D108">
        <v>15</v>
      </c>
      <c r="E108">
        <v>15</v>
      </c>
    </row>
    <row r="109" spans="1:5" x14ac:dyDescent="0.3">
      <c r="A109">
        <v>10288</v>
      </c>
      <c r="B109">
        <v>54</v>
      </c>
      <c r="C109">
        <v>59</v>
      </c>
      <c r="D109">
        <v>10</v>
      </c>
      <c r="E109">
        <v>1</v>
      </c>
    </row>
    <row r="110" spans="1:5" x14ac:dyDescent="0.3">
      <c r="A110">
        <v>10288</v>
      </c>
      <c r="B110">
        <v>68</v>
      </c>
      <c r="C110">
        <v>10</v>
      </c>
      <c r="D110">
        <v>3</v>
      </c>
      <c r="E110">
        <v>1</v>
      </c>
    </row>
    <row r="111" spans="1:5" x14ac:dyDescent="0.3">
      <c r="A111">
        <v>10289</v>
      </c>
      <c r="B111">
        <v>3</v>
      </c>
      <c r="C111">
        <v>8</v>
      </c>
      <c r="D111">
        <v>30</v>
      </c>
      <c r="E111">
        <v>0</v>
      </c>
    </row>
    <row r="112" spans="1:5" x14ac:dyDescent="0.3">
      <c r="A112">
        <v>10289</v>
      </c>
      <c r="B112">
        <v>64</v>
      </c>
      <c r="C112">
        <v>266</v>
      </c>
      <c r="D112">
        <v>9</v>
      </c>
      <c r="E112">
        <v>0</v>
      </c>
    </row>
    <row r="113" spans="1:5" x14ac:dyDescent="0.3">
      <c r="A113">
        <v>10290</v>
      </c>
      <c r="B113">
        <v>5</v>
      </c>
      <c r="C113">
        <v>17</v>
      </c>
      <c r="D113">
        <v>20</v>
      </c>
      <c r="E113">
        <v>0</v>
      </c>
    </row>
    <row r="114" spans="1:5" x14ac:dyDescent="0.3">
      <c r="A114">
        <v>10290</v>
      </c>
      <c r="B114">
        <v>29</v>
      </c>
      <c r="C114">
        <v>99</v>
      </c>
      <c r="D114">
        <v>15</v>
      </c>
      <c r="E114">
        <v>0</v>
      </c>
    </row>
    <row r="115" spans="1:5" x14ac:dyDescent="0.3">
      <c r="A115">
        <v>10290</v>
      </c>
      <c r="B115">
        <v>49</v>
      </c>
      <c r="C115">
        <v>16</v>
      </c>
      <c r="D115">
        <v>15</v>
      </c>
      <c r="E115">
        <v>0</v>
      </c>
    </row>
    <row r="116" spans="1:5" x14ac:dyDescent="0.3">
      <c r="A116">
        <v>10290</v>
      </c>
      <c r="B116">
        <v>77</v>
      </c>
      <c r="C116">
        <v>104</v>
      </c>
      <c r="D116">
        <v>10</v>
      </c>
      <c r="E116">
        <v>0</v>
      </c>
    </row>
    <row r="117" spans="1:5" x14ac:dyDescent="0.3">
      <c r="A117">
        <v>10291</v>
      </c>
      <c r="B117">
        <v>13</v>
      </c>
      <c r="C117">
        <v>48</v>
      </c>
      <c r="D117">
        <v>20</v>
      </c>
      <c r="E117">
        <v>1</v>
      </c>
    </row>
    <row r="118" spans="1:5" x14ac:dyDescent="0.3">
      <c r="A118">
        <v>10291</v>
      </c>
      <c r="B118">
        <v>44</v>
      </c>
      <c r="C118">
        <v>155</v>
      </c>
      <c r="D118">
        <v>24</v>
      </c>
      <c r="E118">
        <v>1</v>
      </c>
    </row>
    <row r="119" spans="1:5" x14ac:dyDescent="0.3">
      <c r="A119">
        <v>10291</v>
      </c>
      <c r="B119">
        <v>51</v>
      </c>
      <c r="C119">
        <v>424</v>
      </c>
      <c r="D119">
        <v>2</v>
      </c>
      <c r="E119">
        <v>1</v>
      </c>
    </row>
    <row r="120" spans="1:5" x14ac:dyDescent="0.3">
      <c r="A120">
        <v>10292</v>
      </c>
      <c r="B120">
        <v>20</v>
      </c>
      <c r="C120">
        <v>648</v>
      </c>
      <c r="D120">
        <v>20</v>
      </c>
      <c r="E120">
        <v>0</v>
      </c>
    </row>
    <row r="121" spans="1:5" x14ac:dyDescent="0.3">
      <c r="A121">
        <v>10293</v>
      </c>
      <c r="B121">
        <v>18</v>
      </c>
      <c r="C121">
        <v>50</v>
      </c>
      <c r="D121">
        <v>12</v>
      </c>
      <c r="E121">
        <v>0</v>
      </c>
    </row>
    <row r="122" spans="1:5" x14ac:dyDescent="0.3">
      <c r="A122">
        <v>10293</v>
      </c>
      <c r="B122">
        <v>24</v>
      </c>
      <c r="C122">
        <v>36</v>
      </c>
      <c r="D122">
        <v>10</v>
      </c>
      <c r="E122">
        <v>0</v>
      </c>
    </row>
    <row r="123" spans="1:5" x14ac:dyDescent="0.3">
      <c r="A123">
        <v>10293</v>
      </c>
      <c r="B123">
        <v>63</v>
      </c>
      <c r="C123">
        <v>351</v>
      </c>
      <c r="D123">
        <v>5</v>
      </c>
      <c r="E123">
        <v>0</v>
      </c>
    </row>
    <row r="124" spans="1:5" x14ac:dyDescent="0.3">
      <c r="A124">
        <v>10293</v>
      </c>
      <c r="B124">
        <v>75</v>
      </c>
      <c r="C124">
        <v>62</v>
      </c>
      <c r="D124">
        <v>6</v>
      </c>
      <c r="E124">
        <v>0</v>
      </c>
    </row>
    <row r="125" spans="1:5" x14ac:dyDescent="0.3">
      <c r="A125">
        <v>10294</v>
      </c>
      <c r="B125">
        <v>1</v>
      </c>
      <c r="C125">
        <v>144</v>
      </c>
      <c r="D125">
        <v>18</v>
      </c>
      <c r="E125">
        <v>0</v>
      </c>
    </row>
    <row r="126" spans="1:5" x14ac:dyDescent="0.3">
      <c r="A126">
        <v>10294</v>
      </c>
      <c r="B126">
        <v>17</v>
      </c>
      <c r="C126">
        <v>312</v>
      </c>
      <c r="D126">
        <v>15</v>
      </c>
      <c r="E126">
        <v>0</v>
      </c>
    </row>
    <row r="127" spans="1:5" x14ac:dyDescent="0.3">
      <c r="A127">
        <v>10294</v>
      </c>
      <c r="B127">
        <v>43</v>
      </c>
      <c r="C127">
        <v>368</v>
      </c>
      <c r="D127">
        <v>15</v>
      </c>
      <c r="E127">
        <v>0</v>
      </c>
    </row>
    <row r="128" spans="1:5" x14ac:dyDescent="0.3">
      <c r="A128">
        <v>10294</v>
      </c>
      <c r="B128">
        <v>60</v>
      </c>
      <c r="C128">
        <v>272</v>
      </c>
      <c r="D128">
        <v>21</v>
      </c>
      <c r="E128">
        <v>0</v>
      </c>
    </row>
    <row r="129" spans="1:5" x14ac:dyDescent="0.3">
      <c r="A129">
        <v>10294</v>
      </c>
      <c r="B129">
        <v>75</v>
      </c>
      <c r="C129">
        <v>62</v>
      </c>
      <c r="D129">
        <v>6</v>
      </c>
      <c r="E129">
        <v>0</v>
      </c>
    </row>
    <row r="130" spans="1:5" x14ac:dyDescent="0.3">
      <c r="A130">
        <v>10295</v>
      </c>
      <c r="B130">
        <v>56</v>
      </c>
      <c r="C130">
        <v>304</v>
      </c>
      <c r="D130">
        <v>4</v>
      </c>
      <c r="E130">
        <v>0</v>
      </c>
    </row>
    <row r="131" spans="1:5" x14ac:dyDescent="0.3">
      <c r="A131">
        <v>10296</v>
      </c>
      <c r="B131">
        <v>11</v>
      </c>
      <c r="C131">
        <v>168</v>
      </c>
      <c r="D131">
        <v>12</v>
      </c>
      <c r="E131">
        <v>0</v>
      </c>
    </row>
    <row r="132" spans="1:5" x14ac:dyDescent="0.3">
      <c r="A132">
        <v>10296</v>
      </c>
      <c r="B132">
        <v>16</v>
      </c>
      <c r="C132">
        <v>139</v>
      </c>
      <c r="D132">
        <v>30</v>
      </c>
      <c r="E132">
        <v>0</v>
      </c>
    </row>
    <row r="133" spans="1:5" x14ac:dyDescent="0.3">
      <c r="A133">
        <v>10296</v>
      </c>
      <c r="B133">
        <v>69</v>
      </c>
      <c r="C133">
        <v>288</v>
      </c>
      <c r="D133">
        <v>15</v>
      </c>
      <c r="E133">
        <v>0</v>
      </c>
    </row>
    <row r="134" spans="1:5" x14ac:dyDescent="0.3">
      <c r="A134">
        <v>10297</v>
      </c>
      <c r="B134">
        <v>39</v>
      </c>
      <c r="C134">
        <v>144</v>
      </c>
      <c r="D134">
        <v>60</v>
      </c>
      <c r="E134">
        <v>0</v>
      </c>
    </row>
    <row r="135" spans="1:5" x14ac:dyDescent="0.3">
      <c r="A135">
        <v>10297</v>
      </c>
      <c r="B135">
        <v>72</v>
      </c>
      <c r="C135">
        <v>278</v>
      </c>
      <c r="D135">
        <v>20</v>
      </c>
      <c r="E135">
        <v>0</v>
      </c>
    </row>
    <row r="136" spans="1:5" x14ac:dyDescent="0.3">
      <c r="A136">
        <v>10298</v>
      </c>
      <c r="B136">
        <v>2</v>
      </c>
      <c r="C136">
        <v>152</v>
      </c>
      <c r="D136">
        <v>40</v>
      </c>
      <c r="E136">
        <v>0</v>
      </c>
    </row>
    <row r="137" spans="1:5" x14ac:dyDescent="0.3">
      <c r="A137">
        <v>10298</v>
      </c>
      <c r="B137">
        <v>36</v>
      </c>
      <c r="C137">
        <v>152</v>
      </c>
      <c r="D137">
        <v>40</v>
      </c>
      <c r="E137">
        <v>25</v>
      </c>
    </row>
    <row r="138" spans="1:5" x14ac:dyDescent="0.3">
      <c r="A138">
        <v>10298</v>
      </c>
      <c r="B138">
        <v>59</v>
      </c>
      <c r="C138">
        <v>44</v>
      </c>
      <c r="D138">
        <v>30</v>
      </c>
      <c r="E138">
        <v>25</v>
      </c>
    </row>
    <row r="139" spans="1:5" x14ac:dyDescent="0.3">
      <c r="A139">
        <v>10298</v>
      </c>
      <c r="B139">
        <v>62</v>
      </c>
      <c r="C139">
        <v>394</v>
      </c>
      <c r="D139">
        <v>15</v>
      </c>
      <c r="E139">
        <v>0</v>
      </c>
    </row>
    <row r="140" spans="1:5" x14ac:dyDescent="0.3">
      <c r="A140">
        <v>10299</v>
      </c>
      <c r="B140">
        <v>19</v>
      </c>
      <c r="C140">
        <v>73</v>
      </c>
      <c r="D140">
        <v>15</v>
      </c>
      <c r="E140">
        <v>0</v>
      </c>
    </row>
    <row r="141" spans="1:5" x14ac:dyDescent="0.3">
      <c r="A141">
        <v>10299</v>
      </c>
      <c r="B141">
        <v>70</v>
      </c>
      <c r="C141">
        <v>12</v>
      </c>
      <c r="D141">
        <v>20</v>
      </c>
      <c r="E141">
        <v>0</v>
      </c>
    </row>
    <row r="142" spans="1:5" x14ac:dyDescent="0.3">
      <c r="A142">
        <v>10300</v>
      </c>
      <c r="B142">
        <v>66</v>
      </c>
      <c r="C142">
        <v>136</v>
      </c>
      <c r="D142">
        <v>30</v>
      </c>
      <c r="E142">
        <v>0</v>
      </c>
    </row>
    <row r="143" spans="1:5" x14ac:dyDescent="0.3">
      <c r="A143">
        <v>10300</v>
      </c>
      <c r="B143">
        <v>68</v>
      </c>
      <c r="C143">
        <v>10</v>
      </c>
      <c r="D143">
        <v>20</v>
      </c>
      <c r="E143">
        <v>0</v>
      </c>
    </row>
    <row r="144" spans="1:5" x14ac:dyDescent="0.3">
      <c r="A144">
        <v>10301</v>
      </c>
      <c r="B144">
        <v>40</v>
      </c>
      <c r="C144">
        <v>147</v>
      </c>
      <c r="D144">
        <v>10</v>
      </c>
      <c r="E144">
        <v>0</v>
      </c>
    </row>
    <row r="145" spans="1:5" x14ac:dyDescent="0.3">
      <c r="A145">
        <v>10301</v>
      </c>
      <c r="B145">
        <v>56</v>
      </c>
      <c r="C145">
        <v>304</v>
      </c>
      <c r="D145">
        <v>20</v>
      </c>
      <c r="E145">
        <v>0</v>
      </c>
    </row>
    <row r="146" spans="1:5" x14ac:dyDescent="0.3">
      <c r="A146">
        <v>10302</v>
      </c>
      <c r="B146">
        <v>17</v>
      </c>
      <c r="C146">
        <v>312</v>
      </c>
      <c r="D146">
        <v>40</v>
      </c>
      <c r="E146">
        <v>0</v>
      </c>
    </row>
    <row r="147" spans="1:5" x14ac:dyDescent="0.3">
      <c r="A147">
        <v>10302</v>
      </c>
      <c r="B147">
        <v>28</v>
      </c>
      <c r="C147">
        <v>364</v>
      </c>
      <c r="D147">
        <v>28</v>
      </c>
      <c r="E147">
        <v>0</v>
      </c>
    </row>
    <row r="148" spans="1:5" x14ac:dyDescent="0.3">
      <c r="A148">
        <v>10302</v>
      </c>
      <c r="B148">
        <v>43</v>
      </c>
      <c r="C148">
        <v>368</v>
      </c>
      <c r="D148">
        <v>12</v>
      </c>
      <c r="E148">
        <v>0</v>
      </c>
    </row>
    <row r="149" spans="1:5" x14ac:dyDescent="0.3">
      <c r="A149">
        <v>10303</v>
      </c>
      <c r="B149">
        <v>40</v>
      </c>
      <c r="C149">
        <v>147</v>
      </c>
      <c r="D149">
        <v>40</v>
      </c>
      <c r="E149">
        <v>1</v>
      </c>
    </row>
    <row r="150" spans="1:5" x14ac:dyDescent="0.3">
      <c r="A150">
        <v>10303</v>
      </c>
      <c r="B150">
        <v>65</v>
      </c>
      <c r="C150">
        <v>168</v>
      </c>
      <c r="D150">
        <v>30</v>
      </c>
      <c r="E150">
        <v>1</v>
      </c>
    </row>
    <row r="151" spans="1:5" x14ac:dyDescent="0.3">
      <c r="A151">
        <v>10303</v>
      </c>
      <c r="B151">
        <v>68</v>
      </c>
      <c r="C151">
        <v>10</v>
      </c>
      <c r="D151">
        <v>15</v>
      </c>
      <c r="E151">
        <v>1</v>
      </c>
    </row>
    <row r="152" spans="1:5" x14ac:dyDescent="0.3">
      <c r="A152">
        <v>10304</v>
      </c>
      <c r="B152">
        <v>49</v>
      </c>
      <c r="C152">
        <v>16</v>
      </c>
      <c r="D152">
        <v>30</v>
      </c>
      <c r="E152">
        <v>0</v>
      </c>
    </row>
    <row r="153" spans="1:5" x14ac:dyDescent="0.3">
      <c r="A153">
        <v>10304</v>
      </c>
      <c r="B153">
        <v>59</v>
      </c>
      <c r="C153">
        <v>44</v>
      </c>
      <c r="D153">
        <v>10</v>
      </c>
      <c r="E153">
        <v>0</v>
      </c>
    </row>
    <row r="154" spans="1:5" x14ac:dyDescent="0.3">
      <c r="A154">
        <v>10304</v>
      </c>
      <c r="B154">
        <v>71</v>
      </c>
      <c r="C154">
        <v>172</v>
      </c>
      <c r="D154">
        <v>2</v>
      </c>
      <c r="E154">
        <v>0</v>
      </c>
    </row>
    <row r="155" spans="1:5" x14ac:dyDescent="0.3">
      <c r="A155">
        <v>10305</v>
      </c>
      <c r="B155">
        <v>18</v>
      </c>
      <c r="C155">
        <v>50</v>
      </c>
      <c r="D155">
        <v>25</v>
      </c>
      <c r="E155">
        <v>1</v>
      </c>
    </row>
    <row r="156" spans="1:5" x14ac:dyDescent="0.3">
      <c r="A156">
        <v>10305</v>
      </c>
      <c r="B156">
        <v>29</v>
      </c>
      <c r="C156">
        <v>99</v>
      </c>
      <c r="D156">
        <v>25</v>
      </c>
      <c r="E156">
        <v>1</v>
      </c>
    </row>
    <row r="157" spans="1:5" x14ac:dyDescent="0.3">
      <c r="A157">
        <v>10305</v>
      </c>
      <c r="B157">
        <v>39</v>
      </c>
      <c r="C157">
        <v>144</v>
      </c>
      <c r="D157">
        <v>30</v>
      </c>
      <c r="E157">
        <v>1</v>
      </c>
    </row>
    <row r="158" spans="1:5" x14ac:dyDescent="0.3">
      <c r="A158">
        <v>10306</v>
      </c>
      <c r="B158">
        <v>30</v>
      </c>
      <c r="C158">
        <v>207</v>
      </c>
      <c r="D158">
        <v>10</v>
      </c>
      <c r="E158">
        <v>0</v>
      </c>
    </row>
    <row r="159" spans="1:5" x14ac:dyDescent="0.3">
      <c r="A159">
        <v>10306</v>
      </c>
      <c r="B159">
        <v>53</v>
      </c>
      <c r="C159">
        <v>262</v>
      </c>
      <c r="D159">
        <v>10</v>
      </c>
      <c r="E159">
        <v>0</v>
      </c>
    </row>
    <row r="160" spans="1:5" x14ac:dyDescent="0.3">
      <c r="A160">
        <v>10306</v>
      </c>
      <c r="B160">
        <v>54</v>
      </c>
      <c r="C160">
        <v>59</v>
      </c>
      <c r="D160">
        <v>5</v>
      </c>
      <c r="E160">
        <v>0</v>
      </c>
    </row>
    <row r="161" spans="1:5" x14ac:dyDescent="0.3">
      <c r="A161">
        <v>10307</v>
      </c>
      <c r="B161">
        <v>62</v>
      </c>
      <c r="C161">
        <v>394</v>
      </c>
      <c r="D161">
        <v>10</v>
      </c>
      <c r="E161">
        <v>0</v>
      </c>
    </row>
    <row r="162" spans="1:5" x14ac:dyDescent="0.3">
      <c r="A162">
        <v>10307</v>
      </c>
      <c r="B162">
        <v>68</v>
      </c>
      <c r="C162">
        <v>10</v>
      </c>
      <c r="D162">
        <v>3</v>
      </c>
      <c r="E162">
        <v>0</v>
      </c>
    </row>
    <row r="163" spans="1:5" x14ac:dyDescent="0.3">
      <c r="A163">
        <v>10308</v>
      </c>
      <c r="B163">
        <v>69</v>
      </c>
      <c r="C163">
        <v>288</v>
      </c>
      <c r="D163">
        <v>1</v>
      </c>
      <c r="E163">
        <v>0</v>
      </c>
    </row>
    <row r="164" spans="1:5" x14ac:dyDescent="0.3">
      <c r="A164">
        <v>10308</v>
      </c>
      <c r="B164">
        <v>70</v>
      </c>
      <c r="C164">
        <v>12</v>
      </c>
      <c r="D164">
        <v>5</v>
      </c>
      <c r="E164">
        <v>0</v>
      </c>
    </row>
    <row r="165" spans="1:5" x14ac:dyDescent="0.3">
      <c r="A165">
        <v>10309</v>
      </c>
      <c r="B165">
        <v>4</v>
      </c>
      <c r="C165">
        <v>176</v>
      </c>
      <c r="D165">
        <v>20</v>
      </c>
      <c r="E165">
        <v>0</v>
      </c>
    </row>
    <row r="166" spans="1:5" x14ac:dyDescent="0.3">
      <c r="A166">
        <v>10309</v>
      </c>
      <c r="B166">
        <v>6</v>
      </c>
      <c r="C166">
        <v>20</v>
      </c>
      <c r="D166">
        <v>30</v>
      </c>
      <c r="E166">
        <v>0</v>
      </c>
    </row>
    <row r="167" spans="1:5" x14ac:dyDescent="0.3">
      <c r="A167">
        <v>10309</v>
      </c>
      <c r="B167">
        <v>42</v>
      </c>
      <c r="C167">
        <v>112</v>
      </c>
      <c r="D167">
        <v>2</v>
      </c>
      <c r="E167">
        <v>0</v>
      </c>
    </row>
    <row r="168" spans="1:5" x14ac:dyDescent="0.3">
      <c r="A168">
        <v>10309</v>
      </c>
      <c r="B168">
        <v>43</v>
      </c>
      <c r="C168">
        <v>368</v>
      </c>
      <c r="D168">
        <v>20</v>
      </c>
      <c r="E168">
        <v>0</v>
      </c>
    </row>
    <row r="169" spans="1:5" x14ac:dyDescent="0.3">
      <c r="A169">
        <v>10309</v>
      </c>
      <c r="B169">
        <v>71</v>
      </c>
      <c r="C169">
        <v>172</v>
      </c>
      <c r="D169">
        <v>3</v>
      </c>
      <c r="E169">
        <v>0</v>
      </c>
    </row>
    <row r="170" spans="1:5" x14ac:dyDescent="0.3">
      <c r="A170">
        <v>10310</v>
      </c>
      <c r="B170">
        <v>16</v>
      </c>
      <c r="C170">
        <v>139</v>
      </c>
      <c r="D170">
        <v>10</v>
      </c>
      <c r="E170">
        <v>0</v>
      </c>
    </row>
    <row r="171" spans="1:5" x14ac:dyDescent="0.3">
      <c r="A171">
        <v>10310</v>
      </c>
      <c r="B171">
        <v>62</v>
      </c>
      <c r="C171">
        <v>394</v>
      </c>
      <c r="D171">
        <v>5</v>
      </c>
      <c r="E171">
        <v>0</v>
      </c>
    </row>
    <row r="172" spans="1:5" x14ac:dyDescent="0.3">
      <c r="A172">
        <v>10311</v>
      </c>
      <c r="B172">
        <v>42</v>
      </c>
      <c r="C172">
        <v>112</v>
      </c>
      <c r="D172">
        <v>6</v>
      </c>
      <c r="E172">
        <v>0</v>
      </c>
    </row>
    <row r="173" spans="1:5" x14ac:dyDescent="0.3">
      <c r="A173">
        <v>10311</v>
      </c>
      <c r="B173">
        <v>69</v>
      </c>
      <c r="C173">
        <v>288</v>
      </c>
      <c r="D173">
        <v>7</v>
      </c>
      <c r="E173">
        <v>0</v>
      </c>
    </row>
    <row r="174" spans="1:5" x14ac:dyDescent="0.3">
      <c r="A174">
        <v>10312</v>
      </c>
      <c r="B174">
        <v>28</v>
      </c>
      <c r="C174">
        <v>364</v>
      </c>
      <c r="D174">
        <v>4</v>
      </c>
      <c r="E174">
        <v>0</v>
      </c>
    </row>
    <row r="175" spans="1:5" x14ac:dyDescent="0.3">
      <c r="A175">
        <v>10312</v>
      </c>
      <c r="B175">
        <v>43</v>
      </c>
      <c r="C175">
        <v>368</v>
      </c>
      <c r="D175">
        <v>24</v>
      </c>
      <c r="E175">
        <v>0</v>
      </c>
    </row>
    <row r="176" spans="1:5" x14ac:dyDescent="0.3">
      <c r="A176">
        <v>10312</v>
      </c>
      <c r="B176">
        <v>53</v>
      </c>
      <c r="C176">
        <v>262</v>
      </c>
      <c r="D176">
        <v>20</v>
      </c>
      <c r="E176">
        <v>0</v>
      </c>
    </row>
    <row r="177" spans="1:5" x14ac:dyDescent="0.3">
      <c r="A177">
        <v>10312</v>
      </c>
      <c r="B177">
        <v>75</v>
      </c>
      <c r="C177">
        <v>62</v>
      </c>
      <c r="D177">
        <v>10</v>
      </c>
      <c r="E177">
        <v>0</v>
      </c>
    </row>
    <row r="178" spans="1:5" x14ac:dyDescent="0.3">
      <c r="A178">
        <v>10313</v>
      </c>
      <c r="B178">
        <v>36</v>
      </c>
      <c r="C178">
        <v>152</v>
      </c>
      <c r="D178">
        <v>12</v>
      </c>
      <c r="E178">
        <v>0</v>
      </c>
    </row>
    <row r="179" spans="1:5" x14ac:dyDescent="0.3">
      <c r="A179">
        <v>10314</v>
      </c>
      <c r="B179">
        <v>32</v>
      </c>
      <c r="C179">
        <v>256</v>
      </c>
      <c r="D179">
        <v>40</v>
      </c>
      <c r="E179">
        <v>1</v>
      </c>
    </row>
    <row r="180" spans="1:5" x14ac:dyDescent="0.3">
      <c r="A180">
        <v>10314</v>
      </c>
      <c r="B180">
        <v>58</v>
      </c>
      <c r="C180">
        <v>106</v>
      </c>
      <c r="D180">
        <v>30</v>
      </c>
      <c r="E180">
        <v>1</v>
      </c>
    </row>
    <row r="181" spans="1:5" x14ac:dyDescent="0.3">
      <c r="A181">
        <v>10314</v>
      </c>
      <c r="B181">
        <v>62</v>
      </c>
      <c r="C181">
        <v>394</v>
      </c>
      <c r="D181">
        <v>25</v>
      </c>
      <c r="E181">
        <v>1</v>
      </c>
    </row>
    <row r="182" spans="1:5" x14ac:dyDescent="0.3">
      <c r="A182">
        <v>10315</v>
      </c>
      <c r="B182">
        <v>34</v>
      </c>
      <c r="C182">
        <v>112</v>
      </c>
      <c r="D182">
        <v>14</v>
      </c>
      <c r="E182">
        <v>0</v>
      </c>
    </row>
    <row r="183" spans="1:5" x14ac:dyDescent="0.3">
      <c r="A183">
        <v>10315</v>
      </c>
      <c r="B183">
        <v>70</v>
      </c>
      <c r="C183">
        <v>12</v>
      </c>
      <c r="D183">
        <v>30</v>
      </c>
      <c r="E183">
        <v>0</v>
      </c>
    </row>
    <row r="184" spans="1:5" x14ac:dyDescent="0.3">
      <c r="A184">
        <v>10316</v>
      </c>
      <c r="B184">
        <v>41</v>
      </c>
      <c r="C184">
        <v>77</v>
      </c>
      <c r="D184">
        <v>10</v>
      </c>
      <c r="E184">
        <v>0</v>
      </c>
    </row>
    <row r="185" spans="1:5" x14ac:dyDescent="0.3">
      <c r="A185">
        <v>10316</v>
      </c>
      <c r="B185">
        <v>62</v>
      </c>
      <c r="C185">
        <v>394</v>
      </c>
      <c r="D185">
        <v>70</v>
      </c>
      <c r="E185">
        <v>0</v>
      </c>
    </row>
    <row r="186" spans="1:5" x14ac:dyDescent="0.3">
      <c r="A186">
        <v>10317</v>
      </c>
      <c r="B186">
        <v>1</v>
      </c>
      <c r="C186">
        <v>144</v>
      </c>
      <c r="D186">
        <v>20</v>
      </c>
      <c r="E186">
        <v>0</v>
      </c>
    </row>
    <row r="187" spans="1:5" x14ac:dyDescent="0.3">
      <c r="A187">
        <v>10318</v>
      </c>
      <c r="B187">
        <v>41</v>
      </c>
      <c r="C187">
        <v>77</v>
      </c>
      <c r="D187">
        <v>20</v>
      </c>
      <c r="E187">
        <v>0</v>
      </c>
    </row>
    <row r="188" spans="1:5" x14ac:dyDescent="0.3">
      <c r="A188">
        <v>10318</v>
      </c>
      <c r="B188">
        <v>76</v>
      </c>
      <c r="C188">
        <v>144</v>
      </c>
      <c r="D188">
        <v>6</v>
      </c>
      <c r="E188">
        <v>0</v>
      </c>
    </row>
    <row r="189" spans="1:5" x14ac:dyDescent="0.3">
      <c r="A189">
        <v>10319</v>
      </c>
      <c r="B189">
        <v>17</v>
      </c>
      <c r="C189">
        <v>312</v>
      </c>
      <c r="D189">
        <v>8</v>
      </c>
      <c r="E189">
        <v>0</v>
      </c>
    </row>
    <row r="190" spans="1:5" x14ac:dyDescent="0.3">
      <c r="A190">
        <v>10319</v>
      </c>
      <c r="B190">
        <v>28</v>
      </c>
      <c r="C190">
        <v>364</v>
      </c>
      <c r="D190">
        <v>14</v>
      </c>
      <c r="E190">
        <v>0</v>
      </c>
    </row>
    <row r="191" spans="1:5" x14ac:dyDescent="0.3">
      <c r="A191">
        <v>10319</v>
      </c>
      <c r="B191">
        <v>76</v>
      </c>
      <c r="C191">
        <v>144</v>
      </c>
      <c r="D191">
        <v>30</v>
      </c>
      <c r="E191">
        <v>0</v>
      </c>
    </row>
    <row r="192" spans="1:5" x14ac:dyDescent="0.3">
      <c r="A192">
        <v>10320</v>
      </c>
      <c r="B192">
        <v>71</v>
      </c>
      <c r="C192">
        <v>172</v>
      </c>
      <c r="D192">
        <v>30</v>
      </c>
      <c r="E192">
        <v>0</v>
      </c>
    </row>
    <row r="193" spans="1:5" x14ac:dyDescent="0.3">
      <c r="A193">
        <v>10321</v>
      </c>
      <c r="B193">
        <v>35</v>
      </c>
      <c r="C193">
        <v>144</v>
      </c>
      <c r="D193">
        <v>10</v>
      </c>
      <c r="E193">
        <v>0</v>
      </c>
    </row>
    <row r="194" spans="1:5" x14ac:dyDescent="0.3">
      <c r="A194">
        <v>10322</v>
      </c>
      <c r="B194">
        <v>52</v>
      </c>
      <c r="C194">
        <v>56</v>
      </c>
      <c r="D194">
        <v>20</v>
      </c>
      <c r="E194">
        <v>0</v>
      </c>
    </row>
    <row r="195" spans="1:5" x14ac:dyDescent="0.3">
      <c r="A195">
        <v>10323</v>
      </c>
      <c r="B195">
        <v>15</v>
      </c>
      <c r="C195">
        <v>124</v>
      </c>
      <c r="D195">
        <v>5</v>
      </c>
      <c r="E195">
        <v>0</v>
      </c>
    </row>
    <row r="196" spans="1:5" x14ac:dyDescent="0.3">
      <c r="A196">
        <v>10323</v>
      </c>
      <c r="B196">
        <v>25</v>
      </c>
      <c r="C196">
        <v>112</v>
      </c>
      <c r="D196">
        <v>4</v>
      </c>
      <c r="E196">
        <v>0</v>
      </c>
    </row>
    <row r="197" spans="1:5" x14ac:dyDescent="0.3">
      <c r="A197">
        <v>10323</v>
      </c>
      <c r="B197">
        <v>39</v>
      </c>
      <c r="C197">
        <v>144</v>
      </c>
      <c r="D197">
        <v>4</v>
      </c>
      <c r="E197">
        <v>0</v>
      </c>
    </row>
    <row r="198" spans="1:5" x14ac:dyDescent="0.3">
      <c r="A198">
        <v>10324</v>
      </c>
      <c r="B198">
        <v>16</v>
      </c>
      <c r="C198">
        <v>139</v>
      </c>
      <c r="D198">
        <v>21</v>
      </c>
      <c r="E198">
        <v>15</v>
      </c>
    </row>
    <row r="199" spans="1:5" x14ac:dyDescent="0.3">
      <c r="A199">
        <v>10324</v>
      </c>
      <c r="B199">
        <v>35</v>
      </c>
      <c r="C199">
        <v>144</v>
      </c>
      <c r="D199">
        <v>70</v>
      </c>
      <c r="E199">
        <v>15</v>
      </c>
    </row>
    <row r="200" spans="1:5" x14ac:dyDescent="0.3">
      <c r="A200">
        <v>10324</v>
      </c>
      <c r="B200">
        <v>46</v>
      </c>
      <c r="C200">
        <v>96</v>
      </c>
      <c r="D200">
        <v>30</v>
      </c>
      <c r="E200">
        <v>0</v>
      </c>
    </row>
    <row r="201" spans="1:5" x14ac:dyDescent="0.3">
      <c r="A201">
        <v>10324</v>
      </c>
      <c r="B201">
        <v>59</v>
      </c>
      <c r="C201">
        <v>44</v>
      </c>
      <c r="D201">
        <v>40</v>
      </c>
      <c r="E201">
        <v>15</v>
      </c>
    </row>
    <row r="202" spans="1:5" x14ac:dyDescent="0.3">
      <c r="A202">
        <v>10324</v>
      </c>
      <c r="B202">
        <v>63</v>
      </c>
      <c r="C202">
        <v>351</v>
      </c>
      <c r="D202">
        <v>80</v>
      </c>
      <c r="E202">
        <v>15</v>
      </c>
    </row>
    <row r="203" spans="1:5" x14ac:dyDescent="0.3">
      <c r="A203">
        <v>10325</v>
      </c>
      <c r="B203">
        <v>6</v>
      </c>
      <c r="C203">
        <v>20</v>
      </c>
      <c r="D203">
        <v>6</v>
      </c>
      <c r="E203">
        <v>0</v>
      </c>
    </row>
    <row r="204" spans="1:5" x14ac:dyDescent="0.3">
      <c r="A204">
        <v>10325</v>
      </c>
      <c r="B204">
        <v>13</v>
      </c>
      <c r="C204">
        <v>48</v>
      </c>
      <c r="D204">
        <v>12</v>
      </c>
      <c r="E204">
        <v>0</v>
      </c>
    </row>
    <row r="205" spans="1:5" x14ac:dyDescent="0.3">
      <c r="A205">
        <v>10325</v>
      </c>
      <c r="B205">
        <v>14</v>
      </c>
      <c r="C205">
        <v>186</v>
      </c>
      <c r="D205">
        <v>9</v>
      </c>
      <c r="E205">
        <v>0</v>
      </c>
    </row>
    <row r="206" spans="1:5" x14ac:dyDescent="0.3">
      <c r="A206">
        <v>10325</v>
      </c>
      <c r="B206">
        <v>31</v>
      </c>
      <c r="C206">
        <v>10</v>
      </c>
      <c r="D206">
        <v>4</v>
      </c>
      <c r="E206">
        <v>0</v>
      </c>
    </row>
    <row r="207" spans="1:5" x14ac:dyDescent="0.3">
      <c r="A207">
        <v>10325</v>
      </c>
      <c r="B207">
        <v>72</v>
      </c>
      <c r="C207">
        <v>278</v>
      </c>
      <c r="D207">
        <v>40</v>
      </c>
      <c r="E207">
        <v>0</v>
      </c>
    </row>
    <row r="208" spans="1:5" x14ac:dyDescent="0.3">
      <c r="A208">
        <v>10326</v>
      </c>
      <c r="B208">
        <v>4</v>
      </c>
      <c r="C208">
        <v>176</v>
      </c>
      <c r="D208">
        <v>24</v>
      </c>
      <c r="E208">
        <v>0</v>
      </c>
    </row>
    <row r="209" spans="1:5" x14ac:dyDescent="0.3">
      <c r="A209">
        <v>10326</v>
      </c>
      <c r="B209">
        <v>57</v>
      </c>
      <c r="C209">
        <v>156</v>
      </c>
      <c r="D209">
        <v>16</v>
      </c>
      <c r="E209">
        <v>0</v>
      </c>
    </row>
    <row r="210" spans="1:5" x14ac:dyDescent="0.3">
      <c r="A210">
        <v>10326</v>
      </c>
      <c r="B210">
        <v>75</v>
      </c>
      <c r="C210">
        <v>62</v>
      </c>
      <c r="D210">
        <v>50</v>
      </c>
      <c r="E210">
        <v>0</v>
      </c>
    </row>
    <row r="211" spans="1:5" x14ac:dyDescent="0.3">
      <c r="A211">
        <v>10327</v>
      </c>
      <c r="B211">
        <v>2</v>
      </c>
      <c r="C211">
        <v>152</v>
      </c>
      <c r="D211">
        <v>25</v>
      </c>
      <c r="E211">
        <v>2</v>
      </c>
    </row>
    <row r="212" spans="1:5" x14ac:dyDescent="0.3">
      <c r="A212">
        <v>10327</v>
      </c>
      <c r="B212">
        <v>11</v>
      </c>
      <c r="C212">
        <v>168</v>
      </c>
      <c r="D212">
        <v>50</v>
      </c>
      <c r="E212">
        <v>2</v>
      </c>
    </row>
    <row r="213" spans="1:5" x14ac:dyDescent="0.3">
      <c r="A213">
        <v>10327</v>
      </c>
      <c r="B213">
        <v>30</v>
      </c>
      <c r="C213">
        <v>207</v>
      </c>
      <c r="D213">
        <v>35</v>
      </c>
      <c r="E213">
        <v>2</v>
      </c>
    </row>
    <row r="214" spans="1:5" x14ac:dyDescent="0.3">
      <c r="A214">
        <v>10327</v>
      </c>
      <c r="B214">
        <v>58</v>
      </c>
      <c r="C214">
        <v>106</v>
      </c>
      <c r="D214">
        <v>30</v>
      </c>
      <c r="E214">
        <v>2</v>
      </c>
    </row>
    <row r="215" spans="1:5" x14ac:dyDescent="0.3">
      <c r="A215">
        <v>10328</v>
      </c>
      <c r="B215">
        <v>59</v>
      </c>
      <c r="C215">
        <v>44</v>
      </c>
      <c r="D215">
        <v>9</v>
      </c>
      <c r="E215">
        <v>0</v>
      </c>
    </row>
    <row r="216" spans="1:5" x14ac:dyDescent="0.3">
      <c r="A216">
        <v>10328</v>
      </c>
      <c r="B216">
        <v>65</v>
      </c>
      <c r="C216">
        <v>168</v>
      </c>
      <c r="D216">
        <v>40</v>
      </c>
      <c r="E216">
        <v>0</v>
      </c>
    </row>
    <row r="217" spans="1:5" x14ac:dyDescent="0.3">
      <c r="A217">
        <v>10328</v>
      </c>
      <c r="B217">
        <v>68</v>
      </c>
      <c r="C217">
        <v>10</v>
      </c>
      <c r="D217">
        <v>10</v>
      </c>
      <c r="E217">
        <v>0</v>
      </c>
    </row>
    <row r="218" spans="1:5" x14ac:dyDescent="0.3">
      <c r="A218">
        <v>10329</v>
      </c>
      <c r="B218">
        <v>19</v>
      </c>
      <c r="C218">
        <v>73</v>
      </c>
      <c r="D218">
        <v>10</v>
      </c>
      <c r="E218">
        <v>5</v>
      </c>
    </row>
    <row r="219" spans="1:5" x14ac:dyDescent="0.3">
      <c r="A219">
        <v>10329</v>
      </c>
      <c r="B219">
        <v>30</v>
      </c>
      <c r="C219">
        <v>207</v>
      </c>
      <c r="D219">
        <v>8</v>
      </c>
      <c r="E219">
        <v>5</v>
      </c>
    </row>
    <row r="220" spans="1:5" x14ac:dyDescent="0.3">
      <c r="A220">
        <v>10329</v>
      </c>
      <c r="B220">
        <v>38</v>
      </c>
      <c r="C220">
        <v>2108</v>
      </c>
      <c r="D220">
        <v>20</v>
      </c>
      <c r="E220">
        <v>5</v>
      </c>
    </row>
    <row r="221" spans="1:5" x14ac:dyDescent="0.3">
      <c r="A221">
        <v>10329</v>
      </c>
      <c r="B221">
        <v>56</v>
      </c>
      <c r="C221">
        <v>304</v>
      </c>
      <c r="D221">
        <v>12</v>
      </c>
      <c r="E221">
        <v>5</v>
      </c>
    </row>
    <row r="222" spans="1:5" x14ac:dyDescent="0.3">
      <c r="A222">
        <v>10330</v>
      </c>
      <c r="B222">
        <v>26</v>
      </c>
      <c r="C222">
        <v>249</v>
      </c>
      <c r="D222">
        <v>50</v>
      </c>
      <c r="E222">
        <v>15</v>
      </c>
    </row>
    <row r="223" spans="1:5" x14ac:dyDescent="0.3">
      <c r="A223">
        <v>10330</v>
      </c>
      <c r="B223">
        <v>72</v>
      </c>
      <c r="C223">
        <v>278</v>
      </c>
      <c r="D223">
        <v>25</v>
      </c>
      <c r="E223">
        <v>15</v>
      </c>
    </row>
    <row r="224" spans="1:5" x14ac:dyDescent="0.3">
      <c r="A224">
        <v>10331</v>
      </c>
      <c r="B224">
        <v>54</v>
      </c>
      <c r="C224">
        <v>59</v>
      </c>
      <c r="D224">
        <v>15</v>
      </c>
      <c r="E224">
        <v>0</v>
      </c>
    </row>
    <row r="225" spans="1:5" x14ac:dyDescent="0.3">
      <c r="A225">
        <v>10332</v>
      </c>
      <c r="B225">
        <v>18</v>
      </c>
      <c r="C225">
        <v>50</v>
      </c>
      <c r="D225">
        <v>40</v>
      </c>
      <c r="E225">
        <v>2</v>
      </c>
    </row>
    <row r="226" spans="1:5" x14ac:dyDescent="0.3">
      <c r="A226">
        <v>10332</v>
      </c>
      <c r="B226">
        <v>42</v>
      </c>
      <c r="C226">
        <v>112</v>
      </c>
      <c r="D226">
        <v>10</v>
      </c>
      <c r="E226">
        <v>2</v>
      </c>
    </row>
    <row r="227" spans="1:5" x14ac:dyDescent="0.3">
      <c r="A227">
        <v>10332</v>
      </c>
      <c r="B227">
        <v>47</v>
      </c>
      <c r="C227">
        <v>76</v>
      </c>
      <c r="D227">
        <v>16</v>
      </c>
      <c r="E227">
        <v>2</v>
      </c>
    </row>
    <row r="228" spans="1:5" x14ac:dyDescent="0.3">
      <c r="A228">
        <v>10333</v>
      </c>
      <c r="B228">
        <v>14</v>
      </c>
      <c r="C228">
        <v>186</v>
      </c>
      <c r="D228">
        <v>10</v>
      </c>
      <c r="E228">
        <v>0</v>
      </c>
    </row>
    <row r="229" spans="1:5" x14ac:dyDescent="0.3">
      <c r="A229">
        <v>10333</v>
      </c>
      <c r="B229">
        <v>21</v>
      </c>
      <c r="C229">
        <v>8</v>
      </c>
      <c r="D229">
        <v>10</v>
      </c>
      <c r="E229">
        <v>1</v>
      </c>
    </row>
    <row r="230" spans="1:5" x14ac:dyDescent="0.3">
      <c r="A230">
        <v>10333</v>
      </c>
      <c r="B230">
        <v>71</v>
      </c>
      <c r="C230">
        <v>172</v>
      </c>
      <c r="D230">
        <v>40</v>
      </c>
      <c r="E230">
        <v>1</v>
      </c>
    </row>
    <row r="231" spans="1:5" x14ac:dyDescent="0.3">
      <c r="A231">
        <v>10334</v>
      </c>
      <c r="B231">
        <v>52</v>
      </c>
      <c r="C231">
        <v>56</v>
      </c>
      <c r="D231">
        <v>8</v>
      </c>
      <c r="E231">
        <v>0</v>
      </c>
    </row>
    <row r="232" spans="1:5" x14ac:dyDescent="0.3">
      <c r="A232">
        <v>10334</v>
      </c>
      <c r="B232">
        <v>68</v>
      </c>
      <c r="C232">
        <v>10</v>
      </c>
      <c r="D232">
        <v>10</v>
      </c>
      <c r="E232">
        <v>0</v>
      </c>
    </row>
    <row r="233" spans="1:5" x14ac:dyDescent="0.3">
      <c r="A233">
        <v>10335</v>
      </c>
      <c r="B233">
        <v>2</v>
      </c>
      <c r="C233">
        <v>152</v>
      </c>
      <c r="D233">
        <v>7</v>
      </c>
      <c r="E233">
        <v>2</v>
      </c>
    </row>
    <row r="234" spans="1:5" x14ac:dyDescent="0.3">
      <c r="A234">
        <v>10335</v>
      </c>
      <c r="B234">
        <v>31</v>
      </c>
      <c r="C234">
        <v>10</v>
      </c>
      <c r="D234">
        <v>25</v>
      </c>
      <c r="E234">
        <v>2</v>
      </c>
    </row>
    <row r="235" spans="1:5" x14ac:dyDescent="0.3">
      <c r="A235">
        <v>10335</v>
      </c>
      <c r="B235">
        <v>32</v>
      </c>
      <c r="C235">
        <v>256</v>
      </c>
      <c r="D235">
        <v>6</v>
      </c>
      <c r="E235">
        <v>2</v>
      </c>
    </row>
    <row r="236" spans="1:5" x14ac:dyDescent="0.3">
      <c r="A236">
        <v>10335</v>
      </c>
      <c r="B236">
        <v>51</v>
      </c>
      <c r="C236">
        <v>424</v>
      </c>
      <c r="D236">
        <v>48</v>
      </c>
      <c r="E236">
        <v>2</v>
      </c>
    </row>
    <row r="237" spans="1:5" x14ac:dyDescent="0.3">
      <c r="A237">
        <v>10336</v>
      </c>
      <c r="B237">
        <v>4</v>
      </c>
      <c r="C237">
        <v>176</v>
      </c>
      <c r="D237">
        <v>18</v>
      </c>
      <c r="E237">
        <v>1</v>
      </c>
    </row>
    <row r="238" spans="1:5" x14ac:dyDescent="0.3">
      <c r="A238">
        <v>10337</v>
      </c>
      <c r="B238">
        <v>23</v>
      </c>
      <c r="C238">
        <v>72</v>
      </c>
      <c r="D238">
        <v>40</v>
      </c>
      <c r="E238">
        <v>0</v>
      </c>
    </row>
    <row r="239" spans="1:5" x14ac:dyDescent="0.3">
      <c r="A239">
        <v>10337</v>
      </c>
      <c r="B239">
        <v>26</v>
      </c>
      <c r="C239">
        <v>249</v>
      </c>
      <c r="D239">
        <v>24</v>
      </c>
      <c r="E239">
        <v>0</v>
      </c>
    </row>
    <row r="240" spans="1:5" x14ac:dyDescent="0.3">
      <c r="A240">
        <v>10337</v>
      </c>
      <c r="B240">
        <v>36</v>
      </c>
      <c r="C240">
        <v>152</v>
      </c>
      <c r="D240">
        <v>20</v>
      </c>
      <c r="E240">
        <v>0</v>
      </c>
    </row>
    <row r="241" spans="1:5" x14ac:dyDescent="0.3">
      <c r="A241">
        <v>10337</v>
      </c>
      <c r="B241">
        <v>37</v>
      </c>
      <c r="C241">
        <v>208</v>
      </c>
      <c r="D241">
        <v>28</v>
      </c>
      <c r="E241">
        <v>0</v>
      </c>
    </row>
    <row r="242" spans="1:5" x14ac:dyDescent="0.3">
      <c r="A242">
        <v>10337</v>
      </c>
      <c r="B242">
        <v>72</v>
      </c>
      <c r="C242">
        <v>278</v>
      </c>
      <c r="D242">
        <v>25</v>
      </c>
      <c r="E242">
        <v>0</v>
      </c>
    </row>
    <row r="243" spans="1:5" x14ac:dyDescent="0.3">
      <c r="A243">
        <v>10338</v>
      </c>
      <c r="B243">
        <v>17</v>
      </c>
      <c r="C243">
        <v>312</v>
      </c>
      <c r="D243">
        <v>20</v>
      </c>
      <c r="E243">
        <v>0</v>
      </c>
    </row>
    <row r="244" spans="1:5" x14ac:dyDescent="0.3">
      <c r="A244">
        <v>10338</v>
      </c>
      <c r="B244">
        <v>30</v>
      </c>
      <c r="C244">
        <v>207</v>
      </c>
      <c r="D244">
        <v>15</v>
      </c>
      <c r="E244">
        <v>0</v>
      </c>
    </row>
    <row r="245" spans="1:5" x14ac:dyDescent="0.3">
      <c r="A245">
        <v>10339</v>
      </c>
      <c r="B245">
        <v>4</v>
      </c>
      <c r="C245">
        <v>176</v>
      </c>
      <c r="D245">
        <v>10</v>
      </c>
      <c r="E245">
        <v>0</v>
      </c>
    </row>
    <row r="246" spans="1:5" x14ac:dyDescent="0.3">
      <c r="A246">
        <v>10339</v>
      </c>
      <c r="B246">
        <v>17</v>
      </c>
      <c r="C246">
        <v>312</v>
      </c>
      <c r="D246">
        <v>70</v>
      </c>
      <c r="E246">
        <v>5</v>
      </c>
    </row>
    <row r="247" spans="1:5" x14ac:dyDescent="0.3">
      <c r="A247">
        <v>10339</v>
      </c>
      <c r="B247">
        <v>62</v>
      </c>
      <c r="C247">
        <v>394</v>
      </c>
      <c r="D247">
        <v>28</v>
      </c>
      <c r="E247">
        <v>0</v>
      </c>
    </row>
    <row r="248" spans="1:5" x14ac:dyDescent="0.3">
      <c r="A248">
        <v>10340</v>
      </c>
      <c r="B248">
        <v>18</v>
      </c>
      <c r="C248">
        <v>50</v>
      </c>
      <c r="D248">
        <v>20</v>
      </c>
      <c r="E248">
        <v>5</v>
      </c>
    </row>
    <row r="249" spans="1:5" x14ac:dyDescent="0.3">
      <c r="A249">
        <v>10340</v>
      </c>
      <c r="B249">
        <v>41</v>
      </c>
      <c r="C249">
        <v>77</v>
      </c>
      <c r="D249">
        <v>12</v>
      </c>
      <c r="E249">
        <v>5</v>
      </c>
    </row>
    <row r="250" spans="1:5" x14ac:dyDescent="0.3">
      <c r="A250">
        <v>10340</v>
      </c>
      <c r="B250">
        <v>43</v>
      </c>
      <c r="C250">
        <v>368</v>
      </c>
      <c r="D250">
        <v>40</v>
      </c>
      <c r="E250">
        <v>5</v>
      </c>
    </row>
    <row r="251" spans="1:5" x14ac:dyDescent="0.3">
      <c r="A251">
        <v>10341</v>
      </c>
      <c r="B251">
        <v>33</v>
      </c>
      <c r="C251">
        <v>2</v>
      </c>
      <c r="D251">
        <v>8</v>
      </c>
      <c r="E251">
        <v>0</v>
      </c>
    </row>
    <row r="252" spans="1:5" x14ac:dyDescent="0.3">
      <c r="A252">
        <v>10341</v>
      </c>
      <c r="B252">
        <v>59</v>
      </c>
      <c r="C252">
        <v>44</v>
      </c>
      <c r="D252">
        <v>9</v>
      </c>
      <c r="E252">
        <v>15</v>
      </c>
    </row>
    <row r="253" spans="1:5" x14ac:dyDescent="0.3">
      <c r="A253">
        <v>10342</v>
      </c>
      <c r="B253">
        <v>2</v>
      </c>
      <c r="C253">
        <v>152</v>
      </c>
      <c r="D253">
        <v>24</v>
      </c>
      <c r="E253">
        <v>2</v>
      </c>
    </row>
    <row r="254" spans="1:5" x14ac:dyDescent="0.3">
      <c r="A254">
        <v>10342</v>
      </c>
      <c r="B254">
        <v>31</v>
      </c>
      <c r="C254">
        <v>10</v>
      </c>
      <c r="D254">
        <v>56</v>
      </c>
      <c r="E254">
        <v>2</v>
      </c>
    </row>
    <row r="255" spans="1:5" x14ac:dyDescent="0.3">
      <c r="A255">
        <v>10342</v>
      </c>
      <c r="B255">
        <v>36</v>
      </c>
      <c r="C255">
        <v>152</v>
      </c>
      <c r="D255">
        <v>40</v>
      </c>
      <c r="E255">
        <v>2</v>
      </c>
    </row>
    <row r="256" spans="1:5" x14ac:dyDescent="0.3">
      <c r="A256">
        <v>10342</v>
      </c>
      <c r="B256">
        <v>55</v>
      </c>
      <c r="C256">
        <v>192</v>
      </c>
      <c r="D256">
        <v>40</v>
      </c>
      <c r="E256">
        <v>2</v>
      </c>
    </row>
    <row r="257" spans="1:5" x14ac:dyDescent="0.3">
      <c r="A257">
        <v>10343</v>
      </c>
      <c r="B257">
        <v>64</v>
      </c>
      <c r="C257">
        <v>266</v>
      </c>
      <c r="D257">
        <v>50</v>
      </c>
      <c r="E257">
        <v>0</v>
      </c>
    </row>
    <row r="258" spans="1:5" x14ac:dyDescent="0.3">
      <c r="A258">
        <v>10343</v>
      </c>
      <c r="B258">
        <v>68</v>
      </c>
      <c r="C258">
        <v>10</v>
      </c>
      <c r="D258">
        <v>4</v>
      </c>
      <c r="E258">
        <v>5</v>
      </c>
    </row>
    <row r="259" spans="1:5" x14ac:dyDescent="0.3">
      <c r="A259">
        <v>10343</v>
      </c>
      <c r="B259">
        <v>76</v>
      </c>
      <c r="C259">
        <v>144</v>
      </c>
      <c r="D259">
        <v>15</v>
      </c>
      <c r="E259">
        <v>0</v>
      </c>
    </row>
    <row r="260" spans="1:5" x14ac:dyDescent="0.3">
      <c r="A260">
        <v>10344</v>
      </c>
      <c r="B260">
        <v>4</v>
      </c>
      <c r="C260">
        <v>176</v>
      </c>
      <c r="D260">
        <v>35</v>
      </c>
      <c r="E260">
        <v>0</v>
      </c>
    </row>
    <row r="261" spans="1:5" x14ac:dyDescent="0.3">
      <c r="A261">
        <v>10344</v>
      </c>
      <c r="B261">
        <v>8</v>
      </c>
      <c r="C261">
        <v>32</v>
      </c>
      <c r="D261">
        <v>70</v>
      </c>
      <c r="E261">
        <v>25</v>
      </c>
    </row>
    <row r="262" spans="1:5" x14ac:dyDescent="0.3">
      <c r="A262">
        <v>10345</v>
      </c>
      <c r="B262">
        <v>8</v>
      </c>
      <c r="C262">
        <v>32</v>
      </c>
      <c r="D262">
        <v>70</v>
      </c>
      <c r="E262">
        <v>0</v>
      </c>
    </row>
    <row r="263" spans="1:5" x14ac:dyDescent="0.3">
      <c r="A263">
        <v>10345</v>
      </c>
      <c r="B263">
        <v>19</v>
      </c>
      <c r="C263">
        <v>73</v>
      </c>
      <c r="D263">
        <v>80</v>
      </c>
      <c r="E263">
        <v>0</v>
      </c>
    </row>
    <row r="264" spans="1:5" x14ac:dyDescent="0.3">
      <c r="A264">
        <v>10345</v>
      </c>
      <c r="B264">
        <v>42</v>
      </c>
      <c r="C264">
        <v>112</v>
      </c>
      <c r="D264">
        <v>9</v>
      </c>
      <c r="E264">
        <v>0</v>
      </c>
    </row>
    <row r="265" spans="1:5" x14ac:dyDescent="0.3">
      <c r="A265">
        <v>10346</v>
      </c>
      <c r="B265">
        <v>17</v>
      </c>
      <c r="C265">
        <v>312</v>
      </c>
      <c r="D265">
        <v>36</v>
      </c>
      <c r="E265">
        <v>1</v>
      </c>
    </row>
    <row r="266" spans="1:5" x14ac:dyDescent="0.3">
      <c r="A266">
        <v>10346</v>
      </c>
      <c r="B266">
        <v>56</v>
      </c>
      <c r="C266">
        <v>304</v>
      </c>
      <c r="D266">
        <v>20</v>
      </c>
      <c r="E266">
        <v>0</v>
      </c>
    </row>
    <row r="267" spans="1:5" x14ac:dyDescent="0.3">
      <c r="A267">
        <v>10347</v>
      </c>
      <c r="B267">
        <v>25</v>
      </c>
      <c r="C267">
        <v>112</v>
      </c>
      <c r="D267">
        <v>10</v>
      </c>
      <c r="E267">
        <v>0</v>
      </c>
    </row>
    <row r="268" spans="1:5" x14ac:dyDescent="0.3">
      <c r="A268">
        <v>10347</v>
      </c>
      <c r="B268">
        <v>39</v>
      </c>
      <c r="C268">
        <v>144</v>
      </c>
      <c r="D268">
        <v>50</v>
      </c>
      <c r="E268">
        <v>15</v>
      </c>
    </row>
    <row r="269" spans="1:5" x14ac:dyDescent="0.3">
      <c r="A269">
        <v>10347</v>
      </c>
      <c r="B269">
        <v>40</v>
      </c>
      <c r="C269">
        <v>147</v>
      </c>
      <c r="D269">
        <v>4</v>
      </c>
      <c r="E269">
        <v>0</v>
      </c>
    </row>
    <row r="270" spans="1:5" x14ac:dyDescent="0.3">
      <c r="A270">
        <v>10347</v>
      </c>
      <c r="B270">
        <v>75</v>
      </c>
      <c r="C270">
        <v>62</v>
      </c>
      <c r="D270">
        <v>6</v>
      </c>
      <c r="E270">
        <v>15</v>
      </c>
    </row>
    <row r="271" spans="1:5" x14ac:dyDescent="0.3">
      <c r="A271">
        <v>10348</v>
      </c>
      <c r="B271">
        <v>1</v>
      </c>
      <c r="C271">
        <v>144</v>
      </c>
      <c r="D271">
        <v>15</v>
      </c>
      <c r="E271">
        <v>15</v>
      </c>
    </row>
    <row r="272" spans="1:5" x14ac:dyDescent="0.3">
      <c r="A272">
        <v>10348</v>
      </c>
      <c r="B272">
        <v>23</v>
      </c>
      <c r="C272">
        <v>72</v>
      </c>
      <c r="D272">
        <v>25</v>
      </c>
      <c r="E272">
        <v>0</v>
      </c>
    </row>
    <row r="273" spans="1:5" x14ac:dyDescent="0.3">
      <c r="A273">
        <v>10349</v>
      </c>
      <c r="B273">
        <v>54</v>
      </c>
      <c r="C273">
        <v>59</v>
      </c>
      <c r="D273">
        <v>24</v>
      </c>
      <c r="E273">
        <v>0</v>
      </c>
    </row>
    <row r="274" spans="1:5" x14ac:dyDescent="0.3">
      <c r="A274">
        <v>10350</v>
      </c>
      <c r="B274">
        <v>50</v>
      </c>
      <c r="C274">
        <v>13</v>
      </c>
      <c r="D274">
        <v>15</v>
      </c>
      <c r="E274">
        <v>1</v>
      </c>
    </row>
    <row r="275" spans="1:5" x14ac:dyDescent="0.3">
      <c r="A275">
        <v>10350</v>
      </c>
      <c r="B275">
        <v>69</v>
      </c>
      <c r="C275">
        <v>288</v>
      </c>
      <c r="D275">
        <v>18</v>
      </c>
      <c r="E275">
        <v>1</v>
      </c>
    </row>
    <row r="276" spans="1:5" x14ac:dyDescent="0.3">
      <c r="A276">
        <v>10351</v>
      </c>
      <c r="B276">
        <v>38</v>
      </c>
      <c r="C276">
        <v>2108</v>
      </c>
      <c r="D276">
        <v>20</v>
      </c>
      <c r="E276">
        <v>5</v>
      </c>
    </row>
    <row r="277" spans="1:5" x14ac:dyDescent="0.3">
      <c r="A277">
        <v>10351</v>
      </c>
      <c r="B277">
        <v>41</v>
      </c>
      <c r="C277">
        <v>77</v>
      </c>
      <c r="D277">
        <v>13</v>
      </c>
      <c r="E277">
        <v>0</v>
      </c>
    </row>
    <row r="278" spans="1:5" x14ac:dyDescent="0.3">
      <c r="A278">
        <v>10351</v>
      </c>
      <c r="B278">
        <v>44</v>
      </c>
      <c r="C278">
        <v>155</v>
      </c>
      <c r="D278">
        <v>77</v>
      </c>
      <c r="E278">
        <v>5</v>
      </c>
    </row>
    <row r="279" spans="1:5" x14ac:dyDescent="0.3">
      <c r="A279">
        <v>10351</v>
      </c>
      <c r="B279">
        <v>65</v>
      </c>
      <c r="C279">
        <v>168</v>
      </c>
      <c r="D279">
        <v>10</v>
      </c>
      <c r="E279">
        <v>5</v>
      </c>
    </row>
    <row r="280" spans="1:5" x14ac:dyDescent="0.3">
      <c r="A280">
        <v>10352</v>
      </c>
      <c r="B280">
        <v>24</v>
      </c>
      <c r="C280">
        <v>36</v>
      </c>
      <c r="D280">
        <v>10</v>
      </c>
      <c r="E280">
        <v>0</v>
      </c>
    </row>
    <row r="281" spans="1:5" x14ac:dyDescent="0.3">
      <c r="A281">
        <v>10352</v>
      </c>
      <c r="B281">
        <v>54</v>
      </c>
      <c r="C281">
        <v>59</v>
      </c>
      <c r="D281">
        <v>20</v>
      </c>
      <c r="E281">
        <v>15</v>
      </c>
    </row>
    <row r="282" spans="1:5" x14ac:dyDescent="0.3">
      <c r="A282">
        <v>10353</v>
      </c>
      <c r="B282">
        <v>11</v>
      </c>
      <c r="C282">
        <v>168</v>
      </c>
      <c r="D282">
        <v>12</v>
      </c>
      <c r="E282">
        <v>2</v>
      </c>
    </row>
    <row r="283" spans="1:5" x14ac:dyDescent="0.3">
      <c r="A283">
        <v>10353</v>
      </c>
      <c r="B283">
        <v>38</v>
      </c>
      <c r="C283">
        <v>2108</v>
      </c>
      <c r="D283">
        <v>50</v>
      </c>
      <c r="E283">
        <v>2</v>
      </c>
    </row>
    <row r="284" spans="1:5" x14ac:dyDescent="0.3">
      <c r="A284">
        <v>10354</v>
      </c>
      <c r="B284">
        <v>1</v>
      </c>
      <c r="C284">
        <v>144</v>
      </c>
      <c r="D284">
        <v>12</v>
      </c>
      <c r="E284">
        <v>0</v>
      </c>
    </row>
    <row r="285" spans="1:5" x14ac:dyDescent="0.3">
      <c r="A285">
        <v>10354</v>
      </c>
      <c r="B285">
        <v>29</v>
      </c>
      <c r="C285">
        <v>99</v>
      </c>
      <c r="D285">
        <v>4</v>
      </c>
      <c r="E285">
        <v>0</v>
      </c>
    </row>
    <row r="286" spans="1:5" x14ac:dyDescent="0.3">
      <c r="A286">
        <v>10355</v>
      </c>
      <c r="B286">
        <v>24</v>
      </c>
      <c r="C286">
        <v>36</v>
      </c>
      <c r="D286">
        <v>25</v>
      </c>
      <c r="E286">
        <v>0</v>
      </c>
    </row>
    <row r="287" spans="1:5" x14ac:dyDescent="0.3">
      <c r="A287">
        <v>10355</v>
      </c>
      <c r="B287">
        <v>57</v>
      </c>
      <c r="C287">
        <v>156</v>
      </c>
      <c r="D287">
        <v>25</v>
      </c>
      <c r="E287">
        <v>0</v>
      </c>
    </row>
    <row r="288" spans="1:5" x14ac:dyDescent="0.3">
      <c r="A288">
        <v>10356</v>
      </c>
      <c r="B288">
        <v>31</v>
      </c>
      <c r="C288">
        <v>10</v>
      </c>
      <c r="D288">
        <v>30</v>
      </c>
      <c r="E288">
        <v>0</v>
      </c>
    </row>
    <row r="289" spans="1:5" x14ac:dyDescent="0.3">
      <c r="A289">
        <v>10356</v>
      </c>
      <c r="B289">
        <v>55</v>
      </c>
      <c r="C289">
        <v>192</v>
      </c>
      <c r="D289">
        <v>12</v>
      </c>
      <c r="E289">
        <v>0</v>
      </c>
    </row>
    <row r="290" spans="1:5" x14ac:dyDescent="0.3">
      <c r="A290">
        <v>10356</v>
      </c>
      <c r="B290">
        <v>69</v>
      </c>
      <c r="C290">
        <v>288</v>
      </c>
      <c r="D290">
        <v>20</v>
      </c>
      <c r="E290">
        <v>0</v>
      </c>
    </row>
    <row r="291" spans="1:5" x14ac:dyDescent="0.3">
      <c r="A291">
        <v>10357</v>
      </c>
      <c r="B291">
        <v>10</v>
      </c>
      <c r="C291">
        <v>248</v>
      </c>
      <c r="D291">
        <v>30</v>
      </c>
      <c r="E291">
        <v>2</v>
      </c>
    </row>
    <row r="292" spans="1:5" x14ac:dyDescent="0.3">
      <c r="A292">
        <v>10357</v>
      </c>
      <c r="B292">
        <v>26</v>
      </c>
      <c r="C292">
        <v>249</v>
      </c>
      <c r="D292">
        <v>16</v>
      </c>
      <c r="E292">
        <v>0</v>
      </c>
    </row>
    <row r="293" spans="1:5" x14ac:dyDescent="0.3">
      <c r="A293">
        <v>10357</v>
      </c>
      <c r="B293">
        <v>60</v>
      </c>
      <c r="C293">
        <v>272</v>
      </c>
      <c r="D293">
        <v>8</v>
      </c>
      <c r="E293">
        <v>2</v>
      </c>
    </row>
    <row r="294" spans="1:5" x14ac:dyDescent="0.3">
      <c r="A294">
        <v>10358</v>
      </c>
      <c r="B294">
        <v>24</v>
      </c>
      <c r="C294">
        <v>36</v>
      </c>
      <c r="D294">
        <v>10</v>
      </c>
      <c r="E294">
        <v>5</v>
      </c>
    </row>
    <row r="295" spans="1:5" x14ac:dyDescent="0.3">
      <c r="A295">
        <v>10358</v>
      </c>
      <c r="B295">
        <v>34</v>
      </c>
      <c r="C295">
        <v>112</v>
      </c>
      <c r="D295">
        <v>10</v>
      </c>
      <c r="E295">
        <v>5</v>
      </c>
    </row>
    <row r="296" spans="1:5" x14ac:dyDescent="0.3">
      <c r="A296">
        <v>10358</v>
      </c>
      <c r="B296">
        <v>36</v>
      </c>
      <c r="C296">
        <v>152</v>
      </c>
      <c r="D296">
        <v>20</v>
      </c>
      <c r="E296">
        <v>5</v>
      </c>
    </row>
    <row r="297" spans="1:5" x14ac:dyDescent="0.3">
      <c r="A297">
        <v>10359</v>
      </c>
      <c r="B297">
        <v>16</v>
      </c>
      <c r="C297">
        <v>139</v>
      </c>
      <c r="D297">
        <v>56</v>
      </c>
      <c r="E297">
        <v>5</v>
      </c>
    </row>
    <row r="298" spans="1:5" x14ac:dyDescent="0.3">
      <c r="A298">
        <v>10359</v>
      </c>
      <c r="B298">
        <v>31</v>
      </c>
      <c r="C298">
        <v>10</v>
      </c>
      <c r="D298">
        <v>70</v>
      </c>
      <c r="E298">
        <v>5</v>
      </c>
    </row>
    <row r="299" spans="1:5" x14ac:dyDescent="0.3">
      <c r="A299">
        <v>10359</v>
      </c>
      <c r="B299">
        <v>60</v>
      </c>
      <c r="C299">
        <v>272</v>
      </c>
      <c r="D299">
        <v>80</v>
      </c>
      <c r="E299">
        <v>5</v>
      </c>
    </row>
    <row r="300" spans="1:5" x14ac:dyDescent="0.3">
      <c r="A300">
        <v>10360</v>
      </c>
      <c r="B300">
        <v>28</v>
      </c>
      <c r="C300">
        <v>364</v>
      </c>
      <c r="D300">
        <v>30</v>
      </c>
      <c r="E300">
        <v>0</v>
      </c>
    </row>
    <row r="301" spans="1:5" x14ac:dyDescent="0.3">
      <c r="A301">
        <v>10360</v>
      </c>
      <c r="B301">
        <v>29</v>
      </c>
      <c r="C301">
        <v>99</v>
      </c>
      <c r="D301">
        <v>35</v>
      </c>
      <c r="E301">
        <v>0</v>
      </c>
    </row>
    <row r="302" spans="1:5" x14ac:dyDescent="0.3">
      <c r="A302">
        <v>10360</v>
      </c>
      <c r="B302">
        <v>38</v>
      </c>
      <c r="C302">
        <v>2108</v>
      </c>
      <c r="D302">
        <v>10</v>
      </c>
      <c r="E302">
        <v>0</v>
      </c>
    </row>
    <row r="303" spans="1:5" x14ac:dyDescent="0.3">
      <c r="A303">
        <v>10360</v>
      </c>
      <c r="B303">
        <v>49</v>
      </c>
      <c r="C303">
        <v>16</v>
      </c>
      <c r="D303">
        <v>35</v>
      </c>
      <c r="E303">
        <v>0</v>
      </c>
    </row>
    <row r="304" spans="1:5" x14ac:dyDescent="0.3">
      <c r="A304">
        <v>10360</v>
      </c>
      <c r="B304">
        <v>54</v>
      </c>
      <c r="C304">
        <v>59</v>
      </c>
      <c r="D304">
        <v>28</v>
      </c>
      <c r="E304">
        <v>0</v>
      </c>
    </row>
    <row r="305" spans="1:5" x14ac:dyDescent="0.3">
      <c r="A305">
        <v>10361</v>
      </c>
      <c r="B305">
        <v>39</v>
      </c>
      <c r="C305">
        <v>144</v>
      </c>
      <c r="D305">
        <v>54</v>
      </c>
      <c r="E305">
        <v>1</v>
      </c>
    </row>
    <row r="306" spans="1:5" x14ac:dyDescent="0.3">
      <c r="A306">
        <v>10361</v>
      </c>
      <c r="B306">
        <v>60</v>
      </c>
      <c r="C306">
        <v>272</v>
      </c>
      <c r="D306">
        <v>55</v>
      </c>
      <c r="E306">
        <v>1</v>
      </c>
    </row>
    <row r="307" spans="1:5" x14ac:dyDescent="0.3">
      <c r="A307">
        <v>10362</v>
      </c>
      <c r="B307">
        <v>25</v>
      </c>
      <c r="C307">
        <v>112</v>
      </c>
      <c r="D307">
        <v>50</v>
      </c>
      <c r="E307">
        <v>0</v>
      </c>
    </row>
    <row r="308" spans="1:5" x14ac:dyDescent="0.3">
      <c r="A308">
        <v>10362</v>
      </c>
      <c r="B308">
        <v>51</v>
      </c>
      <c r="C308">
        <v>424</v>
      </c>
      <c r="D308">
        <v>20</v>
      </c>
      <c r="E308">
        <v>0</v>
      </c>
    </row>
    <row r="309" spans="1:5" x14ac:dyDescent="0.3">
      <c r="A309">
        <v>10362</v>
      </c>
      <c r="B309">
        <v>54</v>
      </c>
      <c r="C309">
        <v>59</v>
      </c>
      <c r="D309">
        <v>24</v>
      </c>
      <c r="E309">
        <v>0</v>
      </c>
    </row>
    <row r="310" spans="1:5" x14ac:dyDescent="0.3">
      <c r="A310">
        <v>10363</v>
      </c>
      <c r="B310">
        <v>31</v>
      </c>
      <c r="C310">
        <v>10</v>
      </c>
      <c r="D310">
        <v>20</v>
      </c>
      <c r="E310">
        <v>0</v>
      </c>
    </row>
    <row r="311" spans="1:5" x14ac:dyDescent="0.3">
      <c r="A311">
        <v>10363</v>
      </c>
      <c r="B311">
        <v>75</v>
      </c>
      <c r="C311">
        <v>62</v>
      </c>
      <c r="D311">
        <v>12</v>
      </c>
      <c r="E311">
        <v>0</v>
      </c>
    </row>
    <row r="312" spans="1:5" x14ac:dyDescent="0.3">
      <c r="A312">
        <v>10363</v>
      </c>
      <c r="B312">
        <v>76</v>
      </c>
      <c r="C312">
        <v>144</v>
      </c>
      <c r="D312">
        <v>12</v>
      </c>
      <c r="E312">
        <v>0</v>
      </c>
    </row>
    <row r="313" spans="1:5" x14ac:dyDescent="0.3">
      <c r="A313">
        <v>10364</v>
      </c>
      <c r="B313">
        <v>69</v>
      </c>
      <c r="C313">
        <v>288</v>
      </c>
      <c r="D313">
        <v>30</v>
      </c>
      <c r="E313">
        <v>0</v>
      </c>
    </row>
    <row r="314" spans="1:5" x14ac:dyDescent="0.3">
      <c r="A314">
        <v>10364</v>
      </c>
      <c r="B314">
        <v>71</v>
      </c>
      <c r="C314">
        <v>172</v>
      </c>
      <c r="D314">
        <v>5</v>
      </c>
      <c r="E314">
        <v>0</v>
      </c>
    </row>
    <row r="315" spans="1:5" x14ac:dyDescent="0.3">
      <c r="A315">
        <v>10365</v>
      </c>
      <c r="B315">
        <v>11</v>
      </c>
      <c r="C315">
        <v>168</v>
      </c>
      <c r="D315">
        <v>24</v>
      </c>
      <c r="E315">
        <v>0</v>
      </c>
    </row>
    <row r="316" spans="1:5" x14ac:dyDescent="0.3">
      <c r="A316">
        <v>10366</v>
      </c>
      <c r="B316">
        <v>65</v>
      </c>
      <c r="C316">
        <v>168</v>
      </c>
      <c r="D316">
        <v>5</v>
      </c>
      <c r="E316">
        <v>0</v>
      </c>
    </row>
    <row r="317" spans="1:5" x14ac:dyDescent="0.3">
      <c r="A317">
        <v>10366</v>
      </c>
      <c r="B317">
        <v>77</v>
      </c>
      <c r="C317">
        <v>104</v>
      </c>
      <c r="D317">
        <v>5</v>
      </c>
      <c r="E317">
        <v>0</v>
      </c>
    </row>
    <row r="318" spans="1:5" x14ac:dyDescent="0.3">
      <c r="A318">
        <v>10367</v>
      </c>
      <c r="B318">
        <v>34</v>
      </c>
      <c r="C318">
        <v>112</v>
      </c>
      <c r="D318">
        <v>36</v>
      </c>
      <c r="E318">
        <v>0</v>
      </c>
    </row>
    <row r="319" spans="1:5" x14ac:dyDescent="0.3">
      <c r="A319">
        <v>10367</v>
      </c>
      <c r="B319">
        <v>54</v>
      </c>
      <c r="C319">
        <v>59</v>
      </c>
      <c r="D319">
        <v>18</v>
      </c>
      <c r="E319">
        <v>0</v>
      </c>
    </row>
    <row r="320" spans="1:5" x14ac:dyDescent="0.3">
      <c r="A320">
        <v>10367</v>
      </c>
      <c r="B320">
        <v>65</v>
      </c>
      <c r="C320">
        <v>168</v>
      </c>
      <c r="D320">
        <v>15</v>
      </c>
      <c r="E320">
        <v>0</v>
      </c>
    </row>
    <row r="321" spans="1:5" x14ac:dyDescent="0.3">
      <c r="A321">
        <v>10367</v>
      </c>
      <c r="B321">
        <v>77</v>
      </c>
      <c r="C321">
        <v>104</v>
      </c>
      <c r="D321">
        <v>7</v>
      </c>
      <c r="E321">
        <v>0</v>
      </c>
    </row>
    <row r="322" spans="1:5" x14ac:dyDescent="0.3">
      <c r="A322">
        <v>10368</v>
      </c>
      <c r="B322">
        <v>21</v>
      </c>
      <c r="C322">
        <v>8</v>
      </c>
      <c r="D322">
        <v>5</v>
      </c>
      <c r="E322">
        <v>1</v>
      </c>
    </row>
    <row r="323" spans="1:5" x14ac:dyDescent="0.3">
      <c r="A323">
        <v>10368</v>
      </c>
      <c r="B323">
        <v>28</v>
      </c>
      <c r="C323">
        <v>364</v>
      </c>
      <c r="D323">
        <v>13</v>
      </c>
      <c r="E323">
        <v>1</v>
      </c>
    </row>
    <row r="324" spans="1:5" x14ac:dyDescent="0.3">
      <c r="A324">
        <v>10368</v>
      </c>
      <c r="B324">
        <v>57</v>
      </c>
      <c r="C324">
        <v>156</v>
      </c>
      <c r="D324">
        <v>25</v>
      </c>
      <c r="E324">
        <v>0</v>
      </c>
    </row>
    <row r="325" spans="1:5" x14ac:dyDescent="0.3">
      <c r="A325">
        <v>10368</v>
      </c>
      <c r="B325">
        <v>64</v>
      </c>
      <c r="C325">
        <v>266</v>
      </c>
      <c r="D325">
        <v>35</v>
      </c>
      <c r="E325">
        <v>1</v>
      </c>
    </row>
    <row r="326" spans="1:5" x14ac:dyDescent="0.3">
      <c r="A326">
        <v>10369</v>
      </c>
      <c r="B326">
        <v>29</v>
      </c>
      <c r="C326">
        <v>99</v>
      </c>
      <c r="D326">
        <v>20</v>
      </c>
      <c r="E326">
        <v>0</v>
      </c>
    </row>
    <row r="327" spans="1:5" x14ac:dyDescent="0.3">
      <c r="A327">
        <v>10369</v>
      </c>
      <c r="B327">
        <v>56</v>
      </c>
      <c r="C327">
        <v>304</v>
      </c>
      <c r="D327">
        <v>18</v>
      </c>
      <c r="E327">
        <v>25</v>
      </c>
    </row>
    <row r="328" spans="1:5" x14ac:dyDescent="0.3">
      <c r="A328">
        <v>10370</v>
      </c>
      <c r="B328">
        <v>1</v>
      </c>
      <c r="C328">
        <v>144</v>
      </c>
      <c r="D328">
        <v>15</v>
      </c>
      <c r="E328">
        <v>15</v>
      </c>
    </row>
    <row r="329" spans="1:5" x14ac:dyDescent="0.3">
      <c r="A329">
        <v>10370</v>
      </c>
      <c r="B329">
        <v>64</v>
      </c>
      <c r="C329">
        <v>266</v>
      </c>
      <c r="D329">
        <v>30</v>
      </c>
      <c r="E329">
        <v>0</v>
      </c>
    </row>
    <row r="330" spans="1:5" x14ac:dyDescent="0.3">
      <c r="A330">
        <v>10370</v>
      </c>
      <c r="B330">
        <v>74</v>
      </c>
      <c r="C330">
        <v>8</v>
      </c>
      <c r="D330">
        <v>20</v>
      </c>
      <c r="E330">
        <v>15</v>
      </c>
    </row>
    <row r="331" spans="1:5" x14ac:dyDescent="0.3">
      <c r="A331">
        <v>10371</v>
      </c>
      <c r="B331">
        <v>36</v>
      </c>
      <c r="C331">
        <v>152</v>
      </c>
      <c r="D331">
        <v>6</v>
      </c>
      <c r="E331">
        <v>2</v>
      </c>
    </row>
    <row r="332" spans="1:5" x14ac:dyDescent="0.3">
      <c r="A332">
        <v>10372</v>
      </c>
      <c r="B332">
        <v>20</v>
      </c>
      <c r="C332">
        <v>648</v>
      </c>
      <c r="D332">
        <v>12</v>
      </c>
      <c r="E332">
        <v>25</v>
      </c>
    </row>
    <row r="333" spans="1:5" x14ac:dyDescent="0.3">
      <c r="A333">
        <v>10372</v>
      </c>
      <c r="B333">
        <v>38</v>
      </c>
      <c r="C333">
        <v>2108</v>
      </c>
      <c r="D333">
        <v>40</v>
      </c>
      <c r="E333">
        <v>25</v>
      </c>
    </row>
    <row r="334" spans="1:5" x14ac:dyDescent="0.3">
      <c r="A334">
        <v>10372</v>
      </c>
      <c r="B334">
        <v>60</v>
      </c>
      <c r="C334">
        <v>272</v>
      </c>
      <c r="D334">
        <v>70</v>
      </c>
      <c r="E334">
        <v>25</v>
      </c>
    </row>
    <row r="335" spans="1:5" x14ac:dyDescent="0.3">
      <c r="A335">
        <v>10372</v>
      </c>
      <c r="B335">
        <v>72</v>
      </c>
      <c r="C335">
        <v>278</v>
      </c>
      <c r="D335">
        <v>42</v>
      </c>
      <c r="E335">
        <v>25</v>
      </c>
    </row>
    <row r="336" spans="1:5" x14ac:dyDescent="0.3">
      <c r="A336">
        <v>10373</v>
      </c>
      <c r="B336">
        <v>58</v>
      </c>
      <c r="C336">
        <v>106</v>
      </c>
      <c r="D336">
        <v>80</v>
      </c>
      <c r="E336">
        <v>2</v>
      </c>
    </row>
    <row r="337" spans="1:5" x14ac:dyDescent="0.3">
      <c r="A337">
        <v>10373</v>
      </c>
      <c r="B337">
        <v>71</v>
      </c>
      <c r="C337">
        <v>172</v>
      </c>
      <c r="D337">
        <v>50</v>
      </c>
      <c r="E337">
        <v>2</v>
      </c>
    </row>
    <row r="338" spans="1:5" x14ac:dyDescent="0.3">
      <c r="A338">
        <v>10374</v>
      </c>
      <c r="B338">
        <v>31</v>
      </c>
      <c r="C338">
        <v>10</v>
      </c>
      <c r="D338">
        <v>30</v>
      </c>
      <c r="E338">
        <v>0</v>
      </c>
    </row>
    <row r="339" spans="1:5" x14ac:dyDescent="0.3">
      <c r="A339">
        <v>10374</v>
      </c>
      <c r="B339">
        <v>58</v>
      </c>
      <c r="C339">
        <v>106</v>
      </c>
      <c r="D339">
        <v>15</v>
      </c>
      <c r="E339">
        <v>0</v>
      </c>
    </row>
    <row r="340" spans="1:5" x14ac:dyDescent="0.3">
      <c r="A340">
        <v>10375</v>
      </c>
      <c r="B340">
        <v>14</v>
      </c>
      <c r="C340">
        <v>186</v>
      </c>
      <c r="D340">
        <v>15</v>
      </c>
      <c r="E340">
        <v>0</v>
      </c>
    </row>
    <row r="341" spans="1:5" x14ac:dyDescent="0.3">
      <c r="A341">
        <v>10375</v>
      </c>
      <c r="B341">
        <v>54</v>
      </c>
      <c r="C341">
        <v>59</v>
      </c>
      <c r="D341">
        <v>10</v>
      </c>
      <c r="E341">
        <v>0</v>
      </c>
    </row>
    <row r="342" spans="1:5" x14ac:dyDescent="0.3">
      <c r="A342">
        <v>10376</v>
      </c>
      <c r="B342">
        <v>31</v>
      </c>
      <c r="C342">
        <v>10</v>
      </c>
      <c r="D342">
        <v>42</v>
      </c>
      <c r="E342">
        <v>5</v>
      </c>
    </row>
    <row r="343" spans="1:5" x14ac:dyDescent="0.3">
      <c r="A343">
        <v>10377</v>
      </c>
      <c r="B343">
        <v>28</v>
      </c>
      <c r="C343">
        <v>364</v>
      </c>
      <c r="D343">
        <v>20</v>
      </c>
      <c r="E343">
        <v>15</v>
      </c>
    </row>
    <row r="344" spans="1:5" x14ac:dyDescent="0.3">
      <c r="A344">
        <v>10377</v>
      </c>
      <c r="B344">
        <v>39</v>
      </c>
      <c r="C344">
        <v>144</v>
      </c>
      <c r="D344">
        <v>20</v>
      </c>
      <c r="E344">
        <v>15</v>
      </c>
    </row>
    <row r="345" spans="1:5" x14ac:dyDescent="0.3">
      <c r="A345">
        <v>10378</v>
      </c>
      <c r="B345">
        <v>71</v>
      </c>
      <c r="C345">
        <v>172</v>
      </c>
      <c r="D345">
        <v>6</v>
      </c>
      <c r="E345">
        <v>0</v>
      </c>
    </row>
    <row r="346" spans="1:5" x14ac:dyDescent="0.3">
      <c r="A346">
        <v>10379</v>
      </c>
      <c r="B346">
        <v>41</v>
      </c>
      <c r="C346">
        <v>77</v>
      </c>
      <c r="D346">
        <v>8</v>
      </c>
      <c r="E346">
        <v>1</v>
      </c>
    </row>
    <row r="347" spans="1:5" x14ac:dyDescent="0.3">
      <c r="A347">
        <v>10379</v>
      </c>
      <c r="B347">
        <v>63</v>
      </c>
      <c r="C347">
        <v>351</v>
      </c>
      <c r="D347">
        <v>16</v>
      </c>
      <c r="E347">
        <v>1</v>
      </c>
    </row>
    <row r="348" spans="1:5" x14ac:dyDescent="0.3">
      <c r="A348">
        <v>10379</v>
      </c>
      <c r="B348">
        <v>65</v>
      </c>
      <c r="C348">
        <v>168</v>
      </c>
      <c r="D348">
        <v>20</v>
      </c>
      <c r="E348">
        <v>1</v>
      </c>
    </row>
    <row r="349" spans="1:5" x14ac:dyDescent="0.3">
      <c r="A349">
        <v>10380</v>
      </c>
      <c r="B349">
        <v>30</v>
      </c>
      <c r="C349">
        <v>207</v>
      </c>
      <c r="D349">
        <v>18</v>
      </c>
      <c r="E349">
        <v>1</v>
      </c>
    </row>
    <row r="350" spans="1:5" x14ac:dyDescent="0.3">
      <c r="A350">
        <v>10380</v>
      </c>
      <c r="B350">
        <v>53</v>
      </c>
      <c r="C350">
        <v>262</v>
      </c>
      <c r="D350">
        <v>20</v>
      </c>
      <c r="E350">
        <v>1</v>
      </c>
    </row>
    <row r="351" spans="1:5" x14ac:dyDescent="0.3">
      <c r="A351">
        <v>10380</v>
      </c>
      <c r="B351">
        <v>60</v>
      </c>
      <c r="C351">
        <v>272</v>
      </c>
      <c r="D351">
        <v>6</v>
      </c>
      <c r="E351">
        <v>1</v>
      </c>
    </row>
    <row r="352" spans="1:5" x14ac:dyDescent="0.3">
      <c r="A352">
        <v>10380</v>
      </c>
      <c r="B352">
        <v>70</v>
      </c>
      <c r="C352">
        <v>12</v>
      </c>
      <c r="D352">
        <v>30</v>
      </c>
      <c r="E352">
        <v>0</v>
      </c>
    </row>
    <row r="353" spans="1:5" x14ac:dyDescent="0.3">
      <c r="A353">
        <v>10381</v>
      </c>
      <c r="B353">
        <v>74</v>
      </c>
      <c r="C353">
        <v>8</v>
      </c>
      <c r="D353">
        <v>14</v>
      </c>
      <c r="E353">
        <v>0</v>
      </c>
    </row>
    <row r="354" spans="1:5" x14ac:dyDescent="0.3">
      <c r="A354">
        <v>10382</v>
      </c>
      <c r="B354">
        <v>5</v>
      </c>
      <c r="C354">
        <v>17</v>
      </c>
      <c r="D354">
        <v>32</v>
      </c>
      <c r="E354">
        <v>0</v>
      </c>
    </row>
    <row r="355" spans="1:5" x14ac:dyDescent="0.3">
      <c r="A355">
        <v>10382</v>
      </c>
      <c r="B355">
        <v>18</v>
      </c>
      <c r="C355">
        <v>50</v>
      </c>
      <c r="D355">
        <v>9</v>
      </c>
      <c r="E355">
        <v>0</v>
      </c>
    </row>
    <row r="356" spans="1:5" x14ac:dyDescent="0.3">
      <c r="A356">
        <v>10382</v>
      </c>
      <c r="B356">
        <v>29</v>
      </c>
      <c r="C356">
        <v>99</v>
      </c>
      <c r="D356">
        <v>14</v>
      </c>
      <c r="E356">
        <v>0</v>
      </c>
    </row>
    <row r="357" spans="1:5" x14ac:dyDescent="0.3">
      <c r="A357">
        <v>10382</v>
      </c>
      <c r="B357">
        <v>33</v>
      </c>
      <c r="C357">
        <v>2</v>
      </c>
      <c r="D357">
        <v>60</v>
      </c>
      <c r="E357">
        <v>0</v>
      </c>
    </row>
    <row r="358" spans="1:5" x14ac:dyDescent="0.3">
      <c r="A358">
        <v>10382</v>
      </c>
      <c r="B358">
        <v>74</v>
      </c>
      <c r="C358">
        <v>8</v>
      </c>
      <c r="D358">
        <v>50</v>
      </c>
      <c r="E358">
        <v>0</v>
      </c>
    </row>
    <row r="359" spans="1:5" x14ac:dyDescent="0.3">
      <c r="A359">
        <v>10383</v>
      </c>
      <c r="B359">
        <v>13</v>
      </c>
      <c r="C359">
        <v>48</v>
      </c>
      <c r="D359">
        <v>20</v>
      </c>
      <c r="E359">
        <v>0</v>
      </c>
    </row>
    <row r="360" spans="1:5" x14ac:dyDescent="0.3">
      <c r="A360">
        <v>10383</v>
      </c>
      <c r="B360">
        <v>50</v>
      </c>
      <c r="C360">
        <v>13</v>
      </c>
      <c r="D360">
        <v>15</v>
      </c>
      <c r="E360">
        <v>0</v>
      </c>
    </row>
    <row r="361" spans="1:5" x14ac:dyDescent="0.3">
      <c r="A361">
        <v>10383</v>
      </c>
      <c r="B361">
        <v>56</v>
      </c>
      <c r="C361">
        <v>304</v>
      </c>
      <c r="D361">
        <v>20</v>
      </c>
      <c r="E361">
        <v>0</v>
      </c>
    </row>
    <row r="362" spans="1:5" x14ac:dyDescent="0.3">
      <c r="A362">
        <v>10384</v>
      </c>
      <c r="B362">
        <v>20</v>
      </c>
      <c r="C362">
        <v>648</v>
      </c>
      <c r="D362">
        <v>28</v>
      </c>
      <c r="E362">
        <v>0</v>
      </c>
    </row>
    <row r="363" spans="1:5" x14ac:dyDescent="0.3">
      <c r="A363">
        <v>10384</v>
      </c>
      <c r="B363">
        <v>60</v>
      </c>
      <c r="C363">
        <v>272</v>
      </c>
      <c r="D363">
        <v>15</v>
      </c>
      <c r="E363">
        <v>0</v>
      </c>
    </row>
    <row r="364" spans="1:5" x14ac:dyDescent="0.3">
      <c r="A364">
        <v>10385</v>
      </c>
      <c r="B364">
        <v>7</v>
      </c>
      <c r="C364">
        <v>24</v>
      </c>
      <c r="D364">
        <v>10</v>
      </c>
      <c r="E364">
        <v>2</v>
      </c>
    </row>
    <row r="365" spans="1:5" x14ac:dyDescent="0.3">
      <c r="A365">
        <v>10385</v>
      </c>
      <c r="B365">
        <v>60</v>
      </c>
      <c r="C365">
        <v>272</v>
      </c>
      <c r="D365">
        <v>20</v>
      </c>
      <c r="E365">
        <v>2</v>
      </c>
    </row>
    <row r="366" spans="1:5" x14ac:dyDescent="0.3">
      <c r="A366">
        <v>10385</v>
      </c>
      <c r="B366">
        <v>68</v>
      </c>
      <c r="C366">
        <v>10</v>
      </c>
      <c r="D366">
        <v>8</v>
      </c>
      <c r="E366">
        <v>2</v>
      </c>
    </row>
    <row r="367" spans="1:5" x14ac:dyDescent="0.3">
      <c r="A367">
        <v>10386</v>
      </c>
      <c r="B367">
        <v>24</v>
      </c>
      <c r="C367">
        <v>36</v>
      </c>
      <c r="D367">
        <v>15</v>
      </c>
      <c r="E367">
        <v>0</v>
      </c>
    </row>
    <row r="368" spans="1:5" x14ac:dyDescent="0.3">
      <c r="A368">
        <v>10386</v>
      </c>
      <c r="B368">
        <v>34</v>
      </c>
      <c r="C368">
        <v>112</v>
      </c>
      <c r="D368">
        <v>10</v>
      </c>
      <c r="E368">
        <v>0</v>
      </c>
    </row>
    <row r="369" spans="1:5" x14ac:dyDescent="0.3">
      <c r="A369">
        <v>10387</v>
      </c>
      <c r="B369">
        <v>24</v>
      </c>
      <c r="C369">
        <v>36</v>
      </c>
      <c r="D369">
        <v>15</v>
      </c>
      <c r="E369">
        <v>0</v>
      </c>
    </row>
    <row r="370" spans="1:5" x14ac:dyDescent="0.3">
      <c r="A370">
        <v>10387</v>
      </c>
      <c r="B370">
        <v>28</v>
      </c>
      <c r="C370">
        <v>364</v>
      </c>
      <c r="D370">
        <v>6</v>
      </c>
      <c r="E370">
        <v>0</v>
      </c>
    </row>
    <row r="371" spans="1:5" x14ac:dyDescent="0.3">
      <c r="A371">
        <v>10387</v>
      </c>
      <c r="B371">
        <v>59</v>
      </c>
      <c r="C371">
        <v>44</v>
      </c>
      <c r="D371">
        <v>12</v>
      </c>
      <c r="E371">
        <v>0</v>
      </c>
    </row>
    <row r="372" spans="1:5" x14ac:dyDescent="0.3">
      <c r="A372">
        <v>10387</v>
      </c>
      <c r="B372">
        <v>71</v>
      </c>
      <c r="C372">
        <v>172</v>
      </c>
      <c r="D372">
        <v>15</v>
      </c>
      <c r="E372">
        <v>0</v>
      </c>
    </row>
    <row r="373" spans="1:5" x14ac:dyDescent="0.3">
      <c r="A373">
        <v>10388</v>
      </c>
      <c r="B373">
        <v>45</v>
      </c>
      <c r="C373">
        <v>76</v>
      </c>
      <c r="D373">
        <v>15</v>
      </c>
      <c r="E373">
        <v>2</v>
      </c>
    </row>
    <row r="374" spans="1:5" x14ac:dyDescent="0.3">
      <c r="A374">
        <v>10388</v>
      </c>
      <c r="B374">
        <v>52</v>
      </c>
      <c r="C374">
        <v>56</v>
      </c>
      <c r="D374">
        <v>20</v>
      </c>
      <c r="E374">
        <v>2</v>
      </c>
    </row>
    <row r="375" spans="1:5" x14ac:dyDescent="0.3">
      <c r="A375">
        <v>10388</v>
      </c>
      <c r="B375">
        <v>53</v>
      </c>
      <c r="C375">
        <v>262</v>
      </c>
      <c r="D375">
        <v>40</v>
      </c>
      <c r="E375">
        <v>0</v>
      </c>
    </row>
    <row r="376" spans="1:5" x14ac:dyDescent="0.3">
      <c r="A376">
        <v>10389</v>
      </c>
      <c r="B376">
        <v>10</v>
      </c>
      <c r="C376">
        <v>248</v>
      </c>
      <c r="D376">
        <v>16</v>
      </c>
      <c r="E376">
        <v>0</v>
      </c>
    </row>
    <row r="377" spans="1:5" x14ac:dyDescent="0.3">
      <c r="A377">
        <v>10389</v>
      </c>
      <c r="B377">
        <v>55</v>
      </c>
      <c r="C377">
        <v>192</v>
      </c>
      <c r="D377">
        <v>15</v>
      </c>
      <c r="E377">
        <v>0</v>
      </c>
    </row>
    <row r="378" spans="1:5" x14ac:dyDescent="0.3">
      <c r="A378">
        <v>10389</v>
      </c>
      <c r="B378">
        <v>62</v>
      </c>
      <c r="C378">
        <v>394</v>
      </c>
      <c r="D378">
        <v>20</v>
      </c>
      <c r="E378">
        <v>0</v>
      </c>
    </row>
    <row r="379" spans="1:5" x14ac:dyDescent="0.3">
      <c r="A379">
        <v>10389</v>
      </c>
      <c r="B379">
        <v>70</v>
      </c>
      <c r="C379">
        <v>12</v>
      </c>
      <c r="D379">
        <v>30</v>
      </c>
      <c r="E379">
        <v>0</v>
      </c>
    </row>
    <row r="380" spans="1:5" x14ac:dyDescent="0.3">
      <c r="A380">
        <v>10390</v>
      </c>
      <c r="B380">
        <v>31</v>
      </c>
      <c r="C380">
        <v>10</v>
      </c>
      <c r="D380">
        <v>60</v>
      </c>
      <c r="E380">
        <v>1</v>
      </c>
    </row>
    <row r="381" spans="1:5" x14ac:dyDescent="0.3">
      <c r="A381">
        <v>10390</v>
      </c>
      <c r="B381">
        <v>35</v>
      </c>
      <c r="C381">
        <v>144</v>
      </c>
      <c r="D381">
        <v>40</v>
      </c>
      <c r="E381">
        <v>1</v>
      </c>
    </row>
    <row r="382" spans="1:5" x14ac:dyDescent="0.3">
      <c r="A382">
        <v>10390</v>
      </c>
      <c r="B382">
        <v>46</v>
      </c>
      <c r="C382">
        <v>96</v>
      </c>
      <c r="D382">
        <v>45</v>
      </c>
      <c r="E382">
        <v>0</v>
      </c>
    </row>
    <row r="383" spans="1:5" x14ac:dyDescent="0.3">
      <c r="A383">
        <v>10390</v>
      </c>
      <c r="B383">
        <v>72</v>
      </c>
      <c r="C383">
        <v>278</v>
      </c>
      <c r="D383">
        <v>24</v>
      </c>
      <c r="E383">
        <v>1</v>
      </c>
    </row>
    <row r="384" spans="1:5" x14ac:dyDescent="0.3">
      <c r="A384">
        <v>10391</v>
      </c>
      <c r="B384">
        <v>13</v>
      </c>
      <c r="C384">
        <v>48</v>
      </c>
      <c r="D384">
        <v>18</v>
      </c>
      <c r="E384">
        <v>0</v>
      </c>
    </row>
    <row r="385" spans="1:5" x14ac:dyDescent="0.3">
      <c r="A385">
        <v>10392</v>
      </c>
      <c r="B385">
        <v>69</v>
      </c>
      <c r="C385">
        <v>288</v>
      </c>
      <c r="D385">
        <v>50</v>
      </c>
      <c r="E385">
        <v>0</v>
      </c>
    </row>
    <row r="386" spans="1:5" x14ac:dyDescent="0.3">
      <c r="A386">
        <v>10393</v>
      </c>
      <c r="B386">
        <v>2</v>
      </c>
      <c r="C386">
        <v>152</v>
      </c>
      <c r="D386">
        <v>25</v>
      </c>
      <c r="E386">
        <v>25</v>
      </c>
    </row>
    <row r="387" spans="1:5" x14ac:dyDescent="0.3">
      <c r="A387">
        <v>10393</v>
      </c>
      <c r="B387">
        <v>14</v>
      </c>
      <c r="C387">
        <v>186</v>
      </c>
      <c r="D387">
        <v>42</v>
      </c>
      <c r="E387">
        <v>25</v>
      </c>
    </row>
    <row r="388" spans="1:5" x14ac:dyDescent="0.3">
      <c r="A388">
        <v>10393</v>
      </c>
      <c r="B388">
        <v>25</v>
      </c>
      <c r="C388">
        <v>112</v>
      </c>
      <c r="D388">
        <v>7</v>
      </c>
      <c r="E388">
        <v>25</v>
      </c>
    </row>
    <row r="389" spans="1:5" x14ac:dyDescent="0.3">
      <c r="A389">
        <v>10393</v>
      </c>
      <c r="B389">
        <v>26</v>
      </c>
      <c r="C389">
        <v>249</v>
      </c>
      <c r="D389">
        <v>70</v>
      </c>
      <c r="E389">
        <v>25</v>
      </c>
    </row>
    <row r="390" spans="1:5" x14ac:dyDescent="0.3">
      <c r="A390">
        <v>10393</v>
      </c>
      <c r="B390">
        <v>31</v>
      </c>
      <c r="C390">
        <v>10</v>
      </c>
      <c r="D390">
        <v>32</v>
      </c>
      <c r="E390">
        <v>0</v>
      </c>
    </row>
    <row r="391" spans="1:5" x14ac:dyDescent="0.3">
      <c r="A391">
        <v>10394</v>
      </c>
      <c r="B391">
        <v>13</v>
      </c>
      <c r="C391">
        <v>48</v>
      </c>
      <c r="D391">
        <v>10</v>
      </c>
      <c r="E391">
        <v>0</v>
      </c>
    </row>
    <row r="392" spans="1:5" x14ac:dyDescent="0.3">
      <c r="A392">
        <v>10394</v>
      </c>
      <c r="B392">
        <v>62</v>
      </c>
      <c r="C392">
        <v>394</v>
      </c>
      <c r="D392">
        <v>10</v>
      </c>
      <c r="E392">
        <v>0</v>
      </c>
    </row>
    <row r="393" spans="1:5" x14ac:dyDescent="0.3">
      <c r="A393">
        <v>10395</v>
      </c>
      <c r="B393">
        <v>46</v>
      </c>
      <c r="C393">
        <v>96</v>
      </c>
      <c r="D393">
        <v>28</v>
      </c>
      <c r="E393">
        <v>1</v>
      </c>
    </row>
    <row r="394" spans="1:5" x14ac:dyDescent="0.3">
      <c r="A394">
        <v>10395</v>
      </c>
      <c r="B394">
        <v>53</v>
      </c>
      <c r="C394">
        <v>262</v>
      </c>
      <c r="D394">
        <v>70</v>
      </c>
      <c r="E394">
        <v>1</v>
      </c>
    </row>
    <row r="395" spans="1:5" x14ac:dyDescent="0.3">
      <c r="A395">
        <v>10395</v>
      </c>
      <c r="B395">
        <v>69</v>
      </c>
      <c r="C395">
        <v>288</v>
      </c>
      <c r="D395">
        <v>8</v>
      </c>
      <c r="E395">
        <v>0</v>
      </c>
    </row>
    <row r="396" spans="1:5" x14ac:dyDescent="0.3">
      <c r="A396">
        <v>10396</v>
      </c>
      <c r="B396">
        <v>23</v>
      </c>
      <c r="C396">
        <v>72</v>
      </c>
      <c r="D396">
        <v>40</v>
      </c>
      <c r="E396">
        <v>0</v>
      </c>
    </row>
    <row r="397" spans="1:5" x14ac:dyDescent="0.3">
      <c r="A397">
        <v>10396</v>
      </c>
      <c r="B397">
        <v>71</v>
      </c>
      <c r="C397">
        <v>172</v>
      </c>
      <c r="D397">
        <v>60</v>
      </c>
      <c r="E397">
        <v>0</v>
      </c>
    </row>
    <row r="398" spans="1:5" x14ac:dyDescent="0.3">
      <c r="A398">
        <v>10396</v>
      </c>
      <c r="B398">
        <v>72</v>
      </c>
      <c r="C398">
        <v>278</v>
      </c>
      <c r="D398">
        <v>21</v>
      </c>
      <c r="E398">
        <v>0</v>
      </c>
    </row>
    <row r="399" spans="1:5" x14ac:dyDescent="0.3">
      <c r="A399">
        <v>10397</v>
      </c>
      <c r="B399">
        <v>21</v>
      </c>
      <c r="C399">
        <v>8</v>
      </c>
      <c r="D399">
        <v>10</v>
      </c>
      <c r="E399">
        <v>15</v>
      </c>
    </row>
    <row r="400" spans="1:5" x14ac:dyDescent="0.3">
      <c r="A400">
        <v>10397</v>
      </c>
      <c r="B400">
        <v>51</v>
      </c>
      <c r="C400">
        <v>424</v>
      </c>
      <c r="D400">
        <v>18</v>
      </c>
      <c r="E400">
        <v>15</v>
      </c>
    </row>
    <row r="401" spans="1:5" x14ac:dyDescent="0.3">
      <c r="A401">
        <v>10398</v>
      </c>
      <c r="B401">
        <v>35</v>
      </c>
      <c r="C401">
        <v>144</v>
      </c>
      <c r="D401">
        <v>30</v>
      </c>
      <c r="E401">
        <v>0</v>
      </c>
    </row>
    <row r="402" spans="1:5" x14ac:dyDescent="0.3">
      <c r="A402">
        <v>10398</v>
      </c>
      <c r="B402">
        <v>55</v>
      </c>
      <c r="C402">
        <v>192</v>
      </c>
      <c r="D402">
        <v>120</v>
      </c>
      <c r="E402">
        <v>1</v>
      </c>
    </row>
    <row r="403" spans="1:5" x14ac:dyDescent="0.3">
      <c r="A403">
        <v>10399</v>
      </c>
      <c r="B403">
        <v>68</v>
      </c>
      <c r="C403">
        <v>10</v>
      </c>
      <c r="D403">
        <v>60</v>
      </c>
      <c r="E403">
        <v>0</v>
      </c>
    </row>
    <row r="404" spans="1:5" x14ac:dyDescent="0.3">
      <c r="A404">
        <v>10399</v>
      </c>
      <c r="B404">
        <v>71</v>
      </c>
      <c r="C404">
        <v>172</v>
      </c>
      <c r="D404">
        <v>30</v>
      </c>
      <c r="E404">
        <v>0</v>
      </c>
    </row>
    <row r="405" spans="1:5" x14ac:dyDescent="0.3">
      <c r="A405">
        <v>10399</v>
      </c>
      <c r="B405">
        <v>76</v>
      </c>
      <c r="C405">
        <v>144</v>
      </c>
      <c r="D405">
        <v>35</v>
      </c>
      <c r="E405">
        <v>0</v>
      </c>
    </row>
    <row r="406" spans="1:5" x14ac:dyDescent="0.3">
      <c r="A406">
        <v>10399</v>
      </c>
      <c r="B406">
        <v>77</v>
      </c>
      <c r="C406">
        <v>104</v>
      </c>
      <c r="D406">
        <v>14</v>
      </c>
      <c r="E406">
        <v>0</v>
      </c>
    </row>
    <row r="407" spans="1:5" x14ac:dyDescent="0.3">
      <c r="A407">
        <v>10400</v>
      </c>
      <c r="B407">
        <v>29</v>
      </c>
      <c r="C407">
        <v>99</v>
      </c>
      <c r="D407">
        <v>21</v>
      </c>
      <c r="E407">
        <v>0</v>
      </c>
    </row>
    <row r="408" spans="1:5" x14ac:dyDescent="0.3">
      <c r="A408">
        <v>10400</v>
      </c>
      <c r="B408">
        <v>35</v>
      </c>
      <c r="C408">
        <v>144</v>
      </c>
      <c r="D408">
        <v>35</v>
      </c>
      <c r="E408">
        <v>0</v>
      </c>
    </row>
    <row r="409" spans="1:5" x14ac:dyDescent="0.3">
      <c r="A409">
        <v>10400</v>
      </c>
      <c r="B409">
        <v>49</v>
      </c>
      <c r="C409">
        <v>16</v>
      </c>
      <c r="D409">
        <v>30</v>
      </c>
      <c r="E409">
        <v>0</v>
      </c>
    </row>
    <row r="410" spans="1:5" x14ac:dyDescent="0.3">
      <c r="A410">
        <v>10401</v>
      </c>
      <c r="B410">
        <v>30</v>
      </c>
      <c r="C410">
        <v>207</v>
      </c>
      <c r="D410">
        <v>18</v>
      </c>
      <c r="E410">
        <v>0</v>
      </c>
    </row>
    <row r="411" spans="1:5" x14ac:dyDescent="0.3">
      <c r="A411">
        <v>10401</v>
      </c>
      <c r="B411">
        <v>56</v>
      </c>
      <c r="C411">
        <v>304</v>
      </c>
      <c r="D411">
        <v>70</v>
      </c>
      <c r="E411">
        <v>0</v>
      </c>
    </row>
    <row r="412" spans="1:5" x14ac:dyDescent="0.3">
      <c r="A412">
        <v>10401</v>
      </c>
      <c r="B412">
        <v>65</v>
      </c>
      <c r="C412">
        <v>168</v>
      </c>
      <c r="D412">
        <v>20</v>
      </c>
      <c r="E412">
        <v>0</v>
      </c>
    </row>
    <row r="413" spans="1:5" x14ac:dyDescent="0.3">
      <c r="A413">
        <v>10401</v>
      </c>
      <c r="B413">
        <v>71</v>
      </c>
      <c r="C413">
        <v>172</v>
      </c>
      <c r="D413">
        <v>60</v>
      </c>
      <c r="E413">
        <v>0</v>
      </c>
    </row>
    <row r="414" spans="1:5" x14ac:dyDescent="0.3">
      <c r="A414">
        <v>10402</v>
      </c>
      <c r="B414">
        <v>23</v>
      </c>
      <c r="C414">
        <v>72</v>
      </c>
      <c r="D414">
        <v>60</v>
      </c>
      <c r="E414">
        <v>0</v>
      </c>
    </row>
    <row r="415" spans="1:5" x14ac:dyDescent="0.3">
      <c r="A415">
        <v>10402</v>
      </c>
      <c r="B415">
        <v>63</v>
      </c>
      <c r="C415">
        <v>351</v>
      </c>
      <c r="D415">
        <v>65</v>
      </c>
      <c r="E415">
        <v>0</v>
      </c>
    </row>
    <row r="416" spans="1:5" x14ac:dyDescent="0.3">
      <c r="A416">
        <v>10403</v>
      </c>
      <c r="B416">
        <v>16</v>
      </c>
      <c r="C416">
        <v>139</v>
      </c>
      <c r="D416">
        <v>21</v>
      </c>
      <c r="E416">
        <v>15</v>
      </c>
    </row>
    <row r="417" spans="1:5" x14ac:dyDescent="0.3">
      <c r="A417">
        <v>10403</v>
      </c>
      <c r="B417">
        <v>48</v>
      </c>
      <c r="C417">
        <v>102</v>
      </c>
      <c r="D417">
        <v>70</v>
      </c>
      <c r="E417">
        <v>15</v>
      </c>
    </row>
    <row r="418" spans="1:5" x14ac:dyDescent="0.3">
      <c r="A418">
        <v>10404</v>
      </c>
      <c r="B418">
        <v>26</v>
      </c>
      <c r="C418">
        <v>249</v>
      </c>
      <c r="D418">
        <v>30</v>
      </c>
      <c r="E418">
        <v>5</v>
      </c>
    </row>
    <row r="419" spans="1:5" x14ac:dyDescent="0.3">
      <c r="A419">
        <v>10404</v>
      </c>
      <c r="B419">
        <v>42</v>
      </c>
      <c r="C419">
        <v>112</v>
      </c>
      <c r="D419">
        <v>40</v>
      </c>
      <c r="E419">
        <v>5</v>
      </c>
    </row>
    <row r="420" spans="1:5" x14ac:dyDescent="0.3">
      <c r="A420">
        <v>10404</v>
      </c>
      <c r="B420">
        <v>49</v>
      </c>
      <c r="C420">
        <v>16</v>
      </c>
      <c r="D420">
        <v>30</v>
      </c>
      <c r="E420">
        <v>5</v>
      </c>
    </row>
    <row r="421" spans="1:5" x14ac:dyDescent="0.3">
      <c r="A421">
        <v>10405</v>
      </c>
      <c r="B421">
        <v>3</v>
      </c>
      <c r="C421">
        <v>8</v>
      </c>
      <c r="D421">
        <v>50</v>
      </c>
      <c r="E421">
        <v>0</v>
      </c>
    </row>
    <row r="422" spans="1:5" x14ac:dyDescent="0.3">
      <c r="A422">
        <v>10406</v>
      </c>
      <c r="B422">
        <v>1</v>
      </c>
      <c r="C422">
        <v>144</v>
      </c>
      <c r="D422">
        <v>10</v>
      </c>
      <c r="E422">
        <v>0</v>
      </c>
    </row>
    <row r="423" spans="1:5" x14ac:dyDescent="0.3">
      <c r="A423">
        <v>10406</v>
      </c>
      <c r="B423">
        <v>21</v>
      </c>
      <c r="C423">
        <v>8</v>
      </c>
      <c r="D423">
        <v>30</v>
      </c>
      <c r="E423">
        <v>1</v>
      </c>
    </row>
    <row r="424" spans="1:5" x14ac:dyDescent="0.3">
      <c r="A424">
        <v>10406</v>
      </c>
      <c r="B424">
        <v>28</v>
      </c>
      <c r="C424">
        <v>364</v>
      </c>
      <c r="D424">
        <v>42</v>
      </c>
      <c r="E424">
        <v>1</v>
      </c>
    </row>
    <row r="425" spans="1:5" x14ac:dyDescent="0.3">
      <c r="A425">
        <v>10406</v>
      </c>
      <c r="B425">
        <v>36</v>
      </c>
      <c r="C425">
        <v>152</v>
      </c>
      <c r="D425">
        <v>5</v>
      </c>
      <c r="E425">
        <v>1</v>
      </c>
    </row>
    <row r="426" spans="1:5" x14ac:dyDescent="0.3">
      <c r="A426">
        <v>10406</v>
      </c>
      <c r="B426">
        <v>40</v>
      </c>
      <c r="C426">
        <v>147</v>
      </c>
      <c r="D426">
        <v>2</v>
      </c>
      <c r="E426">
        <v>1</v>
      </c>
    </row>
    <row r="427" spans="1:5" x14ac:dyDescent="0.3">
      <c r="A427">
        <v>10407</v>
      </c>
      <c r="B427">
        <v>11</v>
      </c>
      <c r="C427">
        <v>168</v>
      </c>
      <c r="D427">
        <v>30</v>
      </c>
      <c r="E427">
        <v>0</v>
      </c>
    </row>
    <row r="428" spans="1:5" x14ac:dyDescent="0.3">
      <c r="A428">
        <v>10407</v>
      </c>
      <c r="B428">
        <v>69</v>
      </c>
      <c r="C428">
        <v>288</v>
      </c>
      <c r="D428">
        <v>15</v>
      </c>
      <c r="E428">
        <v>0</v>
      </c>
    </row>
    <row r="429" spans="1:5" x14ac:dyDescent="0.3">
      <c r="A429">
        <v>10407</v>
      </c>
      <c r="B429">
        <v>71</v>
      </c>
      <c r="C429">
        <v>172</v>
      </c>
      <c r="D429">
        <v>15</v>
      </c>
      <c r="E429">
        <v>0</v>
      </c>
    </row>
    <row r="430" spans="1:5" x14ac:dyDescent="0.3">
      <c r="A430">
        <v>10408</v>
      </c>
      <c r="B430">
        <v>37</v>
      </c>
      <c r="C430">
        <v>208</v>
      </c>
      <c r="D430">
        <v>10</v>
      </c>
      <c r="E430">
        <v>0</v>
      </c>
    </row>
    <row r="431" spans="1:5" x14ac:dyDescent="0.3">
      <c r="A431">
        <v>10408</v>
      </c>
      <c r="B431">
        <v>54</v>
      </c>
      <c r="C431">
        <v>59</v>
      </c>
      <c r="D431">
        <v>6</v>
      </c>
      <c r="E431">
        <v>0</v>
      </c>
    </row>
    <row r="432" spans="1:5" x14ac:dyDescent="0.3">
      <c r="A432">
        <v>10408</v>
      </c>
      <c r="B432">
        <v>62</v>
      </c>
      <c r="C432">
        <v>394</v>
      </c>
      <c r="D432">
        <v>35</v>
      </c>
      <c r="E432">
        <v>0</v>
      </c>
    </row>
    <row r="433" spans="1:5" x14ac:dyDescent="0.3">
      <c r="A433">
        <v>10409</v>
      </c>
      <c r="B433">
        <v>14</v>
      </c>
      <c r="C433">
        <v>186</v>
      </c>
      <c r="D433">
        <v>12</v>
      </c>
      <c r="E433">
        <v>0</v>
      </c>
    </row>
    <row r="434" spans="1:5" x14ac:dyDescent="0.3">
      <c r="A434">
        <v>10409</v>
      </c>
      <c r="B434">
        <v>21</v>
      </c>
      <c r="C434">
        <v>8</v>
      </c>
      <c r="D434">
        <v>12</v>
      </c>
      <c r="E434">
        <v>0</v>
      </c>
    </row>
    <row r="435" spans="1:5" x14ac:dyDescent="0.3">
      <c r="A435">
        <v>10410</v>
      </c>
      <c r="B435">
        <v>33</v>
      </c>
      <c r="C435">
        <v>2</v>
      </c>
      <c r="D435">
        <v>49</v>
      </c>
      <c r="E435">
        <v>0</v>
      </c>
    </row>
    <row r="436" spans="1:5" x14ac:dyDescent="0.3">
      <c r="A436">
        <v>10410</v>
      </c>
      <c r="B436">
        <v>59</v>
      </c>
      <c r="C436">
        <v>44</v>
      </c>
      <c r="D436">
        <v>16</v>
      </c>
      <c r="E436">
        <v>0</v>
      </c>
    </row>
    <row r="437" spans="1:5" x14ac:dyDescent="0.3">
      <c r="A437">
        <v>10411</v>
      </c>
      <c r="B437">
        <v>41</v>
      </c>
      <c r="C437">
        <v>77</v>
      </c>
      <c r="D437">
        <v>25</v>
      </c>
      <c r="E437">
        <v>2</v>
      </c>
    </row>
    <row r="438" spans="1:5" x14ac:dyDescent="0.3">
      <c r="A438">
        <v>10411</v>
      </c>
      <c r="B438">
        <v>44</v>
      </c>
      <c r="C438">
        <v>155</v>
      </c>
      <c r="D438">
        <v>40</v>
      </c>
      <c r="E438">
        <v>2</v>
      </c>
    </row>
    <row r="439" spans="1:5" x14ac:dyDescent="0.3">
      <c r="A439">
        <v>10411</v>
      </c>
      <c r="B439">
        <v>59</v>
      </c>
      <c r="C439">
        <v>44</v>
      </c>
      <c r="D439">
        <v>9</v>
      </c>
      <c r="E439">
        <v>2</v>
      </c>
    </row>
    <row r="440" spans="1:5" x14ac:dyDescent="0.3">
      <c r="A440">
        <v>10412</v>
      </c>
      <c r="B440">
        <v>14</v>
      </c>
      <c r="C440">
        <v>186</v>
      </c>
      <c r="D440">
        <v>20</v>
      </c>
      <c r="E440">
        <v>1</v>
      </c>
    </row>
    <row r="441" spans="1:5" x14ac:dyDescent="0.3">
      <c r="A441">
        <v>10413</v>
      </c>
      <c r="B441">
        <v>1</v>
      </c>
      <c r="C441">
        <v>144</v>
      </c>
      <c r="D441">
        <v>24</v>
      </c>
      <c r="E441">
        <v>0</v>
      </c>
    </row>
    <row r="442" spans="1:5" x14ac:dyDescent="0.3">
      <c r="A442">
        <v>10413</v>
      </c>
      <c r="B442">
        <v>62</v>
      </c>
      <c r="C442">
        <v>394</v>
      </c>
      <c r="D442">
        <v>40</v>
      </c>
      <c r="E442">
        <v>0</v>
      </c>
    </row>
    <row r="443" spans="1:5" x14ac:dyDescent="0.3">
      <c r="A443">
        <v>10413</v>
      </c>
      <c r="B443">
        <v>76</v>
      </c>
      <c r="C443">
        <v>144</v>
      </c>
      <c r="D443">
        <v>14</v>
      </c>
      <c r="E443">
        <v>0</v>
      </c>
    </row>
    <row r="444" spans="1:5" x14ac:dyDescent="0.3">
      <c r="A444">
        <v>10414</v>
      </c>
      <c r="B444">
        <v>19</v>
      </c>
      <c r="C444">
        <v>73</v>
      </c>
      <c r="D444">
        <v>18</v>
      </c>
      <c r="E444">
        <v>5</v>
      </c>
    </row>
    <row r="445" spans="1:5" x14ac:dyDescent="0.3">
      <c r="A445">
        <v>10414</v>
      </c>
      <c r="B445">
        <v>33</v>
      </c>
      <c r="C445">
        <v>2</v>
      </c>
      <c r="D445">
        <v>50</v>
      </c>
      <c r="E445">
        <v>0</v>
      </c>
    </row>
    <row r="446" spans="1:5" x14ac:dyDescent="0.3">
      <c r="A446">
        <v>10415</v>
      </c>
      <c r="B446">
        <v>17</v>
      </c>
      <c r="C446">
        <v>312</v>
      </c>
      <c r="D446">
        <v>2</v>
      </c>
      <c r="E446">
        <v>0</v>
      </c>
    </row>
    <row r="447" spans="1:5" x14ac:dyDescent="0.3">
      <c r="A447">
        <v>10415</v>
      </c>
      <c r="B447">
        <v>33</v>
      </c>
      <c r="C447">
        <v>2</v>
      </c>
      <c r="D447">
        <v>20</v>
      </c>
      <c r="E447">
        <v>0</v>
      </c>
    </row>
    <row r="448" spans="1:5" x14ac:dyDescent="0.3">
      <c r="A448">
        <v>10416</v>
      </c>
      <c r="B448">
        <v>19</v>
      </c>
      <c r="C448">
        <v>73</v>
      </c>
      <c r="D448">
        <v>20</v>
      </c>
      <c r="E448">
        <v>0</v>
      </c>
    </row>
    <row r="449" spans="1:5" x14ac:dyDescent="0.3">
      <c r="A449">
        <v>10416</v>
      </c>
      <c r="B449">
        <v>53</v>
      </c>
      <c r="C449">
        <v>262</v>
      </c>
      <c r="D449">
        <v>10</v>
      </c>
      <c r="E449">
        <v>0</v>
      </c>
    </row>
    <row r="450" spans="1:5" x14ac:dyDescent="0.3">
      <c r="A450">
        <v>10416</v>
      </c>
      <c r="B450">
        <v>57</v>
      </c>
      <c r="C450">
        <v>156</v>
      </c>
      <c r="D450">
        <v>20</v>
      </c>
      <c r="E450">
        <v>0</v>
      </c>
    </row>
    <row r="451" spans="1:5" x14ac:dyDescent="0.3">
      <c r="A451">
        <v>10417</v>
      </c>
      <c r="B451">
        <v>38</v>
      </c>
      <c r="C451">
        <v>2108</v>
      </c>
      <c r="D451">
        <v>50</v>
      </c>
      <c r="E451">
        <v>0</v>
      </c>
    </row>
    <row r="452" spans="1:5" x14ac:dyDescent="0.3">
      <c r="A452">
        <v>10417</v>
      </c>
      <c r="B452">
        <v>46</v>
      </c>
      <c r="C452">
        <v>96</v>
      </c>
      <c r="D452">
        <v>2</v>
      </c>
      <c r="E452">
        <v>25</v>
      </c>
    </row>
    <row r="453" spans="1:5" x14ac:dyDescent="0.3">
      <c r="A453">
        <v>10417</v>
      </c>
      <c r="B453">
        <v>68</v>
      </c>
      <c r="C453">
        <v>10</v>
      </c>
      <c r="D453">
        <v>36</v>
      </c>
      <c r="E453">
        <v>25</v>
      </c>
    </row>
    <row r="454" spans="1:5" x14ac:dyDescent="0.3">
      <c r="A454">
        <v>10417</v>
      </c>
      <c r="B454">
        <v>77</v>
      </c>
      <c r="C454">
        <v>104</v>
      </c>
      <c r="D454">
        <v>35</v>
      </c>
      <c r="E454">
        <v>0</v>
      </c>
    </row>
    <row r="455" spans="1:5" x14ac:dyDescent="0.3">
      <c r="A455">
        <v>10418</v>
      </c>
      <c r="B455">
        <v>2</v>
      </c>
      <c r="C455">
        <v>152</v>
      </c>
      <c r="D455">
        <v>60</v>
      </c>
      <c r="E455">
        <v>0</v>
      </c>
    </row>
    <row r="456" spans="1:5" x14ac:dyDescent="0.3">
      <c r="A456">
        <v>10418</v>
      </c>
      <c r="B456">
        <v>47</v>
      </c>
      <c r="C456">
        <v>76</v>
      </c>
      <c r="D456">
        <v>55</v>
      </c>
      <c r="E456">
        <v>0</v>
      </c>
    </row>
    <row r="457" spans="1:5" x14ac:dyDescent="0.3">
      <c r="A457">
        <v>10418</v>
      </c>
      <c r="B457">
        <v>61</v>
      </c>
      <c r="C457">
        <v>228</v>
      </c>
      <c r="D457">
        <v>16</v>
      </c>
      <c r="E457">
        <v>0</v>
      </c>
    </row>
    <row r="458" spans="1:5" x14ac:dyDescent="0.3">
      <c r="A458">
        <v>10418</v>
      </c>
      <c r="B458">
        <v>74</v>
      </c>
      <c r="C458">
        <v>8</v>
      </c>
      <c r="D458">
        <v>15</v>
      </c>
      <c r="E458">
        <v>0</v>
      </c>
    </row>
    <row r="459" spans="1:5" x14ac:dyDescent="0.3">
      <c r="A459">
        <v>10419</v>
      </c>
      <c r="B459">
        <v>60</v>
      </c>
      <c r="C459">
        <v>272</v>
      </c>
      <c r="D459">
        <v>60</v>
      </c>
      <c r="E459">
        <v>5</v>
      </c>
    </row>
    <row r="460" spans="1:5" x14ac:dyDescent="0.3">
      <c r="A460">
        <v>10419</v>
      </c>
      <c r="B460">
        <v>69</v>
      </c>
      <c r="C460">
        <v>288</v>
      </c>
      <c r="D460">
        <v>20</v>
      </c>
      <c r="E460">
        <v>5</v>
      </c>
    </row>
    <row r="461" spans="1:5" x14ac:dyDescent="0.3">
      <c r="A461">
        <v>10420</v>
      </c>
      <c r="B461">
        <v>9</v>
      </c>
      <c r="C461">
        <v>776</v>
      </c>
      <c r="D461">
        <v>20</v>
      </c>
      <c r="E461">
        <v>1</v>
      </c>
    </row>
    <row r="462" spans="1:5" x14ac:dyDescent="0.3">
      <c r="A462">
        <v>10420</v>
      </c>
      <c r="B462">
        <v>13</v>
      </c>
      <c r="C462">
        <v>48</v>
      </c>
      <c r="D462">
        <v>2</v>
      </c>
      <c r="E462">
        <v>1</v>
      </c>
    </row>
    <row r="463" spans="1:5" x14ac:dyDescent="0.3">
      <c r="A463">
        <v>10420</v>
      </c>
      <c r="B463">
        <v>70</v>
      </c>
      <c r="C463">
        <v>12</v>
      </c>
      <c r="D463">
        <v>8</v>
      </c>
      <c r="E463">
        <v>1</v>
      </c>
    </row>
    <row r="464" spans="1:5" x14ac:dyDescent="0.3">
      <c r="A464">
        <v>10420</v>
      </c>
      <c r="B464">
        <v>73</v>
      </c>
      <c r="C464">
        <v>12</v>
      </c>
      <c r="D464">
        <v>20</v>
      </c>
      <c r="E464">
        <v>1</v>
      </c>
    </row>
    <row r="465" spans="1:5" x14ac:dyDescent="0.3">
      <c r="A465">
        <v>10421</v>
      </c>
      <c r="B465">
        <v>19</v>
      </c>
      <c r="C465">
        <v>73</v>
      </c>
      <c r="D465">
        <v>4</v>
      </c>
      <c r="E465">
        <v>15</v>
      </c>
    </row>
    <row r="466" spans="1:5" x14ac:dyDescent="0.3">
      <c r="A466">
        <v>10421</v>
      </c>
      <c r="B466">
        <v>26</v>
      </c>
      <c r="C466">
        <v>249</v>
      </c>
      <c r="D466">
        <v>30</v>
      </c>
      <c r="E466">
        <v>0</v>
      </c>
    </row>
    <row r="467" spans="1:5" x14ac:dyDescent="0.3">
      <c r="A467">
        <v>10421</v>
      </c>
      <c r="B467">
        <v>53</v>
      </c>
      <c r="C467">
        <v>262</v>
      </c>
      <c r="D467">
        <v>15</v>
      </c>
      <c r="E467">
        <v>15</v>
      </c>
    </row>
    <row r="468" spans="1:5" x14ac:dyDescent="0.3">
      <c r="A468">
        <v>10421</v>
      </c>
      <c r="B468">
        <v>77</v>
      </c>
      <c r="C468">
        <v>104</v>
      </c>
      <c r="D468">
        <v>10</v>
      </c>
      <c r="E468">
        <v>15</v>
      </c>
    </row>
    <row r="469" spans="1:5" x14ac:dyDescent="0.3">
      <c r="A469">
        <v>10422</v>
      </c>
      <c r="B469">
        <v>26</v>
      </c>
      <c r="C469">
        <v>249</v>
      </c>
      <c r="D469">
        <v>2</v>
      </c>
      <c r="E469">
        <v>0</v>
      </c>
    </row>
    <row r="470" spans="1:5" x14ac:dyDescent="0.3">
      <c r="A470">
        <v>10423</v>
      </c>
      <c r="B470">
        <v>31</v>
      </c>
      <c r="C470">
        <v>10</v>
      </c>
      <c r="D470">
        <v>14</v>
      </c>
      <c r="E470">
        <v>0</v>
      </c>
    </row>
    <row r="471" spans="1:5" x14ac:dyDescent="0.3">
      <c r="A471">
        <v>10423</v>
      </c>
      <c r="B471">
        <v>59</v>
      </c>
      <c r="C471">
        <v>44</v>
      </c>
      <c r="D471">
        <v>20</v>
      </c>
      <c r="E471">
        <v>0</v>
      </c>
    </row>
    <row r="472" spans="1:5" x14ac:dyDescent="0.3">
      <c r="A472">
        <v>10424</v>
      </c>
      <c r="B472">
        <v>35</v>
      </c>
      <c r="C472">
        <v>144</v>
      </c>
      <c r="D472">
        <v>60</v>
      </c>
      <c r="E472">
        <v>2</v>
      </c>
    </row>
    <row r="473" spans="1:5" x14ac:dyDescent="0.3">
      <c r="A473">
        <v>10424</v>
      </c>
      <c r="B473">
        <v>38</v>
      </c>
      <c r="C473">
        <v>2108</v>
      </c>
      <c r="D473">
        <v>49</v>
      </c>
      <c r="E473">
        <v>2</v>
      </c>
    </row>
    <row r="474" spans="1:5" x14ac:dyDescent="0.3">
      <c r="A474">
        <v>10424</v>
      </c>
      <c r="B474">
        <v>68</v>
      </c>
      <c r="C474">
        <v>10</v>
      </c>
      <c r="D474">
        <v>30</v>
      </c>
      <c r="E474">
        <v>2</v>
      </c>
    </row>
    <row r="475" spans="1:5" x14ac:dyDescent="0.3">
      <c r="A475">
        <v>10425</v>
      </c>
      <c r="B475">
        <v>55</v>
      </c>
      <c r="C475">
        <v>192</v>
      </c>
      <c r="D475">
        <v>10</v>
      </c>
      <c r="E475">
        <v>25</v>
      </c>
    </row>
    <row r="476" spans="1:5" x14ac:dyDescent="0.3">
      <c r="A476">
        <v>10425</v>
      </c>
      <c r="B476">
        <v>76</v>
      </c>
      <c r="C476">
        <v>144</v>
      </c>
      <c r="D476">
        <v>20</v>
      </c>
      <c r="E476">
        <v>25</v>
      </c>
    </row>
    <row r="477" spans="1:5" x14ac:dyDescent="0.3">
      <c r="A477">
        <v>10426</v>
      </c>
      <c r="B477">
        <v>56</v>
      </c>
      <c r="C477">
        <v>304</v>
      </c>
      <c r="D477">
        <v>5</v>
      </c>
      <c r="E477">
        <v>0</v>
      </c>
    </row>
    <row r="478" spans="1:5" x14ac:dyDescent="0.3">
      <c r="A478">
        <v>10426</v>
      </c>
      <c r="B478">
        <v>64</v>
      </c>
      <c r="C478">
        <v>266</v>
      </c>
      <c r="D478">
        <v>7</v>
      </c>
      <c r="E478">
        <v>0</v>
      </c>
    </row>
    <row r="479" spans="1:5" x14ac:dyDescent="0.3">
      <c r="A479">
        <v>10427</v>
      </c>
      <c r="B479">
        <v>14</v>
      </c>
      <c r="C479">
        <v>186</v>
      </c>
      <c r="D479">
        <v>35</v>
      </c>
      <c r="E479">
        <v>0</v>
      </c>
    </row>
    <row r="480" spans="1:5" x14ac:dyDescent="0.3">
      <c r="A480">
        <v>10428</v>
      </c>
      <c r="B480">
        <v>46</v>
      </c>
      <c r="C480">
        <v>96</v>
      </c>
      <c r="D480">
        <v>20</v>
      </c>
      <c r="E480">
        <v>0</v>
      </c>
    </row>
    <row r="481" spans="1:5" x14ac:dyDescent="0.3">
      <c r="A481">
        <v>10429</v>
      </c>
      <c r="B481">
        <v>50</v>
      </c>
      <c r="C481">
        <v>13</v>
      </c>
      <c r="D481">
        <v>40</v>
      </c>
      <c r="E481">
        <v>0</v>
      </c>
    </row>
    <row r="482" spans="1:5" x14ac:dyDescent="0.3">
      <c r="A482">
        <v>10429</v>
      </c>
      <c r="B482">
        <v>63</v>
      </c>
      <c r="C482">
        <v>351</v>
      </c>
      <c r="D482">
        <v>35</v>
      </c>
      <c r="E482">
        <v>25</v>
      </c>
    </row>
    <row r="483" spans="1:5" x14ac:dyDescent="0.3">
      <c r="A483">
        <v>10430</v>
      </c>
      <c r="B483">
        <v>17</v>
      </c>
      <c r="C483">
        <v>312</v>
      </c>
      <c r="D483">
        <v>45</v>
      </c>
      <c r="E483">
        <v>2</v>
      </c>
    </row>
    <row r="484" spans="1:5" x14ac:dyDescent="0.3">
      <c r="A484">
        <v>10430</v>
      </c>
      <c r="B484">
        <v>21</v>
      </c>
      <c r="C484">
        <v>8</v>
      </c>
      <c r="D484">
        <v>50</v>
      </c>
      <c r="E484">
        <v>0</v>
      </c>
    </row>
    <row r="485" spans="1:5" x14ac:dyDescent="0.3">
      <c r="A485">
        <v>10430</v>
      </c>
      <c r="B485">
        <v>56</v>
      </c>
      <c r="C485">
        <v>304</v>
      </c>
      <c r="D485">
        <v>30</v>
      </c>
      <c r="E485">
        <v>0</v>
      </c>
    </row>
    <row r="486" spans="1:5" x14ac:dyDescent="0.3">
      <c r="A486">
        <v>10430</v>
      </c>
      <c r="B486">
        <v>59</v>
      </c>
      <c r="C486">
        <v>44</v>
      </c>
      <c r="D486">
        <v>70</v>
      </c>
      <c r="E486">
        <v>2</v>
      </c>
    </row>
    <row r="487" spans="1:5" x14ac:dyDescent="0.3">
      <c r="A487">
        <v>10431</v>
      </c>
      <c r="B487">
        <v>17</v>
      </c>
      <c r="C487">
        <v>312</v>
      </c>
      <c r="D487">
        <v>50</v>
      </c>
      <c r="E487">
        <v>25</v>
      </c>
    </row>
    <row r="488" spans="1:5" x14ac:dyDescent="0.3">
      <c r="A488">
        <v>10431</v>
      </c>
      <c r="B488">
        <v>40</v>
      </c>
      <c r="C488">
        <v>147</v>
      </c>
      <c r="D488">
        <v>50</v>
      </c>
      <c r="E488">
        <v>25</v>
      </c>
    </row>
    <row r="489" spans="1:5" x14ac:dyDescent="0.3">
      <c r="A489">
        <v>10431</v>
      </c>
      <c r="B489">
        <v>47</v>
      </c>
      <c r="C489">
        <v>76</v>
      </c>
      <c r="D489">
        <v>30</v>
      </c>
      <c r="E489">
        <v>25</v>
      </c>
    </row>
    <row r="490" spans="1:5" x14ac:dyDescent="0.3">
      <c r="A490">
        <v>10432</v>
      </c>
      <c r="B490">
        <v>26</v>
      </c>
      <c r="C490">
        <v>249</v>
      </c>
      <c r="D490">
        <v>10</v>
      </c>
      <c r="E490">
        <v>0</v>
      </c>
    </row>
    <row r="491" spans="1:5" x14ac:dyDescent="0.3">
      <c r="A491">
        <v>10432</v>
      </c>
      <c r="B491">
        <v>54</v>
      </c>
      <c r="C491">
        <v>59</v>
      </c>
      <c r="D491">
        <v>40</v>
      </c>
      <c r="E491">
        <v>0</v>
      </c>
    </row>
    <row r="492" spans="1:5" x14ac:dyDescent="0.3">
      <c r="A492">
        <v>10433</v>
      </c>
      <c r="B492">
        <v>56</v>
      </c>
      <c r="C492">
        <v>304</v>
      </c>
      <c r="D492">
        <v>28</v>
      </c>
      <c r="E492">
        <v>0</v>
      </c>
    </row>
    <row r="493" spans="1:5" x14ac:dyDescent="0.3">
      <c r="A493">
        <v>10434</v>
      </c>
      <c r="B493">
        <v>11</v>
      </c>
      <c r="C493">
        <v>168</v>
      </c>
      <c r="D493">
        <v>6</v>
      </c>
      <c r="E493">
        <v>0</v>
      </c>
    </row>
    <row r="494" spans="1:5" x14ac:dyDescent="0.3">
      <c r="A494">
        <v>10434</v>
      </c>
      <c r="B494">
        <v>76</v>
      </c>
      <c r="C494">
        <v>144</v>
      </c>
      <c r="D494">
        <v>18</v>
      </c>
      <c r="E494">
        <v>15</v>
      </c>
    </row>
    <row r="495" spans="1:5" x14ac:dyDescent="0.3">
      <c r="A495">
        <v>10435</v>
      </c>
      <c r="B495">
        <v>2</v>
      </c>
      <c r="C495">
        <v>152</v>
      </c>
      <c r="D495">
        <v>10</v>
      </c>
      <c r="E495">
        <v>0</v>
      </c>
    </row>
    <row r="496" spans="1:5" x14ac:dyDescent="0.3">
      <c r="A496">
        <v>10435</v>
      </c>
      <c r="B496">
        <v>22</v>
      </c>
      <c r="C496">
        <v>168</v>
      </c>
      <c r="D496">
        <v>12</v>
      </c>
      <c r="E496">
        <v>0</v>
      </c>
    </row>
    <row r="497" spans="1:5" x14ac:dyDescent="0.3">
      <c r="A497">
        <v>10435</v>
      </c>
      <c r="B497">
        <v>72</v>
      </c>
      <c r="C497">
        <v>278</v>
      </c>
      <c r="D497">
        <v>10</v>
      </c>
      <c r="E497">
        <v>0</v>
      </c>
    </row>
    <row r="498" spans="1:5" x14ac:dyDescent="0.3">
      <c r="A498">
        <v>10436</v>
      </c>
      <c r="B498">
        <v>46</v>
      </c>
      <c r="C498">
        <v>96</v>
      </c>
      <c r="D498">
        <v>5</v>
      </c>
      <c r="E498">
        <v>0</v>
      </c>
    </row>
    <row r="499" spans="1:5" x14ac:dyDescent="0.3">
      <c r="A499">
        <v>10436</v>
      </c>
      <c r="B499">
        <v>56</v>
      </c>
      <c r="C499">
        <v>304</v>
      </c>
      <c r="D499">
        <v>40</v>
      </c>
      <c r="E499">
        <v>1</v>
      </c>
    </row>
    <row r="500" spans="1:5" x14ac:dyDescent="0.3">
      <c r="A500">
        <v>10436</v>
      </c>
      <c r="B500">
        <v>64</v>
      </c>
      <c r="C500">
        <v>266</v>
      </c>
      <c r="D500">
        <v>30</v>
      </c>
      <c r="E500">
        <v>1</v>
      </c>
    </row>
    <row r="501" spans="1:5" x14ac:dyDescent="0.3">
      <c r="A501">
        <v>10436</v>
      </c>
      <c r="B501">
        <v>75</v>
      </c>
      <c r="C501">
        <v>62</v>
      </c>
      <c r="D501">
        <v>24</v>
      </c>
      <c r="E501">
        <v>1</v>
      </c>
    </row>
    <row r="502" spans="1:5" x14ac:dyDescent="0.3">
      <c r="A502">
        <v>10437</v>
      </c>
      <c r="B502">
        <v>53</v>
      </c>
      <c r="C502">
        <v>262</v>
      </c>
      <c r="D502">
        <v>15</v>
      </c>
      <c r="E502">
        <v>0</v>
      </c>
    </row>
    <row r="503" spans="1:5" x14ac:dyDescent="0.3">
      <c r="A503">
        <v>10438</v>
      </c>
      <c r="B503">
        <v>19</v>
      </c>
      <c r="C503">
        <v>73</v>
      </c>
      <c r="D503">
        <v>15</v>
      </c>
      <c r="E503">
        <v>2</v>
      </c>
    </row>
    <row r="504" spans="1:5" x14ac:dyDescent="0.3">
      <c r="A504">
        <v>10438</v>
      </c>
      <c r="B504">
        <v>34</v>
      </c>
      <c r="C504">
        <v>112</v>
      </c>
      <c r="D504">
        <v>20</v>
      </c>
      <c r="E504">
        <v>2</v>
      </c>
    </row>
    <row r="505" spans="1:5" x14ac:dyDescent="0.3">
      <c r="A505">
        <v>10438</v>
      </c>
      <c r="B505">
        <v>57</v>
      </c>
      <c r="C505">
        <v>156</v>
      </c>
      <c r="D505">
        <v>15</v>
      </c>
      <c r="E505">
        <v>2</v>
      </c>
    </row>
    <row r="506" spans="1:5" x14ac:dyDescent="0.3">
      <c r="A506">
        <v>10439</v>
      </c>
      <c r="B506">
        <v>12</v>
      </c>
      <c r="C506">
        <v>304</v>
      </c>
      <c r="D506">
        <v>15</v>
      </c>
      <c r="E506">
        <v>0</v>
      </c>
    </row>
    <row r="507" spans="1:5" x14ac:dyDescent="0.3">
      <c r="A507">
        <v>10439</v>
      </c>
      <c r="B507">
        <v>16</v>
      </c>
      <c r="C507">
        <v>139</v>
      </c>
      <c r="D507">
        <v>16</v>
      </c>
      <c r="E507">
        <v>0</v>
      </c>
    </row>
    <row r="508" spans="1:5" x14ac:dyDescent="0.3">
      <c r="A508">
        <v>10439</v>
      </c>
      <c r="B508">
        <v>64</v>
      </c>
      <c r="C508">
        <v>266</v>
      </c>
      <c r="D508">
        <v>6</v>
      </c>
      <c r="E508">
        <v>0</v>
      </c>
    </row>
    <row r="509" spans="1:5" x14ac:dyDescent="0.3">
      <c r="A509">
        <v>10439</v>
      </c>
      <c r="B509">
        <v>74</v>
      </c>
      <c r="C509">
        <v>8</v>
      </c>
      <c r="D509">
        <v>30</v>
      </c>
      <c r="E509">
        <v>0</v>
      </c>
    </row>
    <row r="510" spans="1:5" x14ac:dyDescent="0.3">
      <c r="A510">
        <v>10440</v>
      </c>
      <c r="B510">
        <v>2</v>
      </c>
      <c r="C510">
        <v>152</v>
      </c>
      <c r="D510">
        <v>45</v>
      </c>
      <c r="E510">
        <v>15</v>
      </c>
    </row>
    <row r="511" spans="1:5" x14ac:dyDescent="0.3">
      <c r="A511">
        <v>10440</v>
      </c>
      <c r="B511">
        <v>16</v>
      </c>
      <c r="C511">
        <v>139</v>
      </c>
      <c r="D511">
        <v>49</v>
      </c>
      <c r="E511">
        <v>15</v>
      </c>
    </row>
    <row r="512" spans="1:5" x14ac:dyDescent="0.3">
      <c r="A512">
        <v>10440</v>
      </c>
      <c r="B512">
        <v>29</v>
      </c>
      <c r="C512">
        <v>99</v>
      </c>
      <c r="D512">
        <v>24</v>
      </c>
      <c r="E512">
        <v>15</v>
      </c>
    </row>
    <row r="513" spans="1:5" x14ac:dyDescent="0.3">
      <c r="A513">
        <v>10440</v>
      </c>
      <c r="B513">
        <v>61</v>
      </c>
      <c r="C513">
        <v>228</v>
      </c>
      <c r="D513">
        <v>90</v>
      </c>
      <c r="E513">
        <v>15</v>
      </c>
    </row>
    <row r="514" spans="1:5" x14ac:dyDescent="0.3">
      <c r="A514">
        <v>10441</v>
      </c>
      <c r="B514">
        <v>27</v>
      </c>
      <c r="C514">
        <v>351</v>
      </c>
      <c r="D514">
        <v>50</v>
      </c>
      <c r="E514">
        <v>0</v>
      </c>
    </row>
    <row r="515" spans="1:5" x14ac:dyDescent="0.3">
      <c r="A515">
        <v>10442</v>
      </c>
      <c r="B515">
        <v>11</v>
      </c>
      <c r="C515">
        <v>168</v>
      </c>
      <c r="D515">
        <v>30</v>
      </c>
      <c r="E515">
        <v>0</v>
      </c>
    </row>
    <row r="516" spans="1:5" x14ac:dyDescent="0.3">
      <c r="A516">
        <v>10442</v>
      </c>
      <c r="B516">
        <v>54</v>
      </c>
      <c r="C516">
        <v>59</v>
      </c>
      <c r="D516">
        <v>80</v>
      </c>
      <c r="E516">
        <v>0</v>
      </c>
    </row>
    <row r="517" spans="1:5" x14ac:dyDescent="0.3">
      <c r="A517">
        <v>10442</v>
      </c>
      <c r="B517">
        <v>66</v>
      </c>
      <c r="C517">
        <v>136</v>
      </c>
      <c r="D517">
        <v>60</v>
      </c>
      <c r="E517">
        <v>0</v>
      </c>
    </row>
    <row r="518" spans="1:5" x14ac:dyDescent="0.3">
      <c r="A518">
        <v>10443</v>
      </c>
      <c r="B518">
        <v>11</v>
      </c>
      <c r="C518">
        <v>168</v>
      </c>
      <c r="D518">
        <v>6</v>
      </c>
      <c r="E518">
        <v>2</v>
      </c>
    </row>
    <row r="519" spans="1:5" x14ac:dyDescent="0.3">
      <c r="A519">
        <v>10443</v>
      </c>
      <c r="B519">
        <v>28</v>
      </c>
      <c r="C519">
        <v>364</v>
      </c>
      <c r="D519">
        <v>12</v>
      </c>
      <c r="E519">
        <v>0</v>
      </c>
    </row>
    <row r="520" spans="1:5" x14ac:dyDescent="0.3">
      <c r="A520">
        <v>10444</v>
      </c>
      <c r="B520">
        <v>17</v>
      </c>
      <c r="C520">
        <v>312</v>
      </c>
      <c r="D520">
        <v>10</v>
      </c>
      <c r="E520">
        <v>0</v>
      </c>
    </row>
    <row r="521" spans="1:5" x14ac:dyDescent="0.3">
      <c r="A521">
        <v>10444</v>
      </c>
      <c r="B521">
        <v>26</v>
      </c>
      <c r="C521">
        <v>249</v>
      </c>
      <c r="D521">
        <v>15</v>
      </c>
      <c r="E521">
        <v>0</v>
      </c>
    </row>
    <row r="522" spans="1:5" x14ac:dyDescent="0.3">
      <c r="A522">
        <v>10444</v>
      </c>
      <c r="B522">
        <v>35</v>
      </c>
      <c r="C522">
        <v>144</v>
      </c>
      <c r="D522">
        <v>8</v>
      </c>
      <c r="E522">
        <v>0</v>
      </c>
    </row>
    <row r="523" spans="1:5" x14ac:dyDescent="0.3">
      <c r="A523">
        <v>10444</v>
      </c>
      <c r="B523">
        <v>41</v>
      </c>
      <c r="C523">
        <v>77</v>
      </c>
      <c r="D523">
        <v>30</v>
      </c>
      <c r="E523">
        <v>0</v>
      </c>
    </row>
    <row r="524" spans="1:5" x14ac:dyDescent="0.3">
      <c r="A524">
        <v>10445</v>
      </c>
      <c r="B524">
        <v>39</v>
      </c>
      <c r="C524">
        <v>144</v>
      </c>
      <c r="D524">
        <v>6</v>
      </c>
      <c r="E524">
        <v>0</v>
      </c>
    </row>
    <row r="525" spans="1:5" x14ac:dyDescent="0.3">
      <c r="A525">
        <v>10445</v>
      </c>
      <c r="B525">
        <v>54</v>
      </c>
      <c r="C525">
        <v>59</v>
      </c>
      <c r="D525">
        <v>15</v>
      </c>
      <c r="E525">
        <v>0</v>
      </c>
    </row>
    <row r="526" spans="1:5" x14ac:dyDescent="0.3">
      <c r="A526">
        <v>10446</v>
      </c>
      <c r="B526">
        <v>19</v>
      </c>
      <c r="C526">
        <v>73</v>
      </c>
      <c r="D526">
        <v>12</v>
      </c>
      <c r="E526">
        <v>1</v>
      </c>
    </row>
    <row r="527" spans="1:5" x14ac:dyDescent="0.3">
      <c r="A527">
        <v>10446</v>
      </c>
      <c r="B527">
        <v>24</v>
      </c>
      <c r="C527">
        <v>36</v>
      </c>
      <c r="D527">
        <v>20</v>
      </c>
      <c r="E527">
        <v>1</v>
      </c>
    </row>
    <row r="528" spans="1:5" x14ac:dyDescent="0.3">
      <c r="A528">
        <v>10446</v>
      </c>
      <c r="B528">
        <v>31</v>
      </c>
      <c r="C528">
        <v>10</v>
      </c>
      <c r="D528">
        <v>3</v>
      </c>
      <c r="E528">
        <v>1</v>
      </c>
    </row>
    <row r="529" spans="1:5" x14ac:dyDescent="0.3">
      <c r="A529">
        <v>10446</v>
      </c>
      <c r="B529">
        <v>52</v>
      </c>
      <c r="C529">
        <v>56</v>
      </c>
      <c r="D529">
        <v>15</v>
      </c>
      <c r="E529">
        <v>1</v>
      </c>
    </row>
    <row r="530" spans="1:5" x14ac:dyDescent="0.3">
      <c r="A530">
        <v>10447</v>
      </c>
      <c r="B530">
        <v>19</v>
      </c>
      <c r="C530">
        <v>73</v>
      </c>
      <c r="D530">
        <v>40</v>
      </c>
      <c r="E530">
        <v>0</v>
      </c>
    </row>
    <row r="531" spans="1:5" x14ac:dyDescent="0.3">
      <c r="A531">
        <v>10447</v>
      </c>
      <c r="B531">
        <v>65</v>
      </c>
      <c r="C531">
        <v>168</v>
      </c>
      <c r="D531">
        <v>35</v>
      </c>
      <c r="E531">
        <v>0</v>
      </c>
    </row>
    <row r="532" spans="1:5" x14ac:dyDescent="0.3">
      <c r="A532">
        <v>10447</v>
      </c>
      <c r="B532">
        <v>71</v>
      </c>
      <c r="C532">
        <v>172</v>
      </c>
      <c r="D532">
        <v>2</v>
      </c>
      <c r="E532">
        <v>0</v>
      </c>
    </row>
    <row r="533" spans="1:5" x14ac:dyDescent="0.3">
      <c r="A533">
        <v>10448</v>
      </c>
      <c r="B533">
        <v>26</v>
      </c>
      <c r="C533">
        <v>249</v>
      </c>
      <c r="D533">
        <v>6</v>
      </c>
      <c r="E533">
        <v>0</v>
      </c>
    </row>
    <row r="534" spans="1:5" x14ac:dyDescent="0.3">
      <c r="A534">
        <v>10448</v>
      </c>
      <c r="B534">
        <v>40</v>
      </c>
      <c r="C534">
        <v>147</v>
      </c>
      <c r="D534">
        <v>20</v>
      </c>
      <c r="E534">
        <v>0</v>
      </c>
    </row>
    <row r="535" spans="1:5" x14ac:dyDescent="0.3">
      <c r="A535">
        <v>10449</v>
      </c>
      <c r="B535">
        <v>10</v>
      </c>
      <c r="C535">
        <v>248</v>
      </c>
      <c r="D535">
        <v>14</v>
      </c>
      <c r="E535">
        <v>0</v>
      </c>
    </row>
    <row r="536" spans="1:5" x14ac:dyDescent="0.3">
      <c r="A536">
        <v>10449</v>
      </c>
      <c r="B536">
        <v>52</v>
      </c>
      <c r="C536">
        <v>56</v>
      </c>
      <c r="D536">
        <v>20</v>
      </c>
      <c r="E536">
        <v>0</v>
      </c>
    </row>
    <row r="537" spans="1:5" x14ac:dyDescent="0.3">
      <c r="A537">
        <v>10449</v>
      </c>
      <c r="B537">
        <v>62</v>
      </c>
      <c r="C537">
        <v>394</v>
      </c>
      <c r="D537">
        <v>35</v>
      </c>
      <c r="E537">
        <v>0</v>
      </c>
    </row>
    <row r="538" spans="1:5" x14ac:dyDescent="0.3">
      <c r="A538">
        <v>10450</v>
      </c>
      <c r="B538">
        <v>10</v>
      </c>
      <c r="C538">
        <v>248</v>
      </c>
      <c r="D538">
        <v>20</v>
      </c>
      <c r="E538">
        <v>2</v>
      </c>
    </row>
    <row r="539" spans="1:5" x14ac:dyDescent="0.3">
      <c r="A539">
        <v>10450</v>
      </c>
      <c r="B539">
        <v>54</v>
      </c>
      <c r="C539">
        <v>59</v>
      </c>
      <c r="D539">
        <v>6</v>
      </c>
      <c r="E539">
        <v>2</v>
      </c>
    </row>
    <row r="540" spans="1:5" x14ac:dyDescent="0.3">
      <c r="A540">
        <v>10451</v>
      </c>
      <c r="B540">
        <v>55</v>
      </c>
      <c r="C540">
        <v>192</v>
      </c>
      <c r="D540">
        <v>120</v>
      </c>
      <c r="E540">
        <v>1</v>
      </c>
    </row>
    <row r="541" spans="1:5" x14ac:dyDescent="0.3">
      <c r="A541">
        <v>10451</v>
      </c>
      <c r="B541">
        <v>64</v>
      </c>
      <c r="C541">
        <v>266</v>
      </c>
      <c r="D541">
        <v>35</v>
      </c>
      <c r="E541">
        <v>1</v>
      </c>
    </row>
    <row r="542" spans="1:5" x14ac:dyDescent="0.3">
      <c r="A542">
        <v>10451</v>
      </c>
      <c r="B542">
        <v>65</v>
      </c>
      <c r="C542">
        <v>168</v>
      </c>
      <c r="D542">
        <v>28</v>
      </c>
      <c r="E542">
        <v>1</v>
      </c>
    </row>
    <row r="543" spans="1:5" x14ac:dyDescent="0.3">
      <c r="A543">
        <v>10451</v>
      </c>
      <c r="B543">
        <v>77</v>
      </c>
      <c r="C543">
        <v>104</v>
      </c>
      <c r="D543">
        <v>55</v>
      </c>
      <c r="E543">
        <v>1</v>
      </c>
    </row>
    <row r="544" spans="1:5" x14ac:dyDescent="0.3">
      <c r="A544">
        <v>10452</v>
      </c>
      <c r="B544">
        <v>28</v>
      </c>
      <c r="C544">
        <v>364</v>
      </c>
      <c r="D544">
        <v>15</v>
      </c>
      <c r="E544">
        <v>0</v>
      </c>
    </row>
    <row r="545" spans="1:5" x14ac:dyDescent="0.3">
      <c r="A545">
        <v>10452</v>
      </c>
      <c r="B545">
        <v>44</v>
      </c>
      <c r="C545">
        <v>155</v>
      </c>
      <c r="D545">
        <v>100</v>
      </c>
      <c r="E545">
        <v>5</v>
      </c>
    </row>
    <row r="546" spans="1:5" x14ac:dyDescent="0.3">
      <c r="A546">
        <v>10453</v>
      </c>
      <c r="B546">
        <v>48</v>
      </c>
      <c r="C546">
        <v>102</v>
      </c>
      <c r="D546">
        <v>15</v>
      </c>
      <c r="E546">
        <v>1</v>
      </c>
    </row>
    <row r="547" spans="1:5" x14ac:dyDescent="0.3">
      <c r="A547">
        <v>10453</v>
      </c>
      <c r="B547">
        <v>70</v>
      </c>
      <c r="C547">
        <v>12</v>
      </c>
      <c r="D547">
        <v>25</v>
      </c>
      <c r="E547">
        <v>1</v>
      </c>
    </row>
    <row r="548" spans="1:5" x14ac:dyDescent="0.3">
      <c r="A548">
        <v>10454</v>
      </c>
      <c r="B548">
        <v>16</v>
      </c>
      <c r="C548">
        <v>139</v>
      </c>
      <c r="D548">
        <v>20</v>
      </c>
      <c r="E548">
        <v>2</v>
      </c>
    </row>
    <row r="549" spans="1:5" x14ac:dyDescent="0.3">
      <c r="A549">
        <v>10454</v>
      </c>
      <c r="B549">
        <v>33</v>
      </c>
      <c r="C549">
        <v>2</v>
      </c>
      <c r="D549">
        <v>20</v>
      </c>
      <c r="E549">
        <v>2</v>
      </c>
    </row>
    <row r="550" spans="1:5" x14ac:dyDescent="0.3">
      <c r="A550">
        <v>10454</v>
      </c>
      <c r="B550">
        <v>46</v>
      </c>
      <c r="C550">
        <v>96</v>
      </c>
      <c r="D550">
        <v>10</v>
      </c>
      <c r="E550">
        <v>2</v>
      </c>
    </row>
    <row r="551" spans="1:5" x14ac:dyDescent="0.3">
      <c r="A551">
        <v>10455</v>
      </c>
      <c r="B551">
        <v>39</v>
      </c>
      <c r="C551">
        <v>144</v>
      </c>
      <c r="D551">
        <v>20</v>
      </c>
      <c r="E551">
        <v>0</v>
      </c>
    </row>
    <row r="552" spans="1:5" x14ac:dyDescent="0.3">
      <c r="A552">
        <v>10455</v>
      </c>
      <c r="B552">
        <v>53</v>
      </c>
      <c r="C552">
        <v>262</v>
      </c>
      <c r="D552">
        <v>50</v>
      </c>
      <c r="E552">
        <v>0</v>
      </c>
    </row>
    <row r="553" spans="1:5" x14ac:dyDescent="0.3">
      <c r="A553">
        <v>10455</v>
      </c>
      <c r="B553">
        <v>61</v>
      </c>
      <c r="C553">
        <v>228</v>
      </c>
      <c r="D553">
        <v>25</v>
      </c>
      <c r="E553">
        <v>0</v>
      </c>
    </row>
    <row r="554" spans="1:5" x14ac:dyDescent="0.3">
      <c r="A554">
        <v>10455</v>
      </c>
      <c r="B554">
        <v>71</v>
      </c>
      <c r="C554">
        <v>172</v>
      </c>
      <c r="D554">
        <v>30</v>
      </c>
      <c r="E554">
        <v>0</v>
      </c>
    </row>
    <row r="555" spans="1:5" x14ac:dyDescent="0.3">
      <c r="A555">
        <v>10456</v>
      </c>
      <c r="B555">
        <v>21</v>
      </c>
      <c r="C555">
        <v>8</v>
      </c>
      <c r="D555">
        <v>40</v>
      </c>
      <c r="E555">
        <v>15</v>
      </c>
    </row>
    <row r="556" spans="1:5" x14ac:dyDescent="0.3">
      <c r="A556">
        <v>10456</v>
      </c>
      <c r="B556">
        <v>49</v>
      </c>
      <c r="C556">
        <v>16</v>
      </c>
      <c r="D556">
        <v>21</v>
      </c>
      <c r="E556">
        <v>15</v>
      </c>
    </row>
    <row r="557" spans="1:5" x14ac:dyDescent="0.3">
      <c r="A557">
        <v>10457</v>
      </c>
      <c r="B557">
        <v>59</v>
      </c>
      <c r="C557">
        <v>44</v>
      </c>
      <c r="D557">
        <v>36</v>
      </c>
      <c r="E557">
        <v>0</v>
      </c>
    </row>
    <row r="558" spans="1:5" x14ac:dyDescent="0.3">
      <c r="A558">
        <v>10458</v>
      </c>
      <c r="B558">
        <v>26</v>
      </c>
      <c r="C558">
        <v>249</v>
      </c>
      <c r="D558">
        <v>30</v>
      </c>
      <c r="E558">
        <v>0</v>
      </c>
    </row>
    <row r="559" spans="1:5" x14ac:dyDescent="0.3">
      <c r="A559">
        <v>10458</v>
      </c>
      <c r="B559">
        <v>28</v>
      </c>
      <c r="C559">
        <v>364</v>
      </c>
      <c r="D559">
        <v>30</v>
      </c>
      <c r="E559">
        <v>0</v>
      </c>
    </row>
    <row r="560" spans="1:5" x14ac:dyDescent="0.3">
      <c r="A560">
        <v>10458</v>
      </c>
      <c r="B560">
        <v>43</v>
      </c>
      <c r="C560">
        <v>368</v>
      </c>
      <c r="D560">
        <v>20</v>
      </c>
      <c r="E560">
        <v>0</v>
      </c>
    </row>
    <row r="561" spans="1:5" x14ac:dyDescent="0.3">
      <c r="A561">
        <v>10458</v>
      </c>
      <c r="B561">
        <v>56</v>
      </c>
      <c r="C561">
        <v>304</v>
      </c>
      <c r="D561">
        <v>15</v>
      </c>
      <c r="E561">
        <v>0</v>
      </c>
    </row>
    <row r="562" spans="1:5" x14ac:dyDescent="0.3">
      <c r="A562">
        <v>10458</v>
      </c>
      <c r="B562">
        <v>71</v>
      </c>
      <c r="C562">
        <v>172</v>
      </c>
      <c r="D562">
        <v>50</v>
      </c>
      <c r="E562">
        <v>0</v>
      </c>
    </row>
    <row r="563" spans="1:5" x14ac:dyDescent="0.3">
      <c r="A563">
        <v>10459</v>
      </c>
      <c r="B563">
        <v>7</v>
      </c>
      <c r="C563">
        <v>24</v>
      </c>
      <c r="D563">
        <v>16</v>
      </c>
      <c r="E563">
        <v>5</v>
      </c>
    </row>
    <row r="564" spans="1:5" x14ac:dyDescent="0.3">
      <c r="A564">
        <v>10459</v>
      </c>
      <c r="B564">
        <v>46</v>
      </c>
      <c r="C564">
        <v>96</v>
      </c>
      <c r="D564">
        <v>20</v>
      </c>
      <c r="E564">
        <v>5</v>
      </c>
    </row>
    <row r="565" spans="1:5" x14ac:dyDescent="0.3">
      <c r="A565">
        <v>10459</v>
      </c>
      <c r="B565">
        <v>72</v>
      </c>
      <c r="C565">
        <v>278</v>
      </c>
      <c r="D565">
        <v>40</v>
      </c>
      <c r="E565">
        <v>0</v>
      </c>
    </row>
    <row r="566" spans="1:5" x14ac:dyDescent="0.3">
      <c r="A566">
        <v>10460</v>
      </c>
      <c r="B566">
        <v>68</v>
      </c>
      <c r="C566">
        <v>10</v>
      </c>
      <c r="D566">
        <v>21</v>
      </c>
      <c r="E566">
        <v>25</v>
      </c>
    </row>
    <row r="567" spans="1:5" x14ac:dyDescent="0.3">
      <c r="A567">
        <v>10460</v>
      </c>
      <c r="B567">
        <v>75</v>
      </c>
      <c r="C567">
        <v>62</v>
      </c>
      <c r="D567">
        <v>4</v>
      </c>
      <c r="E567">
        <v>25</v>
      </c>
    </row>
    <row r="568" spans="1:5" x14ac:dyDescent="0.3">
      <c r="A568">
        <v>10461</v>
      </c>
      <c r="B568">
        <v>21</v>
      </c>
      <c r="C568">
        <v>8</v>
      </c>
      <c r="D568">
        <v>40</v>
      </c>
      <c r="E568">
        <v>25</v>
      </c>
    </row>
    <row r="569" spans="1:5" x14ac:dyDescent="0.3">
      <c r="A569">
        <v>10461</v>
      </c>
      <c r="B569">
        <v>30</v>
      </c>
      <c r="C569">
        <v>207</v>
      </c>
      <c r="D569">
        <v>28</v>
      </c>
      <c r="E569">
        <v>25</v>
      </c>
    </row>
    <row r="570" spans="1:5" x14ac:dyDescent="0.3">
      <c r="A570">
        <v>10461</v>
      </c>
      <c r="B570">
        <v>55</v>
      </c>
      <c r="C570">
        <v>192</v>
      </c>
      <c r="D570">
        <v>60</v>
      </c>
      <c r="E570">
        <v>25</v>
      </c>
    </row>
    <row r="571" spans="1:5" x14ac:dyDescent="0.3">
      <c r="A571">
        <v>10462</v>
      </c>
      <c r="B571">
        <v>13</v>
      </c>
      <c r="C571">
        <v>48</v>
      </c>
      <c r="D571">
        <v>1</v>
      </c>
      <c r="E571">
        <v>0</v>
      </c>
    </row>
    <row r="572" spans="1:5" x14ac:dyDescent="0.3">
      <c r="A572">
        <v>10462</v>
      </c>
      <c r="B572">
        <v>23</v>
      </c>
      <c r="C572">
        <v>72</v>
      </c>
      <c r="D572">
        <v>21</v>
      </c>
      <c r="E572">
        <v>0</v>
      </c>
    </row>
    <row r="573" spans="1:5" x14ac:dyDescent="0.3">
      <c r="A573">
        <v>10463</v>
      </c>
      <c r="B573">
        <v>19</v>
      </c>
      <c r="C573">
        <v>73</v>
      </c>
      <c r="D573">
        <v>21</v>
      </c>
      <c r="E573">
        <v>0</v>
      </c>
    </row>
    <row r="574" spans="1:5" x14ac:dyDescent="0.3">
      <c r="A574">
        <v>10463</v>
      </c>
      <c r="B574">
        <v>42</v>
      </c>
      <c r="C574">
        <v>112</v>
      </c>
      <c r="D574">
        <v>50</v>
      </c>
      <c r="E574">
        <v>0</v>
      </c>
    </row>
    <row r="575" spans="1:5" x14ac:dyDescent="0.3">
      <c r="A575">
        <v>10464</v>
      </c>
      <c r="B575">
        <v>4</v>
      </c>
      <c r="C575">
        <v>176</v>
      </c>
      <c r="D575">
        <v>16</v>
      </c>
      <c r="E575">
        <v>2</v>
      </c>
    </row>
    <row r="576" spans="1:5" x14ac:dyDescent="0.3">
      <c r="A576">
        <v>10464</v>
      </c>
      <c r="B576">
        <v>43</v>
      </c>
      <c r="C576">
        <v>368</v>
      </c>
      <c r="D576">
        <v>3</v>
      </c>
      <c r="E576">
        <v>0</v>
      </c>
    </row>
    <row r="577" spans="1:5" x14ac:dyDescent="0.3">
      <c r="A577">
        <v>10464</v>
      </c>
      <c r="B577">
        <v>56</v>
      </c>
      <c r="C577">
        <v>304</v>
      </c>
      <c r="D577">
        <v>30</v>
      </c>
      <c r="E577">
        <v>2</v>
      </c>
    </row>
    <row r="578" spans="1:5" x14ac:dyDescent="0.3">
      <c r="A578">
        <v>10464</v>
      </c>
      <c r="B578">
        <v>60</v>
      </c>
      <c r="C578">
        <v>272</v>
      </c>
      <c r="D578">
        <v>20</v>
      </c>
      <c r="E578">
        <v>0</v>
      </c>
    </row>
    <row r="579" spans="1:5" x14ac:dyDescent="0.3">
      <c r="A579">
        <v>10465</v>
      </c>
      <c r="B579">
        <v>24</v>
      </c>
      <c r="C579">
        <v>36</v>
      </c>
      <c r="D579">
        <v>25</v>
      </c>
      <c r="E579">
        <v>0</v>
      </c>
    </row>
    <row r="580" spans="1:5" x14ac:dyDescent="0.3">
      <c r="A580">
        <v>10465</v>
      </c>
      <c r="B580">
        <v>29</v>
      </c>
      <c r="C580">
        <v>99</v>
      </c>
      <c r="D580">
        <v>18</v>
      </c>
      <c r="E580">
        <v>1</v>
      </c>
    </row>
    <row r="581" spans="1:5" x14ac:dyDescent="0.3">
      <c r="A581">
        <v>10465</v>
      </c>
      <c r="B581">
        <v>40</v>
      </c>
      <c r="C581">
        <v>147</v>
      </c>
      <c r="D581">
        <v>20</v>
      </c>
      <c r="E581">
        <v>0</v>
      </c>
    </row>
    <row r="582" spans="1:5" x14ac:dyDescent="0.3">
      <c r="A582">
        <v>10465</v>
      </c>
      <c r="B582">
        <v>45</v>
      </c>
      <c r="C582">
        <v>76</v>
      </c>
      <c r="D582">
        <v>30</v>
      </c>
      <c r="E582">
        <v>1</v>
      </c>
    </row>
    <row r="583" spans="1:5" x14ac:dyDescent="0.3">
      <c r="A583">
        <v>10465</v>
      </c>
      <c r="B583">
        <v>50</v>
      </c>
      <c r="C583">
        <v>13</v>
      </c>
      <c r="D583">
        <v>25</v>
      </c>
      <c r="E583">
        <v>0</v>
      </c>
    </row>
    <row r="584" spans="1:5" x14ac:dyDescent="0.3">
      <c r="A584">
        <v>10466</v>
      </c>
      <c r="B584">
        <v>11</v>
      </c>
      <c r="C584">
        <v>168</v>
      </c>
      <c r="D584">
        <v>10</v>
      </c>
      <c r="E584">
        <v>0</v>
      </c>
    </row>
    <row r="585" spans="1:5" x14ac:dyDescent="0.3">
      <c r="A585">
        <v>10466</v>
      </c>
      <c r="B585">
        <v>46</v>
      </c>
      <c r="C585">
        <v>96</v>
      </c>
      <c r="D585">
        <v>5</v>
      </c>
      <c r="E585">
        <v>0</v>
      </c>
    </row>
    <row r="586" spans="1:5" x14ac:dyDescent="0.3">
      <c r="A586">
        <v>10467</v>
      </c>
      <c r="B586">
        <v>24</v>
      </c>
      <c r="C586">
        <v>36</v>
      </c>
      <c r="D586">
        <v>28</v>
      </c>
      <c r="E586">
        <v>0</v>
      </c>
    </row>
    <row r="587" spans="1:5" x14ac:dyDescent="0.3">
      <c r="A587">
        <v>10467</v>
      </c>
      <c r="B587">
        <v>25</v>
      </c>
      <c r="C587">
        <v>112</v>
      </c>
      <c r="D587">
        <v>12</v>
      </c>
      <c r="E587">
        <v>0</v>
      </c>
    </row>
    <row r="588" spans="1:5" x14ac:dyDescent="0.3">
      <c r="A588">
        <v>10468</v>
      </c>
      <c r="B588">
        <v>30</v>
      </c>
      <c r="C588">
        <v>207</v>
      </c>
      <c r="D588">
        <v>8</v>
      </c>
      <c r="E588">
        <v>0</v>
      </c>
    </row>
    <row r="589" spans="1:5" x14ac:dyDescent="0.3">
      <c r="A589">
        <v>10468</v>
      </c>
      <c r="B589">
        <v>43</v>
      </c>
      <c r="C589">
        <v>368</v>
      </c>
      <c r="D589">
        <v>15</v>
      </c>
      <c r="E589">
        <v>0</v>
      </c>
    </row>
    <row r="590" spans="1:5" x14ac:dyDescent="0.3">
      <c r="A590">
        <v>10469</v>
      </c>
      <c r="B590">
        <v>2</v>
      </c>
      <c r="C590">
        <v>152</v>
      </c>
      <c r="D590">
        <v>40</v>
      </c>
      <c r="E590">
        <v>15</v>
      </c>
    </row>
    <row r="591" spans="1:5" x14ac:dyDescent="0.3">
      <c r="A591">
        <v>10469</v>
      </c>
      <c r="B591">
        <v>16</v>
      </c>
      <c r="C591">
        <v>139</v>
      </c>
      <c r="D591">
        <v>35</v>
      </c>
      <c r="E591">
        <v>15</v>
      </c>
    </row>
    <row r="592" spans="1:5" x14ac:dyDescent="0.3">
      <c r="A592">
        <v>10469</v>
      </c>
      <c r="B592">
        <v>44</v>
      </c>
      <c r="C592">
        <v>155</v>
      </c>
      <c r="D592">
        <v>2</v>
      </c>
      <c r="E592">
        <v>15</v>
      </c>
    </row>
    <row r="593" spans="1:5" x14ac:dyDescent="0.3">
      <c r="A593">
        <v>10470</v>
      </c>
      <c r="B593">
        <v>18</v>
      </c>
      <c r="C593">
        <v>50</v>
      </c>
      <c r="D593">
        <v>30</v>
      </c>
      <c r="E593">
        <v>0</v>
      </c>
    </row>
    <row r="594" spans="1:5" x14ac:dyDescent="0.3">
      <c r="A594">
        <v>10470</v>
      </c>
      <c r="B594">
        <v>23</v>
      </c>
      <c r="C594">
        <v>72</v>
      </c>
      <c r="D594">
        <v>15</v>
      </c>
      <c r="E594">
        <v>0</v>
      </c>
    </row>
    <row r="595" spans="1:5" x14ac:dyDescent="0.3">
      <c r="A595">
        <v>10470</v>
      </c>
      <c r="B595">
        <v>64</v>
      </c>
      <c r="C595">
        <v>266</v>
      </c>
      <c r="D595">
        <v>8</v>
      </c>
      <c r="E595">
        <v>0</v>
      </c>
    </row>
    <row r="596" spans="1:5" x14ac:dyDescent="0.3">
      <c r="A596">
        <v>10471</v>
      </c>
      <c r="B596">
        <v>7</v>
      </c>
      <c r="C596">
        <v>24</v>
      </c>
      <c r="D596">
        <v>30</v>
      </c>
      <c r="E596">
        <v>0</v>
      </c>
    </row>
    <row r="597" spans="1:5" x14ac:dyDescent="0.3">
      <c r="A597">
        <v>10471</v>
      </c>
      <c r="B597">
        <v>56</v>
      </c>
      <c r="C597">
        <v>304</v>
      </c>
      <c r="D597">
        <v>20</v>
      </c>
      <c r="E597">
        <v>0</v>
      </c>
    </row>
    <row r="598" spans="1:5" x14ac:dyDescent="0.3">
      <c r="A598">
        <v>10472</v>
      </c>
      <c r="B598">
        <v>24</v>
      </c>
      <c r="C598">
        <v>36</v>
      </c>
      <c r="D598">
        <v>80</v>
      </c>
      <c r="E598">
        <v>5</v>
      </c>
    </row>
    <row r="599" spans="1:5" x14ac:dyDescent="0.3">
      <c r="A599">
        <v>10472</v>
      </c>
      <c r="B599">
        <v>51</v>
      </c>
      <c r="C599">
        <v>424</v>
      </c>
      <c r="D599">
        <v>18</v>
      </c>
      <c r="E599">
        <v>0</v>
      </c>
    </row>
    <row r="600" spans="1:5" x14ac:dyDescent="0.3">
      <c r="A600">
        <v>10473</v>
      </c>
      <c r="B600">
        <v>33</v>
      </c>
      <c r="C600">
        <v>2</v>
      </c>
      <c r="D600">
        <v>12</v>
      </c>
      <c r="E600">
        <v>0</v>
      </c>
    </row>
    <row r="601" spans="1:5" x14ac:dyDescent="0.3">
      <c r="A601">
        <v>10473</v>
      </c>
      <c r="B601">
        <v>71</v>
      </c>
      <c r="C601">
        <v>172</v>
      </c>
      <c r="D601">
        <v>12</v>
      </c>
      <c r="E601">
        <v>0</v>
      </c>
    </row>
    <row r="602" spans="1:5" x14ac:dyDescent="0.3">
      <c r="A602">
        <v>10474</v>
      </c>
      <c r="B602">
        <v>14</v>
      </c>
      <c r="C602">
        <v>186</v>
      </c>
      <c r="D602">
        <v>12</v>
      </c>
      <c r="E602">
        <v>0</v>
      </c>
    </row>
    <row r="603" spans="1:5" x14ac:dyDescent="0.3">
      <c r="A603">
        <v>10474</v>
      </c>
      <c r="B603">
        <v>28</v>
      </c>
      <c r="C603">
        <v>364</v>
      </c>
      <c r="D603">
        <v>18</v>
      </c>
      <c r="E603">
        <v>0</v>
      </c>
    </row>
    <row r="604" spans="1:5" x14ac:dyDescent="0.3">
      <c r="A604">
        <v>10474</v>
      </c>
      <c r="B604">
        <v>40</v>
      </c>
      <c r="C604">
        <v>147</v>
      </c>
      <c r="D604">
        <v>21</v>
      </c>
      <c r="E604">
        <v>0</v>
      </c>
    </row>
    <row r="605" spans="1:5" x14ac:dyDescent="0.3">
      <c r="A605">
        <v>10474</v>
      </c>
      <c r="B605">
        <v>75</v>
      </c>
      <c r="C605">
        <v>62</v>
      </c>
      <c r="D605">
        <v>10</v>
      </c>
      <c r="E605">
        <v>0</v>
      </c>
    </row>
    <row r="606" spans="1:5" x14ac:dyDescent="0.3">
      <c r="A606">
        <v>10475</v>
      </c>
      <c r="B606">
        <v>31</v>
      </c>
      <c r="C606">
        <v>10</v>
      </c>
      <c r="D606">
        <v>35</v>
      </c>
      <c r="E606">
        <v>15</v>
      </c>
    </row>
    <row r="607" spans="1:5" x14ac:dyDescent="0.3">
      <c r="A607">
        <v>10475</v>
      </c>
      <c r="B607">
        <v>66</v>
      </c>
      <c r="C607">
        <v>136</v>
      </c>
      <c r="D607">
        <v>60</v>
      </c>
      <c r="E607">
        <v>15</v>
      </c>
    </row>
    <row r="608" spans="1:5" x14ac:dyDescent="0.3">
      <c r="A608">
        <v>10475</v>
      </c>
      <c r="B608">
        <v>76</v>
      </c>
      <c r="C608">
        <v>144</v>
      </c>
      <c r="D608">
        <v>42</v>
      </c>
      <c r="E608">
        <v>15</v>
      </c>
    </row>
    <row r="609" spans="1:5" x14ac:dyDescent="0.3">
      <c r="A609">
        <v>10476</v>
      </c>
      <c r="B609">
        <v>55</v>
      </c>
      <c r="C609">
        <v>192</v>
      </c>
      <c r="D609">
        <v>2</v>
      </c>
      <c r="E609">
        <v>5</v>
      </c>
    </row>
    <row r="610" spans="1:5" x14ac:dyDescent="0.3">
      <c r="A610">
        <v>10476</v>
      </c>
      <c r="B610">
        <v>70</v>
      </c>
      <c r="C610">
        <v>12</v>
      </c>
      <c r="D610">
        <v>12</v>
      </c>
      <c r="E610">
        <v>0</v>
      </c>
    </row>
    <row r="611" spans="1:5" x14ac:dyDescent="0.3">
      <c r="A611">
        <v>10477</v>
      </c>
      <c r="B611">
        <v>1</v>
      </c>
      <c r="C611">
        <v>144</v>
      </c>
      <c r="D611">
        <v>15</v>
      </c>
      <c r="E611">
        <v>0</v>
      </c>
    </row>
    <row r="612" spans="1:5" x14ac:dyDescent="0.3">
      <c r="A612">
        <v>10477</v>
      </c>
      <c r="B612">
        <v>21</v>
      </c>
      <c r="C612">
        <v>8</v>
      </c>
      <c r="D612">
        <v>21</v>
      </c>
      <c r="E612">
        <v>25</v>
      </c>
    </row>
    <row r="613" spans="1:5" x14ac:dyDescent="0.3">
      <c r="A613">
        <v>10477</v>
      </c>
      <c r="B613">
        <v>39</v>
      </c>
      <c r="C613">
        <v>144</v>
      </c>
      <c r="D613">
        <v>20</v>
      </c>
      <c r="E613">
        <v>25</v>
      </c>
    </row>
    <row r="614" spans="1:5" x14ac:dyDescent="0.3">
      <c r="A614">
        <v>10478</v>
      </c>
      <c r="B614">
        <v>10</v>
      </c>
      <c r="C614">
        <v>248</v>
      </c>
      <c r="D614">
        <v>20</v>
      </c>
      <c r="E614">
        <v>5</v>
      </c>
    </row>
    <row r="615" spans="1:5" x14ac:dyDescent="0.3">
      <c r="A615">
        <v>10479</v>
      </c>
      <c r="B615">
        <v>38</v>
      </c>
      <c r="C615">
        <v>2108</v>
      </c>
      <c r="D615">
        <v>30</v>
      </c>
      <c r="E615">
        <v>0</v>
      </c>
    </row>
    <row r="616" spans="1:5" x14ac:dyDescent="0.3">
      <c r="A616">
        <v>10479</v>
      </c>
      <c r="B616">
        <v>53</v>
      </c>
      <c r="C616">
        <v>262</v>
      </c>
      <c r="D616">
        <v>28</v>
      </c>
      <c r="E616">
        <v>0</v>
      </c>
    </row>
    <row r="617" spans="1:5" x14ac:dyDescent="0.3">
      <c r="A617">
        <v>10479</v>
      </c>
      <c r="B617">
        <v>59</v>
      </c>
      <c r="C617">
        <v>44</v>
      </c>
      <c r="D617">
        <v>60</v>
      </c>
      <c r="E617">
        <v>0</v>
      </c>
    </row>
    <row r="618" spans="1:5" x14ac:dyDescent="0.3">
      <c r="A618">
        <v>10479</v>
      </c>
      <c r="B618">
        <v>64</v>
      </c>
      <c r="C618">
        <v>266</v>
      </c>
      <c r="D618">
        <v>30</v>
      </c>
      <c r="E618">
        <v>0</v>
      </c>
    </row>
    <row r="619" spans="1:5" x14ac:dyDescent="0.3">
      <c r="A619">
        <v>10480</v>
      </c>
      <c r="B619">
        <v>47</v>
      </c>
      <c r="C619">
        <v>76</v>
      </c>
      <c r="D619">
        <v>30</v>
      </c>
      <c r="E619">
        <v>0</v>
      </c>
    </row>
    <row r="620" spans="1:5" x14ac:dyDescent="0.3">
      <c r="A620">
        <v>10480</v>
      </c>
      <c r="B620">
        <v>59</v>
      </c>
      <c r="C620">
        <v>44</v>
      </c>
      <c r="D620">
        <v>12</v>
      </c>
      <c r="E620">
        <v>0</v>
      </c>
    </row>
    <row r="621" spans="1:5" x14ac:dyDescent="0.3">
      <c r="A621">
        <v>10481</v>
      </c>
      <c r="B621">
        <v>49</v>
      </c>
      <c r="C621">
        <v>16</v>
      </c>
      <c r="D621">
        <v>24</v>
      </c>
      <c r="E621">
        <v>0</v>
      </c>
    </row>
    <row r="622" spans="1:5" x14ac:dyDescent="0.3">
      <c r="A622">
        <v>10481</v>
      </c>
      <c r="B622">
        <v>60</v>
      </c>
      <c r="C622">
        <v>272</v>
      </c>
      <c r="D622">
        <v>40</v>
      </c>
      <c r="E622">
        <v>0</v>
      </c>
    </row>
    <row r="623" spans="1:5" x14ac:dyDescent="0.3">
      <c r="A623">
        <v>10482</v>
      </c>
      <c r="B623">
        <v>40</v>
      </c>
      <c r="C623">
        <v>147</v>
      </c>
      <c r="D623">
        <v>10</v>
      </c>
      <c r="E623">
        <v>0</v>
      </c>
    </row>
    <row r="624" spans="1:5" x14ac:dyDescent="0.3">
      <c r="A624">
        <v>10483</v>
      </c>
      <c r="B624">
        <v>34</v>
      </c>
      <c r="C624">
        <v>112</v>
      </c>
      <c r="D624">
        <v>35</v>
      </c>
      <c r="E624">
        <v>5</v>
      </c>
    </row>
    <row r="625" spans="1:5" x14ac:dyDescent="0.3">
      <c r="A625">
        <v>10483</v>
      </c>
      <c r="B625">
        <v>77</v>
      </c>
      <c r="C625">
        <v>104</v>
      </c>
      <c r="D625">
        <v>30</v>
      </c>
      <c r="E625">
        <v>5</v>
      </c>
    </row>
    <row r="626" spans="1:5" x14ac:dyDescent="0.3">
      <c r="A626">
        <v>10484</v>
      </c>
      <c r="B626">
        <v>21</v>
      </c>
      <c r="C626">
        <v>8</v>
      </c>
      <c r="D626">
        <v>14</v>
      </c>
      <c r="E626">
        <v>0</v>
      </c>
    </row>
    <row r="627" spans="1:5" x14ac:dyDescent="0.3">
      <c r="A627">
        <v>10484</v>
      </c>
      <c r="B627">
        <v>40</v>
      </c>
      <c r="C627">
        <v>147</v>
      </c>
      <c r="D627">
        <v>10</v>
      </c>
      <c r="E627">
        <v>0</v>
      </c>
    </row>
    <row r="628" spans="1:5" x14ac:dyDescent="0.3">
      <c r="A628">
        <v>10484</v>
      </c>
      <c r="B628">
        <v>51</v>
      </c>
      <c r="C628">
        <v>424</v>
      </c>
      <c r="D628">
        <v>3</v>
      </c>
      <c r="E628">
        <v>0</v>
      </c>
    </row>
    <row r="629" spans="1:5" x14ac:dyDescent="0.3">
      <c r="A629">
        <v>10485</v>
      </c>
      <c r="B629">
        <v>2</v>
      </c>
      <c r="C629">
        <v>152</v>
      </c>
      <c r="D629">
        <v>20</v>
      </c>
      <c r="E629">
        <v>1</v>
      </c>
    </row>
    <row r="630" spans="1:5" x14ac:dyDescent="0.3">
      <c r="A630">
        <v>10485</v>
      </c>
      <c r="B630">
        <v>3</v>
      </c>
      <c r="C630">
        <v>8</v>
      </c>
      <c r="D630">
        <v>20</v>
      </c>
      <c r="E630">
        <v>1</v>
      </c>
    </row>
    <row r="631" spans="1:5" x14ac:dyDescent="0.3">
      <c r="A631">
        <v>10485</v>
      </c>
      <c r="B631">
        <v>55</v>
      </c>
      <c r="C631">
        <v>192</v>
      </c>
      <c r="D631">
        <v>30</v>
      </c>
      <c r="E631">
        <v>1</v>
      </c>
    </row>
    <row r="632" spans="1:5" x14ac:dyDescent="0.3">
      <c r="A632">
        <v>10485</v>
      </c>
      <c r="B632">
        <v>70</v>
      </c>
      <c r="C632">
        <v>12</v>
      </c>
      <c r="D632">
        <v>60</v>
      </c>
      <c r="E632">
        <v>1</v>
      </c>
    </row>
    <row r="633" spans="1:5" x14ac:dyDescent="0.3">
      <c r="A633">
        <v>10486</v>
      </c>
      <c r="B633">
        <v>11</v>
      </c>
      <c r="C633">
        <v>168</v>
      </c>
      <c r="D633">
        <v>5</v>
      </c>
      <c r="E633">
        <v>0</v>
      </c>
    </row>
    <row r="634" spans="1:5" x14ac:dyDescent="0.3">
      <c r="A634">
        <v>10486</v>
      </c>
      <c r="B634">
        <v>51</v>
      </c>
      <c r="C634">
        <v>424</v>
      </c>
      <c r="D634">
        <v>25</v>
      </c>
      <c r="E634">
        <v>0</v>
      </c>
    </row>
    <row r="635" spans="1:5" x14ac:dyDescent="0.3">
      <c r="A635">
        <v>10486</v>
      </c>
      <c r="B635">
        <v>74</v>
      </c>
      <c r="C635">
        <v>8</v>
      </c>
      <c r="D635">
        <v>16</v>
      </c>
      <c r="E635">
        <v>0</v>
      </c>
    </row>
    <row r="636" spans="1:5" x14ac:dyDescent="0.3">
      <c r="A636">
        <v>10487</v>
      </c>
      <c r="B636">
        <v>19</v>
      </c>
      <c r="C636">
        <v>73</v>
      </c>
      <c r="D636">
        <v>5</v>
      </c>
      <c r="E636">
        <v>0</v>
      </c>
    </row>
    <row r="637" spans="1:5" x14ac:dyDescent="0.3">
      <c r="A637">
        <v>10487</v>
      </c>
      <c r="B637">
        <v>26</v>
      </c>
      <c r="C637">
        <v>249</v>
      </c>
      <c r="D637">
        <v>30</v>
      </c>
      <c r="E637">
        <v>0</v>
      </c>
    </row>
    <row r="638" spans="1:5" x14ac:dyDescent="0.3">
      <c r="A638">
        <v>10487</v>
      </c>
      <c r="B638">
        <v>54</v>
      </c>
      <c r="C638">
        <v>59</v>
      </c>
      <c r="D638">
        <v>24</v>
      </c>
      <c r="E638">
        <v>25</v>
      </c>
    </row>
    <row r="639" spans="1:5" x14ac:dyDescent="0.3">
      <c r="A639">
        <v>10488</v>
      </c>
      <c r="B639">
        <v>59</v>
      </c>
      <c r="C639">
        <v>44</v>
      </c>
      <c r="D639">
        <v>30</v>
      </c>
      <c r="E639">
        <v>0</v>
      </c>
    </row>
    <row r="640" spans="1:5" x14ac:dyDescent="0.3">
      <c r="A640">
        <v>10488</v>
      </c>
      <c r="B640">
        <v>73</v>
      </c>
      <c r="C640">
        <v>12</v>
      </c>
      <c r="D640">
        <v>20</v>
      </c>
      <c r="E640">
        <v>2</v>
      </c>
    </row>
    <row r="641" spans="1:5" x14ac:dyDescent="0.3">
      <c r="A641">
        <v>10489</v>
      </c>
      <c r="B641">
        <v>11</v>
      </c>
      <c r="C641">
        <v>168</v>
      </c>
      <c r="D641">
        <v>15</v>
      </c>
      <c r="E641">
        <v>25</v>
      </c>
    </row>
    <row r="642" spans="1:5" x14ac:dyDescent="0.3">
      <c r="A642">
        <v>10489</v>
      </c>
      <c r="B642">
        <v>16</v>
      </c>
      <c r="C642">
        <v>139</v>
      </c>
      <c r="D642">
        <v>18</v>
      </c>
      <c r="E642">
        <v>0</v>
      </c>
    </row>
    <row r="643" spans="1:5" x14ac:dyDescent="0.3">
      <c r="A643">
        <v>10490</v>
      </c>
      <c r="B643">
        <v>59</v>
      </c>
      <c r="C643">
        <v>44</v>
      </c>
      <c r="D643">
        <v>60</v>
      </c>
      <c r="E643">
        <v>0</v>
      </c>
    </row>
    <row r="644" spans="1:5" x14ac:dyDescent="0.3">
      <c r="A644">
        <v>10490</v>
      </c>
      <c r="B644">
        <v>68</v>
      </c>
      <c r="C644">
        <v>10</v>
      </c>
      <c r="D644">
        <v>30</v>
      </c>
      <c r="E644">
        <v>0</v>
      </c>
    </row>
    <row r="645" spans="1:5" x14ac:dyDescent="0.3">
      <c r="A645">
        <v>10490</v>
      </c>
      <c r="B645">
        <v>75</v>
      </c>
      <c r="C645">
        <v>62</v>
      </c>
      <c r="D645">
        <v>36</v>
      </c>
      <c r="E645">
        <v>0</v>
      </c>
    </row>
    <row r="646" spans="1:5" x14ac:dyDescent="0.3">
      <c r="A646">
        <v>10491</v>
      </c>
      <c r="B646">
        <v>44</v>
      </c>
      <c r="C646">
        <v>155</v>
      </c>
      <c r="D646">
        <v>15</v>
      </c>
      <c r="E646">
        <v>15</v>
      </c>
    </row>
    <row r="647" spans="1:5" x14ac:dyDescent="0.3">
      <c r="A647">
        <v>10491</v>
      </c>
      <c r="B647">
        <v>77</v>
      </c>
      <c r="C647">
        <v>104</v>
      </c>
      <c r="D647">
        <v>7</v>
      </c>
      <c r="E647">
        <v>15</v>
      </c>
    </row>
    <row r="648" spans="1:5" x14ac:dyDescent="0.3">
      <c r="A648">
        <v>10492</v>
      </c>
      <c r="B648">
        <v>25</v>
      </c>
      <c r="C648">
        <v>112</v>
      </c>
      <c r="D648">
        <v>60</v>
      </c>
      <c r="E648">
        <v>5</v>
      </c>
    </row>
    <row r="649" spans="1:5" x14ac:dyDescent="0.3">
      <c r="A649">
        <v>10492</v>
      </c>
      <c r="B649">
        <v>42</v>
      </c>
      <c r="C649">
        <v>112</v>
      </c>
      <c r="D649">
        <v>20</v>
      </c>
      <c r="E649">
        <v>5</v>
      </c>
    </row>
    <row r="650" spans="1:5" x14ac:dyDescent="0.3">
      <c r="A650">
        <v>10493</v>
      </c>
      <c r="B650">
        <v>65</v>
      </c>
      <c r="C650">
        <v>168</v>
      </c>
      <c r="D650">
        <v>15</v>
      </c>
      <c r="E650">
        <v>1</v>
      </c>
    </row>
    <row r="651" spans="1:5" x14ac:dyDescent="0.3">
      <c r="A651">
        <v>10493</v>
      </c>
      <c r="B651">
        <v>66</v>
      </c>
      <c r="C651">
        <v>136</v>
      </c>
      <c r="D651">
        <v>10</v>
      </c>
      <c r="E651">
        <v>1</v>
      </c>
    </row>
    <row r="652" spans="1:5" x14ac:dyDescent="0.3">
      <c r="A652">
        <v>10493</v>
      </c>
      <c r="B652">
        <v>69</v>
      </c>
      <c r="C652">
        <v>288</v>
      </c>
      <c r="D652">
        <v>10</v>
      </c>
      <c r="E652">
        <v>1</v>
      </c>
    </row>
    <row r="653" spans="1:5" x14ac:dyDescent="0.3">
      <c r="A653">
        <v>10494</v>
      </c>
      <c r="B653">
        <v>56</v>
      </c>
      <c r="C653">
        <v>304</v>
      </c>
      <c r="D653">
        <v>30</v>
      </c>
      <c r="E653">
        <v>0</v>
      </c>
    </row>
    <row r="654" spans="1:5" x14ac:dyDescent="0.3">
      <c r="A654">
        <v>10495</v>
      </c>
      <c r="B654">
        <v>23</v>
      </c>
      <c r="C654">
        <v>72</v>
      </c>
      <c r="D654">
        <v>10</v>
      </c>
      <c r="E654">
        <v>0</v>
      </c>
    </row>
    <row r="655" spans="1:5" x14ac:dyDescent="0.3">
      <c r="A655">
        <v>10495</v>
      </c>
      <c r="B655">
        <v>41</v>
      </c>
      <c r="C655">
        <v>77</v>
      </c>
      <c r="D655">
        <v>20</v>
      </c>
      <c r="E655">
        <v>0</v>
      </c>
    </row>
    <row r="656" spans="1:5" x14ac:dyDescent="0.3">
      <c r="A656">
        <v>10495</v>
      </c>
      <c r="B656">
        <v>77</v>
      </c>
      <c r="C656">
        <v>104</v>
      </c>
      <c r="D656">
        <v>5</v>
      </c>
      <c r="E656">
        <v>0</v>
      </c>
    </row>
    <row r="657" spans="1:5" x14ac:dyDescent="0.3">
      <c r="A657">
        <v>10496</v>
      </c>
      <c r="B657">
        <v>31</v>
      </c>
      <c r="C657">
        <v>10</v>
      </c>
      <c r="D657">
        <v>20</v>
      </c>
      <c r="E657">
        <v>5</v>
      </c>
    </row>
    <row r="658" spans="1:5" x14ac:dyDescent="0.3">
      <c r="A658">
        <v>10497</v>
      </c>
      <c r="B658">
        <v>56</v>
      </c>
      <c r="C658">
        <v>304</v>
      </c>
      <c r="D658">
        <v>14</v>
      </c>
      <c r="E658">
        <v>0</v>
      </c>
    </row>
    <row r="659" spans="1:5" x14ac:dyDescent="0.3">
      <c r="A659">
        <v>10497</v>
      </c>
      <c r="B659">
        <v>72</v>
      </c>
      <c r="C659">
        <v>278</v>
      </c>
      <c r="D659">
        <v>25</v>
      </c>
      <c r="E659">
        <v>0</v>
      </c>
    </row>
    <row r="660" spans="1:5" x14ac:dyDescent="0.3">
      <c r="A660">
        <v>10497</v>
      </c>
      <c r="B660">
        <v>77</v>
      </c>
      <c r="C660">
        <v>104</v>
      </c>
      <c r="D660">
        <v>25</v>
      </c>
      <c r="E660">
        <v>0</v>
      </c>
    </row>
    <row r="661" spans="1:5" x14ac:dyDescent="0.3">
      <c r="A661">
        <v>10498</v>
      </c>
      <c r="B661">
        <v>24</v>
      </c>
      <c r="C661">
        <v>45</v>
      </c>
      <c r="D661">
        <v>14</v>
      </c>
      <c r="E661">
        <v>0</v>
      </c>
    </row>
    <row r="662" spans="1:5" x14ac:dyDescent="0.3">
      <c r="A662">
        <v>10498</v>
      </c>
      <c r="B662">
        <v>40</v>
      </c>
      <c r="C662">
        <v>184</v>
      </c>
      <c r="D662">
        <v>5</v>
      </c>
      <c r="E662">
        <v>0</v>
      </c>
    </row>
    <row r="663" spans="1:5" x14ac:dyDescent="0.3">
      <c r="A663">
        <v>10498</v>
      </c>
      <c r="B663">
        <v>42</v>
      </c>
      <c r="C663">
        <v>14</v>
      </c>
      <c r="D663">
        <v>30</v>
      </c>
      <c r="E663">
        <v>0</v>
      </c>
    </row>
    <row r="664" spans="1:5" x14ac:dyDescent="0.3">
      <c r="A664">
        <v>10499</v>
      </c>
      <c r="B664">
        <v>28</v>
      </c>
      <c r="C664">
        <v>456</v>
      </c>
      <c r="D664">
        <v>20</v>
      </c>
      <c r="E664">
        <v>0</v>
      </c>
    </row>
    <row r="665" spans="1:5" x14ac:dyDescent="0.3">
      <c r="A665">
        <v>10499</v>
      </c>
      <c r="B665">
        <v>49</v>
      </c>
      <c r="C665">
        <v>20</v>
      </c>
      <c r="D665">
        <v>25</v>
      </c>
      <c r="E665">
        <v>0</v>
      </c>
    </row>
    <row r="666" spans="1:5" x14ac:dyDescent="0.3">
      <c r="A666">
        <v>10500</v>
      </c>
      <c r="B666">
        <v>15</v>
      </c>
      <c r="C666">
        <v>155</v>
      </c>
      <c r="D666">
        <v>12</v>
      </c>
      <c r="E666">
        <v>5</v>
      </c>
    </row>
    <row r="667" spans="1:5" x14ac:dyDescent="0.3">
      <c r="A667">
        <v>10500</v>
      </c>
      <c r="B667">
        <v>28</v>
      </c>
      <c r="C667">
        <v>456</v>
      </c>
      <c r="D667">
        <v>8</v>
      </c>
      <c r="E667">
        <v>5</v>
      </c>
    </row>
    <row r="668" spans="1:5" x14ac:dyDescent="0.3">
      <c r="A668">
        <v>10501</v>
      </c>
      <c r="B668">
        <v>54</v>
      </c>
      <c r="C668">
        <v>745</v>
      </c>
      <c r="D668">
        <v>20</v>
      </c>
      <c r="E668">
        <v>0</v>
      </c>
    </row>
    <row r="669" spans="1:5" x14ac:dyDescent="0.3">
      <c r="A669">
        <v>10502</v>
      </c>
      <c r="B669">
        <v>45</v>
      </c>
      <c r="C669">
        <v>95</v>
      </c>
      <c r="D669">
        <v>21</v>
      </c>
      <c r="E669">
        <v>0</v>
      </c>
    </row>
    <row r="670" spans="1:5" x14ac:dyDescent="0.3">
      <c r="A670">
        <v>10502</v>
      </c>
      <c r="B670">
        <v>53</v>
      </c>
      <c r="C670">
        <v>328</v>
      </c>
      <c r="D670">
        <v>6</v>
      </c>
      <c r="E670">
        <v>0</v>
      </c>
    </row>
    <row r="671" spans="1:5" x14ac:dyDescent="0.3">
      <c r="A671">
        <v>10502</v>
      </c>
      <c r="B671">
        <v>67</v>
      </c>
      <c r="C671">
        <v>14</v>
      </c>
      <c r="D671">
        <v>30</v>
      </c>
      <c r="E671">
        <v>0</v>
      </c>
    </row>
    <row r="672" spans="1:5" x14ac:dyDescent="0.3">
      <c r="A672">
        <v>10503</v>
      </c>
      <c r="B672">
        <v>14</v>
      </c>
      <c r="C672">
        <v>2325</v>
      </c>
      <c r="D672">
        <v>70</v>
      </c>
      <c r="E672">
        <v>0</v>
      </c>
    </row>
    <row r="673" spans="1:5" x14ac:dyDescent="0.3">
      <c r="A673">
        <v>10503</v>
      </c>
      <c r="B673">
        <v>65</v>
      </c>
      <c r="C673">
        <v>2105</v>
      </c>
      <c r="D673">
        <v>20</v>
      </c>
      <c r="E673">
        <v>0</v>
      </c>
    </row>
    <row r="674" spans="1:5" x14ac:dyDescent="0.3">
      <c r="A674">
        <v>10504</v>
      </c>
      <c r="B674">
        <v>2</v>
      </c>
      <c r="C674">
        <v>19</v>
      </c>
      <c r="D674">
        <v>12</v>
      </c>
      <c r="E674">
        <v>0</v>
      </c>
    </row>
    <row r="675" spans="1:5" x14ac:dyDescent="0.3">
      <c r="A675">
        <v>10504</v>
      </c>
      <c r="B675">
        <v>21</v>
      </c>
      <c r="C675">
        <v>10</v>
      </c>
      <c r="D675">
        <v>12</v>
      </c>
      <c r="E675">
        <v>0</v>
      </c>
    </row>
    <row r="676" spans="1:5" x14ac:dyDescent="0.3">
      <c r="A676">
        <v>10504</v>
      </c>
      <c r="B676">
        <v>53</v>
      </c>
      <c r="C676">
        <v>328</v>
      </c>
      <c r="D676">
        <v>10</v>
      </c>
      <c r="E676">
        <v>0</v>
      </c>
    </row>
    <row r="677" spans="1:5" x14ac:dyDescent="0.3">
      <c r="A677">
        <v>10504</v>
      </c>
      <c r="B677">
        <v>61</v>
      </c>
      <c r="C677">
        <v>285</v>
      </c>
      <c r="D677">
        <v>25</v>
      </c>
      <c r="E677">
        <v>0</v>
      </c>
    </row>
    <row r="678" spans="1:5" x14ac:dyDescent="0.3">
      <c r="A678">
        <v>10505</v>
      </c>
      <c r="B678">
        <v>62</v>
      </c>
      <c r="C678">
        <v>493</v>
      </c>
      <c r="D678">
        <v>3</v>
      </c>
      <c r="E678">
        <v>0</v>
      </c>
    </row>
    <row r="679" spans="1:5" x14ac:dyDescent="0.3">
      <c r="A679">
        <v>10506</v>
      </c>
      <c r="B679">
        <v>25</v>
      </c>
      <c r="C679">
        <v>14</v>
      </c>
      <c r="D679">
        <v>18</v>
      </c>
      <c r="E679">
        <v>1</v>
      </c>
    </row>
    <row r="680" spans="1:5" x14ac:dyDescent="0.3">
      <c r="A680">
        <v>10506</v>
      </c>
      <c r="B680">
        <v>70</v>
      </c>
      <c r="C680">
        <v>15</v>
      </c>
      <c r="D680">
        <v>14</v>
      </c>
      <c r="E680">
        <v>1</v>
      </c>
    </row>
    <row r="681" spans="1:5" x14ac:dyDescent="0.3">
      <c r="A681">
        <v>10507</v>
      </c>
      <c r="B681">
        <v>43</v>
      </c>
      <c r="C681">
        <v>46</v>
      </c>
      <c r="D681">
        <v>15</v>
      </c>
      <c r="E681">
        <v>15</v>
      </c>
    </row>
    <row r="682" spans="1:5" x14ac:dyDescent="0.3">
      <c r="A682">
        <v>10507</v>
      </c>
      <c r="B682">
        <v>48</v>
      </c>
      <c r="C682">
        <v>1275</v>
      </c>
      <c r="D682">
        <v>15</v>
      </c>
      <c r="E682">
        <v>15</v>
      </c>
    </row>
    <row r="683" spans="1:5" x14ac:dyDescent="0.3">
      <c r="A683">
        <v>10508</v>
      </c>
      <c r="B683">
        <v>13</v>
      </c>
      <c r="C683">
        <v>6</v>
      </c>
      <c r="D683">
        <v>10</v>
      </c>
      <c r="E683">
        <v>0</v>
      </c>
    </row>
    <row r="684" spans="1:5" x14ac:dyDescent="0.3">
      <c r="A684">
        <v>10508</v>
      </c>
      <c r="B684">
        <v>39</v>
      </c>
      <c r="C684">
        <v>18</v>
      </c>
      <c r="D684">
        <v>10</v>
      </c>
      <c r="E684">
        <v>0</v>
      </c>
    </row>
    <row r="685" spans="1:5" x14ac:dyDescent="0.3">
      <c r="A685">
        <v>10509</v>
      </c>
      <c r="B685">
        <v>28</v>
      </c>
      <c r="C685">
        <v>456</v>
      </c>
      <c r="D685">
        <v>3</v>
      </c>
      <c r="E685">
        <v>0</v>
      </c>
    </row>
    <row r="686" spans="1:5" x14ac:dyDescent="0.3">
      <c r="A686">
        <v>10510</v>
      </c>
      <c r="B686">
        <v>29</v>
      </c>
      <c r="C686">
        <v>12379</v>
      </c>
      <c r="D686">
        <v>36</v>
      </c>
      <c r="E686">
        <v>0</v>
      </c>
    </row>
    <row r="687" spans="1:5" x14ac:dyDescent="0.3">
      <c r="A687">
        <v>10510</v>
      </c>
      <c r="B687">
        <v>75</v>
      </c>
      <c r="C687">
        <v>775</v>
      </c>
      <c r="D687">
        <v>36</v>
      </c>
      <c r="E687">
        <v>1</v>
      </c>
    </row>
    <row r="688" spans="1:5" x14ac:dyDescent="0.3">
      <c r="A688">
        <v>10511</v>
      </c>
      <c r="B688">
        <v>4</v>
      </c>
      <c r="C688">
        <v>22</v>
      </c>
      <c r="D688">
        <v>50</v>
      </c>
      <c r="E688">
        <v>15</v>
      </c>
    </row>
    <row r="689" spans="1:5" x14ac:dyDescent="0.3">
      <c r="A689">
        <v>10511</v>
      </c>
      <c r="B689">
        <v>7</v>
      </c>
      <c r="C689">
        <v>30</v>
      </c>
      <c r="D689">
        <v>50</v>
      </c>
      <c r="E689">
        <v>15</v>
      </c>
    </row>
    <row r="690" spans="1:5" x14ac:dyDescent="0.3">
      <c r="A690">
        <v>10511</v>
      </c>
      <c r="B690">
        <v>8</v>
      </c>
      <c r="C690">
        <v>40</v>
      </c>
      <c r="D690">
        <v>10</v>
      </c>
      <c r="E690">
        <v>15</v>
      </c>
    </row>
    <row r="691" spans="1:5" x14ac:dyDescent="0.3">
      <c r="A691">
        <v>10512</v>
      </c>
      <c r="B691">
        <v>24</v>
      </c>
      <c r="C691">
        <v>45</v>
      </c>
      <c r="D691">
        <v>10</v>
      </c>
      <c r="E691">
        <v>15</v>
      </c>
    </row>
    <row r="692" spans="1:5" x14ac:dyDescent="0.3">
      <c r="A692">
        <v>10512</v>
      </c>
      <c r="B692">
        <v>46</v>
      </c>
      <c r="C692">
        <v>12</v>
      </c>
      <c r="D692">
        <v>9</v>
      </c>
      <c r="E692">
        <v>15</v>
      </c>
    </row>
    <row r="693" spans="1:5" x14ac:dyDescent="0.3">
      <c r="A693">
        <v>10512</v>
      </c>
      <c r="B693">
        <v>47</v>
      </c>
      <c r="C693">
        <v>95</v>
      </c>
      <c r="D693">
        <v>6</v>
      </c>
      <c r="E693">
        <v>15</v>
      </c>
    </row>
    <row r="694" spans="1:5" x14ac:dyDescent="0.3">
      <c r="A694">
        <v>10512</v>
      </c>
      <c r="B694">
        <v>60</v>
      </c>
      <c r="C694">
        <v>34</v>
      </c>
      <c r="D694">
        <v>12</v>
      </c>
      <c r="E694">
        <v>15</v>
      </c>
    </row>
    <row r="695" spans="1:5" x14ac:dyDescent="0.3">
      <c r="A695">
        <v>10513</v>
      </c>
      <c r="B695">
        <v>21</v>
      </c>
      <c r="C695">
        <v>10</v>
      </c>
      <c r="D695">
        <v>40</v>
      </c>
      <c r="E695">
        <v>2</v>
      </c>
    </row>
    <row r="696" spans="1:5" x14ac:dyDescent="0.3">
      <c r="A696">
        <v>10513</v>
      </c>
      <c r="B696">
        <v>32</v>
      </c>
      <c r="C696">
        <v>32</v>
      </c>
      <c r="D696">
        <v>50</v>
      </c>
      <c r="E696">
        <v>2</v>
      </c>
    </row>
    <row r="697" spans="1:5" x14ac:dyDescent="0.3">
      <c r="A697">
        <v>10513</v>
      </c>
      <c r="B697">
        <v>61</v>
      </c>
      <c r="C697">
        <v>285</v>
      </c>
      <c r="D697">
        <v>15</v>
      </c>
      <c r="E697">
        <v>2</v>
      </c>
    </row>
    <row r="698" spans="1:5" x14ac:dyDescent="0.3">
      <c r="A698">
        <v>10514</v>
      </c>
      <c r="B698">
        <v>20</v>
      </c>
      <c r="C698">
        <v>81</v>
      </c>
      <c r="D698">
        <v>39</v>
      </c>
      <c r="E698">
        <v>0</v>
      </c>
    </row>
    <row r="699" spans="1:5" x14ac:dyDescent="0.3">
      <c r="A699">
        <v>10514</v>
      </c>
      <c r="B699">
        <v>28</v>
      </c>
      <c r="C699">
        <v>456</v>
      </c>
      <c r="D699">
        <v>35</v>
      </c>
      <c r="E699">
        <v>0</v>
      </c>
    </row>
    <row r="700" spans="1:5" x14ac:dyDescent="0.3">
      <c r="A700">
        <v>10514</v>
      </c>
      <c r="B700">
        <v>56</v>
      </c>
      <c r="C700">
        <v>38</v>
      </c>
      <c r="D700">
        <v>70</v>
      </c>
      <c r="E700">
        <v>0</v>
      </c>
    </row>
    <row r="701" spans="1:5" x14ac:dyDescent="0.3">
      <c r="A701">
        <v>10514</v>
      </c>
      <c r="B701">
        <v>65</v>
      </c>
      <c r="C701">
        <v>2105</v>
      </c>
      <c r="D701">
        <v>39</v>
      </c>
      <c r="E701">
        <v>0</v>
      </c>
    </row>
    <row r="702" spans="1:5" x14ac:dyDescent="0.3">
      <c r="A702">
        <v>10514</v>
      </c>
      <c r="B702">
        <v>75</v>
      </c>
      <c r="C702">
        <v>775</v>
      </c>
      <c r="D702">
        <v>50</v>
      </c>
      <c r="E702">
        <v>0</v>
      </c>
    </row>
    <row r="703" spans="1:5" x14ac:dyDescent="0.3">
      <c r="A703">
        <v>10515</v>
      </c>
      <c r="B703">
        <v>9</v>
      </c>
      <c r="C703">
        <v>97</v>
      </c>
      <c r="D703">
        <v>16</v>
      </c>
      <c r="E703">
        <v>15</v>
      </c>
    </row>
    <row r="704" spans="1:5" x14ac:dyDescent="0.3">
      <c r="A704">
        <v>10515</v>
      </c>
      <c r="B704">
        <v>16</v>
      </c>
      <c r="C704">
        <v>1745</v>
      </c>
      <c r="D704">
        <v>50</v>
      </c>
      <c r="E704">
        <v>0</v>
      </c>
    </row>
    <row r="705" spans="1:5" x14ac:dyDescent="0.3">
      <c r="A705">
        <v>10515</v>
      </c>
      <c r="B705">
        <v>27</v>
      </c>
      <c r="C705">
        <v>439</v>
      </c>
      <c r="D705">
        <v>120</v>
      </c>
      <c r="E705">
        <v>0</v>
      </c>
    </row>
    <row r="706" spans="1:5" x14ac:dyDescent="0.3">
      <c r="A706">
        <v>10515</v>
      </c>
      <c r="B706">
        <v>33</v>
      </c>
      <c r="C706">
        <v>25</v>
      </c>
      <c r="D706">
        <v>16</v>
      </c>
      <c r="E706">
        <v>15</v>
      </c>
    </row>
    <row r="707" spans="1:5" x14ac:dyDescent="0.3">
      <c r="A707">
        <v>10515</v>
      </c>
      <c r="B707">
        <v>60</v>
      </c>
      <c r="C707">
        <v>34</v>
      </c>
      <c r="D707">
        <v>84</v>
      </c>
      <c r="E707">
        <v>15</v>
      </c>
    </row>
    <row r="708" spans="1:5" x14ac:dyDescent="0.3">
      <c r="A708">
        <v>10516</v>
      </c>
      <c r="B708">
        <v>18</v>
      </c>
      <c r="C708">
        <v>625</v>
      </c>
      <c r="D708">
        <v>25</v>
      </c>
      <c r="E708">
        <v>1</v>
      </c>
    </row>
    <row r="709" spans="1:5" x14ac:dyDescent="0.3">
      <c r="A709">
        <v>10516</v>
      </c>
      <c r="B709">
        <v>41</v>
      </c>
      <c r="C709">
        <v>965</v>
      </c>
      <c r="D709">
        <v>80</v>
      </c>
      <c r="E709">
        <v>1</v>
      </c>
    </row>
    <row r="710" spans="1:5" x14ac:dyDescent="0.3">
      <c r="A710">
        <v>10516</v>
      </c>
      <c r="B710">
        <v>42</v>
      </c>
      <c r="C710">
        <v>14</v>
      </c>
      <c r="D710">
        <v>20</v>
      </c>
      <c r="E710">
        <v>0</v>
      </c>
    </row>
    <row r="711" spans="1:5" x14ac:dyDescent="0.3">
      <c r="A711">
        <v>10517</v>
      </c>
      <c r="B711">
        <v>52</v>
      </c>
      <c r="C711">
        <v>7</v>
      </c>
      <c r="D711">
        <v>6</v>
      </c>
      <c r="E711">
        <v>0</v>
      </c>
    </row>
    <row r="712" spans="1:5" x14ac:dyDescent="0.3">
      <c r="A712">
        <v>10517</v>
      </c>
      <c r="B712">
        <v>59</v>
      </c>
      <c r="C712">
        <v>55</v>
      </c>
      <c r="D712">
        <v>4</v>
      </c>
      <c r="E712">
        <v>0</v>
      </c>
    </row>
    <row r="713" spans="1:5" x14ac:dyDescent="0.3">
      <c r="A713">
        <v>10517</v>
      </c>
      <c r="B713">
        <v>70</v>
      </c>
      <c r="C713">
        <v>15</v>
      </c>
      <c r="D713">
        <v>6</v>
      </c>
      <c r="E713">
        <v>0</v>
      </c>
    </row>
    <row r="714" spans="1:5" x14ac:dyDescent="0.3">
      <c r="A714">
        <v>10518</v>
      </c>
      <c r="B714">
        <v>24</v>
      </c>
      <c r="C714">
        <v>45</v>
      </c>
      <c r="D714">
        <v>5</v>
      </c>
      <c r="E714">
        <v>0</v>
      </c>
    </row>
    <row r="715" spans="1:5" x14ac:dyDescent="0.3">
      <c r="A715">
        <v>10518</v>
      </c>
      <c r="B715">
        <v>38</v>
      </c>
      <c r="C715">
        <v>2635</v>
      </c>
      <c r="D715">
        <v>15</v>
      </c>
      <c r="E715">
        <v>0</v>
      </c>
    </row>
    <row r="716" spans="1:5" x14ac:dyDescent="0.3">
      <c r="A716">
        <v>10518</v>
      </c>
      <c r="B716">
        <v>44</v>
      </c>
      <c r="C716">
        <v>1945</v>
      </c>
      <c r="D716">
        <v>9</v>
      </c>
      <c r="E716">
        <v>0</v>
      </c>
    </row>
    <row r="717" spans="1:5" x14ac:dyDescent="0.3">
      <c r="A717">
        <v>10519</v>
      </c>
      <c r="B717">
        <v>10</v>
      </c>
      <c r="C717">
        <v>31</v>
      </c>
      <c r="D717">
        <v>16</v>
      </c>
      <c r="E717">
        <v>5</v>
      </c>
    </row>
    <row r="718" spans="1:5" x14ac:dyDescent="0.3">
      <c r="A718">
        <v>10519</v>
      </c>
      <c r="B718">
        <v>56</v>
      </c>
      <c r="C718">
        <v>38</v>
      </c>
      <c r="D718">
        <v>40</v>
      </c>
      <c r="E718">
        <v>0</v>
      </c>
    </row>
    <row r="719" spans="1:5" x14ac:dyDescent="0.3">
      <c r="A719">
        <v>10519</v>
      </c>
      <c r="B719">
        <v>60</v>
      </c>
      <c r="C719">
        <v>34</v>
      </c>
      <c r="D719">
        <v>10</v>
      </c>
      <c r="E719">
        <v>5</v>
      </c>
    </row>
    <row r="720" spans="1:5" x14ac:dyDescent="0.3">
      <c r="A720">
        <v>10520</v>
      </c>
      <c r="B720">
        <v>24</v>
      </c>
      <c r="C720">
        <v>45</v>
      </c>
      <c r="D720">
        <v>8</v>
      </c>
      <c r="E720">
        <v>0</v>
      </c>
    </row>
    <row r="721" spans="1:5" x14ac:dyDescent="0.3">
      <c r="A721">
        <v>10520</v>
      </c>
      <c r="B721">
        <v>53</v>
      </c>
      <c r="C721">
        <v>328</v>
      </c>
      <c r="D721">
        <v>5</v>
      </c>
      <c r="E721">
        <v>0</v>
      </c>
    </row>
    <row r="722" spans="1:5" x14ac:dyDescent="0.3">
      <c r="A722">
        <v>10521</v>
      </c>
      <c r="B722">
        <v>35</v>
      </c>
      <c r="C722">
        <v>18</v>
      </c>
      <c r="D722">
        <v>3</v>
      </c>
      <c r="E722">
        <v>0</v>
      </c>
    </row>
    <row r="723" spans="1:5" x14ac:dyDescent="0.3">
      <c r="A723">
        <v>10521</v>
      </c>
      <c r="B723">
        <v>41</v>
      </c>
      <c r="C723">
        <v>965</v>
      </c>
      <c r="D723">
        <v>10</v>
      </c>
      <c r="E723">
        <v>0</v>
      </c>
    </row>
    <row r="724" spans="1:5" x14ac:dyDescent="0.3">
      <c r="A724">
        <v>10521</v>
      </c>
      <c r="B724">
        <v>68</v>
      </c>
      <c r="C724">
        <v>125</v>
      </c>
      <c r="D724">
        <v>6</v>
      </c>
      <c r="E724">
        <v>0</v>
      </c>
    </row>
    <row r="725" spans="1:5" x14ac:dyDescent="0.3">
      <c r="A725">
        <v>10522</v>
      </c>
      <c r="B725">
        <v>1</v>
      </c>
      <c r="C725">
        <v>18</v>
      </c>
      <c r="D725">
        <v>40</v>
      </c>
      <c r="E725">
        <v>2</v>
      </c>
    </row>
    <row r="726" spans="1:5" x14ac:dyDescent="0.3">
      <c r="A726">
        <v>10522</v>
      </c>
      <c r="B726">
        <v>8</v>
      </c>
      <c r="C726">
        <v>40</v>
      </c>
      <c r="D726">
        <v>24</v>
      </c>
      <c r="E726">
        <v>0</v>
      </c>
    </row>
    <row r="727" spans="1:5" x14ac:dyDescent="0.3">
      <c r="A727">
        <v>10522</v>
      </c>
      <c r="B727">
        <v>30</v>
      </c>
      <c r="C727">
        <v>2589</v>
      </c>
      <c r="D727">
        <v>20</v>
      </c>
      <c r="E727">
        <v>2</v>
      </c>
    </row>
    <row r="728" spans="1:5" x14ac:dyDescent="0.3">
      <c r="A728">
        <v>10522</v>
      </c>
      <c r="B728">
        <v>40</v>
      </c>
      <c r="C728">
        <v>184</v>
      </c>
      <c r="D728">
        <v>25</v>
      </c>
      <c r="E728">
        <v>2</v>
      </c>
    </row>
    <row r="729" spans="1:5" x14ac:dyDescent="0.3">
      <c r="A729">
        <v>10523</v>
      </c>
      <c r="B729">
        <v>17</v>
      </c>
      <c r="C729">
        <v>39</v>
      </c>
      <c r="D729">
        <v>25</v>
      </c>
      <c r="E729">
        <v>1</v>
      </c>
    </row>
    <row r="730" spans="1:5" x14ac:dyDescent="0.3">
      <c r="A730">
        <v>10523</v>
      </c>
      <c r="B730">
        <v>20</v>
      </c>
      <c r="C730">
        <v>81</v>
      </c>
      <c r="D730">
        <v>15</v>
      </c>
      <c r="E730">
        <v>1</v>
      </c>
    </row>
    <row r="731" spans="1:5" x14ac:dyDescent="0.3">
      <c r="A731">
        <v>10523</v>
      </c>
      <c r="B731">
        <v>37</v>
      </c>
      <c r="C731">
        <v>26</v>
      </c>
      <c r="D731">
        <v>18</v>
      </c>
      <c r="E731">
        <v>1</v>
      </c>
    </row>
    <row r="732" spans="1:5" x14ac:dyDescent="0.3">
      <c r="A732">
        <v>10523</v>
      </c>
      <c r="B732">
        <v>41</v>
      </c>
      <c r="C732">
        <v>965</v>
      </c>
      <c r="D732">
        <v>6</v>
      </c>
      <c r="E732">
        <v>1</v>
      </c>
    </row>
    <row r="733" spans="1:5" x14ac:dyDescent="0.3">
      <c r="A733">
        <v>10524</v>
      </c>
      <c r="B733">
        <v>10</v>
      </c>
      <c r="C733">
        <v>31</v>
      </c>
      <c r="D733">
        <v>2</v>
      </c>
      <c r="E733">
        <v>0</v>
      </c>
    </row>
    <row r="734" spans="1:5" x14ac:dyDescent="0.3">
      <c r="A734">
        <v>10524</v>
      </c>
      <c r="B734">
        <v>30</v>
      </c>
      <c r="C734">
        <v>2589</v>
      </c>
      <c r="D734">
        <v>10</v>
      </c>
      <c r="E734">
        <v>0</v>
      </c>
    </row>
    <row r="735" spans="1:5" x14ac:dyDescent="0.3">
      <c r="A735">
        <v>10524</v>
      </c>
      <c r="B735">
        <v>43</v>
      </c>
      <c r="C735">
        <v>46</v>
      </c>
      <c r="D735">
        <v>60</v>
      </c>
      <c r="E735">
        <v>0</v>
      </c>
    </row>
    <row r="736" spans="1:5" x14ac:dyDescent="0.3">
      <c r="A736">
        <v>10524</v>
      </c>
      <c r="B736">
        <v>54</v>
      </c>
      <c r="C736">
        <v>745</v>
      </c>
      <c r="D736">
        <v>15</v>
      </c>
      <c r="E736">
        <v>0</v>
      </c>
    </row>
    <row r="737" spans="1:5" x14ac:dyDescent="0.3">
      <c r="A737">
        <v>10525</v>
      </c>
      <c r="B737">
        <v>36</v>
      </c>
      <c r="C737">
        <v>19</v>
      </c>
      <c r="D737">
        <v>30</v>
      </c>
      <c r="E737">
        <v>0</v>
      </c>
    </row>
    <row r="738" spans="1:5" x14ac:dyDescent="0.3">
      <c r="A738">
        <v>10525</v>
      </c>
      <c r="B738">
        <v>40</v>
      </c>
      <c r="C738">
        <v>184</v>
      </c>
      <c r="D738">
        <v>15</v>
      </c>
      <c r="E738">
        <v>1</v>
      </c>
    </row>
    <row r="739" spans="1:5" x14ac:dyDescent="0.3">
      <c r="A739">
        <v>10526</v>
      </c>
      <c r="B739">
        <v>1</v>
      </c>
      <c r="C739">
        <v>18</v>
      </c>
      <c r="D739">
        <v>8</v>
      </c>
      <c r="E739">
        <v>15</v>
      </c>
    </row>
    <row r="740" spans="1:5" x14ac:dyDescent="0.3">
      <c r="A740">
        <v>10526</v>
      </c>
      <c r="B740">
        <v>13</v>
      </c>
      <c r="C740">
        <v>6</v>
      </c>
      <c r="D740">
        <v>10</v>
      </c>
      <c r="E740">
        <v>0</v>
      </c>
    </row>
    <row r="741" spans="1:5" x14ac:dyDescent="0.3">
      <c r="A741">
        <v>10526</v>
      </c>
      <c r="B741">
        <v>56</v>
      </c>
      <c r="C741">
        <v>38</v>
      </c>
      <c r="D741">
        <v>30</v>
      </c>
      <c r="E741">
        <v>15</v>
      </c>
    </row>
    <row r="742" spans="1:5" x14ac:dyDescent="0.3">
      <c r="A742">
        <v>10527</v>
      </c>
      <c r="B742">
        <v>4</v>
      </c>
      <c r="C742">
        <v>22</v>
      </c>
      <c r="D742">
        <v>50</v>
      </c>
      <c r="E742">
        <v>1</v>
      </c>
    </row>
    <row r="743" spans="1:5" x14ac:dyDescent="0.3">
      <c r="A743">
        <v>10527</v>
      </c>
      <c r="B743">
        <v>36</v>
      </c>
      <c r="C743">
        <v>19</v>
      </c>
      <c r="D743">
        <v>30</v>
      </c>
      <c r="E743">
        <v>1</v>
      </c>
    </row>
    <row r="744" spans="1:5" x14ac:dyDescent="0.3">
      <c r="A744">
        <v>10528</v>
      </c>
      <c r="B744">
        <v>11</v>
      </c>
      <c r="C744">
        <v>21</v>
      </c>
      <c r="D744">
        <v>3</v>
      </c>
      <c r="E744">
        <v>0</v>
      </c>
    </row>
    <row r="745" spans="1:5" x14ac:dyDescent="0.3">
      <c r="A745">
        <v>10528</v>
      </c>
      <c r="B745">
        <v>33</v>
      </c>
      <c r="C745">
        <v>25</v>
      </c>
      <c r="D745">
        <v>8</v>
      </c>
      <c r="E745">
        <v>2</v>
      </c>
    </row>
    <row r="746" spans="1:5" x14ac:dyDescent="0.3">
      <c r="A746">
        <v>10528</v>
      </c>
      <c r="B746">
        <v>72</v>
      </c>
      <c r="C746">
        <v>348</v>
      </c>
      <c r="D746">
        <v>9</v>
      </c>
      <c r="E746">
        <v>0</v>
      </c>
    </row>
    <row r="747" spans="1:5" x14ac:dyDescent="0.3">
      <c r="A747">
        <v>10529</v>
      </c>
      <c r="B747">
        <v>55</v>
      </c>
      <c r="C747">
        <v>24</v>
      </c>
      <c r="D747">
        <v>14</v>
      </c>
      <c r="E747">
        <v>0</v>
      </c>
    </row>
    <row r="748" spans="1:5" x14ac:dyDescent="0.3">
      <c r="A748">
        <v>10529</v>
      </c>
      <c r="B748">
        <v>68</v>
      </c>
      <c r="C748">
        <v>125</v>
      </c>
      <c r="D748">
        <v>20</v>
      </c>
      <c r="E748">
        <v>0</v>
      </c>
    </row>
    <row r="749" spans="1:5" x14ac:dyDescent="0.3">
      <c r="A749">
        <v>10529</v>
      </c>
      <c r="B749">
        <v>69</v>
      </c>
      <c r="C749">
        <v>36</v>
      </c>
      <c r="D749">
        <v>10</v>
      </c>
      <c r="E749">
        <v>0</v>
      </c>
    </row>
    <row r="750" spans="1:5" x14ac:dyDescent="0.3">
      <c r="A750">
        <v>10530</v>
      </c>
      <c r="B750">
        <v>17</v>
      </c>
      <c r="C750">
        <v>39</v>
      </c>
      <c r="D750">
        <v>40</v>
      </c>
      <c r="E750">
        <v>0</v>
      </c>
    </row>
    <row r="751" spans="1:5" x14ac:dyDescent="0.3">
      <c r="A751">
        <v>10530</v>
      </c>
      <c r="B751">
        <v>43</v>
      </c>
      <c r="C751">
        <v>46</v>
      </c>
      <c r="D751">
        <v>25</v>
      </c>
      <c r="E751">
        <v>0</v>
      </c>
    </row>
    <row r="752" spans="1:5" x14ac:dyDescent="0.3">
      <c r="A752">
        <v>10530</v>
      </c>
      <c r="B752">
        <v>61</v>
      </c>
      <c r="C752">
        <v>285</v>
      </c>
      <c r="D752">
        <v>20</v>
      </c>
      <c r="E752">
        <v>0</v>
      </c>
    </row>
    <row r="753" spans="1:5" x14ac:dyDescent="0.3">
      <c r="A753">
        <v>10530</v>
      </c>
      <c r="B753">
        <v>76</v>
      </c>
      <c r="C753">
        <v>18</v>
      </c>
      <c r="D753">
        <v>50</v>
      </c>
      <c r="E753">
        <v>0</v>
      </c>
    </row>
    <row r="754" spans="1:5" x14ac:dyDescent="0.3">
      <c r="A754">
        <v>10531</v>
      </c>
      <c r="B754">
        <v>59</v>
      </c>
      <c r="C754">
        <v>55</v>
      </c>
      <c r="D754">
        <v>2</v>
      </c>
      <c r="E754">
        <v>0</v>
      </c>
    </row>
    <row r="755" spans="1:5" x14ac:dyDescent="0.3">
      <c r="A755">
        <v>10532</v>
      </c>
      <c r="B755">
        <v>30</v>
      </c>
      <c r="C755">
        <v>2589</v>
      </c>
      <c r="D755">
        <v>15</v>
      </c>
      <c r="E755">
        <v>0</v>
      </c>
    </row>
    <row r="756" spans="1:5" x14ac:dyDescent="0.3">
      <c r="A756">
        <v>10532</v>
      </c>
      <c r="B756">
        <v>66</v>
      </c>
      <c r="C756">
        <v>17</v>
      </c>
      <c r="D756">
        <v>24</v>
      </c>
      <c r="E756">
        <v>0</v>
      </c>
    </row>
    <row r="757" spans="1:5" x14ac:dyDescent="0.3">
      <c r="A757">
        <v>10533</v>
      </c>
      <c r="B757">
        <v>4</v>
      </c>
      <c r="C757">
        <v>22</v>
      </c>
      <c r="D757">
        <v>50</v>
      </c>
      <c r="E757">
        <v>5</v>
      </c>
    </row>
    <row r="758" spans="1:5" x14ac:dyDescent="0.3">
      <c r="A758">
        <v>10533</v>
      </c>
      <c r="B758">
        <v>72</v>
      </c>
      <c r="C758">
        <v>348</v>
      </c>
      <c r="D758">
        <v>24</v>
      </c>
      <c r="E758">
        <v>0</v>
      </c>
    </row>
    <row r="759" spans="1:5" x14ac:dyDescent="0.3">
      <c r="A759">
        <v>10533</v>
      </c>
      <c r="B759">
        <v>73</v>
      </c>
      <c r="C759">
        <v>15</v>
      </c>
      <c r="D759">
        <v>24</v>
      </c>
      <c r="E759">
        <v>5</v>
      </c>
    </row>
    <row r="760" spans="1:5" x14ac:dyDescent="0.3">
      <c r="A760">
        <v>10534</v>
      </c>
      <c r="B760">
        <v>30</v>
      </c>
      <c r="C760">
        <v>2589</v>
      </c>
      <c r="D760">
        <v>10</v>
      </c>
      <c r="E760">
        <v>0</v>
      </c>
    </row>
    <row r="761" spans="1:5" x14ac:dyDescent="0.3">
      <c r="A761">
        <v>10534</v>
      </c>
      <c r="B761">
        <v>40</v>
      </c>
      <c r="C761">
        <v>184</v>
      </c>
      <c r="D761">
        <v>10</v>
      </c>
      <c r="E761">
        <v>2</v>
      </c>
    </row>
    <row r="762" spans="1:5" x14ac:dyDescent="0.3">
      <c r="A762">
        <v>10534</v>
      </c>
      <c r="B762">
        <v>54</v>
      </c>
      <c r="C762">
        <v>745</v>
      </c>
      <c r="D762">
        <v>10</v>
      </c>
      <c r="E762">
        <v>2</v>
      </c>
    </row>
    <row r="763" spans="1:5" x14ac:dyDescent="0.3">
      <c r="A763">
        <v>10535</v>
      </c>
      <c r="B763">
        <v>11</v>
      </c>
      <c r="C763">
        <v>21</v>
      </c>
      <c r="D763">
        <v>50</v>
      </c>
      <c r="E763">
        <v>1</v>
      </c>
    </row>
    <row r="764" spans="1:5" x14ac:dyDescent="0.3">
      <c r="A764">
        <v>10535</v>
      </c>
      <c r="B764">
        <v>40</v>
      </c>
      <c r="C764">
        <v>184</v>
      </c>
      <c r="D764">
        <v>10</v>
      </c>
      <c r="E764">
        <v>1</v>
      </c>
    </row>
    <row r="765" spans="1:5" x14ac:dyDescent="0.3">
      <c r="A765">
        <v>10535</v>
      </c>
      <c r="B765">
        <v>57</v>
      </c>
      <c r="C765">
        <v>195</v>
      </c>
      <c r="D765">
        <v>5</v>
      </c>
      <c r="E765">
        <v>1</v>
      </c>
    </row>
    <row r="766" spans="1:5" x14ac:dyDescent="0.3">
      <c r="A766">
        <v>10535</v>
      </c>
      <c r="B766">
        <v>59</v>
      </c>
      <c r="C766">
        <v>55</v>
      </c>
      <c r="D766">
        <v>15</v>
      </c>
      <c r="E766">
        <v>1</v>
      </c>
    </row>
    <row r="767" spans="1:5" x14ac:dyDescent="0.3">
      <c r="A767">
        <v>10536</v>
      </c>
      <c r="B767">
        <v>12</v>
      </c>
      <c r="C767">
        <v>38</v>
      </c>
      <c r="D767">
        <v>15</v>
      </c>
      <c r="E767">
        <v>25</v>
      </c>
    </row>
    <row r="768" spans="1:5" x14ac:dyDescent="0.3">
      <c r="A768">
        <v>10536</v>
      </c>
      <c r="B768">
        <v>31</v>
      </c>
      <c r="C768">
        <v>125</v>
      </c>
      <c r="D768">
        <v>20</v>
      </c>
      <c r="E768">
        <v>0</v>
      </c>
    </row>
    <row r="769" spans="1:5" x14ac:dyDescent="0.3">
      <c r="A769">
        <v>10536</v>
      </c>
      <c r="B769">
        <v>33</v>
      </c>
      <c r="C769">
        <v>25</v>
      </c>
      <c r="D769">
        <v>30</v>
      </c>
      <c r="E769">
        <v>0</v>
      </c>
    </row>
    <row r="770" spans="1:5" x14ac:dyDescent="0.3">
      <c r="A770">
        <v>10536</v>
      </c>
      <c r="B770">
        <v>60</v>
      </c>
      <c r="C770">
        <v>34</v>
      </c>
      <c r="D770">
        <v>35</v>
      </c>
      <c r="E770">
        <v>25</v>
      </c>
    </row>
    <row r="771" spans="1:5" x14ac:dyDescent="0.3">
      <c r="A771">
        <v>10537</v>
      </c>
      <c r="B771">
        <v>31</v>
      </c>
      <c r="C771">
        <v>125</v>
      </c>
      <c r="D771">
        <v>30</v>
      </c>
      <c r="E771">
        <v>0</v>
      </c>
    </row>
    <row r="772" spans="1:5" x14ac:dyDescent="0.3">
      <c r="A772">
        <v>10537</v>
      </c>
      <c r="B772">
        <v>51</v>
      </c>
      <c r="C772">
        <v>53</v>
      </c>
      <c r="D772">
        <v>6</v>
      </c>
      <c r="E772">
        <v>0</v>
      </c>
    </row>
    <row r="773" spans="1:5" x14ac:dyDescent="0.3">
      <c r="A773">
        <v>10537</v>
      </c>
      <c r="B773">
        <v>58</v>
      </c>
      <c r="C773">
        <v>1325</v>
      </c>
      <c r="D773">
        <v>20</v>
      </c>
      <c r="E773">
        <v>0</v>
      </c>
    </row>
    <row r="774" spans="1:5" x14ac:dyDescent="0.3">
      <c r="A774">
        <v>10537</v>
      </c>
      <c r="B774">
        <v>72</v>
      </c>
      <c r="C774">
        <v>348</v>
      </c>
      <c r="D774">
        <v>21</v>
      </c>
      <c r="E774">
        <v>0</v>
      </c>
    </row>
    <row r="775" spans="1:5" x14ac:dyDescent="0.3">
      <c r="A775">
        <v>10537</v>
      </c>
      <c r="B775">
        <v>73</v>
      </c>
      <c r="C775">
        <v>15</v>
      </c>
      <c r="D775">
        <v>9</v>
      </c>
      <c r="E775">
        <v>0</v>
      </c>
    </row>
    <row r="776" spans="1:5" x14ac:dyDescent="0.3">
      <c r="A776">
        <v>10538</v>
      </c>
      <c r="B776">
        <v>70</v>
      </c>
      <c r="C776">
        <v>15</v>
      </c>
      <c r="D776">
        <v>7</v>
      </c>
      <c r="E776">
        <v>0</v>
      </c>
    </row>
    <row r="777" spans="1:5" x14ac:dyDescent="0.3">
      <c r="A777">
        <v>10538</v>
      </c>
      <c r="B777">
        <v>72</v>
      </c>
      <c r="C777">
        <v>348</v>
      </c>
      <c r="D777">
        <v>1</v>
      </c>
      <c r="E777">
        <v>0</v>
      </c>
    </row>
    <row r="778" spans="1:5" x14ac:dyDescent="0.3">
      <c r="A778">
        <v>10539</v>
      </c>
      <c r="B778">
        <v>13</v>
      </c>
      <c r="C778">
        <v>6</v>
      </c>
      <c r="D778">
        <v>8</v>
      </c>
      <c r="E778">
        <v>0</v>
      </c>
    </row>
    <row r="779" spans="1:5" x14ac:dyDescent="0.3">
      <c r="A779">
        <v>10539</v>
      </c>
      <c r="B779">
        <v>21</v>
      </c>
      <c r="C779">
        <v>10</v>
      </c>
      <c r="D779">
        <v>15</v>
      </c>
      <c r="E779">
        <v>0</v>
      </c>
    </row>
    <row r="780" spans="1:5" x14ac:dyDescent="0.3">
      <c r="A780">
        <v>10539</v>
      </c>
      <c r="B780">
        <v>33</v>
      </c>
      <c r="C780">
        <v>25</v>
      </c>
      <c r="D780">
        <v>15</v>
      </c>
      <c r="E780">
        <v>0</v>
      </c>
    </row>
    <row r="781" spans="1:5" x14ac:dyDescent="0.3">
      <c r="A781">
        <v>10539</v>
      </c>
      <c r="B781">
        <v>49</v>
      </c>
      <c r="C781">
        <v>20</v>
      </c>
      <c r="D781">
        <v>6</v>
      </c>
      <c r="E781">
        <v>0</v>
      </c>
    </row>
    <row r="782" spans="1:5" x14ac:dyDescent="0.3">
      <c r="A782">
        <v>10540</v>
      </c>
      <c r="B782">
        <v>3</v>
      </c>
      <c r="C782">
        <v>10</v>
      </c>
      <c r="D782">
        <v>60</v>
      </c>
      <c r="E782">
        <v>0</v>
      </c>
    </row>
    <row r="783" spans="1:5" x14ac:dyDescent="0.3">
      <c r="A783">
        <v>10540</v>
      </c>
      <c r="B783">
        <v>26</v>
      </c>
      <c r="C783">
        <v>3123</v>
      </c>
      <c r="D783">
        <v>40</v>
      </c>
      <c r="E783">
        <v>0</v>
      </c>
    </row>
    <row r="784" spans="1:5" x14ac:dyDescent="0.3">
      <c r="A784">
        <v>10540</v>
      </c>
      <c r="B784">
        <v>38</v>
      </c>
      <c r="C784">
        <v>2635</v>
      </c>
      <c r="D784">
        <v>30</v>
      </c>
      <c r="E784">
        <v>0</v>
      </c>
    </row>
    <row r="785" spans="1:5" x14ac:dyDescent="0.3">
      <c r="A785">
        <v>10540</v>
      </c>
      <c r="B785">
        <v>68</v>
      </c>
      <c r="C785">
        <v>125</v>
      </c>
      <c r="D785">
        <v>35</v>
      </c>
      <c r="E785">
        <v>0</v>
      </c>
    </row>
    <row r="786" spans="1:5" x14ac:dyDescent="0.3">
      <c r="A786">
        <v>10541</v>
      </c>
      <c r="B786">
        <v>24</v>
      </c>
      <c r="C786">
        <v>45</v>
      </c>
      <c r="D786">
        <v>35</v>
      </c>
      <c r="E786">
        <v>1</v>
      </c>
    </row>
    <row r="787" spans="1:5" x14ac:dyDescent="0.3">
      <c r="A787">
        <v>10541</v>
      </c>
      <c r="B787">
        <v>38</v>
      </c>
      <c r="C787">
        <v>2635</v>
      </c>
      <c r="D787">
        <v>4</v>
      </c>
      <c r="E787">
        <v>1</v>
      </c>
    </row>
    <row r="788" spans="1:5" x14ac:dyDescent="0.3">
      <c r="A788">
        <v>10541</v>
      </c>
      <c r="B788">
        <v>65</v>
      </c>
      <c r="C788">
        <v>2105</v>
      </c>
      <c r="D788">
        <v>36</v>
      </c>
      <c r="E788">
        <v>1</v>
      </c>
    </row>
    <row r="789" spans="1:5" x14ac:dyDescent="0.3">
      <c r="A789">
        <v>10541</v>
      </c>
      <c r="B789">
        <v>71</v>
      </c>
      <c r="C789">
        <v>215</v>
      </c>
      <c r="D789">
        <v>9</v>
      </c>
      <c r="E789">
        <v>1</v>
      </c>
    </row>
    <row r="790" spans="1:5" x14ac:dyDescent="0.3">
      <c r="A790">
        <v>10542</v>
      </c>
      <c r="B790">
        <v>11</v>
      </c>
      <c r="C790">
        <v>21</v>
      </c>
      <c r="D790">
        <v>15</v>
      </c>
      <c r="E790">
        <v>5</v>
      </c>
    </row>
    <row r="791" spans="1:5" x14ac:dyDescent="0.3">
      <c r="A791">
        <v>10542</v>
      </c>
      <c r="B791">
        <v>54</v>
      </c>
      <c r="C791">
        <v>745</v>
      </c>
      <c r="D791">
        <v>24</v>
      </c>
      <c r="E791">
        <v>5</v>
      </c>
    </row>
    <row r="792" spans="1:5" x14ac:dyDescent="0.3">
      <c r="A792">
        <v>10543</v>
      </c>
      <c r="B792">
        <v>12</v>
      </c>
      <c r="C792">
        <v>38</v>
      </c>
      <c r="D792">
        <v>30</v>
      </c>
      <c r="E792">
        <v>15</v>
      </c>
    </row>
    <row r="793" spans="1:5" x14ac:dyDescent="0.3">
      <c r="A793">
        <v>10543</v>
      </c>
      <c r="B793">
        <v>23</v>
      </c>
      <c r="C793">
        <v>9</v>
      </c>
      <c r="D793">
        <v>70</v>
      </c>
      <c r="E793">
        <v>15</v>
      </c>
    </row>
    <row r="794" spans="1:5" x14ac:dyDescent="0.3">
      <c r="A794">
        <v>10544</v>
      </c>
      <c r="B794">
        <v>28</v>
      </c>
      <c r="C794">
        <v>456</v>
      </c>
      <c r="D794">
        <v>7</v>
      </c>
      <c r="E794">
        <v>0</v>
      </c>
    </row>
    <row r="795" spans="1:5" x14ac:dyDescent="0.3">
      <c r="A795">
        <v>10544</v>
      </c>
      <c r="B795">
        <v>67</v>
      </c>
      <c r="C795">
        <v>14</v>
      </c>
      <c r="D795">
        <v>7</v>
      </c>
      <c r="E795">
        <v>0</v>
      </c>
    </row>
    <row r="796" spans="1:5" x14ac:dyDescent="0.3">
      <c r="A796">
        <v>10545</v>
      </c>
      <c r="B796">
        <v>11</v>
      </c>
      <c r="C796">
        <v>21</v>
      </c>
      <c r="D796">
        <v>10</v>
      </c>
      <c r="E796">
        <v>0</v>
      </c>
    </row>
    <row r="797" spans="1:5" x14ac:dyDescent="0.3">
      <c r="A797">
        <v>10546</v>
      </c>
      <c r="B797">
        <v>7</v>
      </c>
      <c r="C797">
        <v>30</v>
      </c>
      <c r="D797">
        <v>10</v>
      </c>
      <c r="E797">
        <v>0</v>
      </c>
    </row>
    <row r="798" spans="1:5" x14ac:dyDescent="0.3">
      <c r="A798">
        <v>10546</v>
      </c>
      <c r="B798">
        <v>35</v>
      </c>
      <c r="C798">
        <v>18</v>
      </c>
      <c r="D798">
        <v>30</v>
      </c>
      <c r="E798">
        <v>0</v>
      </c>
    </row>
    <row r="799" spans="1:5" x14ac:dyDescent="0.3">
      <c r="A799">
        <v>10546</v>
      </c>
      <c r="B799">
        <v>62</v>
      </c>
      <c r="C799">
        <v>493</v>
      </c>
      <c r="D799">
        <v>40</v>
      </c>
      <c r="E799">
        <v>0</v>
      </c>
    </row>
    <row r="800" spans="1:5" x14ac:dyDescent="0.3">
      <c r="A800">
        <v>10547</v>
      </c>
      <c r="B800">
        <v>32</v>
      </c>
      <c r="C800">
        <v>32</v>
      </c>
      <c r="D800">
        <v>24</v>
      </c>
      <c r="E800">
        <v>15</v>
      </c>
    </row>
    <row r="801" spans="1:5" x14ac:dyDescent="0.3">
      <c r="A801">
        <v>10547</v>
      </c>
      <c r="B801">
        <v>36</v>
      </c>
      <c r="C801">
        <v>19</v>
      </c>
      <c r="D801">
        <v>60</v>
      </c>
      <c r="E801">
        <v>0</v>
      </c>
    </row>
    <row r="802" spans="1:5" x14ac:dyDescent="0.3">
      <c r="A802">
        <v>10548</v>
      </c>
      <c r="B802">
        <v>34</v>
      </c>
      <c r="C802">
        <v>14</v>
      </c>
      <c r="D802">
        <v>10</v>
      </c>
      <c r="E802">
        <v>25</v>
      </c>
    </row>
    <row r="803" spans="1:5" x14ac:dyDescent="0.3">
      <c r="A803">
        <v>10548</v>
      </c>
      <c r="B803">
        <v>41</v>
      </c>
      <c r="C803">
        <v>965</v>
      </c>
      <c r="D803">
        <v>14</v>
      </c>
      <c r="E803">
        <v>0</v>
      </c>
    </row>
    <row r="804" spans="1:5" x14ac:dyDescent="0.3">
      <c r="A804">
        <v>10549</v>
      </c>
      <c r="B804">
        <v>31</v>
      </c>
      <c r="C804">
        <v>125</v>
      </c>
      <c r="D804">
        <v>55</v>
      </c>
      <c r="E804">
        <v>15</v>
      </c>
    </row>
    <row r="805" spans="1:5" x14ac:dyDescent="0.3">
      <c r="A805">
        <v>10549</v>
      </c>
      <c r="B805">
        <v>45</v>
      </c>
      <c r="C805">
        <v>95</v>
      </c>
      <c r="D805">
        <v>100</v>
      </c>
      <c r="E805">
        <v>15</v>
      </c>
    </row>
    <row r="806" spans="1:5" x14ac:dyDescent="0.3">
      <c r="A806">
        <v>10549</v>
      </c>
      <c r="B806">
        <v>51</v>
      </c>
      <c r="C806">
        <v>53</v>
      </c>
      <c r="D806">
        <v>48</v>
      </c>
      <c r="E806">
        <v>15</v>
      </c>
    </row>
    <row r="807" spans="1:5" x14ac:dyDescent="0.3">
      <c r="A807">
        <v>10550</v>
      </c>
      <c r="B807">
        <v>17</v>
      </c>
      <c r="C807">
        <v>39</v>
      </c>
      <c r="D807">
        <v>8</v>
      </c>
      <c r="E807">
        <v>1</v>
      </c>
    </row>
    <row r="808" spans="1:5" x14ac:dyDescent="0.3">
      <c r="A808">
        <v>10550</v>
      </c>
      <c r="B808">
        <v>19</v>
      </c>
      <c r="C808">
        <v>92</v>
      </c>
      <c r="D808">
        <v>10</v>
      </c>
      <c r="E808">
        <v>0</v>
      </c>
    </row>
    <row r="809" spans="1:5" x14ac:dyDescent="0.3">
      <c r="A809">
        <v>10550</v>
      </c>
      <c r="B809">
        <v>21</v>
      </c>
      <c r="C809">
        <v>10</v>
      </c>
      <c r="D809">
        <v>6</v>
      </c>
      <c r="E809">
        <v>1</v>
      </c>
    </row>
    <row r="810" spans="1:5" x14ac:dyDescent="0.3">
      <c r="A810">
        <v>10550</v>
      </c>
      <c r="B810">
        <v>61</v>
      </c>
      <c r="C810">
        <v>285</v>
      </c>
      <c r="D810">
        <v>10</v>
      </c>
      <c r="E810">
        <v>1</v>
      </c>
    </row>
    <row r="811" spans="1:5" x14ac:dyDescent="0.3">
      <c r="A811">
        <v>10551</v>
      </c>
      <c r="B811">
        <v>16</v>
      </c>
      <c r="C811">
        <v>1745</v>
      </c>
      <c r="D811">
        <v>40</v>
      </c>
      <c r="E811">
        <v>15</v>
      </c>
    </row>
    <row r="812" spans="1:5" x14ac:dyDescent="0.3">
      <c r="A812">
        <v>10551</v>
      </c>
      <c r="B812">
        <v>35</v>
      </c>
      <c r="C812">
        <v>18</v>
      </c>
      <c r="D812">
        <v>20</v>
      </c>
      <c r="E812">
        <v>15</v>
      </c>
    </row>
    <row r="813" spans="1:5" x14ac:dyDescent="0.3">
      <c r="A813">
        <v>10551</v>
      </c>
      <c r="B813">
        <v>44</v>
      </c>
      <c r="C813">
        <v>1945</v>
      </c>
      <c r="D813">
        <v>40</v>
      </c>
      <c r="E813">
        <v>0</v>
      </c>
    </row>
    <row r="814" spans="1:5" x14ac:dyDescent="0.3">
      <c r="A814">
        <v>10552</v>
      </c>
      <c r="B814">
        <v>69</v>
      </c>
      <c r="C814">
        <v>36</v>
      </c>
      <c r="D814">
        <v>18</v>
      </c>
      <c r="E814">
        <v>0</v>
      </c>
    </row>
    <row r="815" spans="1:5" x14ac:dyDescent="0.3">
      <c r="A815">
        <v>10552</v>
      </c>
      <c r="B815">
        <v>75</v>
      </c>
      <c r="C815">
        <v>775</v>
      </c>
      <c r="D815">
        <v>30</v>
      </c>
      <c r="E815">
        <v>0</v>
      </c>
    </row>
    <row r="816" spans="1:5" x14ac:dyDescent="0.3">
      <c r="A816">
        <v>10553</v>
      </c>
      <c r="B816">
        <v>11</v>
      </c>
      <c r="C816">
        <v>21</v>
      </c>
      <c r="D816">
        <v>15</v>
      </c>
      <c r="E816">
        <v>0</v>
      </c>
    </row>
    <row r="817" spans="1:5" x14ac:dyDescent="0.3">
      <c r="A817">
        <v>10553</v>
      </c>
      <c r="B817">
        <v>16</v>
      </c>
      <c r="C817">
        <v>1745</v>
      </c>
      <c r="D817">
        <v>14</v>
      </c>
      <c r="E817">
        <v>0</v>
      </c>
    </row>
    <row r="818" spans="1:5" x14ac:dyDescent="0.3">
      <c r="A818">
        <v>10553</v>
      </c>
      <c r="B818">
        <v>22</v>
      </c>
      <c r="C818">
        <v>21</v>
      </c>
      <c r="D818">
        <v>24</v>
      </c>
      <c r="E818">
        <v>0</v>
      </c>
    </row>
    <row r="819" spans="1:5" x14ac:dyDescent="0.3">
      <c r="A819">
        <v>10553</v>
      </c>
      <c r="B819">
        <v>31</v>
      </c>
      <c r="C819">
        <v>125</v>
      </c>
      <c r="D819">
        <v>30</v>
      </c>
      <c r="E819">
        <v>0</v>
      </c>
    </row>
    <row r="820" spans="1:5" x14ac:dyDescent="0.3">
      <c r="A820">
        <v>10553</v>
      </c>
      <c r="B820">
        <v>35</v>
      </c>
      <c r="C820">
        <v>18</v>
      </c>
      <c r="D820">
        <v>6</v>
      </c>
      <c r="E820">
        <v>0</v>
      </c>
    </row>
    <row r="821" spans="1:5" x14ac:dyDescent="0.3">
      <c r="A821">
        <v>10554</v>
      </c>
      <c r="B821">
        <v>16</v>
      </c>
      <c r="C821">
        <v>1745</v>
      </c>
      <c r="D821">
        <v>30</v>
      </c>
      <c r="E821">
        <v>5</v>
      </c>
    </row>
    <row r="822" spans="1:5" x14ac:dyDescent="0.3">
      <c r="A822">
        <v>10554</v>
      </c>
      <c r="B822">
        <v>23</v>
      </c>
      <c r="C822">
        <v>9</v>
      </c>
      <c r="D822">
        <v>20</v>
      </c>
      <c r="E822">
        <v>5</v>
      </c>
    </row>
    <row r="823" spans="1:5" x14ac:dyDescent="0.3">
      <c r="A823">
        <v>10554</v>
      </c>
      <c r="B823">
        <v>62</v>
      </c>
      <c r="C823">
        <v>493</v>
      </c>
      <c r="D823">
        <v>20</v>
      </c>
      <c r="E823">
        <v>5</v>
      </c>
    </row>
    <row r="824" spans="1:5" x14ac:dyDescent="0.3">
      <c r="A824">
        <v>10554</v>
      </c>
      <c r="B824">
        <v>77</v>
      </c>
      <c r="C824">
        <v>13</v>
      </c>
      <c r="D824">
        <v>10</v>
      </c>
      <c r="E824">
        <v>5</v>
      </c>
    </row>
    <row r="825" spans="1:5" x14ac:dyDescent="0.3">
      <c r="A825">
        <v>10555</v>
      </c>
      <c r="B825">
        <v>14</v>
      </c>
      <c r="C825">
        <v>2325</v>
      </c>
      <c r="D825">
        <v>30</v>
      </c>
      <c r="E825">
        <v>2</v>
      </c>
    </row>
    <row r="826" spans="1:5" x14ac:dyDescent="0.3">
      <c r="A826">
        <v>10555</v>
      </c>
      <c r="B826">
        <v>19</v>
      </c>
      <c r="C826">
        <v>92</v>
      </c>
      <c r="D826">
        <v>35</v>
      </c>
      <c r="E826">
        <v>2</v>
      </c>
    </row>
    <row r="827" spans="1:5" x14ac:dyDescent="0.3">
      <c r="A827">
        <v>10555</v>
      </c>
      <c r="B827">
        <v>24</v>
      </c>
      <c r="C827">
        <v>45</v>
      </c>
      <c r="D827">
        <v>18</v>
      </c>
      <c r="E827">
        <v>2</v>
      </c>
    </row>
    <row r="828" spans="1:5" x14ac:dyDescent="0.3">
      <c r="A828">
        <v>10555</v>
      </c>
      <c r="B828">
        <v>51</v>
      </c>
      <c r="C828">
        <v>53</v>
      </c>
      <c r="D828">
        <v>20</v>
      </c>
      <c r="E828">
        <v>2</v>
      </c>
    </row>
    <row r="829" spans="1:5" x14ac:dyDescent="0.3">
      <c r="A829">
        <v>10555</v>
      </c>
      <c r="B829">
        <v>56</v>
      </c>
      <c r="C829">
        <v>38</v>
      </c>
      <c r="D829">
        <v>40</v>
      </c>
      <c r="E829">
        <v>2</v>
      </c>
    </row>
    <row r="830" spans="1:5" x14ac:dyDescent="0.3">
      <c r="A830">
        <v>10556</v>
      </c>
      <c r="B830">
        <v>72</v>
      </c>
      <c r="C830">
        <v>348</v>
      </c>
      <c r="D830">
        <v>24</v>
      </c>
      <c r="E830">
        <v>0</v>
      </c>
    </row>
    <row r="831" spans="1:5" x14ac:dyDescent="0.3">
      <c r="A831">
        <v>10557</v>
      </c>
      <c r="B831">
        <v>64</v>
      </c>
      <c r="C831">
        <v>3325</v>
      </c>
      <c r="D831">
        <v>30</v>
      </c>
      <c r="E831">
        <v>0</v>
      </c>
    </row>
    <row r="832" spans="1:5" x14ac:dyDescent="0.3">
      <c r="A832">
        <v>10557</v>
      </c>
      <c r="B832">
        <v>75</v>
      </c>
      <c r="C832">
        <v>775</v>
      </c>
      <c r="D832">
        <v>20</v>
      </c>
      <c r="E832">
        <v>0</v>
      </c>
    </row>
    <row r="833" spans="1:5" x14ac:dyDescent="0.3">
      <c r="A833">
        <v>10558</v>
      </c>
      <c r="B833">
        <v>47</v>
      </c>
      <c r="C833">
        <v>95</v>
      </c>
      <c r="D833">
        <v>25</v>
      </c>
      <c r="E833">
        <v>0</v>
      </c>
    </row>
    <row r="834" spans="1:5" x14ac:dyDescent="0.3">
      <c r="A834">
        <v>10558</v>
      </c>
      <c r="B834">
        <v>51</v>
      </c>
      <c r="C834">
        <v>53</v>
      </c>
      <c r="D834">
        <v>20</v>
      </c>
      <c r="E834">
        <v>0</v>
      </c>
    </row>
    <row r="835" spans="1:5" x14ac:dyDescent="0.3">
      <c r="A835">
        <v>10558</v>
      </c>
      <c r="B835">
        <v>52</v>
      </c>
      <c r="C835">
        <v>7</v>
      </c>
      <c r="D835">
        <v>30</v>
      </c>
      <c r="E835">
        <v>0</v>
      </c>
    </row>
    <row r="836" spans="1:5" x14ac:dyDescent="0.3">
      <c r="A836">
        <v>10558</v>
      </c>
      <c r="B836">
        <v>53</v>
      </c>
      <c r="C836">
        <v>328</v>
      </c>
      <c r="D836">
        <v>18</v>
      </c>
      <c r="E836">
        <v>0</v>
      </c>
    </row>
    <row r="837" spans="1:5" x14ac:dyDescent="0.3">
      <c r="A837">
        <v>10558</v>
      </c>
      <c r="B837">
        <v>73</v>
      </c>
      <c r="C837">
        <v>15</v>
      </c>
      <c r="D837">
        <v>3</v>
      </c>
      <c r="E837">
        <v>0</v>
      </c>
    </row>
    <row r="838" spans="1:5" x14ac:dyDescent="0.3">
      <c r="A838">
        <v>10559</v>
      </c>
      <c r="B838">
        <v>41</v>
      </c>
      <c r="C838">
        <v>965</v>
      </c>
      <c r="D838">
        <v>12</v>
      </c>
      <c r="E838">
        <v>5</v>
      </c>
    </row>
    <row r="839" spans="1:5" x14ac:dyDescent="0.3">
      <c r="A839">
        <v>10559</v>
      </c>
      <c r="B839">
        <v>55</v>
      </c>
      <c r="C839">
        <v>24</v>
      </c>
      <c r="D839">
        <v>18</v>
      </c>
      <c r="E839">
        <v>5</v>
      </c>
    </row>
    <row r="840" spans="1:5" x14ac:dyDescent="0.3">
      <c r="A840">
        <v>10560</v>
      </c>
      <c r="B840">
        <v>30</v>
      </c>
      <c r="C840">
        <v>2589</v>
      </c>
      <c r="D840">
        <v>20</v>
      </c>
      <c r="E840">
        <v>0</v>
      </c>
    </row>
    <row r="841" spans="1:5" x14ac:dyDescent="0.3">
      <c r="A841">
        <v>10560</v>
      </c>
      <c r="B841">
        <v>62</v>
      </c>
      <c r="C841">
        <v>493</v>
      </c>
      <c r="D841">
        <v>15</v>
      </c>
      <c r="E841">
        <v>25</v>
      </c>
    </row>
    <row r="842" spans="1:5" x14ac:dyDescent="0.3">
      <c r="A842">
        <v>10561</v>
      </c>
      <c r="B842">
        <v>44</v>
      </c>
      <c r="C842">
        <v>1945</v>
      </c>
      <c r="D842">
        <v>10</v>
      </c>
      <c r="E842">
        <v>0</v>
      </c>
    </row>
    <row r="843" spans="1:5" x14ac:dyDescent="0.3">
      <c r="A843">
        <v>10561</v>
      </c>
      <c r="B843">
        <v>51</v>
      </c>
      <c r="C843">
        <v>53</v>
      </c>
      <c r="D843">
        <v>50</v>
      </c>
      <c r="E843">
        <v>0</v>
      </c>
    </row>
    <row r="844" spans="1:5" x14ac:dyDescent="0.3">
      <c r="A844">
        <v>10562</v>
      </c>
      <c r="B844">
        <v>33</v>
      </c>
      <c r="C844">
        <v>25</v>
      </c>
      <c r="D844">
        <v>20</v>
      </c>
      <c r="E844">
        <v>1</v>
      </c>
    </row>
    <row r="845" spans="1:5" x14ac:dyDescent="0.3">
      <c r="A845">
        <v>10562</v>
      </c>
      <c r="B845">
        <v>62</v>
      </c>
      <c r="C845">
        <v>493</v>
      </c>
      <c r="D845">
        <v>10</v>
      </c>
      <c r="E845">
        <v>1</v>
      </c>
    </row>
    <row r="846" spans="1:5" x14ac:dyDescent="0.3">
      <c r="A846">
        <v>10563</v>
      </c>
      <c r="B846">
        <v>36</v>
      </c>
      <c r="C846">
        <v>19</v>
      </c>
      <c r="D846">
        <v>25</v>
      </c>
      <c r="E846">
        <v>0</v>
      </c>
    </row>
    <row r="847" spans="1:5" x14ac:dyDescent="0.3">
      <c r="A847">
        <v>10563</v>
      </c>
      <c r="B847">
        <v>52</v>
      </c>
      <c r="C847">
        <v>7</v>
      </c>
      <c r="D847">
        <v>70</v>
      </c>
      <c r="E847">
        <v>0</v>
      </c>
    </row>
    <row r="848" spans="1:5" x14ac:dyDescent="0.3">
      <c r="A848">
        <v>10564</v>
      </c>
      <c r="B848">
        <v>17</v>
      </c>
      <c r="C848">
        <v>39</v>
      </c>
      <c r="D848">
        <v>16</v>
      </c>
      <c r="E848">
        <v>5</v>
      </c>
    </row>
    <row r="849" spans="1:5" x14ac:dyDescent="0.3">
      <c r="A849">
        <v>10564</v>
      </c>
      <c r="B849">
        <v>31</v>
      </c>
      <c r="C849">
        <v>125</v>
      </c>
      <c r="D849">
        <v>6</v>
      </c>
      <c r="E849">
        <v>5</v>
      </c>
    </row>
    <row r="850" spans="1:5" x14ac:dyDescent="0.3">
      <c r="A850">
        <v>10564</v>
      </c>
      <c r="B850">
        <v>55</v>
      </c>
      <c r="C850">
        <v>24</v>
      </c>
      <c r="D850">
        <v>25</v>
      </c>
      <c r="E850">
        <v>5</v>
      </c>
    </row>
    <row r="851" spans="1:5" x14ac:dyDescent="0.3">
      <c r="A851">
        <v>10565</v>
      </c>
      <c r="B851">
        <v>24</v>
      </c>
      <c r="C851">
        <v>45</v>
      </c>
      <c r="D851">
        <v>25</v>
      </c>
      <c r="E851">
        <v>1</v>
      </c>
    </row>
    <row r="852" spans="1:5" x14ac:dyDescent="0.3">
      <c r="A852">
        <v>10565</v>
      </c>
      <c r="B852">
        <v>64</v>
      </c>
      <c r="C852">
        <v>3325</v>
      </c>
      <c r="D852">
        <v>18</v>
      </c>
      <c r="E852">
        <v>1</v>
      </c>
    </row>
    <row r="853" spans="1:5" x14ac:dyDescent="0.3">
      <c r="A853">
        <v>10566</v>
      </c>
      <c r="B853">
        <v>11</v>
      </c>
      <c r="C853">
        <v>21</v>
      </c>
      <c r="D853">
        <v>35</v>
      </c>
      <c r="E853">
        <v>15</v>
      </c>
    </row>
    <row r="854" spans="1:5" x14ac:dyDescent="0.3">
      <c r="A854">
        <v>10566</v>
      </c>
      <c r="B854">
        <v>18</v>
      </c>
      <c r="C854">
        <v>625</v>
      </c>
      <c r="D854">
        <v>18</v>
      </c>
      <c r="E854">
        <v>15</v>
      </c>
    </row>
    <row r="855" spans="1:5" x14ac:dyDescent="0.3">
      <c r="A855">
        <v>10566</v>
      </c>
      <c r="B855">
        <v>76</v>
      </c>
      <c r="C855">
        <v>18</v>
      </c>
      <c r="D855">
        <v>10</v>
      </c>
      <c r="E855">
        <v>0</v>
      </c>
    </row>
    <row r="856" spans="1:5" x14ac:dyDescent="0.3">
      <c r="A856">
        <v>10567</v>
      </c>
      <c r="B856">
        <v>31</v>
      </c>
      <c r="C856">
        <v>125</v>
      </c>
      <c r="D856">
        <v>60</v>
      </c>
      <c r="E856">
        <v>2</v>
      </c>
    </row>
    <row r="857" spans="1:5" x14ac:dyDescent="0.3">
      <c r="A857">
        <v>10567</v>
      </c>
      <c r="B857">
        <v>51</v>
      </c>
      <c r="C857">
        <v>53</v>
      </c>
      <c r="D857">
        <v>3</v>
      </c>
      <c r="E857">
        <v>0</v>
      </c>
    </row>
    <row r="858" spans="1:5" x14ac:dyDescent="0.3">
      <c r="A858">
        <v>10567</v>
      </c>
      <c r="B858">
        <v>59</v>
      </c>
      <c r="C858">
        <v>55</v>
      </c>
      <c r="D858">
        <v>40</v>
      </c>
      <c r="E858">
        <v>2</v>
      </c>
    </row>
    <row r="859" spans="1:5" x14ac:dyDescent="0.3">
      <c r="A859">
        <v>10568</v>
      </c>
      <c r="B859">
        <v>10</v>
      </c>
      <c r="C859">
        <v>31</v>
      </c>
      <c r="D859">
        <v>5</v>
      </c>
      <c r="E859">
        <v>0</v>
      </c>
    </row>
    <row r="860" spans="1:5" x14ac:dyDescent="0.3">
      <c r="A860">
        <v>10569</v>
      </c>
      <c r="B860">
        <v>31</v>
      </c>
      <c r="C860">
        <v>125</v>
      </c>
      <c r="D860">
        <v>35</v>
      </c>
      <c r="E860">
        <v>2</v>
      </c>
    </row>
    <row r="861" spans="1:5" x14ac:dyDescent="0.3">
      <c r="A861">
        <v>10569</v>
      </c>
      <c r="B861">
        <v>76</v>
      </c>
      <c r="C861">
        <v>18</v>
      </c>
      <c r="D861">
        <v>30</v>
      </c>
      <c r="E861">
        <v>0</v>
      </c>
    </row>
    <row r="862" spans="1:5" x14ac:dyDescent="0.3">
      <c r="A862">
        <v>10570</v>
      </c>
      <c r="B862">
        <v>11</v>
      </c>
      <c r="C862">
        <v>21</v>
      </c>
      <c r="D862">
        <v>15</v>
      </c>
      <c r="E862">
        <v>5</v>
      </c>
    </row>
    <row r="863" spans="1:5" x14ac:dyDescent="0.3">
      <c r="A863">
        <v>10570</v>
      </c>
      <c r="B863">
        <v>56</v>
      </c>
      <c r="C863">
        <v>38</v>
      </c>
      <c r="D863">
        <v>60</v>
      </c>
      <c r="E863">
        <v>5</v>
      </c>
    </row>
    <row r="864" spans="1:5" x14ac:dyDescent="0.3">
      <c r="A864">
        <v>10571</v>
      </c>
      <c r="B864">
        <v>14</v>
      </c>
      <c r="C864">
        <v>2325</v>
      </c>
      <c r="D864">
        <v>11</v>
      </c>
      <c r="E864">
        <v>15</v>
      </c>
    </row>
    <row r="865" spans="1:5" x14ac:dyDescent="0.3">
      <c r="A865">
        <v>10571</v>
      </c>
      <c r="B865">
        <v>42</v>
      </c>
      <c r="C865">
        <v>14</v>
      </c>
      <c r="D865">
        <v>28</v>
      </c>
      <c r="E865">
        <v>15</v>
      </c>
    </row>
    <row r="866" spans="1:5" x14ac:dyDescent="0.3">
      <c r="A866">
        <v>10572</v>
      </c>
      <c r="B866">
        <v>16</v>
      </c>
      <c r="C866">
        <v>1745</v>
      </c>
      <c r="D866">
        <v>12</v>
      </c>
      <c r="E866">
        <v>1</v>
      </c>
    </row>
    <row r="867" spans="1:5" x14ac:dyDescent="0.3">
      <c r="A867">
        <v>10572</v>
      </c>
      <c r="B867">
        <v>32</v>
      </c>
      <c r="C867">
        <v>32</v>
      </c>
      <c r="D867">
        <v>10</v>
      </c>
      <c r="E867">
        <v>1</v>
      </c>
    </row>
    <row r="868" spans="1:5" x14ac:dyDescent="0.3">
      <c r="A868">
        <v>10572</v>
      </c>
      <c r="B868">
        <v>40</v>
      </c>
      <c r="C868">
        <v>184</v>
      </c>
      <c r="D868">
        <v>50</v>
      </c>
      <c r="E868">
        <v>0</v>
      </c>
    </row>
    <row r="869" spans="1:5" x14ac:dyDescent="0.3">
      <c r="A869">
        <v>10572</v>
      </c>
      <c r="B869">
        <v>75</v>
      </c>
      <c r="C869">
        <v>775</v>
      </c>
      <c r="D869">
        <v>15</v>
      </c>
      <c r="E869">
        <v>1</v>
      </c>
    </row>
    <row r="870" spans="1:5" x14ac:dyDescent="0.3">
      <c r="A870">
        <v>10573</v>
      </c>
      <c r="B870">
        <v>17</v>
      </c>
      <c r="C870">
        <v>39</v>
      </c>
      <c r="D870">
        <v>18</v>
      </c>
      <c r="E870">
        <v>0</v>
      </c>
    </row>
    <row r="871" spans="1:5" x14ac:dyDescent="0.3">
      <c r="A871">
        <v>10573</v>
      </c>
      <c r="B871">
        <v>34</v>
      </c>
      <c r="C871">
        <v>14</v>
      </c>
      <c r="D871">
        <v>40</v>
      </c>
      <c r="E871">
        <v>0</v>
      </c>
    </row>
    <row r="872" spans="1:5" x14ac:dyDescent="0.3">
      <c r="A872">
        <v>10573</v>
      </c>
      <c r="B872">
        <v>53</v>
      </c>
      <c r="C872">
        <v>328</v>
      </c>
      <c r="D872">
        <v>25</v>
      </c>
      <c r="E872">
        <v>0</v>
      </c>
    </row>
    <row r="873" spans="1:5" x14ac:dyDescent="0.3">
      <c r="A873">
        <v>10574</v>
      </c>
      <c r="B873">
        <v>33</v>
      </c>
      <c r="C873">
        <v>25</v>
      </c>
      <c r="D873">
        <v>14</v>
      </c>
      <c r="E873">
        <v>0</v>
      </c>
    </row>
    <row r="874" spans="1:5" x14ac:dyDescent="0.3">
      <c r="A874">
        <v>10574</v>
      </c>
      <c r="B874">
        <v>40</v>
      </c>
      <c r="C874">
        <v>184</v>
      </c>
      <c r="D874">
        <v>2</v>
      </c>
      <c r="E874">
        <v>0</v>
      </c>
    </row>
    <row r="875" spans="1:5" x14ac:dyDescent="0.3">
      <c r="A875">
        <v>10574</v>
      </c>
      <c r="B875">
        <v>62</v>
      </c>
      <c r="C875">
        <v>493</v>
      </c>
      <c r="D875">
        <v>10</v>
      </c>
      <c r="E875">
        <v>0</v>
      </c>
    </row>
    <row r="876" spans="1:5" x14ac:dyDescent="0.3">
      <c r="A876">
        <v>10574</v>
      </c>
      <c r="B876">
        <v>64</v>
      </c>
      <c r="C876">
        <v>3325</v>
      </c>
      <c r="D876">
        <v>6</v>
      </c>
      <c r="E876">
        <v>0</v>
      </c>
    </row>
    <row r="877" spans="1:5" x14ac:dyDescent="0.3">
      <c r="A877">
        <v>10575</v>
      </c>
      <c r="B877">
        <v>59</v>
      </c>
      <c r="C877">
        <v>55</v>
      </c>
      <c r="D877">
        <v>12</v>
      </c>
      <c r="E877">
        <v>0</v>
      </c>
    </row>
    <row r="878" spans="1:5" x14ac:dyDescent="0.3">
      <c r="A878">
        <v>10575</v>
      </c>
      <c r="B878">
        <v>63</v>
      </c>
      <c r="C878">
        <v>439</v>
      </c>
      <c r="D878">
        <v>6</v>
      </c>
      <c r="E878">
        <v>0</v>
      </c>
    </row>
    <row r="879" spans="1:5" x14ac:dyDescent="0.3">
      <c r="A879">
        <v>10575</v>
      </c>
      <c r="B879">
        <v>72</v>
      </c>
      <c r="C879">
        <v>348</v>
      </c>
      <c r="D879">
        <v>30</v>
      </c>
      <c r="E879">
        <v>0</v>
      </c>
    </row>
    <row r="880" spans="1:5" x14ac:dyDescent="0.3">
      <c r="A880">
        <v>10575</v>
      </c>
      <c r="B880">
        <v>76</v>
      </c>
      <c r="C880">
        <v>18</v>
      </c>
      <c r="D880">
        <v>10</v>
      </c>
      <c r="E880">
        <v>0</v>
      </c>
    </row>
    <row r="881" spans="1:5" x14ac:dyDescent="0.3">
      <c r="A881">
        <v>10576</v>
      </c>
      <c r="B881">
        <v>1</v>
      </c>
      <c r="C881">
        <v>18</v>
      </c>
      <c r="D881">
        <v>10</v>
      </c>
      <c r="E881">
        <v>0</v>
      </c>
    </row>
    <row r="882" spans="1:5" x14ac:dyDescent="0.3">
      <c r="A882">
        <v>10576</v>
      </c>
      <c r="B882">
        <v>31</v>
      </c>
      <c r="C882">
        <v>125</v>
      </c>
      <c r="D882">
        <v>20</v>
      </c>
      <c r="E882">
        <v>0</v>
      </c>
    </row>
    <row r="883" spans="1:5" x14ac:dyDescent="0.3">
      <c r="A883">
        <v>10576</v>
      </c>
      <c r="B883">
        <v>44</v>
      </c>
      <c r="C883">
        <v>1945</v>
      </c>
      <c r="D883">
        <v>21</v>
      </c>
      <c r="E883">
        <v>0</v>
      </c>
    </row>
    <row r="884" spans="1:5" x14ac:dyDescent="0.3">
      <c r="A884">
        <v>10577</v>
      </c>
      <c r="B884">
        <v>39</v>
      </c>
      <c r="C884">
        <v>18</v>
      </c>
      <c r="D884">
        <v>10</v>
      </c>
      <c r="E884">
        <v>0</v>
      </c>
    </row>
    <row r="885" spans="1:5" x14ac:dyDescent="0.3">
      <c r="A885">
        <v>10577</v>
      </c>
      <c r="B885">
        <v>75</v>
      </c>
      <c r="C885">
        <v>775</v>
      </c>
      <c r="D885">
        <v>20</v>
      </c>
      <c r="E885">
        <v>0</v>
      </c>
    </row>
    <row r="886" spans="1:5" x14ac:dyDescent="0.3">
      <c r="A886">
        <v>10577</v>
      </c>
      <c r="B886">
        <v>77</v>
      </c>
      <c r="C886">
        <v>13</v>
      </c>
      <c r="D886">
        <v>18</v>
      </c>
      <c r="E886">
        <v>0</v>
      </c>
    </row>
    <row r="887" spans="1:5" x14ac:dyDescent="0.3">
      <c r="A887">
        <v>10578</v>
      </c>
      <c r="B887">
        <v>35</v>
      </c>
      <c r="C887">
        <v>18</v>
      </c>
      <c r="D887">
        <v>20</v>
      </c>
      <c r="E887">
        <v>0</v>
      </c>
    </row>
    <row r="888" spans="1:5" x14ac:dyDescent="0.3">
      <c r="A888">
        <v>10578</v>
      </c>
      <c r="B888">
        <v>57</v>
      </c>
      <c r="C888">
        <v>195</v>
      </c>
      <c r="D888">
        <v>6</v>
      </c>
      <c r="E888">
        <v>0</v>
      </c>
    </row>
    <row r="889" spans="1:5" x14ac:dyDescent="0.3">
      <c r="A889">
        <v>10579</v>
      </c>
      <c r="B889">
        <v>15</v>
      </c>
      <c r="C889">
        <v>155</v>
      </c>
      <c r="D889">
        <v>10</v>
      </c>
      <c r="E889">
        <v>0</v>
      </c>
    </row>
    <row r="890" spans="1:5" x14ac:dyDescent="0.3">
      <c r="A890">
        <v>10579</v>
      </c>
      <c r="B890">
        <v>75</v>
      </c>
      <c r="C890">
        <v>775</v>
      </c>
      <c r="D890">
        <v>21</v>
      </c>
      <c r="E890">
        <v>0</v>
      </c>
    </row>
    <row r="891" spans="1:5" x14ac:dyDescent="0.3">
      <c r="A891">
        <v>10580</v>
      </c>
      <c r="B891">
        <v>14</v>
      </c>
      <c r="C891">
        <v>2325</v>
      </c>
      <c r="D891">
        <v>15</v>
      </c>
      <c r="E891">
        <v>5</v>
      </c>
    </row>
    <row r="892" spans="1:5" x14ac:dyDescent="0.3">
      <c r="A892">
        <v>10580</v>
      </c>
      <c r="B892">
        <v>41</v>
      </c>
      <c r="C892">
        <v>965</v>
      </c>
      <c r="D892">
        <v>9</v>
      </c>
      <c r="E892">
        <v>5</v>
      </c>
    </row>
    <row r="893" spans="1:5" x14ac:dyDescent="0.3">
      <c r="A893">
        <v>10580</v>
      </c>
      <c r="B893">
        <v>65</v>
      </c>
      <c r="C893">
        <v>2105</v>
      </c>
      <c r="D893">
        <v>30</v>
      </c>
      <c r="E893">
        <v>5</v>
      </c>
    </row>
    <row r="894" spans="1:5" x14ac:dyDescent="0.3">
      <c r="A894">
        <v>10581</v>
      </c>
      <c r="B894">
        <v>75</v>
      </c>
      <c r="C894">
        <v>775</v>
      </c>
      <c r="D894">
        <v>50</v>
      </c>
      <c r="E894">
        <v>2</v>
      </c>
    </row>
    <row r="895" spans="1:5" x14ac:dyDescent="0.3">
      <c r="A895">
        <v>10582</v>
      </c>
      <c r="B895">
        <v>57</v>
      </c>
      <c r="C895">
        <v>195</v>
      </c>
      <c r="D895">
        <v>4</v>
      </c>
      <c r="E895">
        <v>0</v>
      </c>
    </row>
    <row r="896" spans="1:5" x14ac:dyDescent="0.3">
      <c r="A896">
        <v>10582</v>
      </c>
      <c r="B896">
        <v>76</v>
      </c>
      <c r="C896">
        <v>18</v>
      </c>
      <c r="D896">
        <v>14</v>
      </c>
      <c r="E896">
        <v>0</v>
      </c>
    </row>
    <row r="897" spans="1:5" x14ac:dyDescent="0.3">
      <c r="A897">
        <v>10583</v>
      </c>
      <c r="B897">
        <v>29</v>
      </c>
      <c r="C897">
        <v>12379</v>
      </c>
      <c r="D897">
        <v>10</v>
      </c>
      <c r="E897">
        <v>0</v>
      </c>
    </row>
    <row r="898" spans="1:5" x14ac:dyDescent="0.3">
      <c r="A898">
        <v>10583</v>
      </c>
      <c r="B898">
        <v>60</v>
      </c>
      <c r="C898">
        <v>34</v>
      </c>
      <c r="D898">
        <v>24</v>
      </c>
      <c r="E898">
        <v>15</v>
      </c>
    </row>
    <row r="899" spans="1:5" x14ac:dyDescent="0.3">
      <c r="A899">
        <v>10583</v>
      </c>
      <c r="B899">
        <v>69</v>
      </c>
      <c r="C899">
        <v>36</v>
      </c>
      <c r="D899">
        <v>10</v>
      </c>
      <c r="E899">
        <v>15</v>
      </c>
    </row>
    <row r="900" spans="1:5" x14ac:dyDescent="0.3">
      <c r="A900">
        <v>10584</v>
      </c>
      <c r="B900">
        <v>31</v>
      </c>
      <c r="C900">
        <v>125</v>
      </c>
      <c r="D900">
        <v>50</v>
      </c>
      <c r="E900">
        <v>5</v>
      </c>
    </row>
    <row r="901" spans="1:5" x14ac:dyDescent="0.3">
      <c r="A901">
        <v>10585</v>
      </c>
      <c r="B901">
        <v>47</v>
      </c>
      <c r="C901">
        <v>95</v>
      </c>
      <c r="D901">
        <v>15</v>
      </c>
      <c r="E901">
        <v>0</v>
      </c>
    </row>
    <row r="902" spans="1:5" x14ac:dyDescent="0.3">
      <c r="A902">
        <v>10586</v>
      </c>
      <c r="B902">
        <v>52</v>
      </c>
      <c r="C902">
        <v>7</v>
      </c>
      <c r="D902">
        <v>4</v>
      </c>
      <c r="E902">
        <v>15</v>
      </c>
    </row>
    <row r="903" spans="1:5" x14ac:dyDescent="0.3">
      <c r="A903">
        <v>10587</v>
      </c>
      <c r="B903">
        <v>26</v>
      </c>
      <c r="C903">
        <v>3123</v>
      </c>
      <c r="D903">
        <v>6</v>
      </c>
      <c r="E903">
        <v>0</v>
      </c>
    </row>
    <row r="904" spans="1:5" x14ac:dyDescent="0.3">
      <c r="A904">
        <v>10587</v>
      </c>
      <c r="B904">
        <v>35</v>
      </c>
      <c r="C904">
        <v>18</v>
      </c>
      <c r="D904">
        <v>20</v>
      </c>
      <c r="E904">
        <v>0</v>
      </c>
    </row>
    <row r="905" spans="1:5" x14ac:dyDescent="0.3">
      <c r="A905">
        <v>10587</v>
      </c>
      <c r="B905">
        <v>77</v>
      </c>
      <c r="C905">
        <v>13</v>
      </c>
      <c r="D905">
        <v>20</v>
      </c>
      <c r="E905">
        <v>0</v>
      </c>
    </row>
    <row r="906" spans="1:5" x14ac:dyDescent="0.3">
      <c r="A906">
        <v>10588</v>
      </c>
      <c r="B906">
        <v>18</v>
      </c>
      <c r="C906">
        <v>625</v>
      </c>
      <c r="D906">
        <v>40</v>
      </c>
      <c r="E906">
        <v>2</v>
      </c>
    </row>
    <row r="907" spans="1:5" x14ac:dyDescent="0.3">
      <c r="A907">
        <v>10588</v>
      </c>
      <c r="B907">
        <v>42</v>
      </c>
      <c r="C907">
        <v>14</v>
      </c>
      <c r="D907">
        <v>100</v>
      </c>
      <c r="E907">
        <v>2</v>
      </c>
    </row>
    <row r="908" spans="1:5" x14ac:dyDescent="0.3">
      <c r="A908">
        <v>10589</v>
      </c>
      <c r="B908">
        <v>35</v>
      </c>
      <c r="C908">
        <v>18</v>
      </c>
      <c r="D908">
        <v>4</v>
      </c>
      <c r="E908">
        <v>0</v>
      </c>
    </row>
    <row r="909" spans="1:5" x14ac:dyDescent="0.3">
      <c r="A909">
        <v>10590</v>
      </c>
      <c r="B909">
        <v>1</v>
      </c>
      <c r="C909">
        <v>18</v>
      </c>
      <c r="D909">
        <v>20</v>
      </c>
      <c r="E909">
        <v>0</v>
      </c>
    </row>
    <row r="910" spans="1:5" x14ac:dyDescent="0.3">
      <c r="A910">
        <v>10590</v>
      </c>
      <c r="B910">
        <v>77</v>
      </c>
      <c r="C910">
        <v>13</v>
      </c>
      <c r="D910">
        <v>60</v>
      </c>
      <c r="E910">
        <v>5</v>
      </c>
    </row>
    <row r="911" spans="1:5" x14ac:dyDescent="0.3">
      <c r="A911">
        <v>10591</v>
      </c>
      <c r="B911">
        <v>3</v>
      </c>
      <c r="C911">
        <v>10</v>
      </c>
      <c r="D911">
        <v>14</v>
      </c>
      <c r="E911">
        <v>0</v>
      </c>
    </row>
    <row r="912" spans="1:5" x14ac:dyDescent="0.3">
      <c r="A912">
        <v>10591</v>
      </c>
      <c r="B912">
        <v>7</v>
      </c>
      <c r="C912">
        <v>30</v>
      </c>
      <c r="D912">
        <v>10</v>
      </c>
      <c r="E912">
        <v>0</v>
      </c>
    </row>
    <row r="913" spans="1:5" x14ac:dyDescent="0.3">
      <c r="A913">
        <v>10591</v>
      </c>
      <c r="B913">
        <v>54</v>
      </c>
      <c r="C913">
        <v>745</v>
      </c>
      <c r="D913">
        <v>50</v>
      </c>
      <c r="E913">
        <v>0</v>
      </c>
    </row>
    <row r="914" spans="1:5" x14ac:dyDescent="0.3">
      <c r="A914">
        <v>10592</v>
      </c>
      <c r="B914">
        <v>15</v>
      </c>
      <c r="C914">
        <v>155</v>
      </c>
      <c r="D914">
        <v>25</v>
      </c>
      <c r="E914">
        <v>5</v>
      </c>
    </row>
    <row r="915" spans="1:5" x14ac:dyDescent="0.3">
      <c r="A915">
        <v>10592</v>
      </c>
      <c r="B915">
        <v>26</v>
      </c>
      <c r="C915">
        <v>3123</v>
      </c>
      <c r="D915">
        <v>5</v>
      </c>
      <c r="E915">
        <v>5</v>
      </c>
    </row>
    <row r="916" spans="1:5" x14ac:dyDescent="0.3">
      <c r="A916">
        <v>10593</v>
      </c>
      <c r="B916">
        <v>20</v>
      </c>
      <c r="C916">
        <v>81</v>
      </c>
      <c r="D916">
        <v>21</v>
      </c>
      <c r="E916">
        <v>2</v>
      </c>
    </row>
    <row r="917" spans="1:5" x14ac:dyDescent="0.3">
      <c r="A917">
        <v>10593</v>
      </c>
      <c r="B917">
        <v>69</v>
      </c>
      <c r="C917">
        <v>36</v>
      </c>
      <c r="D917">
        <v>20</v>
      </c>
      <c r="E917">
        <v>2</v>
      </c>
    </row>
    <row r="918" spans="1:5" x14ac:dyDescent="0.3">
      <c r="A918">
        <v>10593</v>
      </c>
      <c r="B918">
        <v>76</v>
      </c>
      <c r="C918">
        <v>18</v>
      </c>
      <c r="D918">
        <v>4</v>
      </c>
      <c r="E918">
        <v>2</v>
      </c>
    </row>
    <row r="919" spans="1:5" x14ac:dyDescent="0.3">
      <c r="A919">
        <v>10594</v>
      </c>
      <c r="B919">
        <v>52</v>
      </c>
      <c r="C919">
        <v>7</v>
      </c>
      <c r="D919">
        <v>24</v>
      </c>
      <c r="E919">
        <v>0</v>
      </c>
    </row>
    <row r="920" spans="1:5" x14ac:dyDescent="0.3">
      <c r="A920">
        <v>10594</v>
      </c>
      <c r="B920">
        <v>58</v>
      </c>
      <c r="C920">
        <v>1325</v>
      </c>
      <c r="D920">
        <v>30</v>
      </c>
      <c r="E920">
        <v>0</v>
      </c>
    </row>
    <row r="921" spans="1:5" x14ac:dyDescent="0.3">
      <c r="A921">
        <v>10595</v>
      </c>
      <c r="B921">
        <v>35</v>
      </c>
      <c r="C921">
        <v>18</v>
      </c>
      <c r="D921">
        <v>30</v>
      </c>
      <c r="E921">
        <v>25</v>
      </c>
    </row>
    <row r="922" spans="1:5" x14ac:dyDescent="0.3">
      <c r="A922">
        <v>10595</v>
      </c>
      <c r="B922">
        <v>61</v>
      </c>
      <c r="C922">
        <v>285</v>
      </c>
      <c r="D922">
        <v>120</v>
      </c>
      <c r="E922">
        <v>25</v>
      </c>
    </row>
    <row r="923" spans="1:5" x14ac:dyDescent="0.3">
      <c r="A923">
        <v>10595</v>
      </c>
      <c r="B923">
        <v>69</v>
      </c>
      <c r="C923">
        <v>36</v>
      </c>
      <c r="D923">
        <v>65</v>
      </c>
      <c r="E923">
        <v>25</v>
      </c>
    </row>
    <row r="924" spans="1:5" x14ac:dyDescent="0.3">
      <c r="A924">
        <v>10596</v>
      </c>
      <c r="B924">
        <v>56</v>
      </c>
      <c r="C924">
        <v>38</v>
      </c>
      <c r="D924">
        <v>5</v>
      </c>
      <c r="E924">
        <v>2</v>
      </c>
    </row>
    <row r="925" spans="1:5" x14ac:dyDescent="0.3">
      <c r="A925">
        <v>10596</v>
      </c>
      <c r="B925">
        <v>63</v>
      </c>
      <c r="C925">
        <v>439</v>
      </c>
      <c r="D925">
        <v>24</v>
      </c>
      <c r="E925">
        <v>2</v>
      </c>
    </row>
    <row r="926" spans="1:5" x14ac:dyDescent="0.3">
      <c r="A926">
        <v>10596</v>
      </c>
      <c r="B926">
        <v>75</v>
      </c>
      <c r="C926">
        <v>775</v>
      </c>
      <c r="D926">
        <v>30</v>
      </c>
      <c r="E926">
        <v>2</v>
      </c>
    </row>
    <row r="927" spans="1:5" x14ac:dyDescent="0.3">
      <c r="A927">
        <v>10597</v>
      </c>
      <c r="B927">
        <v>24</v>
      </c>
      <c r="C927">
        <v>45</v>
      </c>
      <c r="D927">
        <v>35</v>
      </c>
      <c r="E927">
        <v>2</v>
      </c>
    </row>
    <row r="928" spans="1:5" x14ac:dyDescent="0.3">
      <c r="A928">
        <v>10597</v>
      </c>
      <c r="B928">
        <v>57</v>
      </c>
      <c r="C928">
        <v>195</v>
      </c>
      <c r="D928">
        <v>20</v>
      </c>
      <c r="E928">
        <v>0</v>
      </c>
    </row>
    <row r="929" spans="1:5" x14ac:dyDescent="0.3">
      <c r="A929">
        <v>10597</v>
      </c>
      <c r="B929">
        <v>65</v>
      </c>
      <c r="C929">
        <v>2105</v>
      </c>
      <c r="D929">
        <v>12</v>
      </c>
      <c r="E929">
        <v>2</v>
      </c>
    </row>
    <row r="930" spans="1:5" x14ac:dyDescent="0.3">
      <c r="A930">
        <v>10598</v>
      </c>
      <c r="B930">
        <v>27</v>
      </c>
      <c r="C930">
        <v>439</v>
      </c>
      <c r="D930">
        <v>50</v>
      </c>
      <c r="E930">
        <v>0</v>
      </c>
    </row>
    <row r="931" spans="1:5" x14ac:dyDescent="0.3">
      <c r="A931">
        <v>10598</v>
      </c>
      <c r="B931">
        <v>71</v>
      </c>
      <c r="C931">
        <v>215</v>
      </c>
      <c r="D931">
        <v>9</v>
      </c>
      <c r="E931">
        <v>0</v>
      </c>
    </row>
    <row r="932" spans="1:5" x14ac:dyDescent="0.3">
      <c r="A932">
        <v>10599</v>
      </c>
      <c r="B932">
        <v>62</v>
      </c>
      <c r="C932">
        <v>493</v>
      </c>
      <c r="D932">
        <v>10</v>
      </c>
      <c r="E932">
        <v>0</v>
      </c>
    </row>
    <row r="933" spans="1:5" x14ac:dyDescent="0.3">
      <c r="A933">
        <v>10600</v>
      </c>
      <c r="B933">
        <v>54</v>
      </c>
      <c r="C933">
        <v>745</v>
      </c>
      <c r="D933">
        <v>4</v>
      </c>
      <c r="E933">
        <v>0</v>
      </c>
    </row>
    <row r="934" spans="1:5" x14ac:dyDescent="0.3">
      <c r="A934">
        <v>10600</v>
      </c>
      <c r="B934">
        <v>73</v>
      </c>
      <c r="C934">
        <v>15</v>
      </c>
      <c r="D934">
        <v>30</v>
      </c>
      <c r="E934">
        <v>0</v>
      </c>
    </row>
    <row r="935" spans="1:5" x14ac:dyDescent="0.3">
      <c r="A935">
        <v>10601</v>
      </c>
      <c r="B935">
        <v>13</v>
      </c>
      <c r="C935">
        <v>6</v>
      </c>
      <c r="D935">
        <v>60</v>
      </c>
      <c r="E935">
        <v>0</v>
      </c>
    </row>
    <row r="936" spans="1:5" x14ac:dyDescent="0.3">
      <c r="A936">
        <v>10601</v>
      </c>
      <c r="B936">
        <v>59</v>
      </c>
      <c r="C936">
        <v>55</v>
      </c>
      <c r="D936">
        <v>35</v>
      </c>
      <c r="E936">
        <v>0</v>
      </c>
    </row>
    <row r="937" spans="1:5" x14ac:dyDescent="0.3">
      <c r="A937">
        <v>10602</v>
      </c>
      <c r="B937">
        <v>77</v>
      </c>
      <c r="C937">
        <v>13</v>
      </c>
      <c r="D937">
        <v>5</v>
      </c>
      <c r="E937">
        <v>25</v>
      </c>
    </row>
    <row r="938" spans="1:5" x14ac:dyDescent="0.3">
      <c r="A938">
        <v>10603</v>
      </c>
      <c r="B938">
        <v>22</v>
      </c>
      <c r="C938">
        <v>21</v>
      </c>
      <c r="D938">
        <v>48</v>
      </c>
      <c r="E938">
        <v>0</v>
      </c>
    </row>
    <row r="939" spans="1:5" x14ac:dyDescent="0.3">
      <c r="A939">
        <v>10603</v>
      </c>
      <c r="B939">
        <v>49</v>
      </c>
      <c r="C939">
        <v>20</v>
      </c>
      <c r="D939">
        <v>25</v>
      </c>
      <c r="E939">
        <v>5</v>
      </c>
    </row>
    <row r="940" spans="1:5" x14ac:dyDescent="0.3">
      <c r="A940">
        <v>10604</v>
      </c>
      <c r="B940">
        <v>48</v>
      </c>
      <c r="C940">
        <v>1275</v>
      </c>
      <c r="D940">
        <v>6</v>
      </c>
      <c r="E940">
        <v>1</v>
      </c>
    </row>
    <row r="941" spans="1:5" x14ac:dyDescent="0.3">
      <c r="A941">
        <v>10604</v>
      </c>
      <c r="B941">
        <v>76</v>
      </c>
      <c r="C941">
        <v>18</v>
      </c>
      <c r="D941">
        <v>10</v>
      </c>
      <c r="E941">
        <v>1</v>
      </c>
    </row>
    <row r="942" spans="1:5" x14ac:dyDescent="0.3">
      <c r="A942">
        <v>10605</v>
      </c>
      <c r="B942">
        <v>16</v>
      </c>
      <c r="C942">
        <v>1745</v>
      </c>
      <c r="D942">
        <v>30</v>
      </c>
      <c r="E942">
        <v>5</v>
      </c>
    </row>
    <row r="943" spans="1:5" x14ac:dyDescent="0.3">
      <c r="A943">
        <v>10605</v>
      </c>
      <c r="B943">
        <v>59</v>
      </c>
      <c r="C943">
        <v>55</v>
      </c>
      <c r="D943">
        <v>20</v>
      </c>
      <c r="E943">
        <v>5</v>
      </c>
    </row>
    <row r="944" spans="1:5" x14ac:dyDescent="0.3">
      <c r="A944">
        <v>10605</v>
      </c>
      <c r="B944">
        <v>60</v>
      </c>
      <c r="C944">
        <v>34</v>
      </c>
      <c r="D944">
        <v>70</v>
      </c>
      <c r="E944">
        <v>5</v>
      </c>
    </row>
    <row r="945" spans="1:5" x14ac:dyDescent="0.3">
      <c r="A945">
        <v>10605</v>
      </c>
      <c r="B945">
        <v>71</v>
      </c>
      <c r="C945">
        <v>215</v>
      </c>
      <c r="D945">
        <v>15</v>
      </c>
      <c r="E945">
        <v>5</v>
      </c>
    </row>
    <row r="946" spans="1:5" x14ac:dyDescent="0.3">
      <c r="A946">
        <v>10606</v>
      </c>
      <c r="B946">
        <v>4</v>
      </c>
      <c r="C946">
        <v>22</v>
      </c>
      <c r="D946">
        <v>20</v>
      </c>
      <c r="E946">
        <v>2</v>
      </c>
    </row>
    <row r="947" spans="1:5" x14ac:dyDescent="0.3">
      <c r="A947">
        <v>10606</v>
      </c>
      <c r="B947">
        <v>55</v>
      </c>
      <c r="C947">
        <v>24</v>
      </c>
      <c r="D947">
        <v>20</v>
      </c>
      <c r="E947">
        <v>2</v>
      </c>
    </row>
    <row r="948" spans="1:5" x14ac:dyDescent="0.3">
      <c r="A948">
        <v>10606</v>
      </c>
      <c r="B948">
        <v>62</v>
      </c>
      <c r="C948">
        <v>493</v>
      </c>
      <c r="D948">
        <v>10</v>
      </c>
      <c r="E948">
        <v>2</v>
      </c>
    </row>
    <row r="949" spans="1:5" x14ac:dyDescent="0.3">
      <c r="A949">
        <v>10607</v>
      </c>
      <c r="B949">
        <v>7</v>
      </c>
      <c r="C949">
        <v>30</v>
      </c>
      <c r="D949">
        <v>45</v>
      </c>
      <c r="E949">
        <v>0</v>
      </c>
    </row>
    <row r="950" spans="1:5" x14ac:dyDescent="0.3">
      <c r="A950">
        <v>10607</v>
      </c>
      <c r="B950">
        <v>17</v>
      </c>
      <c r="C950">
        <v>39</v>
      </c>
      <c r="D950">
        <v>100</v>
      </c>
      <c r="E950">
        <v>0</v>
      </c>
    </row>
    <row r="951" spans="1:5" x14ac:dyDescent="0.3">
      <c r="A951">
        <v>10607</v>
      </c>
      <c r="B951">
        <v>33</v>
      </c>
      <c r="C951">
        <v>25</v>
      </c>
      <c r="D951">
        <v>14</v>
      </c>
      <c r="E951">
        <v>0</v>
      </c>
    </row>
    <row r="952" spans="1:5" x14ac:dyDescent="0.3">
      <c r="A952">
        <v>10607</v>
      </c>
      <c r="B952">
        <v>40</v>
      </c>
      <c r="C952">
        <v>184</v>
      </c>
      <c r="D952">
        <v>42</v>
      </c>
      <c r="E952">
        <v>0</v>
      </c>
    </row>
    <row r="953" spans="1:5" x14ac:dyDescent="0.3">
      <c r="A953">
        <v>10607</v>
      </c>
      <c r="B953">
        <v>72</v>
      </c>
      <c r="C953">
        <v>348</v>
      </c>
      <c r="D953">
        <v>12</v>
      </c>
      <c r="E953">
        <v>0</v>
      </c>
    </row>
    <row r="954" spans="1:5" x14ac:dyDescent="0.3">
      <c r="A954">
        <v>10608</v>
      </c>
      <c r="B954">
        <v>56</v>
      </c>
      <c r="C954">
        <v>38</v>
      </c>
      <c r="D954">
        <v>28</v>
      </c>
      <c r="E954">
        <v>0</v>
      </c>
    </row>
    <row r="955" spans="1:5" x14ac:dyDescent="0.3">
      <c r="A955">
        <v>10609</v>
      </c>
      <c r="B955">
        <v>1</v>
      </c>
      <c r="C955">
        <v>18</v>
      </c>
      <c r="D955">
        <v>3</v>
      </c>
      <c r="E955">
        <v>0</v>
      </c>
    </row>
    <row r="956" spans="1:5" x14ac:dyDescent="0.3">
      <c r="A956">
        <v>10609</v>
      </c>
      <c r="B956">
        <v>10</v>
      </c>
      <c r="C956">
        <v>31</v>
      </c>
      <c r="D956">
        <v>10</v>
      </c>
      <c r="E956">
        <v>0</v>
      </c>
    </row>
    <row r="957" spans="1:5" x14ac:dyDescent="0.3">
      <c r="A957">
        <v>10609</v>
      </c>
      <c r="B957">
        <v>21</v>
      </c>
      <c r="C957">
        <v>10</v>
      </c>
      <c r="D957">
        <v>6</v>
      </c>
      <c r="E957">
        <v>0</v>
      </c>
    </row>
    <row r="958" spans="1:5" x14ac:dyDescent="0.3">
      <c r="A958">
        <v>10610</v>
      </c>
      <c r="B958">
        <v>36</v>
      </c>
      <c r="C958">
        <v>19</v>
      </c>
      <c r="D958">
        <v>21</v>
      </c>
      <c r="E958">
        <v>25</v>
      </c>
    </row>
    <row r="959" spans="1:5" x14ac:dyDescent="0.3">
      <c r="A959">
        <v>10611</v>
      </c>
      <c r="B959">
        <v>1</v>
      </c>
      <c r="C959">
        <v>18</v>
      </c>
      <c r="D959">
        <v>6</v>
      </c>
      <c r="E959">
        <v>0</v>
      </c>
    </row>
    <row r="960" spans="1:5" x14ac:dyDescent="0.3">
      <c r="A960">
        <v>10611</v>
      </c>
      <c r="B960">
        <v>2</v>
      </c>
      <c r="C960">
        <v>19</v>
      </c>
      <c r="D960">
        <v>10</v>
      </c>
      <c r="E960">
        <v>0</v>
      </c>
    </row>
    <row r="961" spans="1:5" x14ac:dyDescent="0.3">
      <c r="A961">
        <v>10611</v>
      </c>
      <c r="B961">
        <v>60</v>
      </c>
      <c r="C961">
        <v>34</v>
      </c>
      <c r="D961">
        <v>15</v>
      </c>
      <c r="E961">
        <v>0</v>
      </c>
    </row>
    <row r="962" spans="1:5" x14ac:dyDescent="0.3">
      <c r="A962">
        <v>10612</v>
      </c>
      <c r="B962">
        <v>10</v>
      </c>
      <c r="C962">
        <v>31</v>
      </c>
      <c r="D962">
        <v>70</v>
      </c>
      <c r="E962">
        <v>0</v>
      </c>
    </row>
    <row r="963" spans="1:5" x14ac:dyDescent="0.3">
      <c r="A963">
        <v>10612</v>
      </c>
      <c r="B963">
        <v>36</v>
      </c>
      <c r="C963">
        <v>19</v>
      </c>
      <c r="D963">
        <v>55</v>
      </c>
      <c r="E963">
        <v>0</v>
      </c>
    </row>
    <row r="964" spans="1:5" x14ac:dyDescent="0.3">
      <c r="A964">
        <v>10612</v>
      </c>
      <c r="B964">
        <v>49</v>
      </c>
      <c r="C964">
        <v>20</v>
      </c>
      <c r="D964">
        <v>18</v>
      </c>
      <c r="E964">
        <v>0</v>
      </c>
    </row>
    <row r="965" spans="1:5" x14ac:dyDescent="0.3">
      <c r="A965">
        <v>10612</v>
      </c>
      <c r="B965">
        <v>60</v>
      </c>
      <c r="C965">
        <v>34</v>
      </c>
      <c r="D965">
        <v>40</v>
      </c>
      <c r="E965">
        <v>0</v>
      </c>
    </row>
    <row r="966" spans="1:5" x14ac:dyDescent="0.3">
      <c r="A966">
        <v>10612</v>
      </c>
      <c r="B966">
        <v>76</v>
      </c>
      <c r="C966">
        <v>18</v>
      </c>
      <c r="D966">
        <v>80</v>
      </c>
      <c r="E966">
        <v>0</v>
      </c>
    </row>
    <row r="967" spans="1:5" x14ac:dyDescent="0.3">
      <c r="A967">
        <v>10613</v>
      </c>
      <c r="B967">
        <v>13</v>
      </c>
      <c r="C967">
        <v>6</v>
      </c>
      <c r="D967">
        <v>8</v>
      </c>
      <c r="E967">
        <v>1</v>
      </c>
    </row>
    <row r="968" spans="1:5" x14ac:dyDescent="0.3">
      <c r="A968">
        <v>10613</v>
      </c>
      <c r="B968">
        <v>75</v>
      </c>
      <c r="C968">
        <v>775</v>
      </c>
      <c r="D968">
        <v>40</v>
      </c>
      <c r="E968">
        <v>0</v>
      </c>
    </row>
    <row r="969" spans="1:5" x14ac:dyDescent="0.3">
      <c r="A969">
        <v>10614</v>
      </c>
      <c r="B969">
        <v>11</v>
      </c>
      <c r="C969">
        <v>21</v>
      </c>
      <c r="D969">
        <v>14</v>
      </c>
      <c r="E969">
        <v>0</v>
      </c>
    </row>
    <row r="970" spans="1:5" x14ac:dyDescent="0.3">
      <c r="A970">
        <v>10614</v>
      </c>
      <c r="B970">
        <v>21</v>
      </c>
      <c r="C970">
        <v>10</v>
      </c>
      <c r="D970">
        <v>8</v>
      </c>
      <c r="E970">
        <v>0</v>
      </c>
    </row>
    <row r="971" spans="1:5" x14ac:dyDescent="0.3">
      <c r="A971">
        <v>10614</v>
      </c>
      <c r="B971">
        <v>39</v>
      </c>
      <c r="C971">
        <v>18</v>
      </c>
      <c r="D971">
        <v>5</v>
      </c>
      <c r="E971">
        <v>0</v>
      </c>
    </row>
    <row r="972" spans="1:5" x14ac:dyDescent="0.3">
      <c r="A972">
        <v>10615</v>
      </c>
      <c r="B972">
        <v>55</v>
      </c>
      <c r="C972">
        <v>24</v>
      </c>
      <c r="D972">
        <v>5</v>
      </c>
      <c r="E972">
        <v>0</v>
      </c>
    </row>
    <row r="973" spans="1:5" x14ac:dyDescent="0.3">
      <c r="A973">
        <v>10616</v>
      </c>
      <c r="B973">
        <v>38</v>
      </c>
      <c r="C973">
        <v>2635</v>
      </c>
      <c r="D973">
        <v>15</v>
      </c>
      <c r="E973">
        <v>5</v>
      </c>
    </row>
    <row r="974" spans="1:5" x14ac:dyDescent="0.3">
      <c r="A974">
        <v>10616</v>
      </c>
      <c r="B974">
        <v>56</v>
      </c>
      <c r="C974">
        <v>38</v>
      </c>
      <c r="D974">
        <v>14</v>
      </c>
      <c r="E974">
        <v>0</v>
      </c>
    </row>
    <row r="975" spans="1:5" x14ac:dyDescent="0.3">
      <c r="A975">
        <v>10616</v>
      </c>
      <c r="B975">
        <v>70</v>
      </c>
      <c r="C975">
        <v>15</v>
      </c>
      <c r="D975">
        <v>15</v>
      </c>
      <c r="E975">
        <v>5</v>
      </c>
    </row>
    <row r="976" spans="1:5" x14ac:dyDescent="0.3">
      <c r="A976">
        <v>10616</v>
      </c>
      <c r="B976">
        <v>71</v>
      </c>
      <c r="C976">
        <v>215</v>
      </c>
      <c r="D976">
        <v>15</v>
      </c>
      <c r="E976">
        <v>5</v>
      </c>
    </row>
    <row r="977" spans="1:5" x14ac:dyDescent="0.3">
      <c r="A977">
        <v>10617</v>
      </c>
      <c r="B977">
        <v>59</v>
      </c>
      <c r="C977">
        <v>55</v>
      </c>
      <c r="D977">
        <v>30</v>
      </c>
      <c r="E977">
        <v>15</v>
      </c>
    </row>
    <row r="978" spans="1:5" x14ac:dyDescent="0.3">
      <c r="A978">
        <v>10618</v>
      </c>
      <c r="B978">
        <v>6</v>
      </c>
      <c r="C978">
        <v>25</v>
      </c>
      <c r="D978">
        <v>70</v>
      </c>
      <c r="E978">
        <v>0</v>
      </c>
    </row>
    <row r="979" spans="1:5" x14ac:dyDescent="0.3">
      <c r="A979">
        <v>10618</v>
      </c>
      <c r="B979">
        <v>56</v>
      </c>
      <c r="C979">
        <v>38</v>
      </c>
      <c r="D979">
        <v>20</v>
      </c>
      <c r="E979">
        <v>0</v>
      </c>
    </row>
    <row r="980" spans="1:5" x14ac:dyDescent="0.3">
      <c r="A980">
        <v>10618</v>
      </c>
      <c r="B980">
        <v>68</v>
      </c>
      <c r="C980">
        <v>125</v>
      </c>
      <c r="D980">
        <v>15</v>
      </c>
      <c r="E980">
        <v>0</v>
      </c>
    </row>
    <row r="981" spans="1:5" x14ac:dyDescent="0.3">
      <c r="A981">
        <v>10619</v>
      </c>
      <c r="B981">
        <v>21</v>
      </c>
      <c r="C981">
        <v>10</v>
      </c>
      <c r="D981">
        <v>42</v>
      </c>
      <c r="E981">
        <v>0</v>
      </c>
    </row>
    <row r="982" spans="1:5" x14ac:dyDescent="0.3">
      <c r="A982">
        <v>10619</v>
      </c>
      <c r="B982">
        <v>22</v>
      </c>
      <c r="C982">
        <v>21</v>
      </c>
      <c r="D982">
        <v>40</v>
      </c>
      <c r="E982">
        <v>0</v>
      </c>
    </row>
    <row r="983" spans="1:5" x14ac:dyDescent="0.3">
      <c r="A983">
        <v>10620</v>
      </c>
      <c r="B983">
        <v>24</v>
      </c>
      <c r="C983">
        <v>45</v>
      </c>
      <c r="D983">
        <v>5</v>
      </c>
      <c r="E983">
        <v>0</v>
      </c>
    </row>
    <row r="984" spans="1:5" x14ac:dyDescent="0.3">
      <c r="A984">
        <v>10620</v>
      </c>
      <c r="B984">
        <v>52</v>
      </c>
      <c r="C984">
        <v>7</v>
      </c>
      <c r="D984">
        <v>5</v>
      </c>
      <c r="E984">
        <v>0</v>
      </c>
    </row>
    <row r="985" spans="1:5" x14ac:dyDescent="0.3">
      <c r="A985">
        <v>10621</v>
      </c>
      <c r="B985">
        <v>19</v>
      </c>
      <c r="C985">
        <v>92</v>
      </c>
      <c r="D985">
        <v>5</v>
      </c>
      <c r="E985">
        <v>0</v>
      </c>
    </row>
    <row r="986" spans="1:5" x14ac:dyDescent="0.3">
      <c r="A986">
        <v>10621</v>
      </c>
      <c r="B986">
        <v>23</v>
      </c>
      <c r="C986">
        <v>9</v>
      </c>
      <c r="D986">
        <v>10</v>
      </c>
      <c r="E986">
        <v>0</v>
      </c>
    </row>
    <row r="987" spans="1:5" x14ac:dyDescent="0.3">
      <c r="A987">
        <v>10621</v>
      </c>
      <c r="B987">
        <v>70</v>
      </c>
      <c r="C987">
        <v>15</v>
      </c>
      <c r="D987">
        <v>20</v>
      </c>
      <c r="E987">
        <v>0</v>
      </c>
    </row>
    <row r="988" spans="1:5" x14ac:dyDescent="0.3">
      <c r="A988">
        <v>10621</v>
      </c>
      <c r="B988">
        <v>71</v>
      </c>
      <c r="C988">
        <v>215</v>
      </c>
      <c r="D988">
        <v>15</v>
      </c>
      <c r="E988">
        <v>0</v>
      </c>
    </row>
    <row r="989" spans="1:5" x14ac:dyDescent="0.3">
      <c r="A989">
        <v>10622</v>
      </c>
      <c r="B989">
        <v>2</v>
      </c>
      <c r="C989">
        <v>19</v>
      </c>
      <c r="D989">
        <v>20</v>
      </c>
      <c r="E989">
        <v>0</v>
      </c>
    </row>
    <row r="990" spans="1:5" x14ac:dyDescent="0.3">
      <c r="A990">
        <v>10622</v>
      </c>
      <c r="B990">
        <v>68</v>
      </c>
      <c r="C990">
        <v>125</v>
      </c>
      <c r="D990">
        <v>18</v>
      </c>
      <c r="E990">
        <v>2</v>
      </c>
    </row>
    <row r="991" spans="1:5" x14ac:dyDescent="0.3">
      <c r="A991">
        <v>10623</v>
      </c>
      <c r="B991">
        <v>14</v>
      </c>
      <c r="C991">
        <v>2325</v>
      </c>
      <c r="D991">
        <v>21</v>
      </c>
      <c r="E991">
        <v>0</v>
      </c>
    </row>
    <row r="992" spans="1:5" x14ac:dyDescent="0.3">
      <c r="A992">
        <v>10623</v>
      </c>
      <c r="B992">
        <v>19</v>
      </c>
      <c r="C992">
        <v>92</v>
      </c>
      <c r="D992">
        <v>15</v>
      </c>
      <c r="E992">
        <v>1</v>
      </c>
    </row>
    <row r="993" spans="1:5" x14ac:dyDescent="0.3">
      <c r="A993">
        <v>10623</v>
      </c>
      <c r="B993">
        <v>21</v>
      </c>
      <c r="C993">
        <v>10</v>
      </c>
      <c r="D993">
        <v>25</v>
      </c>
      <c r="E993">
        <v>1</v>
      </c>
    </row>
    <row r="994" spans="1:5" x14ac:dyDescent="0.3">
      <c r="A994">
        <v>10623</v>
      </c>
      <c r="B994">
        <v>24</v>
      </c>
      <c r="C994">
        <v>45</v>
      </c>
      <c r="D994">
        <v>3</v>
      </c>
      <c r="E994">
        <v>0</v>
      </c>
    </row>
    <row r="995" spans="1:5" x14ac:dyDescent="0.3">
      <c r="A995">
        <v>10623</v>
      </c>
      <c r="B995">
        <v>35</v>
      </c>
      <c r="C995">
        <v>18</v>
      </c>
      <c r="D995">
        <v>30</v>
      </c>
      <c r="E995">
        <v>1</v>
      </c>
    </row>
    <row r="996" spans="1:5" x14ac:dyDescent="0.3">
      <c r="A996">
        <v>10624</v>
      </c>
      <c r="B996">
        <v>28</v>
      </c>
      <c r="C996">
        <v>456</v>
      </c>
      <c r="D996">
        <v>10</v>
      </c>
      <c r="E996">
        <v>0</v>
      </c>
    </row>
    <row r="997" spans="1:5" x14ac:dyDescent="0.3">
      <c r="A997">
        <v>10624</v>
      </c>
      <c r="B997">
        <v>29</v>
      </c>
      <c r="C997">
        <v>12379</v>
      </c>
      <c r="D997">
        <v>6</v>
      </c>
      <c r="E997">
        <v>0</v>
      </c>
    </row>
    <row r="998" spans="1:5" x14ac:dyDescent="0.3">
      <c r="A998">
        <v>10624</v>
      </c>
      <c r="B998">
        <v>44</v>
      </c>
      <c r="C998">
        <v>1945</v>
      </c>
      <c r="D998">
        <v>10</v>
      </c>
      <c r="E998">
        <v>0</v>
      </c>
    </row>
    <row r="999" spans="1:5" x14ac:dyDescent="0.3">
      <c r="A999">
        <v>10625</v>
      </c>
      <c r="B999">
        <v>14</v>
      </c>
      <c r="C999">
        <v>2325</v>
      </c>
      <c r="D999">
        <v>3</v>
      </c>
      <c r="E999">
        <v>0</v>
      </c>
    </row>
    <row r="1000" spans="1:5" x14ac:dyDescent="0.3">
      <c r="A1000">
        <v>10625</v>
      </c>
      <c r="B1000">
        <v>42</v>
      </c>
      <c r="C1000">
        <v>14</v>
      </c>
      <c r="D1000">
        <v>5</v>
      </c>
      <c r="E1000">
        <v>0</v>
      </c>
    </row>
    <row r="1001" spans="1:5" x14ac:dyDescent="0.3">
      <c r="A1001">
        <v>10625</v>
      </c>
      <c r="B1001">
        <v>60</v>
      </c>
      <c r="C1001">
        <v>34</v>
      </c>
      <c r="D1001">
        <v>10</v>
      </c>
      <c r="E1001">
        <v>0</v>
      </c>
    </row>
    <row r="1002" spans="1:5" x14ac:dyDescent="0.3">
      <c r="A1002">
        <v>10626</v>
      </c>
      <c r="B1002">
        <v>53</v>
      </c>
      <c r="C1002">
        <v>328</v>
      </c>
      <c r="D1002">
        <v>12</v>
      </c>
      <c r="E1002">
        <v>0</v>
      </c>
    </row>
    <row r="1003" spans="1:5" x14ac:dyDescent="0.3">
      <c r="A1003">
        <v>10626</v>
      </c>
      <c r="B1003">
        <v>60</v>
      </c>
      <c r="C1003">
        <v>34</v>
      </c>
      <c r="D1003">
        <v>20</v>
      </c>
      <c r="E1003">
        <v>0</v>
      </c>
    </row>
    <row r="1004" spans="1:5" x14ac:dyDescent="0.3">
      <c r="A1004">
        <v>10626</v>
      </c>
      <c r="B1004">
        <v>71</v>
      </c>
      <c r="C1004">
        <v>215</v>
      </c>
      <c r="D1004">
        <v>20</v>
      </c>
      <c r="E1004">
        <v>0</v>
      </c>
    </row>
    <row r="1005" spans="1:5" x14ac:dyDescent="0.3">
      <c r="A1005">
        <v>10627</v>
      </c>
      <c r="B1005">
        <v>62</v>
      </c>
      <c r="C1005">
        <v>493</v>
      </c>
      <c r="D1005">
        <v>15</v>
      </c>
      <c r="E1005">
        <v>0</v>
      </c>
    </row>
    <row r="1006" spans="1:5" x14ac:dyDescent="0.3">
      <c r="A1006">
        <v>10627</v>
      </c>
      <c r="B1006">
        <v>73</v>
      </c>
      <c r="C1006">
        <v>15</v>
      </c>
      <c r="D1006">
        <v>35</v>
      </c>
      <c r="E1006">
        <v>15</v>
      </c>
    </row>
    <row r="1007" spans="1:5" x14ac:dyDescent="0.3">
      <c r="A1007">
        <v>10628</v>
      </c>
      <c r="B1007">
        <v>1</v>
      </c>
      <c r="C1007">
        <v>18</v>
      </c>
      <c r="D1007">
        <v>25</v>
      </c>
      <c r="E1007">
        <v>0</v>
      </c>
    </row>
    <row r="1008" spans="1:5" x14ac:dyDescent="0.3">
      <c r="A1008">
        <v>10629</v>
      </c>
      <c r="B1008">
        <v>29</v>
      </c>
      <c r="C1008">
        <v>12379</v>
      </c>
      <c r="D1008">
        <v>20</v>
      </c>
      <c r="E1008">
        <v>0</v>
      </c>
    </row>
    <row r="1009" spans="1:5" x14ac:dyDescent="0.3">
      <c r="A1009">
        <v>10629</v>
      </c>
      <c r="B1009">
        <v>64</v>
      </c>
      <c r="C1009">
        <v>3325</v>
      </c>
      <c r="D1009">
        <v>9</v>
      </c>
      <c r="E1009">
        <v>0</v>
      </c>
    </row>
    <row r="1010" spans="1:5" x14ac:dyDescent="0.3">
      <c r="A1010">
        <v>10630</v>
      </c>
      <c r="B1010">
        <v>55</v>
      </c>
      <c r="C1010">
        <v>24</v>
      </c>
      <c r="D1010">
        <v>12</v>
      </c>
      <c r="E1010">
        <v>5</v>
      </c>
    </row>
    <row r="1011" spans="1:5" x14ac:dyDescent="0.3">
      <c r="A1011">
        <v>10630</v>
      </c>
      <c r="B1011">
        <v>76</v>
      </c>
      <c r="C1011">
        <v>18</v>
      </c>
      <c r="D1011">
        <v>35</v>
      </c>
      <c r="E1011">
        <v>0</v>
      </c>
    </row>
    <row r="1012" spans="1:5" x14ac:dyDescent="0.3">
      <c r="A1012">
        <v>10631</v>
      </c>
      <c r="B1012">
        <v>75</v>
      </c>
      <c r="C1012">
        <v>775</v>
      </c>
      <c r="D1012">
        <v>8</v>
      </c>
      <c r="E1012">
        <v>1</v>
      </c>
    </row>
    <row r="1013" spans="1:5" x14ac:dyDescent="0.3">
      <c r="A1013">
        <v>10632</v>
      </c>
      <c r="B1013">
        <v>2</v>
      </c>
      <c r="C1013">
        <v>19</v>
      </c>
      <c r="D1013">
        <v>30</v>
      </c>
      <c r="E1013">
        <v>5</v>
      </c>
    </row>
    <row r="1014" spans="1:5" x14ac:dyDescent="0.3">
      <c r="A1014">
        <v>10632</v>
      </c>
      <c r="B1014">
        <v>33</v>
      </c>
      <c r="C1014">
        <v>25</v>
      </c>
      <c r="D1014">
        <v>20</v>
      </c>
      <c r="E1014">
        <v>5</v>
      </c>
    </row>
    <row r="1015" spans="1:5" x14ac:dyDescent="0.3">
      <c r="A1015">
        <v>10633</v>
      </c>
      <c r="B1015">
        <v>12</v>
      </c>
      <c r="C1015">
        <v>38</v>
      </c>
      <c r="D1015">
        <v>36</v>
      </c>
      <c r="E1015">
        <v>15</v>
      </c>
    </row>
    <row r="1016" spans="1:5" x14ac:dyDescent="0.3">
      <c r="A1016">
        <v>10633</v>
      </c>
      <c r="B1016">
        <v>13</v>
      </c>
      <c r="C1016">
        <v>6</v>
      </c>
      <c r="D1016">
        <v>13</v>
      </c>
      <c r="E1016">
        <v>15</v>
      </c>
    </row>
    <row r="1017" spans="1:5" x14ac:dyDescent="0.3">
      <c r="A1017">
        <v>10633</v>
      </c>
      <c r="B1017">
        <v>26</v>
      </c>
      <c r="C1017">
        <v>3123</v>
      </c>
      <c r="D1017">
        <v>35</v>
      </c>
      <c r="E1017">
        <v>15</v>
      </c>
    </row>
    <row r="1018" spans="1:5" x14ac:dyDescent="0.3">
      <c r="A1018">
        <v>10633</v>
      </c>
      <c r="B1018">
        <v>62</v>
      </c>
      <c r="C1018">
        <v>493</v>
      </c>
      <c r="D1018">
        <v>80</v>
      </c>
      <c r="E1018">
        <v>15</v>
      </c>
    </row>
    <row r="1019" spans="1:5" x14ac:dyDescent="0.3">
      <c r="A1019">
        <v>10634</v>
      </c>
      <c r="B1019">
        <v>7</v>
      </c>
      <c r="C1019">
        <v>30</v>
      </c>
      <c r="D1019">
        <v>35</v>
      </c>
      <c r="E1019">
        <v>0</v>
      </c>
    </row>
    <row r="1020" spans="1:5" x14ac:dyDescent="0.3">
      <c r="A1020">
        <v>10634</v>
      </c>
      <c r="B1020">
        <v>18</v>
      </c>
      <c r="C1020">
        <v>625</v>
      </c>
      <c r="D1020">
        <v>50</v>
      </c>
      <c r="E1020">
        <v>0</v>
      </c>
    </row>
    <row r="1021" spans="1:5" x14ac:dyDescent="0.3">
      <c r="A1021">
        <v>10634</v>
      </c>
      <c r="B1021">
        <v>51</v>
      </c>
      <c r="C1021">
        <v>53</v>
      </c>
      <c r="D1021">
        <v>15</v>
      </c>
      <c r="E1021">
        <v>0</v>
      </c>
    </row>
    <row r="1022" spans="1:5" x14ac:dyDescent="0.3">
      <c r="A1022">
        <v>10634</v>
      </c>
      <c r="B1022">
        <v>75</v>
      </c>
      <c r="C1022">
        <v>775</v>
      </c>
      <c r="D1022">
        <v>2</v>
      </c>
      <c r="E1022">
        <v>0</v>
      </c>
    </row>
    <row r="1023" spans="1:5" x14ac:dyDescent="0.3">
      <c r="A1023">
        <v>10635</v>
      </c>
      <c r="B1023">
        <v>4</v>
      </c>
      <c r="C1023">
        <v>22</v>
      </c>
      <c r="D1023">
        <v>10</v>
      </c>
      <c r="E1023">
        <v>1</v>
      </c>
    </row>
    <row r="1024" spans="1:5" x14ac:dyDescent="0.3">
      <c r="A1024">
        <v>10635</v>
      </c>
      <c r="B1024">
        <v>5</v>
      </c>
      <c r="C1024">
        <v>2135</v>
      </c>
      <c r="D1024">
        <v>15</v>
      </c>
      <c r="E1024">
        <v>1</v>
      </c>
    </row>
    <row r="1025" spans="1:5" x14ac:dyDescent="0.3">
      <c r="A1025">
        <v>10635</v>
      </c>
      <c r="B1025">
        <v>22</v>
      </c>
      <c r="C1025">
        <v>21</v>
      </c>
      <c r="D1025">
        <v>40</v>
      </c>
      <c r="E1025">
        <v>0</v>
      </c>
    </row>
    <row r="1026" spans="1:5" x14ac:dyDescent="0.3">
      <c r="A1026">
        <v>10636</v>
      </c>
      <c r="B1026">
        <v>4</v>
      </c>
      <c r="C1026">
        <v>22</v>
      </c>
      <c r="D1026">
        <v>25</v>
      </c>
      <c r="E1026">
        <v>0</v>
      </c>
    </row>
    <row r="1027" spans="1:5" x14ac:dyDescent="0.3">
      <c r="A1027">
        <v>10636</v>
      </c>
      <c r="B1027">
        <v>58</v>
      </c>
      <c r="C1027">
        <v>1325</v>
      </c>
      <c r="D1027">
        <v>6</v>
      </c>
      <c r="E1027">
        <v>0</v>
      </c>
    </row>
    <row r="1028" spans="1:5" x14ac:dyDescent="0.3">
      <c r="A1028">
        <v>10637</v>
      </c>
      <c r="B1028">
        <v>11</v>
      </c>
      <c r="C1028">
        <v>21</v>
      </c>
      <c r="D1028">
        <v>10</v>
      </c>
      <c r="E1028">
        <v>0</v>
      </c>
    </row>
    <row r="1029" spans="1:5" x14ac:dyDescent="0.3">
      <c r="A1029">
        <v>10637</v>
      </c>
      <c r="B1029">
        <v>50</v>
      </c>
      <c r="C1029">
        <v>1625</v>
      </c>
      <c r="D1029">
        <v>25</v>
      </c>
      <c r="E1029">
        <v>5</v>
      </c>
    </row>
    <row r="1030" spans="1:5" x14ac:dyDescent="0.3">
      <c r="A1030">
        <v>10637</v>
      </c>
      <c r="B1030">
        <v>56</v>
      </c>
      <c r="C1030">
        <v>38</v>
      </c>
      <c r="D1030">
        <v>60</v>
      </c>
      <c r="E1030">
        <v>5</v>
      </c>
    </row>
    <row r="1031" spans="1:5" x14ac:dyDescent="0.3">
      <c r="A1031">
        <v>10638</v>
      </c>
      <c r="B1031">
        <v>45</v>
      </c>
      <c r="C1031">
        <v>95</v>
      </c>
      <c r="D1031">
        <v>20</v>
      </c>
      <c r="E1031">
        <v>0</v>
      </c>
    </row>
    <row r="1032" spans="1:5" x14ac:dyDescent="0.3">
      <c r="A1032">
        <v>10638</v>
      </c>
      <c r="B1032">
        <v>65</v>
      </c>
      <c r="C1032">
        <v>2105</v>
      </c>
      <c r="D1032">
        <v>21</v>
      </c>
      <c r="E1032">
        <v>0</v>
      </c>
    </row>
    <row r="1033" spans="1:5" x14ac:dyDescent="0.3">
      <c r="A1033">
        <v>10638</v>
      </c>
      <c r="B1033">
        <v>72</v>
      </c>
      <c r="C1033">
        <v>348</v>
      </c>
      <c r="D1033">
        <v>60</v>
      </c>
      <c r="E1033">
        <v>0</v>
      </c>
    </row>
    <row r="1034" spans="1:5" x14ac:dyDescent="0.3">
      <c r="A1034">
        <v>10639</v>
      </c>
      <c r="B1034">
        <v>18</v>
      </c>
      <c r="C1034">
        <v>625</v>
      </c>
      <c r="D1034">
        <v>8</v>
      </c>
      <c r="E1034">
        <v>0</v>
      </c>
    </row>
    <row r="1035" spans="1:5" x14ac:dyDescent="0.3">
      <c r="A1035">
        <v>10640</v>
      </c>
      <c r="B1035">
        <v>69</v>
      </c>
      <c r="C1035">
        <v>36</v>
      </c>
      <c r="D1035">
        <v>20</v>
      </c>
      <c r="E1035">
        <v>25</v>
      </c>
    </row>
    <row r="1036" spans="1:5" x14ac:dyDescent="0.3">
      <c r="A1036">
        <v>10640</v>
      </c>
      <c r="B1036">
        <v>70</v>
      </c>
      <c r="C1036">
        <v>15</v>
      </c>
      <c r="D1036">
        <v>15</v>
      </c>
      <c r="E1036">
        <v>25</v>
      </c>
    </row>
    <row r="1037" spans="1:5" x14ac:dyDescent="0.3">
      <c r="A1037">
        <v>10641</v>
      </c>
      <c r="B1037">
        <v>2</v>
      </c>
      <c r="C1037">
        <v>19</v>
      </c>
      <c r="D1037">
        <v>50</v>
      </c>
      <c r="E1037">
        <v>0</v>
      </c>
    </row>
    <row r="1038" spans="1:5" x14ac:dyDescent="0.3">
      <c r="A1038">
        <v>10641</v>
      </c>
      <c r="B1038">
        <v>40</v>
      </c>
      <c r="C1038">
        <v>184</v>
      </c>
      <c r="D1038">
        <v>60</v>
      </c>
      <c r="E1038">
        <v>0</v>
      </c>
    </row>
    <row r="1039" spans="1:5" x14ac:dyDescent="0.3">
      <c r="A1039">
        <v>10642</v>
      </c>
      <c r="B1039">
        <v>21</v>
      </c>
      <c r="C1039">
        <v>10</v>
      </c>
      <c r="D1039">
        <v>30</v>
      </c>
      <c r="E1039">
        <v>2</v>
      </c>
    </row>
    <row r="1040" spans="1:5" x14ac:dyDescent="0.3">
      <c r="A1040">
        <v>10642</v>
      </c>
      <c r="B1040">
        <v>61</v>
      </c>
      <c r="C1040">
        <v>285</v>
      </c>
      <c r="D1040">
        <v>20</v>
      </c>
      <c r="E1040">
        <v>2</v>
      </c>
    </row>
    <row r="1041" spans="1:5" x14ac:dyDescent="0.3">
      <c r="A1041">
        <v>10643</v>
      </c>
      <c r="B1041">
        <v>28</v>
      </c>
      <c r="C1041">
        <v>456</v>
      </c>
      <c r="D1041">
        <v>15</v>
      </c>
      <c r="E1041">
        <v>25</v>
      </c>
    </row>
    <row r="1042" spans="1:5" x14ac:dyDescent="0.3">
      <c r="A1042">
        <v>10643</v>
      </c>
      <c r="B1042">
        <v>39</v>
      </c>
      <c r="C1042">
        <v>18</v>
      </c>
      <c r="D1042">
        <v>21</v>
      </c>
      <c r="E1042">
        <v>25</v>
      </c>
    </row>
    <row r="1043" spans="1:5" x14ac:dyDescent="0.3">
      <c r="A1043">
        <v>10643</v>
      </c>
      <c r="B1043">
        <v>46</v>
      </c>
      <c r="C1043">
        <v>12</v>
      </c>
      <c r="D1043">
        <v>2</v>
      </c>
      <c r="E1043">
        <v>25</v>
      </c>
    </row>
    <row r="1044" spans="1:5" x14ac:dyDescent="0.3">
      <c r="A1044">
        <v>10644</v>
      </c>
      <c r="B1044">
        <v>18</v>
      </c>
      <c r="C1044">
        <v>625</v>
      </c>
      <c r="D1044">
        <v>4</v>
      </c>
      <c r="E1044">
        <v>1</v>
      </c>
    </row>
    <row r="1045" spans="1:5" x14ac:dyDescent="0.3">
      <c r="A1045">
        <v>10644</v>
      </c>
      <c r="B1045">
        <v>43</v>
      </c>
      <c r="C1045">
        <v>46</v>
      </c>
      <c r="D1045">
        <v>20</v>
      </c>
      <c r="E1045">
        <v>0</v>
      </c>
    </row>
    <row r="1046" spans="1:5" x14ac:dyDescent="0.3">
      <c r="A1046">
        <v>10644</v>
      </c>
      <c r="B1046">
        <v>46</v>
      </c>
      <c r="C1046">
        <v>12</v>
      </c>
      <c r="D1046">
        <v>21</v>
      </c>
      <c r="E1046">
        <v>1</v>
      </c>
    </row>
    <row r="1047" spans="1:5" x14ac:dyDescent="0.3">
      <c r="A1047">
        <v>10645</v>
      </c>
      <c r="B1047">
        <v>18</v>
      </c>
      <c r="C1047">
        <v>625</v>
      </c>
      <c r="D1047">
        <v>20</v>
      </c>
      <c r="E1047">
        <v>0</v>
      </c>
    </row>
    <row r="1048" spans="1:5" x14ac:dyDescent="0.3">
      <c r="A1048">
        <v>10645</v>
      </c>
      <c r="B1048">
        <v>36</v>
      </c>
      <c r="C1048">
        <v>19</v>
      </c>
      <c r="D1048">
        <v>15</v>
      </c>
      <c r="E1048">
        <v>0</v>
      </c>
    </row>
    <row r="1049" spans="1:5" x14ac:dyDescent="0.3">
      <c r="A1049">
        <v>10646</v>
      </c>
      <c r="B1049">
        <v>1</v>
      </c>
      <c r="C1049">
        <v>18</v>
      </c>
      <c r="D1049">
        <v>15</v>
      </c>
      <c r="E1049">
        <v>25</v>
      </c>
    </row>
    <row r="1050" spans="1:5" x14ac:dyDescent="0.3">
      <c r="A1050">
        <v>10646</v>
      </c>
      <c r="B1050">
        <v>10</v>
      </c>
      <c r="C1050">
        <v>31</v>
      </c>
      <c r="D1050">
        <v>18</v>
      </c>
      <c r="E1050">
        <v>25</v>
      </c>
    </row>
    <row r="1051" spans="1:5" x14ac:dyDescent="0.3">
      <c r="A1051">
        <v>10646</v>
      </c>
      <c r="B1051">
        <v>71</v>
      </c>
      <c r="C1051">
        <v>215</v>
      </c>
      <c r="D1051">
        <v>30</v>
      </c>
      <c r="E1051">
        <v>25</v>
      </c>
    </row>
    <row r="1052" spans="1:5" x14ac:dyDescent="0.3">
      <c r="A1052">
        <v>10646</v>
      </c>
      <c r="B1052">
        <v>77</v>
      </c>
      <c r="C1052">
        <v>13</v>
      </c>
      <c r="D1052">
        <v>35</v>
      </c>
      <c r="E1052">
        <v>25</v>
      </c>
    </row>
    <row r="1053" spans="1:5" x14ac:dyDescent="0.3">
      <c r="A1053">
        <v>10647</v>
      </c>
      <c r="B1053">
        <v>19</v>
      </c>
      <c r="C1053">
        <v>92</v>
      </c>
      <c r="D1053">
        <v>30</v>
      </c>
      <c r="E1053">
        <v>0</v>
      </c>
    </row>
    <row r="1054" spans="1:5" x14ac:dyDescent="0.3">
      <c r="A1054">
        <v>10647</v>
      </c>
      <c r="B1054">
        <v>39</v>
      </c>
      <c r="C1054">
        <v>18</v>
      </c>
      <c r="D1054">
        <v>20</v>
      </c>
      <c r="E1054">
        <v>0</v>
      </c>
    </row>
    <row r="1055" spans="1:5" x14ac:dyDescent="0.3">
      <c r="A1055">
        <v>10648</v>
      </c>
      <c r="B1055">
        <v>22</v>
      </c>
      <c r="C1055">
        <v>21</v>
      </c>
      <c r="D1055">
        <v>15</v>
      </c>
      <c r="E1055">
        <v>0</v>
      </c>
    </row>
    <row r="1056" spans="1:5" x14ac:dyDescent="0.3">
      <c r="A1056">
        <v>10648</v>
      </c>
      <c r="B1056">
        <v>24</v>
      </c>
      <c r="C1056">
        <v>45</v>
      </c>
      <c r="D1056">
        <v>15</v>
      </c>
      <c r="E1056">
        <v>15</v>
      </c>
    </row>
    <row r="1057" spans="1:5" x14ac:dyDescent="0.3">
      <c r="A1057">
        <v>10649</v>
      </c>
      <c r="B1057">
        <v>28</v>
      </c>
      <c r="C1057">
        <v>456</v>
      </c>
      <c r="D1057">
        <v>20</v>
      </c>
      <c r="E1057">
        <v>0</v>
      </c>
    </row>
    <row r="1058" spans="1:5" x14ac:dyDescent="0.3">
      <c r="A1058">
        <v>10649</v>
      </c>
      <c r="B1058">
        <v>72</v>
      </c>
      <c r="C1058">
        <v>348</v>
      </c>
      <c r="D1058">
        <v>15</v>
      </c>
      <c r="E1058">
        <v>0</v>
      </c>
    </row>
    <row r="1059" spans="1:5" x14ac:dyDescent="0.3">
      <c r="A1059">
        <v>10650</v>
      </c>
      <c r="B1059">
        <v>30</v>
      </c>
      <c r="C1059">
        <v>2589</v>
      </c>
      <c r="D1059">
        <v>30</v>
      </c>
      <c r="E1059">
        <v>0</v>
      </c>
    </row>
    <row r="1060" spans="1:5" x14ac:dyDescent="0.3">
      <c r="A1060">
        <v>10650</v>
      </c>
      <c r="B1060">
        <v>53</v>
      </c>
      <c r="C1060">
        <v>328</v>
      </c>
      <c r="D1060">
        <v>25</v>
      </c>
      <c r="E1060">
        <v>5</v>
      </c>
    </row>
    <row r="1061" spans="1:5" x14ac:dyDescent="0.3">
      <c r="A1061">
        <v>10650</v>
      </c>
      <c r="B1061">
        <v>54</v>
      </c>
      <c r="C1061">
        <v>745</v>
      </c>
      <c r="D1061">
        <v>30</v>
      </c>
      <c r="E1061">
        <v>0</v>
      </c>
    </row>
    <row r="1062" spans="1:5" x14ac:dyDescent="0.3">
      <c r="A1062">
        <v>10651</v>
      </c>
      <c r="B1062">
        <v>19</v>
      </c>
      <c r="C1062">
        <v>92</v>
      </c>
      <c r="D1062">
        <v>12</v>
      </c>
      <c r="E1062">
        <v>25</v>
      </c>
    </row>
    <row r="1063" spans="1:5" x14ac:dyDescent="0.3">
      <c r="A1063">
        <v>10651</v>
      </c>
      <c r="B1063">
        <v>22</v>
      </c>
      <c r="C1063">
        <v>21</v>
      </c>
      <c r="D1063">
        <v>20</v>
      </c>
      <c r="E1063">
        <v>25</v>
      </c>
    </row>
    <row r="1064" spans="1:5" x14ac:dyDescent="0.3">
      <c r="A1064">
        <v>10652</v>
      </c>
      <c r="B1064">
        <v>30</v>
      </c>
      <c r="C1064">
        <v>2589</v>
      </c>
      <c r="D1064">
        <v>2</v>
      </c>
      <c r="E1064">
        <v>25</v>
      </c>
    </row>
    <row r="1065" spans="1:5" x14ac:dyDescent="0.3">
      <c r="A1065">
        <v>10652</v>
      </c>
      <c r="B1065">
        <v>42</v>
      </c>
      <c r="C1065">
        <v>14</v>
      </c>
      <c r="D1065">
        <v>20</v>
      </c>
      <c r="E1065">
        <v>0</v>
      </c>
    </row>
    <row r="1066" spans="1:5" x14ac:dyDescent="0.3">
      <c r="A1066">
        <v>10653</v>
      </c>
      <c r="B1066">
        <v>16</v>
      </c>
      <c r="C1066">
        <v>1745</v>
      </c>
      <c r="D1066">
        <v>30</v>
      </c>
      <c r="E1066">
        <v>1</v>
      </c>
    </row>
    <row r="1067" spans="1:5" x14ac:dyDescent="0.3">
      <c r="A1067">
        <v>10653</v>
      </c>
      <c r="B1067">
        <v>60</v>
      </c>
      <c r="C1067">
        <v>34</v>
      </c>
      <c r="D1067">
        <v>20</v>
      </c>
      <c r="E1067">
        <v>1</v>
      </c>
    </row>
    <row r="1068" spans="1:5" x14ac:dyDescent="0.3">
      <c r="A1068">
        <v>10654</v>
      </c>
      <c r="B1068">
        <v>4</v>
      </c>
      <c r="C1068">
        <v>22</v>
      </c>
      <c r="D1068">
        <v>12</v>
      </c>
      <c r="E1068">
        <v>1</v>
      </c>
    </row>
    <row r="1069" spans="1:5" x14ac:dyDescent="0.3">
      <c r="A1069">
        <v>10654</v>
      </c>
      <c r="B1069">
        <v>39</v>
      </c>
      <c r="C1069">
        <v>18</v>
      </c>
      <c r="D1069">
        <v>20</v>
      </c>
      <c r="E1069">
        <v>1</v>
      </c>
    </row>
    <row r="1070" spans="1:5" x14ac:dyDescent="0.3">
      <c r="A1070">
        <v>10654</v>
      </c>
      <c r="B1070">
        <v>54</v>
      </c>
      <c r="C1070">
        <v>745</v>
      </c>
      <c r="D1070">
        <v>6</v>
      </c>
      <c r="E1070">
        <v>1</v>
      </c>
    </row>
    <row r="1071" spans="1:5" x14ac:dyDescent="0.3">
      <c r="A1071">
        <v>10655</v>
      </c>
      <c r="B1071">
        <v>41</v>
      </c>
      <c r="C1071">
        <v>965</v>
      </c>
      <c r="D1071">
        <v>20</v>
      </c>
      <c r="E1071">
        <v>2</v>
      </c>
    </row>
    <row r="1072" spans="1:5" x14ac:dyDescent="0.3">
      <c r="A1072">
        <v>10656</v>
      </c>
      <c r="B1072">
        <v>14</v>
      </c>
      <c r="C1072">
        <v>2325</v>
      </c>
      <c r="D1072">
        <v>3</v>
      </c>
      <c r="E1072">
        <v>1</v>
      </c>
    </row>
    <row r="1073" spans="1:5" x14ac:dyDescent="0.3">
      <c r="A1073">
        <v>10656</v>
      </c>
      <c r="B1073">
        <v>44</v>
      </c>
      <c r="C1073">
        <v>1945</v>
      </c>
      <c r="D1073">
        <v>28</v>
      </c>
      <c r="E1073">
        <v>1</v>
      </c>
    </row>
    <row r="1074" spans="1:5" x14ac:dyDescent="0.3">
      <c r="A1074">
        <v>10656</v>
      </c>
      <c r="B1074">
        <v>47</v>
      </c>
      <c r="C1074">
        <v>95</v>
      </c>
      <c r="D1074">
        <v>6</v>
      </c>
      <c r="E1074">
        <v>1</v>
      </c>
    </row>
    <row r="1075" spans="1:5" x14ac:dyDescent="0.3">
      <c r="A1075">
        <v>10657</v>
      </c>
      <c r="B1075">
        <v>15</v>
      </c>
      <c r="C1075">
        <v>155</v>
      </c>
      <c r="D1075">
        <v>50</v>
      </c>
      <c r="E1075">
        <v>0</v>
      </c>
    </row>
    <row r="1076" spans="1:5" x14ac:dyDescent="0.3">
      <c r="A1076">
        <v>10657</v>
      </c>
      <c r="B1076">
        <v>41</v>
      </c>
      <c r="C1076">
        <v>965</v>
      </c>
      <c r="D1076">
        <v>24</v>
      </c>
      <c r="E1076">
        <v>0</v>
      </c>
    </row>
    <row r="1077" spans="1:5" x14ac:dyDescent="0.3">
      <c r="A1077">
        <v>10657</v>
      </c>
      <c r="B1077">
        <v>46</v>
      </c>
      <c r="C1077">
        <v>12</v>
      </c>
      <c r="D1077">
        <v>45</v>
      </c>
      <c r="E1077">
        <v>0</v>
      </c>
    </row>
    <row r="1078" spans="1:5" x14ac:dyDescent="0.3">
      <c r="A1078">
        <v>10657</v>
      </c>
      <c r="B1078">
        <v>47</v>
      </c>
      <c r="C1078">
        <v>95</v>
      </c>
      <c r="D1078">
        <v>10</v>
      </c>
      <c r="E1078">
        <v>0</v>
      </c>
    </row>
    <row r="1079" spans="1:5" x14ac:dyDescent="0.3">
      <c r="A1079">
        <v>10657</v>
      </c>
      <c r="B1079">
        <v>56</v>
      </c>
      <c r="C1079">
        <v>38</v>
      </c>
      <c r="D1079">
        <v>45</v>
      </c>
      <c r="E1079">
        <v>0</v>
      </c>
    </row>
    <row r="1080" spans="1:5" x14ac:dyDescent="0.3">
      <c r="A1080">
        <v>10657</v>
      </c>
      <c r="B1080">
        <v>60</v>
      </c>
      <c r="C1080">
        <v>34</v>
      </c>
      <c r="D1080">
        <v>30</v>
      </c>
      <c r="E1080">
        <v>0</v>
      </c>
    </row>
    <row r="1081" spans="1:5" x14ac:dyDescent="0.3">
      <c r="A1081">
        <v>10658</v>
      </c>
      <c r="B1081">
        <v>21</v>
      </c>
      <c r="C1081">
        <v>10</v>
      </c>
      <c r="D1081">
        <v>60</v>
      </c>
      <c r="E1081">
        <v>0</v>
      </c>
    </row>
    <row r="1082" spans="1:5" x14ac:dyDescent="0.3">
      <c r="A1082">
        <v>10658</v>
      </c>
      <c r="B1082">
        <v>40</v>
      </c>
      <c r="C1082">
        <v>184</v>
      </c>
      <c r="D1082">
        <v>70</v>
      </c>
      <c r="E1082">
        <v>5</v>
      </c>
    </row>
    <row r="1083" spans="1:5" x14ac:dyDescent="0.3">
      <c r="A1083">
        <v>10658</v>
      </c>
      <c r="B1083">
        <v>60</v>
      </c>
      <c r="C1083">
        <v>34</v>
      </c>
      <c r="D1083">
        <v>55</v>
      </c>
      <c r="E1083">
        <v>5</v>
      </c>
    </row>
    <row r="1084" spans="1:5" x14ac:dyDescent="0.3">
      <c r="A1084">
        <v>10658</v>
      </c>
      <c r="B1084">
        <v>77</v>
      </c>
      <c r="C1084">
        <v>13</v>
      </c>
      <c r="D1084">
        <v>70</v>
      </c>
      <c r="E1084">
        <v>5</v>
      </c>
    </row>
    <row r="1085" spans="1:5" x14ac:dyDescent="0.3">
      <c r="A1085">
        <v>10659</v>
      </c>
      <c r="B1085">
        <v>31</v>
      </c>
      <c r="C1085">
        <v>125</v>
      </c>
      <c r="D1085">
        <v>20</v>
      </c>
      <c r="E1085">
        <v>5</v>
      </c>
    </row>
    <row r="1086" spans="1:5" x14ac:dyDescent="0.3">
      <c r="A1086">
        <v>10659</v>
      </c>
      <c r="B1086">
        <v>40</v>
      </c>
      <c r="C1086">
        <v>184</v>
      </c>
      <c r="D1086">
        <v>24</v>
      </c>
      <c r="E1086">
        <v>5</v>
      </c>
    </row>
    <row r="1087" spans="1:5" x14ac:dyDescent="0.3">
      <c r="A1087">
        <v>10659</v>
      </c>
      <c r="B1087">
        <v>70</v>
      </c>
      <c r="C1087">
        <v>15</v>
      </c>
      <c r="D1087">
        <v>40</v>
      </c>
      <c r="E1087">
        <v>5</v>
      </c>
    </row>
    <row r="1088" spans="1:5" x14ac:dyDescent="0.3">
      <c r="A1088">
        <v>10660</v>
      </c>
      <c r="B1088">
        <v>20</v>
      </c>
      <c r="C1088">
        <v>81</v>
      </c>
      <c r="D1088">
        <v>21</v>
      </c>
      <c r="E1088">
        <v>0</v>
      </c>
    </row>
    <row r="1089" spans="1:5" x14ac:dyDescent="0.3">
      <c r="A1089">
        <v>10661</v>
      </c>
      <c r="B1089">
        <v>39</v>
      </c>
      <c r="C1089">
        <v>18</v>
      </c>
      <c r="D1089">
        <v>3</v>
      </c>
      <c r="E1089">
        <v>2</v>
      </c>
    </row>
    <row r="1090" spans="1:5" x14ac:dyDescent="0.3">
      <c r="A1090">
        <v>10661</v>
      </c>
      <c r="B1090">
        <v>58</v>
      </c>
      <c r="C1090">
        <v>1325</v>
      </c>
      <c r="D1090">
        <v>49</v>
      </c>
      <c r="E1090">
        <v>2</v>
      </c>
    </row>
    <row r="1091" spans="1:5" x14ac:dyDescent="0.3">
      <c r="A1091">
        <v>10662</v>
      </c>
      <c r="B1091">
        <v>68</v>
      </c>
      <c r="C1091">
        <v>125</v>
      </c>
      <c r="D1091">
        <v>10</v>
      </c>
      <c r="E1091">
        <v>0</v>
      </c>
    </row>
    <row r="1092" spans="1:5" x14ac:dyDescent="0.3">
      <c r="A1092">
        <v>10663</v>
      </c>
      <c r="B1092">
        <v>40</v>
      </c>
      <c r="C1092">
        <v>184</v>
      </c>
      <c r="D1092">
        <v>30</v>
      </c>
      <c r="E1092">
        <v>5</v>
      </c>
    </row>
    <row r="1093" spans="1:5" x14ac:dyDescent="0.3">
      <c r="A1093">
        <v>10663</v>
      </c>
      <c r="B1093">
        <v>42</v>
      </c>
      <c r="C1093">
        <v>14</v>
      </c>
      <c r="D1093">
        <v>30</v>
      </c>
      <c r="E1093">
        <v>5</v>
      </c>
    </row>
    <row r="1094" spans="1:5" x14ac:dyDescent="0.3">
      <c r="A1094">
        <v>10663</v>
      </c>
      <c r="B1094">
        <v>51</v>
      </c>
      <c r="C1094">
        <v>53</v>
      </c>
      <c r="D1094">
        <v>20</v>
      </c>
      <c r="E1094">
        <v>5</v>
      </c>
    </row>
    <row r="1095" spans="1:5" x14ac:dyDescent="0.3">
      <c r="A1095">
        <v>10664</v>
      </c>
      <c r="B1095">
        <v>10</v>
      </c>
      <c r="C1095">
        <v>31</v>
      </c>
      <c r="D1095">
        <v>24</v>
      </c>
      <c r="E1095">
        <v>15</v>
      </c>
    </row>
    <row r="1096" spans="1:5" x14ac:dyDescent="0.3">
      <c r="A1096">
        <v>10664</v>
      </c>
      <c r="B1096">
        <v>56</v>
      </c>
      <c r="C1096">
        <v>38</v>
      </c>
      <c r="D1096">
        <v>12</v>
      </c>
      <c r="E1096">
        <v>15</v>
      </c>
    </row>
    <row r="1097" spans="1:5" x14ac:dyDescent="0.3">
      <c r="A1097">
        <v>10664</v>
      </c>
      <c r="B1097">
        <v>65</v>
      </c>
      <c r="C1097">
        <v>2105</v>
      </c>
      <c r="D1097">
        <v>15</v>
      </c>
      <c r="E1097">
        <v>15</v>
      </c>
    </row>
    <row r="1098" spans="1:5" x14ac:dyDescent="0.3">
      <c r="A1098">
        <v>10665</v>
      </c>
      <c r="B1098">
        <v>51</v>
      </c>
      <c r="C1098">
        <v>53</v>
      </c>
      <c r="D1098">
        <v>20</v>
      </c>
      <c r="E1098">
        <v>0</v>
      </c>
    </row>
    <row r="1099" spans="1:5" x14ac:dyDescent="0.3">
      <c r="A1099">
        <v>10665</v>
      </c>
      <c r="B1099">
        <v>59</v>
      </c>
      <c r="C1099">
        <v>55</v>
      </c>
      <c r="D1099">
        <v>1</v>
      </c>
      <c r="E1099">
        <v>0</v>
      </c>
    </row>
    <row r="1100" spans="1:5" x14ac:dyDescent="0.3">
      <c r="A1100">
        <v>10665</v>
      </c>
      <c r="B1100">
        <v>76</v>
      </c>
      <c r="C1100">
        <v>18</v>
      </c>
      <c r="D1100">
        <v>10</v>
      </c>
      <c r="E1100">
        <v>0</v>
      </c>
    </row>
    <row r="1101" spans="1:5" x14ac:dyDescent="0.3">
      <c r="A1101">
        <v>10666</v>
      </c>
      <c r="B1101">
        <v>29</v>
      </c>
      <c r="C1101">
        <v>12379</v>
      </c>
      <c r="D1101">
        <v>36</v>
      </c>
      <c r="E1101">
        <v>0</v>
      </c>
    </row>
    <row r="1102" spans="1:5" x14ac:dyDescent="0.3">
      <c r="A1102">
        <v>10666</v>
      </c>
      <c r="B1102">
        <v>65</v>
      </c>
      <c r="C1102">
        <v>2105</v>
      </c>
      <c r="D1102">
        <v>10</v>
      </c>
      <c r="E1102">
        <v>0</v>
      </c>
    </row>
    <row r="1103" spans="1:5" x14ac:dyDescent="0.3">
      <c r="A1103">
        <v>10667</v>
      </c>
      <c r="B1103">
        <v>69</v>
      </c>
      <c r="C1103">
        <v>36</v>
      </c>
      <c r="D1103">
        <v>45</v>
      </c>
      <c r="E1103">
        <v>2</v>
      </c>
    </row>
    <row r="1104" spans="1:5" x14ac:dyDescent="0.3">
      <c r="A1104">
        <v>10667</v>
      </c>
      <c r="B1104">
        <v>71</v>
      </c>
      <c r="C1104">
        <v>215</v>
      </c>
      <c r="D1104">
        <v>14</v>
      </c>
      <c r="E1104">
        <v>2</v>
      </c>
    </row>
    <row r="1105" spans="1:5" x14ac:dyDescent="0.3">
      <c r="A1105">
        <v>10668</v>
      </c>
      <c r="B1105">
        <v>31</v>
      </c>
      <c r="C1105">
        <v>125</v>
      </c>
      <c r="D1105">
        <v>8</v>
      </c>
      <c r="E1105">
        <v>1</v>
      </c>
    </row>
    <row r="1106" spans="1:5" x14ac:dyDescent="0.3">
      <c r="A1106">
        <v>10668</v>
      </c>
      <c r="B1106">
        <v>55</v>
      </c>
      <c r="C1106">
        <v>24</v>
      </c>
      <c r="D1106">
        <v>4</v>
      </c>
      <c r="E1106">
        <v>1</v>
      </c>
    </row>
    <row r="1107" spans="1:5" x14ac:dyDescent="0.3">
      <c r="A1107">
        <v>10668</v>
      </c>
      <c r="B1107">
        <v>64</v>
      </c>
      <c r="C1107">
        <v>3325</v>
      </c>
      <c r="D1107">
        <v>15</v>
      </c>
      <c r="E1107">
        <v>1</v>
      </c>
    </row>
    <row r="1108" spans="1:5" x14ac:dyDescent="0.3">
      <c r="A1108">
        <v>10669</v>
      </c>
      <c r="B1108">
        <v>36</v>
      </c>
      <c r="C1108">
        <v>19</v>
      </c>
      <c r="D1108">
        <v>30</v>
      </c>
      <c r="E1108">
        <v>0</v>
      </c>
    </row>
    <row r="1109" spans="1:5" x14ac:dyDescent="0.3">
      <c r="A1109">
        <v>10670</v>
      </c>
      <c r="B1109">
        <v>23</v>
      </c>
      <c r="C1109">
        <v>9</v>
      </c>
      <c r="D1109">
        <v>32</v>
      </c>
      <c r="E1109">
        <v>0</v>
      </c>
    </row>
    <row r="1110" spans="1:5" x14ac:dyDescent="0.3">
      <c r="A1110">
        <v>10670</v>
      </c>
      <c r="B1110">
        <v>46</v>
      </c>
      <c r="C1110">
        <v>12</v>
      </c>
      <c r="D1110">
        <v>60</v>
      </c>
      <c r="E1110">
        <v>0</v>
      </c>
    </row>
    <row r="1111" spans="1:5" x14ac:dyDescent="0.3">
      <c r="A1111">
        <v>10670</v>
      </c>
      <c r="B1111">
        <v>67</v>
      </c>
      <c r="C1111">
        <v>14</v>
      </c>
      <c r="D1111">
        <v>25</v>
      </c>
      <c r="E1111">
        <v>0</v>
      </c>
    </row>
    <row r="1112" spans="1:5" x14ac:dyDescent="0.3">
      <c r="A1112">
        <v>10670</v>
      </c>
      <c r="B1112">
        <v>73</v>
      </c>
      <c r="C1112">
        <v>15</v>
      </c>
      <c r="D1112">
        <v>50</v>
      </c>
      <c r="E1112">
        <v>0</v>
      </c>
    </row>
    <row r="1113" spans="1:5" x14ac:dyDescent="0.3">
      <c r="A1113">
        <v>10670</v>
      </c>
      <c r="B1113">
        <v>75</v>
      </c>
      <c r="C1113">
        <v>775</v>
      </c>
      <c r="D1113">
        <v>25</v>
      </c>
      <c r="E1113">
        <v>0</v>
      </c>
    </row>
    <row r="1114" spans="1:5" x14ac:dyDescent="0.3">
      <c r="A1114">
        <v>10671</v>
      </c>
      <c r="B1114">
        <v>16</v>
      </c>
      <c r="C1114">
        <v>1745</v>
      </c>
      <c r="D1114">
        <v>10</v>
      </c>
      <c r="E1114">
        <v>0</v>
      </c>
    </row>
    <row r="1115" spans="1:5" x14ac:dyDescent="0.3">
      <c r="A1115">
        <v>10671</v>
      </c>
      <c r="B1115">
        <v>62</v>
      </c>
      <c r="C1115">
        <v>493</v>
      </c>
      <c r="D1115">
        <v>10</v>
      </c>
      <c r="E1115">
        <v>0</v>
      </c>
    </row>
    <row r="1116" spans="1:5" x14ac:dyDescent="0.3">
      <c r="A1116">
        <v>10671</v>
      </c>
      <c r="B1116">
        <v>65</v>
      </c>
      <c r="C1116">
        <v>2105</v>
      </c>
      <c r="D1116">
        <v>12</v>
      </c>
      <c r="E1116">
        <v>0</v>
      </c>
    </row>
    <row r="1117" spans="1:5" x14ac:dyDescent="0.3">
      <c r="A1117">
        <v>10672</v>
      </c>
      <c r="B1117">
        <v>38</v>
      </c>
      <c r="C1117">
        <v>2635</v>
      </c>
      <c r="D1117">
        <v>15</v>
      </c>
      <c r="E1117">
        <v>1</v>
      </c>
    </row>
    <row r="1118" spans="1:5" x14ac:dyDescent="0.3">
      <c r="A1118">
        <v>10672</v>
      </c>
      <c r="B1118">
        <v>71</v>
      </c>
      <c r="C1118">
        <v>215</v>
      </c>
      <c r="D1118">
        <v>12</v>
      </c>
      <c r="E1118">
        <v>0</v>
      </c>
    </row>
    <row r="1119" spans="1:5" x14ac:dyDescent="0.3">
      <c r="A1119">
        <v>10673</v>
      </c>
      <c r="B1119">
        <v>16</v>
      </c>
      <c r="C1119">
        <v>1745</v>
      </c>
      <c r="D1119">
        <v>3</v>
      </c>
      <c r="E1119">
        <v>0</v>
      </c>
    </row>
    <row r="1120" spans="1:5" x14ac:dyDescent="0.3">
      <c r="A1120">
        <v>10673</v>
      </c>
      <c r="B1120">
        <v>42</v>
      </c>
      <c r="C1120">
        <v>14</v>
      </c>
      <c r="D1120">
        <v>6</v>
      </c>
      <c r="E1120">
        <v>0</v>
      </c>
    </row>
    <row r="1121" spans="1:5" x14ac:dyDescent="0.3">
      <c r="A1121">
        <v>10673</v>
      </c>
      <c r="B1121">
        <v>43</v>
      </c>
      <c r="C1121">
        <v>46</v>
      </c>
      <c r="D1121">
        <v>6</v>
      </c>
      <c r="E1121">
        <v>0</v>
      </c>
    </row>
    <row r="1122" spans="1:5" x14ac:dyDescent="0.3">
      <c r="A1122">
        <v>10674</v>
      </c>
      <c r="B1122">
        <v>23</v>
      </c>
      <c r="C1122">
        <v>9</v>
      </c>
      <c r="D1122">
        <v>5</v>
      </c>
      <c r="E1122">
        <v>0</v>
      </c>
    </row>
    <row r="1123" spans="1:5" x14ac:dyDescent="0.3">
      <c r="A1123">
        <v>10675</v>
      </c>
      <c r="B1123">
        <v>14</v>
      </c>
      <c r="C1123">
        <v>2325</v>
      </c>
      <c r="D1123">
        <v>30</v>
      </c>
      <c r="E1123">
        <v>0</v>
      </c>
    </row>
    <row r="1124" spans="1:5" x14ac:dyDescent="0.3">
      <c r="A1124">
        <v>10675</v>
      </c>
      <c r="B1124">
        <v>53</v>
      </c>
      <c r="C1124">
        <v>328</v>
      </c>
      <c r="D1124">
        <v>10</v>
      </c>
      <c r="E1124">
        <v>0</v>
      </c>
    </row>
    <row r="1125" spans="1:5" x14ac:dyDescent="0.3">
      <c r="A1125">
        <v>10675</v>
      </c>
      <c r="B1125">
        <v>58</v>
      </c>
      <c r="C1125">
        <v>1325</v>
      </c>
      <c r="D1125">
        <v>30</v>
      </c>
      <c r="E1125">
        <v>0</v>
      </c>
    </row>
    <row r="1126" spans="1:5" x14ac:dyDescent="0.3">
      <c r="A1126">
        <v>10676</v>
      </c>
      <c r="B1126">
        <v>10</v>
      </c>
      <c r="C1126">
        <v>31</v>
      </c>
      <c r="D1126">
        <v>2</v>
      </c>
      <c r="E1126">
        <v>0</v>
      </c>
    </row>
    <row r="1127" spans="1:5" x14ac:dyDescent="0.3">
      <c r="A1127">
        <v>10676</v>
      </c>
      <c r="B1127">
        <v>19</v>
      </c>
      <c r="C1127">
        <v>92</v>
      </c>
      <c r="D1127">
        <v>7</v>
      </c>
      <c r="E1127">
        <v>0</v>
      </c>
    </row>
    <row r="1128" spans="1:5" x14ac:dyDescent="0.3">
      <c r="A1128">
        <v>10676</v>
      </c>
      <c r="B1128">
        <v>44</v>
      </c>
      <c r="C1128">
        <v>1945</v>
      </c>
      <c r="D1128">
        <v>21</v>
      </c>
      <c r="E1128">
        <v>0</v>
      </c>
    </row>
    <row r="1129" spans="1:5" x14ac:dyDescent="0.3">
      <c r="A1129">
        <v>10677</v>
      </c>
      <c r="B1129">
        <v>26</v>
      </c>
      <c r="C1129">
        <v>3123</v>
      </c>
      <c r="D1129">
        <v>30</v>
      </c>
      <c r="E1129">
        <v>15</v>
      </c>
    </row>
    <row r="1130" spans="1:5" x14ac:dyDescent="0.3">
      <c r="A1130">
        <v>10677</v>
      </c>
      <c r="B1130">
        <v>33</v>
      </c>
      <c r="C1130">
        <v>25</v>
      </c>
      <c r="D1130">
        <v>8</v>
      </c>
      <c r="E1130">
        <v>15</v>
      </c>
    </row>
    <row r="1131" spans="1:5" x14ac:dyDescent="0.3">
      <c r="A1131">
        <v>10678</v>
      </c>
      <c r="B1131">
        <v>12</v>
      </c>
      <c r="C1131">
        <v>38</v>
      </c>
      <c r="D1131">
        <v>100</v>
      </c>
      <c r="E1131">
        <v>0</v>
      </c>
    </row>
    <row r="1132" spans="1:5" x14ac:dyDescent="0.3">
      <c r="A1132">
        <v>10678</v>
      </c>
      <c r="B1132">
        <v>33</v>
      </c>
      <c r="C1132">
        <v>25</v>
      </c>
      <c r="D1132">
        <v>30</v>
      </c>
      <c r="E1132">
        <v>0</v>
      </c>
    </row>
    <row r="1133" spans="1:5" x14ac:dyDescent="0.3">
      <c r="A1133">
        <v>10678</v>
      </c>
      <c r="B1133">
        <v>41</v>
      </c>
      <c r="C1133">
        <v>965</v>
      </c>
      <c r="D1133">
        <v>120</v>
      </c>
      <c r="E1133">
        <v>0</v>
      </c>
    </row>
    <row r="1134" spans="1:5" x14ac:dyDescent="0.3">
      <c r="A1134">
        <v>10678</v>
      </c>
      <c r="B1134">
        <v>54</v>
      </c>
      <c r="C1134">
        <v>745</v>
      </c>
      <c r="D1134">
        <v>30</v>
      </c>
      <c r="E1134">
        <v>0</v>
      </c>
    </row>
    <row r="1135" spans="1:5" x14ac:dyDescent="0.3">
      <c r="A1135">
        <v>10679</v>
      </c>
      <c r="B1135">
        <v>59</v>
      </c>
      <c r="C1135">
        <v>55</v>
      </c>
      <c r="D1135">
        <v>12</v>
      </c>
      <c r="E1135">
        <v>0</v>
      </c>
    </row>
    <row r="1136" spans="1:5" x14ac:dyDescent="0.3">
      <c r="A1136">
        <v>10680</v>
      </c>
      <c r="B1136">
        <v>16</v>
      </c>
      <c r="C1136">
        <v>1745</v>
      </c>
      <c r="D1136">
        <v>50</v>
      </c>
      <c r="E1136">
        <v>25</v>
      </c>
    </row>
    <row r="1137" spans="1:5" x14ac:dyDescent="0.3">
      <c r="A1137">
        <v>10680</v>
      </c>
      <c r="B1137">
        <v>31</v>
      </c>
      <c r="C1137">
        <v>125</v>
      </c>
      <c r="D1137">
        <v>20</v>
      </c>
      <c r="E1137">
        <v>25</v>
      </c>
    </row>
    <row r="1138" spans="1:5" x14ac:dyDescent="0.3">
      <c r="A1138">
        <v>10680</v>
      </c>
      <c r="B1138">
        <v>42</v>
      </c>
      <c r="C1138">
        <v>14</v>
      </c>
      <c r="D1138">
        <v>40</v>
      </c>
      <c r="E1138">
        <v>25</v>
      </c>
    </row>
    <row r="1139" spans="1:5" x14ac:dyDescent="0.3">
      <c r="A1139">
        <v>10681</v>
      </c>
      <c r="B1139">
        <v>19</v>
      </c>
      <c r="C1139">
        <v>92</v>
      </c>
      <c r="D1139">
        <v>30</v>
      </c>
      <c r="E1139">
        <v>1</v>
      </c>
    </row>
    <row r="1140" spans="1:5" x14ac:dyDescent="0.3">
      <c r="A1140">
        <v>10681</v>
      </c>
      <c r="B1140">
        <v>21</v>
      </c>
      <c r="C1140">
        <v>10</v>
      </c>
      <c r="D1140">
        <v>12</v>
      </c>
      <c r="E1140">
        <v>1</v>
      </c>
    </row>
    <row r="1141" spans="1:5" x14ac:dyDescent="0.3">
      <c r="A1141">
        <v>10681</v>
      </c>
      <c r="B1141">
        <v>64</v>
      </c>
      <c r="C1141">
        <v>3325</v>
      </c>
      <c r="D1141">
        <v>28</v>
      </c>
      <c r="E1141">
        <v>0</v>
      </c>
    </row>
    <row r="1142" spans="1:5" x14ac:dyDescent="0.3">
      <c r="A1142">
        <v>10682</v>
      </c>
      <c r="B1142">
        <v>33</v>
      </c>
      <c r="C1142">
        <v>25</v>
      </c>
      <c r="D1142">
        <v>30</v>
      </c>
      <c r="E1142">
        <v>0</v>
      </c>
    </row>
    <row r="1143" spans="1:5" x14ac:dyDescent="0.3">
      <c r="A1143">
        <v>10682</v>
      </c>
      <c r="B1143">
        <v>66</v>
      </c>
      <c r="C1143">
        <v>17</v>
      </c>
      <c r="D1143">
        <v>4</v>
      </c>
      <c r="E1143">
        <v>0</v>
      </c>
    </row>
    <row r="1144" spans="1:5" x14ac:dyDescent="0.3">
      <c r="A1144">
        <v>10682</v>
      </c>
      <c r="B1144">
        <v>75</v>
      </c>
      <c r="C1144">
        <v>775</v>
      </c>
      <c r="D1144">
        <v>30</v>
      </c>
      <c r="E1144">
        <v>0</v>
      </c>
    </row>
    <row r="1145" spans="1:5" x14ac:dyDescent="0.3">
      <c r="A1145">
        <v>10683</v>
      </c>
      <c r="B1145">
        <v>52</v>
      </c>
      <c r="C1145">
        <v>7</v>
      </c>
      <c r="D1145">
        <v>9</v>
      </c>
      <c r="E1145">
        <v>0</v>
      </c>
    </row>
    <row r="1146" spans="1:5" x14ac:dyDescent="0.3">
      <c r="A1146">
        <v>10684</v>
      </c>
      <c r="B1146">
        <v>40</v>
      </c>
      <c r="C1146">
        <v>184</v>
      </c>
      <c r="D1146">
        <v>20</v>
      </c>
      <c r="E1146">
        <v>0</v>
      </c>
    </row>
    <row r="1147" spans="1:5" x14ac:dyDescent="0.3">
      <c r="A1147">
        <v>10684</v>
      </c>
      <c r="B1147">
        <v>47</v>
      </c>
      <c r="C1147">
        <v>95</v>
      </c>
      <c r="D1147">
        <v>40</v>
      </c>
      <c r="E1147">
        <v>0</v>
      </c>
    </row>
    <row r="1148" spans="1:5" x14ac:dyDescent="0.3">
      <c r="A1148">
        <v>10684</v>
      </c>
      <c r="B1148">
        <v>60</v>
      </c>
      <c r="C1148">
        <v>34</v>
      </c>
      <c r="D1148">
        <v>30</v>
      </c>
      <c r="E1148">
        <v>0</v>
      </c>
    </row>
    <row r="1149" spans="1:5" x14ac:dyDescent="0.3">
      <c r="A1149">
        <v>10685</v>
      </c>
      <c r="B1149">
        <v>10</v>
      </c>
      <c r="C1149">
        <v>31</v>
      </c>
      <c r="D1149">
        <v>20</v>
      </c>
      <c r="E1149">
        <v>0</v>
      </c>
    </row>
    <row r="1150" spans="1:5" x14ac:dyDescent="0.3">
      <c r="A1150">
        <v>10685</v>
      </c>
      <c r="B1150">
        <v>41</v>
      </c>
      <c r="C1150">
        <v>965</v>
      </c>
      <c r="D1150">
        <v>4</v>
      </c>
      <c r="E1150">
        <v>0</v>
      </c>
    </row>
    <row r="1151" spans="1:5" x14ac:dyDescent="0.3">
      <c r="A1151">
        <v>10685</v>
      </c>
      <c r="B1151">
        <v>47</v>
      </c>
      <c r="C1151">
        <v>95</v>
      </c>
      <c r="D1151">
        <v>15</v>
      </c>
      <c r="E1151">
        <v>0</v>
      </c>
    </row>
    <row r="1152" spans="1:5" x14ac:dyDescent="0.3">
      <c r="A1152">
        <v>10686</v>
      </c>
      <c r="B1152">
        <v>17</v>
      </c>
      <c r="C1152">
        <v>39</v>
      </c>
      <c r="D1152">
        <v>30</v>
      </c>
      <c r="E1152">
        <v>2</v>
      </c>
    </row>
    <row r="1153" spans="1:5" x14ac:dyDescent="0.3">
      <c r="A1153">
        <v>10686</v>
      </c>
      <c r="B1153">
        <v>26</v>
      </c>
      <c r="C1153">
        <v>3123</v>
      </c>
      <c r="D1153">
        <v>15</v>
      </c>
      <c r="E1153">
        <v>0</v>
      </c>
    </row>
    <row r="1154" spans="1:5" x14ac:dyDescent="0.3">
      <c r="A1154">
        <v>10687</v>
      </c>
      <c r="B1154">
        <v>9</v>
      </c>
      <c r="C1154">
        <v>97</v>
      </c>
      <c r="D1154">
        <v>50</v>
      </c>
      <c r="E1154">
        <v>25</v>
      </c>
    </row>
    <row r="1155" spans="1:5" x14ac:dyDescent="0.3">
      <c r="A1155">
        <v>10687</v>
      </c>
      <c r="B1155">
        <v>29</v>
      </c>
      <c r="C1155">
        <v>12379</v>
      </c>
      <c r="D1155">
        <v>10</v>
      </c>
      <c r="E1155">
        <v>0</v>
      </c>
    </row>
    <row r="1156" spans="1:5" x14ac:dyDescent="0.3">
      <c r="A1156">
        <v>10687</v>
      </c>
      <c r="B1156">
        <v>36</v>
      </c>
      <c r="C1156">
        <v>19</v>
      </c>
      <c r="D1156">
        <v>6</v>
      </c>
      <c r="E1156">
        <v>25</v>
      </c>
    </row>
    <row r="1157" spans="1:5" x14ac:dyDescent="0.3">
      <c r="A1157">
        <v>10688</v>
      </c>
      <c r="B1157">
        <v>10</v>
      </c>
      <c r="C1157">
        <v>31</v>
      </c>
      <c r="D1157">
        <v>18</v>
      </c>
      <c r="E1157">
        <v>1</v>
      </c>
    </row>
    <row r="1158" spans="1:5" x14ac:dyDescent="0.3">
      <c r="A1158">
        <v>10688</v>
      </c>
      <c r="B1158">
        <v>28</v>
      </c>
      <c r="C1158">
        <v>456</v>
      </c>
      <c r="D1158">
        <v>60</v>
      </c>
      <c r="E1158">
        <v>1</v>
      </c>
    </row>
    <row r="1159" spans="1:5" x14ac:dyDescent="0.3">
      <c r="A1159">
        <v>10688</v>
      </c>
      <c r="B1159">
        <v>34</v>
      </c>
      <c r="C1159">
        <v>14</v>
      </c>
      <c r="D1159">
        <v>14</v>
      </c>
      <c r="E1159">
        <v>0</v>
      </c>
    </row>
    <row r="1160" spans="1:5" x14ac:dyDescent="0.3">
      <c r="A1160">
        <v>10689</v>
      </c>
      <c r="B1160">
        <v>1</v>
      </c>
      <c r="C1160">
        <v>18</v>
      </c>
      <c r="D1160">
        <v>35</v>
      </c>
      <c r="E1160">
        <v>25</v>
      </c>
    </row>
    <row r="1161" spans="1:5" x14ac:dyDescent="0.3">
      <c r="A1161">
        <v>10690</v>
      </c>
      <c r="B1161">
        <v>56</v>
      </c>
      <c r="C1161">
        <v>38</v>
      </c>
      <c r="D1161">
        <v>20</v>
      </c>
      <c r="E1161">
        <v>25</v>
      </c>
    </row>
    <row r="1162" spans="1:5" x14ac:dyDescent="0.3">
      <c r="A1162">
        <v>10690</v>
      </c>
      <c r="B1162">
        <v>77</v>
      </c>
      <c r="C1162">
        <v>13</v>
      </c>
      <c r="D1162">
        <v>30</v>
      </c>
      <c r="E1162">
        <v>25</v>
      </c>
    </row>
    <row r="1163" spans="1:5" x14ac:dyDescent="0.3">
      <c r="A1163">
        <v>10691</v>
      </c>
      <c r="B1163">
        <v>1</v>
      </c>
      <c r="C1163">
        <v>18</v>
      </c>
      <c r="D1163">
        <v>30</v>
      </c>
      <c r="E1163">
        <v>0</v>
      </c>
    </row>
    <row r="1164" spans="1:5" x14ac:dyDescent="0.3">
      <c r="A1164">
        <v>10691</v>
      </c>
      <c r="B1164">
        <v>29</v>
      </c>
      <c r="C1164">
        <v>12379</v>
      </c>
      <c r="D1164">
        <v>40</v>
      </c>
      <c r="E1164">
        <v>0</v>
      </c>
    </row>
    <row r="1165" spans="1:5" x14ac:dyDescent="0.3">
      <c r="A1165">
        <v>10691</v>
      </c>
      <c r="B1165">
        <v>43</v>
      </c>
      <c r="C1165">
        <v>46</v>
      </c>
      <c r="D1165">
        <v>40</v>
      </c>
      <c r="E1165">
        <v>0</v>
      </c>
    </row>
    <row r="1166" spans="1:5" x14ac:dyDescent="0.3">
      <c r="A1166">
        <v>10691</v>
      </c>
      <c r="B1166">
        <v>44</v>
      </c>
      <c r="C1166">
        <v>1945</v>
      </c>
      <c r="D1166">
        <v>24</v>
      </c>
      <c r="E1166">
        <v>0</v>
      </c>
    </row>
    <row r="1167" spans="1:5" x14ac:dyDescent="0.3">
      <c r="A1167">
        <v>10691</v>
      </c>
      <c r="B1167">
        <v>62</v>
      </c>
      <c r="C1167">
        <v>493</v>
      </c>
      <c r="D1167">
        <v>48</v>
      </c>
      <c r="E1167">
        <v>0</v>
      </c>
    </row>
    <row r="1168" spans="1:5" x14ac:dyDescent="0.3">
      <c r="A1168">
        <v>10692</v>
      </c>
      <c r="B1168">
        <v>63</v>
      </c>
      <c r="C1168">
        <v>439</v>
      </c>
      <c r="D1168">
        <v>20</v>
      </c>
      <c r="E1168">
        <v>0</v>
      </c>
    </row>
    <row r="1169" spans="1:5" x14ac:dyDescent="0.3">
      <c r="A1169">
        <v>10693</v>
      </c>
      <c r="B1169">
        <v>9</v>
      </c>
      <c r="C1169">
        <v>97</v>
      </c>
      <c r="D1169">
        <v>6</v>
      </c>
      <c r="E1169">
        <v>0</v>
      </c>
    </row>
    <row r="1170" spans="1:5" x14ac:dyDescent="0.3">
      <c r="A1170">
        <v>10693</v>
      </c>
      <c r="B1170">
        <v>54</v>
      </c>
      <c r="C1170">
        <v>745</v>
      </c>
      <c r="D1170">
        <v>60</v>
      </c>
      <c r="E1170">
        <v>15</v>
      </c>
    </row>
    <row r="1171" spans="1:5" x14ac:dyDescent="0.3">
      <c r="A1171">
        <v>10693</v>
      </c>
      <c r="B1171">
        <v>69</v>
      </c>
      <c r="C1171">
        <v>36</v>
      </c>
      <c r="D1171">
        <v>30</v>
      </c>
      <c r="E1171">
        <v>15</v>
      </c>
    </row>
    <row r="1172" spans="1:5" x14ac:dyDescent="0.3">
      <c r="A1172">
        <v>10693</v>
      </c>
      <c r="B1172">
        <v>73</v>
      </c>
      <c r="C1172">
        <v>15</v>
      </c>
      <c r="D1172">
        <v>15</v>
      </c>
      <c r="E1172">
        <v>15</v>
      </c>
    </row>
    <row r="1173" spans="1:5" x14ac:dyDescent="0.3">
      <c r="A1173">
        <v>10694</v>
      </c>
      <c r="B1173">
        <v>7</v>
      </c>
      <c r="C1173">
        <v>30</v>
      </c>
      <c r="D1173">
        <v>90</v>
      </c>
      <c r="E1173">
        <v>0</v>
      </c>
    </row>
    <row r="1174" spans="1:5" x14ac:dyDescent="0.3">
      <c r="A1174">
        <v>10694</v>
      </c>
      <c r="B1174">
        <v>59</v>
      </c>
      <c r="C1174">
        <v>55</v>
      </c>
      <c r="D1174">
        <v>25</v>
      </c>
      <c r="E1174">
        <v>0</v>
      </c>
    </row>
    <row r="1175" spans="1:5" x14ac:dyDescent="0.3">
      <c r="A1175">
        <v>10694</v>
      </c>
      <c r="B1175">
        <v>70</v>
      </c>
      <c r="C1175">
        <v>15</v>
      </c>
      <c r="D1175">
        <v>50</v>
      </c>
      <c r="E1175">
        <v>0</v>
      </c>
    </row>
    <row r="1176" spans="1:5" x14ac:dyDescent="0.3">
      <c r="A1176">
        <v>10695</v>
      </c>
      <c r="B1176">
        <v>8</v>
      </c>
      <c r="C1176">
        <v>40</v>
      </c>
      <c r="D1176">
        <v>10</v>
      </c>
      <c r="E1176">
        <v>0</v>
      </c>
    </row>
    <row r="1177" spans="1:5" x14ac:dyDescent="0.3">
      <c r="A1177">
        <v>10695</v>
      </c>
      <c r="B1177">
        <v>12</v>
      </c>
      <c r="C1177">
        <v>38</v>
      </c>
      <c r="D1177">
        <v>4</v>
      </c>
      <c r="E1177">
        <v>0</v>
      </c>
    </row>
    <row r="1178" spans="1:5" x14ac:dyDescent="0.3">
      <c r="A1178">
        <v>10695</v>
      </c>
      <c r="B1178">
        <v>24</v>
      </c>
      <c r="C1178">
        <v>45</v>
      </c>
      <c r="D1178">
        <v>20</v>
      </c>
      <c r="E1178">
        <v>0</v>
      </c>
    </row>
    <row r="1179" spans="1:5" x14ac:dyDescent="0.3">
      <c r="A1179">
        <v>10696</v>
      </c>
      <c r="B1179">
        <v>17</v>
      </c>
      <c r="C1179">
        <v>39</v>
      </c>
      <c r="D1179">
        <v>20</v>
      </c>
      <c r="E1179">
        <v>0</v>
      </c>
    </row>
    <row r="1180" spans="1:5" x14ac:dyDescent="0.3">
      <c r="A1180">
        <v>10696</v>
      </c>
      <c r="B1180">
        <v>46</v>
      </c>
      <c r="C1180">
        <v>12</v>
      </c>
      <c r="D1180">
        <v>18</v>
      </c>
      <c r="E1180">
        <v>0</v>
      </c>
    </row>
    <row r="1181" spans="1:5" x14ac:dyDescent="0.3">
      <c r="A1181">
        <v>10697</v>
      </c>
      <c r="B1181">
        <v>19</v>
      </c>
      <c r="C1181">
        <v>92</v>
      </c>
      <c r="D1181">
        <v>7</v>
      </c>
      <c r="E1181">
        <v>25</v>
      </c>
    </row>
    <row r="1182" spans="1:5" x14ac:dyDescent="0.3">
      <c r="A1182">
        <v>10697</v>
      </c>
      <c r="B1182">
        <v>35</v>
      </c>
      <c r="C1182">
        <v>18</v>
      </c>
      <c r="D1182">
        <v>9</v>
      </c>
      <c r="E1182">
        <v>25</v>
      </c>
    </row>
    <row r="1183" spans="1:5" x14ac:dyDescent="0.3">
      <c r="A1183">
        <v>10697</v>
      </c>
      <c r="B1183">
        <v>58</v>
      </c>
      <c r="C1183">
        <v>1325</v>
      </c>
      <c r="D1183">
        <v>30</v>
      </c>
      <c r="E1183">
        <v>25</v>
      </c>
    </row>
    <row r="1184" spans="1:5" x14ac:dyDescent="0.3">
      <c r="A1184">
        <v>10697</v>
      </c>
      <c r="B1184">
        <v>70</v>
      </c>
      <c r="C1184">
        <v>15</v>
      </c>
      <c r="D1184">
        <v>30</v>
      </c>
      <c r="E1184">
        <v>25</v>
      </c>
    </row>
    <row r="1185" spans="1:5" x14ac:dyDescent="0.3">
      <c r="A1185">
        <v>10698</v>
      </c>
      <c r="B1185">
        <v>11</v>
      </c>
      <c r="C1185">
        <v>21</v>
      </c>
      <c r="D1185">
        <v>15</v>
      </c>
      <c r="E1185">
        <v>0</v>
      </c>
    </row>
    <row r="1186" spans="1:5" x14ac:dyDescent="0.3">
      <c r="A1186">
        <v>10698</v>
      </c>
      <c r="B1186">
        <v>17</v>
      </c>
      <c r="C1186">
        <v>39</v>
      </c>
      <c r="D1186">
        <v>8</v>
      </c>
      <c r="E1186">
        <v>5</v>
      </c>
    </row>
    <row r="1187" spans="1:5" x14ac:dyDescent="0.3">
      <c r="A1187">
        <v>10698</v>
      </c>
      <c r="B1187">
        <v>29</v>
      </c>
      <c r="C1187">
        <v>12379</v>
      </c>
      <c r="D1187">
        <v>12</v>
      </c>
      <c r="E1187">
        <v>5</v>
      </c>
    </row>
    <row r="1188" spans="1:5" x14ac:dyDescent="0.3">
      <c r="A1188">
        <v>10698</v>
      </c>
      <c r="B1188">
        <v>65</v>
      </c>
      <c r="C1188">
        <v>2105</v>
      </c>
      <c r="D1188">
        <v>65</v>
      </c>
      <c r="E1188">
        <v>5</v>
      </c>
    </row>
    <row r="1189" spans="1:5" x14ac:dyDescent="0.3">
      <c r="A1189">
        <v>10698</v>
      </c>
      <c r="B1189">
        <v>70</v>
      </c>
      <c r="C1189">
        <v>15</v>
      </c>
      <c r="D1189">
        <v>8</v>
      </c>
      <c r="E1189">
        <v>5</v>
      </c>
    </row>
    <row r="1190" spans="1:5" x14ac:dyDescent="0.3">
      <c r="A1190">
        <v>10699</v>
      </c>
      <c r="B1190">
        <v>47</v>
      </c>
      <c r="C1190">
        <v>95</v>
      </c>
      <c r="D1190">
        <v>12</v>
      </c>
      <c r="E1190">
        <v>0</v>
      </c>
    </row>
    <row r="1191" spans="1:5" x14ac:dyDescent="0.3">
      <c r="A1191">
        <v>10700</v>
      </c>
      <c r="B1191">
        <v>1</v>
      </c>
      <c r="C1191">
        <v>18</v>
      </c>
      <c r="D1191">
        <v>5</v>
      </c>
      <c r="E1191">
        <v>2</v>
      </c>
    </row>
    <row r="1192" spans="1:5" x14ac:dyDescent="0.3">
      <c r="A1192">
        <v>10700</v>
      </c>
      <c r="B1192">
        <v>34</v>
      </c>
      <c r="C1192">
        <v>14</v>
      </c>
      <c r="D1192">
        <v>12</v>
      </c>
      <c r="E1192">
        <v>2</v>
      </c>
    </row>
    <row r="1193" spans="1:5" x14ac:dyDescent="0.3">
      <c r="A1193">
        <v>10700</v>
      </c>
      <c r="B1193">
        <v>68</v>
      </c>
      <c r="C1193">
        <v>125</v>
      </c>
      <c r="D1193">
        <v>40</v>
      </c>
      <c r="E1193">
        <v>2</v>
      </c>
    </row>
    <row r="1194" spans="1:5" x14ac:dyDescent="0.3">
      <c r="A1194">
        <v>10700</v>
      </c>
      <c r="B1194">
        <v>71</v>
      </c>
      <c r="C1194">
        <v>215</v>
      </c>
      <c r="D1194">
        <v>60</v>
      </c>
      <c r="E1194">
        <v>2</v>
      </c>
    </row>
    <row r="1195" spans="1:5" x14ac:dyDescent="0.3">
      <c r="A1195">
        <v>10701</v>
      </c>
      <c r="B1195">
        <v>59</v>
      </c>
      <c r="C1195">
        <v>55</v>
      </c>
      <c r="D1195">
        <v>42</v>
      </c>
      <c r="E1195">
        <v>15</v>
      </c>
    </row>
    <row r="1196" spans="1:5" x14ac:dyDescent="0.3">
      <c r="A1196">
        <v>10701</v>
      </c>
      <c r="B1196">
        <v>71</v>
      </c>
      <c r="C1196">
        <v>215</v>
      </c>
      <c r="D1196">
        <v>20</v>
      </c>
      <c r="E1196">
        <v>15</v>
      </c>
    </row>
    <row r="1197" spans="1:5" x14ac:dyDescent="0.3">
      <c r="A1197">
        <v>10701</v>
      </c>
      <c r="B1197">
        <v>76</v>
      </c>
      <c r="C1197">
        <v>18</v>
      </c>
      <c r="D1197">
        <v>35</v>
      </c>
      <c r="E1197">
        <v>15</v>
      </c>
    </row>
    <row r="1198" spans="1:5" x14ac:dyDescent="0.3">
      <c r="A1198">
        <v>10702</v>
      </c>
      <c r="B1198">
        <v>3</v>
      </c>
      <c r="C1198">
        <v>10</v>
      </c>
      <c r="D1198">
        <v>6</v>
      </c>
      <c r="E1198">
        <v>0</v>
      </c>
    </row>
    <row r="1199" spans="1:5" x14ac:dyDescent="0.3">
      <c r="A1199">
        <v>10702</v>
      </c>
      <c r="B1199">
        <v>76</v>
      </c>
      <c r="C1199">
        <v>18</v>
      </c>
      <c r="D1199">
        <v>15</v>
      </c>
      <c r="E1199">
        <v>0</v>
      </c>
    </row>
    <row r="1200" spans="1:5" x14ac:dyDescent="0.3">
      <c r="A1200">
        <v>10703</v>
      </c>
      <c r="B1200">
        <v>2</v>
      </c>
      <c r="C1200">
        <v>19</v>
      </c>
      <c r="D1200">
        <v>5</v>
      </c>
      <c r="E1200">
        <v>0</v>
      </c>
    </row>
    <row r="1201" spans="1:5" x14ac:dyDescent="0.3">
      <c r="A1201">
        <v>10703</v>
      </c>
      <c r="B1201">
        <v>59</v>
      </c>
      <c r="C1201">
        <v>55</v>
      </c>
      <c r="D1201">
        <v>35</v>
      </c>
      <c r="E1201">
        <v>0</v>
      </c>
    </row>
    <row r="1202" spans="1:5" x14ac:dyDescent="0.3">
      <c r="A1202">
        <v>10703</v>
      </c>
      <c r="B1202">
        <v>73</v>
      </c>
      <c r="C1202">
        <v>15</v>
      </c>
      <c r="D1202">
        <v>35</v>
      </c>
      <c r="E1202">
        <v>0</v>
      </c>
    </row>
    <row r="1203" spans="1:5" x14ac:dyDescent="0.3">
      <c r="A1203">
        <v>10704</v>
      </c>
      <c r="B1203">
        <v>4</v>
      </c>
      <c r="C1203">
        <v>22</v>
      </c>
      <c r="D1203">
        <v>6</v>
      </c>
      <c r="E1203">
        <v>0</v>
      </c>
    </row>
    <row r="1204" spans="1:5" x14ac:dyDescent="0.3">
      <c r="A1204">
        <v>10704</v>
      </c>
      <c r="B1204">
        <v>24</v>
      </c>
      <c r="C1204">
        <v>45</v>
      </c>
      <c r="D1204">
        <v>35</v>
      </c>
      <c r="E1204">
        <v>0</v>
      </c>
    </row>
    <row r="1205" spans="1:5" x14ac:dyDescent="0.3">
      <c r="A1205">
        <v>10704</v>
      </c>
      <c r="B1205">
        <v>48</v>
      </c>
      <c r="C1205">
        <v>1275</v>
      </c>
      <c r="D1205">
        <v>24</v>
      </c>
      <c r="E1205">
        <v>0</v>
      </c>
    </row>
    <row r="1206" spans="1:5" x14ac:dyDescent="0.3">
      <c r="A1206">
        <v>10705</v>
      </c>
      <c r="B1206">
        <v>31</v>
      </c>
      <c r="C1206">
        <v>125</v>
      </c>
      <c r="D1206">
        <v>20</v>
      </c>
      <c r="E1206">
        <v>0</v>
      </c>
    </row>
    <row r="1207" spans="1:5" x14ac:dyDescent="0.3">
      <c r="A1207">
        <v>10705</v>
      </c>
      <c r="B1207">
        <v>32</v>
      </c>
      <c r="C1207">
        <v>32</v>
      </c>
      <c r="D1207">
        <v>4</v>
      </c>
      <c r="E1207">
        <v>0</v>
      </c>
    </row>
    <row r="1208" spans="1:5" x14ac:dyDescent="0.3">
      <c r="A1208">
        <v>10706</v>
      </c>
      <c r="B1208">
        <v>16</v>
      </c>
      <c r="C1208">
        <v>1745</v>
      </c>
      <c r="D1208">
        <v>20</v>
      </c>
      <c r="E1208">
        <v>0</v>
      </c>
    </row>
    <row r="1209" spans="1:5" x14ac:dyDescent="0.3">
      <c r="A1209">
        <v>10706</v>
      </c>
      <c r="B1209">
        <v>43</v>
      </c>
      <c r="C1209">
        <v>46</v>
      </c>
      <c r="D1209">
        <v>24</v>
      </c>
      <c r="E1209">
        <v>0</v>
      </c>
    </row>
    <row r="1210" spans="1:5" x14ac:dyDescent="0.3">
      <c r="A1210">
        <v>10706</v>
      </c>
      <c r="B1210">
        <v>59</v>
      </c>
      <c r="C1210">
        <v>55</v>
      </c>
      <c r="D1210">
        <v>8</v>
      </c>
      <c r="E1210">
        <v>0</v>
      </c>
    </row>
    <row r="1211" spans="1:5" x14ac:dyDescent="0.3">
      <c r="A1211">
        <v>10707</v>
      </c>
      <c r="B1211">
        <v>55</v>
      </c>
      <c r="C1211">
        <v>24</v>
      </c>
      <c r="D1211">
        <v>21</v>
      </c>
      <c r="E1211">
        <v>0</v>
      </c>
    </row>
    <row r="1212" spans="1:5" x14ac:dyDescent="0.3">
      <c r="A1212">
        <v>10707</v>
      </c>
      <c r="B1212">
        <v>57</v>
      </c>
      <c r="C1212">
        <v>195</v>
      </c>
      <c r="D1212">
        <v>40</v>
      </c>
      <c r="E1212">
        <v>0</v>
      </c>
    </row>
    <row r="1213" spans="1:5" x14ac:dyDescent="0.3">
      <c r="A1213">
        <v>10707</v>
      </c>
      <c r="B1213">
        <v>70</v>
      </c>
      <c r="C1213">
        <v>15</v>
      </c>
      <c r="D1213">
        <v>28</v>
      </c>
      <c r="E1213">
        <v>15</v>
      </c>
    </row>
    <row r="1214" spans="1:5" x14ac:dyDescent="0.3">
      <c r="A1214">
        <v>10708</v>
      </c>
      <c r="B1214">
        <v>5</v>
      </c>
      <c r="C1214">
        <v>2135</v>
      </c>
      <c r="D1214">
        <v>4</v>
      </c>
      <c r="E1214">
        <v>0</v>
      </c>
    </row>
    <row r="1215" spans="1:5" x14ac:dyDescent="0.3">
      <c r="A1215">
        <v>10708</v>
      </c>
      <c r="B1215">
        <v>36</v>
      </c>
      <c r="C1215">
        <v>19</v>
      </c>
      <c r="D1215">
        <v>5</v>
      </c>
      <c r="E1215">
        <v>0</v>
      </c>
    </row>
    <row r="1216" spans="1:5" x14ac:dyDescent="0.3">
      <c r="A1216">
        <v>10709</v>
      </c>
      <c r="B1216">
        <v>8</v>
      </c>
      <c r="C1216">
        <v>40</v>
      </c>
      <c r="D1216">
        <v>40</v>
      </c>
      <c r="E1216">
        <v>0</v>
      </c>
    </row>
    <row r="1217" spans="1:5" x14ac:dyDescent="0.3">
      <c r="A1217">
        <v>10709</v>
      </c>
      <c r="B1217">
        <v>51</v>
      </c>
      <c r="C1217">
        <v>53</v>
      </c>
      <c r="D1217">
        <v>28</v>
      </c>
      <c r="E1217">
        <v>0</v>
      </c>
    </row>
    <row r="1218" spans="1:5" x14ac:dyDescent="0.3">
      <c r="A1218">
        <v>10709</v>
      </c>
      <c r="B1218">
        <v>60</v>
      </c>
      <c r="C1218">
        <v>34</v>
      </c>
      <c r="D1218">
        <v>10</v>
      </c>
      <c r="E1218">
        <v>0</v>
      </c>
    </row>
    <row r="1219" spans="1:5" x14ac:dyDescent="0.3">
      <c r="A1219">
        <v>10710</v>
      </c>
      <c r="B1219">
        <v>19</v>
      </c>
      <c r="C1219">
        <v>92</v>
      </c>
      <c r="D1219">
        <v>5</v>
      </c>
      <c r="E1219">
        <v>0</v>
      </c>
    </row>
    <row r="1220" spans="1:5" x14ac:dyDescent="0.3">
      <c r="A1220">
        <v>10710</v>
      </c>
      <c r="B1220">
        <v>47</v>
      </c>
      <c r="C1220">
        <v>95</v>
      </c>
      <c r="D1220">
        <v>5</v>
      </c>
      <c r="E1220">
        <v>0</v>
      </c>
    </row>
    <row r="1221" spans="1:5" x14ac:dyDescent="0.3">
      <c r="A1221">
        <v>10711</v>
      </c>
      <c r="B1221">
        <v>19</v>
      </c>
      <c r="C1221">
        <v>92</v>
      </c>
      <c r="D1221">
        <v>12</v>
      </c>
      <c r="E1221">
        <v>0</v>
      </c>
    </row>
    <row r="1222" spans="1:5" x14ac:dyDescent="0.3">
      <c r="A1222">
        <v>10711</v>
      </c>
      <c r="B1222">
        <v>41</v>
      </c>
      <c r="C1222">
        <v>965</v>
      </c>
      <c r="D1222">
        <v>42</v>
      </c>
      <c r="E1222">
        <v>0</v>
      </c>
    </row>
    <row r="1223" spans="1:5" x14ac:dyDescent="0.3">
      <c r="A1223">
        <v>10711</v>
      </c>
      <c r="B1223">
        <v>53</v>
      </c>
      <c r="C1223">
        <v>328</v>
      </c>
      <c r="D1223">
        <v>120</v>
      </c>
      <c r="E1223">
        <v>0</v>
      </c>
    </row>
    <row r="1224" spans="1:5" x14ac:dyDescent="0.3">
      <c r="A1224">
        <v>10712</v>
      </c>
      <c r="B1224">
        <v>53</v>
      </c>
      <c r="C1224">
        <v>328</v>
      </c>
      <c r="D1224">
        <v>3</v>
      </c>
      <c r="E1224">
        <v>5</v>
      </c>
    </row>
    <row r="1225" spans="1:5" x14ac:dyDescent="0.3">
      <c r="A1225">
        <v>10712</v>
      </c>
      <c r="B1225">
        <v>56</v>
      </c>
      <c r="C1225">
        <v>38</v>
      </c>
      <c r="D1225">
        <v>30</v>
      </c>
      <c r="E1225">
        <v>0</v>
      </c>
    </row>
    <row r="1226" spans="1:5" x14ac:dyDescent="0.3">
      <c r="A1226">
        <v>10713</v>
      </c>
      <c r="B1226">
        <v>10</v>
      </c>
      <c r="C1226">
        <v>31</v>
      </c>
      <c r="D1226">
        <v>18</v>
      </c>
      <c r="E1226">
        <v>0</v>
      </c>
    </row>
    <row r="1227" spans="1:5" x14ac:dyDescent="0.3">
      <c r="A1227">
        <v>10713</v>
      </c>
      <c r="B1227">
        <v>26</v>
      </c>
      <c r="C1227">
        <v>3123</v>
      </c>
      <c r="D1227">
        <v>30</v>
      </c>
      <c r="E1227">
        <v>0</v>
      </c>
    </row>
    <row r="1228" spans="1:5" x14ac:dyDescent="0.3">
      <c r="A1228">
        <v>10713</v>
      </c>
      <c r="B1228">
        <v>45</v>
      </c>
      <c r="C1228">
        <v>95</v>
      </c>
      <c r="D1228">
        <v>110</v>
      </c>
      <c r="E1228">
        <v>0</v>
      </c>
    </row>
    <row r="1229" spans="1:5" x14ac:dyDescent="0.3">
      <c r="A1229">
        <v>10713</v>
      </c>
      <c r="B1229">
        <v>46</v>
      </c>
      <c r="C1229">
        <v>12</v>
      </c>
      <c r="D1229">
        <v>24</v>
      </c>
      <c r="E1229">
        <v>0</v>
      </c>
    </row>
    <row r="1230" spans="1:5" x14ac:dyDescent="0.3">
      <c r="A1230">
        <v>10714</v>
      </c>
      <c r="B1230">
        <v>2</v>
      </c>
      <c r="C1230">
        <v>19</v>
      </c>
      <c r="D1230">
        <v>30</v>
      </c>
      <c r="E1230">
        <v>25</v>
      </c>
    </row>
    <row r="1231" spans="1:5" x14ac:dyDescent="0.3">
      <c r="A1231">
        <v>10714</v>
      </c>
      <c r="B1231">
        <v>17</v>
      </c>
      <c r="C1231">
        <v>39</v>
      </c>
      <c r="D1231">
        <v>27</v>
      </c>
      <c r="E1231">
        <v>25</v>
      </c>
    </row>
    <row r="1232" spans="1:5" x14ac:dyDescent="0.3">
      <c r="A1232">
        <v>10714</v>
      </c>
      <c r="B1232">
        <v>47</v>
      </c>
      <c r="C1232">
        <v>95</v>
      </c>
      <c r="D1232">
        <v>50</v>
      </c>
      <c r="E1232">
        <v>25</v>
      </c>
    </row>
    <row r="1233" spans="1:5" x14ac:dyDescent="0.3">
      <c r="A1233">
        <v>10714</v>
      </c>
      <c r="B1233">
        <v>56</v>
      </c>
      <c r="C1233">
        <v>38</v>
      </c>
      <c r="D1233">
        <v>18</v>
      </c>
      <c r="E1233">
        <v>25</v>
      </c>
    </row>
    <row r="1234" spans="1:5" x14ac:dyDescent="0.3">
      <c r="A1234">
        <v>10714</v>
      </c>
      <c r="B1234">
        <v>58</v>
      </c>
      <c r="C1234">
        <v>1325</v>
      </c>
      <c r="D1234">
        <v>12</v>
      </c>
      <c r="E1234">
        <v>25</v>
      </c>
    </row>
    <row r="1235" spans="1:5" x14ac:dyDescent="0.3">
      <c r="A1235">
        <v>10715</v>
      </c>
      <c r="B1235">
        <v>10</v>
      </c>
      <c r="C1235">
        <v>31</v>
      </c>
      <c r="D1235">
        <v>21</v>
      </c>
      <c r="E1235">
        <v>0</v>
      </c>
    </row>
    <row r="1236" spans="1:5" x14ac:dyDescent="0.3">
      <c r="A1236">
        <v>10715</v>
      </c>
      <c r="B1236">
        <v>71</v>
      </c>
      <c r="C1236">
        <v>215</v>
      </c>
      <c r="D1236">
        <v>30</v>
      </c>
      <c r="E1236">
        <v>0</v>
      </c>
    </row>
    <row r="1237" spans="1:5" x14ac:dyDescent="0.3">
      <c r="A1237">
        <v>10716</v>
      </c>
      <c r="B1237">
        <v>21</v>
      </c>
      <c r="C1237">
        <v>10</v>
      </c>
      <c r="D1237">
        <v>5</v>
      </c>
      <c r="E1237">
        <v>0</v>
      </c>
    </row>
    <row r="1238" spans="1:5" x14ac:dyDescent="0.3">
      <c r="A1238">
        <v>10716</v>
      </c>
      <c r="B1238">
        <v>51</v>
      </c>
      <c r="C1238">
        <v>53</v>
      </c>
      <c r="D1238">
        <v>7</v>
      </c>
      <c r="E1238">
        <v>0</v>
      </c>
    </row>
    <row r="1239" spans="1:5" x14ac:dyDescent="0.3">
      <c r="A1239">
        <v>10716</v>
      </c>
      <c r="B1239">
        <v>61</v>
      </c>
      <c r="C1239">
        <v>285</v>
      </c>
      <c r="D1239">
        <v>10</v>
      </c>
      <c r="E1239">
        <v>0</v>
      </c>
    </row>
    <row r="1240" spans="1:5" x14ac:dyDescent="0.3">
      <c r="A1240">
        <v>10717</v>
      </c>
      <c r="B1240">
        <v>21</v>
      </c>
      <c r="C1240">
        <v>10</v>
      </c>
      <c r="D1240">
        <v>32</v>
      </c>
      <c r="E1240">
        <v>5</v>
      </c>
    </row>
    <row r="1241" spans="1:5" x14ac:dyDescent="0.3">
      <c r="A1241">
        <v>10717</v>
      </c>
      <c r="B1241">
        <v>54</v>
      </c>
      <c r="C1241">
        <v>745</v>
      </c>
      <c r="D1241">
        <v>15</v>
      </c>
      <c r="E1241">
        <v>0</v>
      </c>
    </row>
    <row r="1242" spans="1:5" x14ac:dyDescent="0.3">
      <c r="A1242">
        <v>10717</v>
      </c>
      <c r="B1242">
        <v>69</v>
      </c>
      <c r="C1242">
        <v>36</v>
      </c>
      <c r="D1242">
        <v>25</v>
      </c>
      <c r="E1242">
        <v>5</v>
      </c>
    </row>
    <row r="1243" spans="1:5" x14ac:dyDescent="0.3">
      <c r="A1243">
        <v>10718</v>
      </c>
      <c r="B1243">
        <v>12</v>
      </c>
      <c r="C1243">
        <v>38</v>
      </c>
      <c r="D1243">
        <v>36</v>
      </c>
      <c r="E1243">
        <v>0</v>
      </c>
    </row>
    <row r="1244" spans="1:5" x14ac:dyDescent="0.3">
      <c r="A1244">
        <v>10718</v>
      </c>
      <c r="B1244">
        <v>16</v>
      </c>
      <c r="C1244">
        <v>1745</v>
      </c>
      <c r="D1244">
        <v>20</v>
      </c>
      <c r="E1244">
        <v>0</v>
      </c>
    </row>
    <row r="1245" spans="1:5" x14ac:dyDescent="0.3">
      <c r="A1245">
        <v>10718</v>
      </c>
      <c r="B1245">
        <v>36</v>
      </c>
      <c r="C1245">
        <v>19</v>
      </c>
      <c r="D1245">
        <v>40</v>
      </c>
      <c r="E1245">
        <v>0</v>
      </c>
    </row>
    <row r="1246" spans="1:5" x14ac:dyDescent="0.3">
      <c r="A1246">
        <v>10718</v>
      </c>
      <c r="B1246">
        <v>62</v>
      </c>
      <c r="C1246">
        <v>493</v>
      </c>
      <c r="D1246">
        <v>20</v>
      </c>
      <c r="E1246">
        <v>0</v>
      </c>
    </row>
    <row r="1247" spans="1:5" x14ac:dyDescent="0.3">
      <c r="A1247">
        <v>10719</v>
      </c>
      <c r="B1247">
        <v>18</v>
      </c>
      <c r="C1247">
        <v>625</v>
      </c>
      <c r="D1247">
        <v>12</v>
      </c>
      <c r="E1247">
        <v>25</v>
      </c>
    </row>
    <row r="1248" spans="1:5" x14ac:dyDescent="0.3">
      <c r="A1248">
        <v>10719</v>
      </c>
      <c r="B1248">
        <v>30</v>
      </c>
      <c r="C1248">
        <v>2589</v>
      </c>
      <c r="D1248">
        <v>3</v>
      </c>
      <c r="E1248">
        <v>25</v>
      </c>
    </row>
    <row r="1249" spans="1:5" x14ac:dyDescent="0.3">
      <c r="A1249">
        <v>10719</v>
      </c>
      <c r="B1249">
        <v>54</v>
      </c>
      <c r="C1249">
        <v>745</v>
      </c>
      <c r="D1249">
        <v>40</v>
      </c>
      <c r="E1249">
        <v>25</v>
      </c>
    </row>
    <row r="1250" spans="1:5" x14ac:dyDescent="0.3">
      <c r="A1250">
        <v>10720</v>
      </c>
      <c r="B1250">
        <v>35</v>
      </c>
      <c r="C1250">
        <v>18</v>
      </c>
      <c r="D1250">
        <v>21</v>
      </c>
      <c r="E1250">
        <v>0</v>
      </c>
    </row>
    <row r="1251" spans="1:5" x14ac:dyDescent="0.3">
      <c r="A1251">
        <v>10720</v>
      </c>
      <c r="B1251">
        <v>71</v>
      </c>
      <c r="C1251">
        <v>215</v>
      </c>
      <c r="D1251">
        <v>8</v>
      </c>
      <c r="E1251">
        <v>0</v>
      </c>
    </row>
    <row r="1252" spans="1:5" x14ac:dyDescent="0.3">
      <c r="A1252">
        <v>10721</v>
      </c>
      <c r="B1252">
        <v>44</v>
      </c>
      <c r="C1252">
        <v>1945</v>
      </c>
      <c r="D1252">
        <v>50</v>
      </c>
      <c r="E1252">
        <v>5</v>
      </c>
    </row>
    <row r="1253" spans="1:5" x14ac:dyDescent="0.3">
      <c r="A1253">
        <v>10722</v>
      </c>
      <c r="B1253">
        <v>2</v>
      </c>
      <c r="C1253">
        <v>19</v>
      </c>
      <c r="D1253">
        <v>3</v>
      </c>
      <c r="E1253">
        <v>0</v>
      </c>
    </row>
    <row r="1254" spans="1:5" x14ac:dyDescent="0.3">
      <c r="A1254">
        <v>10722</v>
      </c>
      <c r="B1254">
        <v>31</v>
      </c>
      <c r="C1254">
        <v>125</v>
      </c>
      <c r="D1254">
        <v>50</v>
      </c>
      <c r="E1254">
        <v>0</v>
      </c>
    </row>
    <row r="1255" spans="1:5" x14ac:dyDescent="0.3">
      <c r="A1255">
        <v>10722</v>
      </c>
      <c r="B1255">
        <v>68</v>
      </c>
      <c r="C1255">
        <v>125</v>
      </c>
      <c r="D1255">
        <v>45</v>
      </c>
      <c r="E1255">
        <v>0</v>
      </c>
    </row>
    <row r="1256" spans="1:5" x14ac:dyDescent="0.3">
      <c r="A1256">
        <v>10722</v>
      </c>
      <c r="B1256">
        <v>75</v>
      </c>
      <c r="C1256">
        <v>775</v>
      </c>
      <c r="D1256">
        <v>42</v>
      </c>
      <c r="E1256">
        <v>0</v>
      </c>
    </row>
    <row r="1257" spans="1:5" x14ac:dyDescent="0.3">
      <c r="A1257">
        <v>10723</v>
      </c>
      <c r="B1257">
        <v>26</v>
      </c>
      <c r="C1257">
        <v>3123</v>
      </c>
      <c r="D1257">
        <v>15</v>
      </c>
      <c r="E1257">
        <v>0</v>
      </c>
    </row>
    <row r="1258" spans="1:5" x14ac:dyDescent="0.3">
      <c r="A1258">
        <v>10724</v>
      </c>
      <c r="B1258">
        <v>10</v>
      </c>
      <c r="C1258">
        <v>31</v>
      </c>
      <c r="D1258">
        <v>16</v>
      </c>
      <c r="E1258">
        <v>0</v>
      </c>
    </row>
    <row r="1259" spans="1:5" x14ac:dyDescent="0.3">
      <c r="A1259">
        <v>10724</v>
      </c>
      <c r="B1259">
        <v>61</v>
      </c>
      <c r="C1259">
        <v>285</v>
      </c>
      <c r="D1259">
        <v>5</v>
      </c>
      <c r="E1259">
        <v>0</v>
      </c>
    </row>
    <row r="1260" spans="1:5" x14ac:dyDescent="0.3">
      <c r="A1260">
        <v>10725</v>
      </c>
      <c r="B1260">
        <v>41</v>
      </c>
      <c r="C1260">
        <v>965</v>
      </c>
      <c r="D1260">
        <v>12</v>
      </c>
      <c r="E1260">
        <v>0</v>
      </c>
    </row>
    <row r="1261" spans="1:5" x14ac:dyDescent="0.3">
      <c r="A1261">
        <v>10725</v>
      </c>
      <c r="B1261">
        <v>52</v>
      </c>
      <c r="C1261">
        <v>7</v>
      </c>
      <c r="D1261">
        <v>4</v>
      </c>
      <c r="E1261">
        <v>0</v>
      </c>
    </row>
    <row r="1262" spans="1:5" x14ac:dyDescent="0.3">
      <c r="A1262">
        <v>10725</v>
      </c>
      <c r="B1262">
        <v>55</v>
      </c>
      <c r="C1262">
        <v>24</v>
      </c>
      <c r="D1262">
        <v>6</v>
      </c>
      <c r="E1262">
        <v>0</v>
      </c>
    </row>
    <row r="1263" spans="1:5" x14ac:dyDescent="0.3">
      <c r="A1263">
        <v>10726</v>
      </c>
      <c r="B1263">
        <v>4</v>
      </c>
      <c r="C1263">
        <v>22</v>
      </c>
      <c r="D1263">
        <v>25</v>
      </c>
      <c r="E1263">
        <v>0</v>
      </c>
    </row>
    <row r="1264" spans="1:5" x14ac:dyDescent="0.3">
      <c r="A1264">
        <v>10726</v>
      </c>
      <c r="B1264">
        <v>11</v>
      </c>
      <c r="C1264">
        <v>21</v>
      </c>
      <c r="D1264">
        <v>5</v>
      </c>
      <c r="E1264">
        <v>0</v>
      </c>
    </row>
    <row r="1265" spans="1:5" x14ac:dyDescent="0.3">
      <c r="A1265">
        <v>10727</v>
      </c>
      <c r="B1265">
        <v>17</v>
      </c>
      <c r="C1265">
        <v>39</v>
      </c>
      <c r="D1265">
        <v>20</v>
      </c>
      <c r="E1265">
        <v>5</v>
      </c>
    </row>
    <row r="1266" spans="1:5" x14ac:dyDescent="0.3">
      <c r="A1266">
        <v>10727</v>
      </c>
      <c r="B1266">
        <v>56</v>
      </c>
      <c r="C1266">
        <v>38</v>
      </c>
      <c r="D1266">
        <v>10</v>
      </c>
      <c r="E1266">
        <v>5</v>
      </c>
    </row>
    <row r="1267" spans="1:5" x14ac:dyDescent="0.3">
      <c r="A1267">
        <v>10727</v>
      </c>
      <c r="B1267">
        <v>59</v>
      </c>
      <c r="C1267">
        <v>55</v>
      </c>
      <c r="D1267">
        <v>10</v>
      </c>
      <c r="E1267">
        <v>5</v>
      </c>
    </row>
    <row r="1268" spans="1:5" x14ac:dyDescent="0.3">
      <c r="A1268">
        <v>10728</v>
      </c>
      <c r="B1268">
        <v>30</v>
      </c>
      <c r="C1268">
        <v>2589</v>
      </c>
      <c r="D1268">
        <v>15</v>
      </c>
      <c r="E1268">
        <v>0</v>
      </c>
    </row>
    <row r="1269" spans="1:5" x14ac:dyDescent="0.3">
      <c r="A1269">
        <v>10728</v>
      </c>
      <c r="B1269">
        <v>40</v>
      </c>
      <c r="C1269">
        <v>184</v>
      </c>
      <c r="D1269">
        <v>6</v>
      </c>
      <c r="E1269">
        <v>0</v>
      </c>
    </row>
    <row r="1270" spans="1:5" x14ac:dyDescent="0.3">
      <c r="A1270">
        <v>10728</v>
      </c>
      <c r="B1270">
        <v>55</v>
      </c>
      <c r="C1270">
        <v>24</v>
      </c>
      <c r="D1270">
        <v>12</v>
      </c>
      <c r="E1270">
        <v>0</v>
      </c>
    </row>
    <row r="1271" spans="1:5" x14ac:dyDescent="0.3">
      <c r="A1271">
        <v>10728</v>
      </c>
      <c r="B1271">
        <v>60</v>
      </c>
      <c r="C1271">
        <v>34</v>
      </c>
      <c r="D1271">
        <v>15</v>
      </c>
      <c r="E1271">
        <v>0</v>
      </c>
    </row>
    <row r="1272" spans="1:5" x14ac:dyDescent="0.3">
      <c r="A1272">
        <v>10729</v>
      </c>
      <c r="B1272">
        <v>1</v>
      </c>
      <c r="C1272">
        <v>18</v>
      </c>
      <c r="D1272">
        <v>50</v>
      </c>
      <c r="E1272">
        <v>0</v>
      </c>
    </row>
    <row r="1273" spans="1:5" x14ac:dyDescent="0.3">
      <c r="A1273">
        <v>10729</v>
      </c>
      <c r="B1273">
        <v>21</v>
      </c>
      <c r="C1273">
        <v>10</v>
      </c>
      <c r="D1273">
        <v>30</v>
      </c>
      <c r="E1273">
        <v>0</v>
      </c>
    </row>
    <row r="1274" spans="1:5" x14ac:dyDescent="0.3">
      <c r="A1274">
        <v>10729</v>
      </c>
      <c r="B1274">
        <v>50</v>
      </c>
      <c r="C1274">
        <v>1625</v>
      </c>
      <c r="D1274">
        <v>40</v>
      </c>
      <c r="E1274">
        <v>0</v>
      </c>
    </row>
    <row r="1275" spans="1:5" x14ac:dyDescent="0.3">
      <c r="A1275">
        <v>10730</v>
      </c>
      <c r="B1275">
        <v>16</v>
      </c>
      <c r="C1275">
        <v>1745</v>
      </c>
      <c r="D1275">
        <v>15</v>
      </c>
      <c r="E1275">
        <v>5</v>
      </c>
    </row>
    <row r="1276" spans="1:5" x14ac:dyDescent="0.3">
      <c r="A1276">
        <v>10730</v>
      </c>
      <c r="B1276">
        <v>31</v>
      </c>
      <c r="C1276">
        <v>125</v>
      </c>
      <c r="D1276">
        <v>3</v>
      </c>
      <c r="E1276">
        <v>5</v>
      </c>
    </row>
    <row r="1277" spans="1:5" x14ac:dyDescent="0.3">
      <c r="A1277">
        <v>10730</v>
      </c>
      <c r="B1277">
        <v>65</v>
      </c>
      <c r="C1277">
        <v>2105</v>
      </c>
      <c r="D1277">
        <v>10</v>
      </c>
      <c r="E1277">
        <v>5</v>
      </c>
    </row>
    <row r="1278" spans="1:5" x14ac:dyDescent="0.3">
      <c r="A1278">
        <v>10731</v>
      </c>
      <c r="B1278">
        <v>21</v>
      </c>
      <c r="C1278">
        <v>10</v>
      </c>
      <c r="D1278">
        <v>40</v>
      </c>
      <c r="E1278">
        <v>5</v>
      </c>
    </row>
    <row r="1279" spans="1:5" x14ac:dyDescent="0.3">
      <c r="A1279">
        <v>10731</v>
      </c>
      <c r="B1279">
        <v>51</v>
      </c>
      <c r="C1279">
        <v>53</v>
      </c>
      <c r="D1279">
        <v>30</v>
      </c>
      <c r="E1279">
        <v>5</v>
      </c>
    </row>
    <row r="1280" spans="1:5" x14ac:dyDescent="0.3">
      <c r="A1280">
        <v>10732</v>
      </c>
      <c r="B1280">
        <v>76</v>
      </c>
      <c r="C1280">
        <v>18</v>
      </c>
      <c r="D1280">
        <v>20</v>
      </c>
      <c r="E1280">
        <v>0</v>
      </c>
    </row>
    <row r="1281" spans="1:5" x14ac:dyDescent="0.3">
      <c r="A1281">
        <v>10733</v>
      </c>
      <c r="B1281">
        <v>14</v>
      </c>
      <c r="C1281">
        <v>2325</v>
      </c>
      <c r="D1281">
        <v>16</v>
      </c>
      <c r="E1281">
        <v>0</v>
      </c>
    </row>
    <row r="1282" spans="1:5" x14ac:dyDescent="0.3">
      <c r="A1282">
        <v>10733</v>
      </c>
      <c r="B1282">
        <v>28</v>
      </c>
      <c r="C1282">
        <v>456</v>
      </c>
      <c r="D1282">
        <v>20</v>
      </c>
      <c r="E1282">
        <v>0</v>
      </c>
    </row>
    <row r="1283" spans="1:5" x14ac:dyDescent="0.3">
      <c r="A1283">
        <v>10733</v>
      </c>
      <c r="B1283">
        <v>52</v>
      </c>
      <c r="C1283">
        <v>7</v>
      </c>
      <c r="D1283">
        <v>25</v>
      </c>
      <c r="E1283">
        <v>0</v>
      </c>
    </row>
    <row r="1284" spans="1:5" x14ac:dyDescent="0.3">
      <c r="A1284">
        <v>10734</v>
      </c>
      <c r="B1284">
        <v>6</v>
      </c>
      <c r="C1284">
        <v>25</v>
      </c>
      <c r="D1284">
        <v>30</v>
      </c>
      <c r="E1284">
        <v>0</v>
      </c>
    </row>
    <row r="1285" spans="1:5" x14ac:dyDescent="0.3">
      <c r="A1285">
        <v>10734</v>
      </c>
      <c r="B1285">
        <v>30</v>
      </c>
      <c r="C1285">
        <v>2589</v>
      </c>
      <c r="D1285">
        <v>15</v>
      </c>
      <c r="E1285">
        <v>0</v>
      </c>
    </row>
    <row r="1286" spans="1:5" x14ac:dyDescent="0.3">
      <c r="A1286">
        <v>10734</v>
      </c>
      <c r="B1286">
        <v>76</v>
      </c>
      <c r="C1286">
        <v>18</v>
      </c>
      <c r="D1286">
        <v>20</v>
      </c>
      <c r="E1286">
        <v>0</v>
      </c>
    </row>
    <row r="1287" spans="1:5" x14ac:dyDescent="0.3">
      <c r="A1287">
        <v>10735</v>
      </c>
      <c r="B1287">
        <v>61</v>
      </c>
      <c r="C1287">
        <v>285</v>
      </c>
      <c r="D1287">
        <v>20</v>
      </c>
      <c r="E1287">
        <v>1</v>
      </c>
    </row>
    <row r="1288" spans="1:5" x14ac:dyDescent="0.3">
      <c r="A1288">
        <v>10735</v>
      </c>
      <c r="B1288">
        <v>77</v>
      </c>
      <c r="C1288">
        <v>13</v>
      </c>
      <c r="D1288">
        <v>2</v>
      </c>
      <c r="E1288">
        <v>1</v>
      </c>
    </row>
    <row r="1289" spans="1:5" x14ac:dyDescent="0.3">
      <c r="A1289">
        <v>10736</v>
      </c>
      <c r="B1289">
        <v>65</v>
      </c>
      <c r="C1289">
        <v>2105</v>
      </c>
      <c r="D1289">
        <v>40</v>
      </c>
      <c r="E1289">
        <v>0</v>
      </c>
    </row>
    <row r="1290" spans="1:5" x14ac:dyDescent="0.3">
      <c r="A1290">
        <v>10736</v>
      </c>
      <c r="B1290">
        <v>75</v>
      </c>
      <c r="C1290">
        <v>775</v>
      </c>
      <c r="D1290">
        <v>20</v>
      </c>
      <c r="E1290">
        <v>0</v>
      </c>
    </row>
    <row r="1291" spans="1:5" x14ac:dyDescent="0.3">
      <c r="A1291">
        <v>10737</v>
      </c>
      <c r="B1291">
        <v>13</v>
      </c>
      <c r="C1291">
        <v>6</v>
      </c>
      <c r="D1291">
        <v>4</v>
      </c>
      <c r="E1291">
        <v>0</v>
      </c>
    </row>
    <row r="1292" spans="1:5" x14ac:dyDescent="0.3">
      <c r="A1292">
        <v>10737</v>
      </c>
      <c r="B1292">
        <v>41</v>
      </c>
      <c r="C1292">
        <v>965</v>
      </c>
      <c r="D1292">
        <v>12</v>
      </c>
      <c r="E1292">
        <v>0</v>
      </c>
    </row>
    <row r="1293" spans="1:5" x14ac:dyDescent="0.3">
      <c r="A1293">
        <v>10738</v>
      </c>
      <c r="B1293">
        <v>16</v>
      </c>
      <c r="C1293">
        <v>1745</v>
      </c>
      <c r="D1293">
        <v>3</v>
      </c>
      <c r="E1293">
        <v>0</v>
      </c>
    </row>
    <row r="1294" spans="1:5" x14ac:dyDescent="0.3">
      <c r="A1294">
        <v>10739</v>
      </c>
      <c r="B1294">
        <v>36</v>
      </c>
      <c r="C1294">
        <v>19</v>
      </c>
      <c r="D1294">
        <v>6</v>
      </c>
      <c r="E1294">
        <v>0</v>
      </c>
    </row>
    <row r="1295" spans="1:5" x14ac:dyDescent="0.3">
      <c r="A1295">
        <v>10739</v>
      </c>
      <c r="B1295">
        <v>52</v>
      </c>
      <c r="C1295">
        <v>7</v>
      </c>
      <c r="D1295">
        <v>18</v>
      </c>
      <c r="E1295">
        <v>0</v>
      </c>
    </row>
    <row r="1296" spans="1:5" x14ac:dyDescent="0.3">
      <c r="A1296">
        <v>10740</v>
      </c>
      <c r="B1296">
        <v>28</v>
      </c>
      <c r="C1296">
        <v>456</v>
      </c>
      <c r="D1296">
        <v>5</v>
      </c>
      <c r="E1296">
        <v>2</v>
      </c>
    </row>
    <row r="1297" spans="1:5" x14ac:dyDescent="0.3">
      <c r="A1297">
        <v>10740</v>
      </c>
      <c r="B1297">
        <v>35</v>
      </c>
      <c r="C1297">
        <v>18</v>
      </c>
      <c r="D1297">
        <v>35</v>
      </c>
      <c r="E1297">
        <v>2</v>
      </c>
    </row>
    <row r="1298" spans="1:5" x14ac:dyDescent="0.3">
      <c r="A1298">
        <v>10740</v>
      </c>
      <c r="B1298">
        <v>45</v>
      </c>
      <c r="C1298">
        <v>95</v>
      </c>
      <c r="D1298">
        <v>40</v>
      </c>
      <c r="E1298">
        <v>2</v>
      </c>
    </row>
    <row r="1299" spans="1:5" x14ac:dyDescent="0.3">
      <c r="A1299">
        <v>10740</v>
      </c>
      <c r="B1299">
        <v>56</v>
      </c>
      <c r="C1299">
        <v>38</v>
      </c>
      <c r="D1299">
        <v>14</v>
      </c>
      <c r="E1299">
        <v>2</v>
      </c>
    </row>
    <row r="1300" spans="1:5" x14ac:dyDescent="0.3">
      <c r="A1300">
        <v>10741</v>
      </c>
      <c r="B1300">
        <v>2</v>
      </c>
      <c r="C1300">
        <v>19</v>
      </c>
      <c r="D1300">
        <v>15</v>
      </c>
      <c r="E1300">
        <v>2</v>
      </c>
    </row>
    <row r="1301" spans="1:5" x14ac:dyDescent="0.3">
      <c r="A1301">
        <v>10742</v>
      </c>
      <c r="B1301">
        <v>3</v>
      </c>
      <c r="C1301">
        <v>10</v>
      </c>
      <c r="D1301">
        <v>20</v>
      </c>
      <c r="E1301">
        <v>0</v>
      </c>
    </row>
    <row r="1302" spans="1:5" x14ac:dyDescent="0.3">
      <c r="A1302">
        <v>10742</v>
      </c>
      <c r="B1302">
        <v>60</v>
      </c>
      <c r="C1302">
        <v>34</v>
      </c>
      <c r="D1302">
        <v>50</v>
      </c>
      <c r="E1302">
        <v>0</v>
      </c>
    </row>
    <row r="1303" spans="1:5" x14ac:dyDescent="0.3">
      <c r="A1303">
        <v>10742</v>
      </c>
      <c r="B1303">
        <v>72</v>
      </c>
      <c r="C1303">
        <v>348</v>
      </c>
      <c r="D1303">
        <v>35</v>
      </c>
      <c r="E1303">
        <v>0</v>
      </c>
    </row>
    <row r="1304" spans="1:5" x14ac:dyDescent="0.3">
      <c r="A1304">
        <v>10743</v>
      </c>
      <c r="B1304">
        <v>46</v>
      </c>
      <c r="C1304">
        <v>12</v>
      </c>
      <c r="D1304">
        <v>28</v>
      </c>
      <c r="E1304">
        <v>5</v>
      </c>
    </row>
    <row r="1305" spans="1:5" x14ac:dyDescent="0.3">
      <c r="A1305">
        <v>10744</v>
      </c>
      <c r="B1305">
        <v>40</v>
      </c>
      <c r="C1305">
        <v>184</v>
      </c>
      <c r="D1305">
        <v>50</v>
      </c>
      <c r="E1305">
        <v>2</v>
      </c>
    </row>
    <row r="1306" spans="1:5" x14ac:dyDescent="0.3">
      <c r="A1306">
        <v>10745</v>
      </c>
      <c r="B1306">
        <v>18</v>
      </c>
      <c r="C1306">
        <v>625</v>
      </c>
      <c r="D1306">
        <v>24</v>
      </c>
      <c r="E1306">
        <v>0</v>
      </c>
    </row>
    <row r="1307" spans="1:5" x14ac:dyDescent="0.3">
      <c r="A1307">
        <v>10745</v>
      </c>
      <c r="B1307">
        <v>44</v>
      </c>
      <c r="C1307">
        <v>1945</v>
      </c>
      <c r="D1307">
        <v>16</v>
      </c>
      <c r="E1307">
        <v>0</v>
      </c>
    </row>
    <row r="1308" spans="1:5" x14ac:dyDescent="0.3">
      <c r="A1308">
        <v>10745</v>
      </c>
      <c r="B1308">
        <v>59</v>
      </c>
      <c r="C1308">
        <v>55</v>
      </c>
      <c r="D1308">
        <v>45</v>
      </c>
      <c r="E1308">
        <v>0</v>
      </c>
    </row>
    <row r="1309" spans="1:5" x14ac:dyDescent="0.3">
      <c r="A1309">
        <v>10745</v>
      </c>
      <c r="B1309">
        <v>72</v>
      </c>
      <c r="C1309">
        <v>348</v>
      </c>
      <c r="D1309">
        <v>7</v>
      </c>
      <c r="E1309">
        <v>0</v>
      </c>
    </row>
    <row r="1310" spans="1:5" x14ac:dyDescent="0.3">
      <c r="A1310">
        <v>10746</v>
      </c>
      <c r="B1310">
        <v>13</v>
      </c>
      <c r="C1310">
        <v>6</v>
      </c>
      <c r="D1310">
        <v>6</v>
      </c>
      <c r="E1310">
        <v>0</v>
      </c>
    </row>
    <row r="1311" spans="1:5" x14ac:dyDescent="0.3">
      <c r="A1311">
        <v>10746</v>
      </c>
      <c r="B1311">
        <v>42</v>
      </c>
      <c r="C1311">
        <v>14</v>
      </c>
      <c r="D1311">
        <v>28</v>
      </c>
      <c r="E1311">
        <v>0</v>
      </c>
    </row>
    <row r="1312" spans="1:5" x14ac:dyDescent="0.3">
      <c r="A1312">
        <v>10746</v>
      </c>
      <c r="B1312">
        <v>62</v>
      </c>
      <c r="C1312">
        <v>493</v>
      </c>
      <c r="D1312">
        <v>9</v>
      </c>
      <c r="E1312">
        <v>0</v>
      </c>
    </row>
    <row r="1313" spans="1:5" x14ac:dyDescent="0.3">
      <c r="A1313">
        <v>10746</v>
      </c>
      <c r="B1313">
        <v>69</v>
      </c>
      <c r="C1313">
        <v>36</v>
      </c>
      <c r="D1313">
        <v>40</v>
      </c>
      <c r="E1313">
        <v>0</v>
      </c>
    </row>
    <row r="1314" spans="1:5" x14ac:dyDescent="0.3">
      <c r="A1314">
        <v>10747</v>
      </c>
      <c r="B1314">
        <v>31</v>
      </c>
      <c r="C1314">
        <v>125</v>
      </c>
      <c r="D1314">
        <v>8</v>
      </c>
      <c r="E1314">
        <v>0</v>
      </c>
    </row>
    <row r="1315" spans="1:5" x14ac:dyDescent="0.3">
      <c r="A1315">
        <v>10747</v>
      </c>
      <c r="B1315">
        <v>41</v>
      </c>
      <c r="C1315">
        <v>965</v>
      </c>
      <c r="D1315">
        <v>35</v>
      </c>
      <c r="E1315">
        <v>0</v>
      </c>
    </row>
    <row r="1316" spans="1:5" x14ac:dyDescent="0.3">
      <c r="A1316">
        <v>10747</v>
      </c>
      <c r="B1316">
        <v>63</v>
      </c>
      <c r="C1316">
        <v>439</v>
      </c>
      <c r="D1316">
        <v>9</v>
      </c>
      <c r="E1316">
        <v>0</v>
      </c>
    </row>
    <row r="1317" spans="1:5" x14ac:dyDescent="0.3">
      <c r="A1317">
        <v>10747</v>
      </c>
      <c r="B1317">
        <v>69</v>
      </c>
      <c r="C1317">
        <v>36</v>
      </c>
      <c r="D1317">
        <v>30</v>
      </c>
      <c r="E1317">
        <v>0</v>
      </c>
    </row>
    <row r="1318" spans="1:5" x14ac:dyDescent="0.3">
      <c r="A1318">
        <v>10748</v>
      </c>
      <c r="B1318">
        <v>23</v>
      </c>
      <c r="C1318">
        <v>9</v>
      </c>
      <c r="D1318">
        <v>44</v>
      </c>
      <c r="E1318">
        <v>0</v>
      </c>
    </row>
    <row r="1319" spans="1:5" x14ac:dyDescent="0.3">
      <c r="A1319">
        <v>10748</v>
      </c>
      <c r="B1319">
        <v>40</v>
      </c>
      <c r="C1319">
        <v>184</v>
      </c>
      <c r="D1319">
        <v>40</v>
      </c>
      <c r="E1319">
        <v>0</v>
      </c>
    </row>
    <row r="1320" spans="1:5" x14ac:dyDescent="0.3">
      <c r="A1320">
        <v>10748</v>
      </c>
      <c r="B1320">
        <v>56</v>
      </c>
      <c r="C1320">
        <v>38</v>
      </c>
      <c r="D1320">
        <v>28</v>
      </c>
      <c r="E1320">
        <v>0</v>
      </c>
    </row>
    <row r="1321" spans="1:5" x14ac:dyDescent="0.3">
      <c r="A1321">
        <v>10749</v>
      </c>
      <c r="B1321">
        <v>56</v>
      </c>
      <c r="C1321">
        <v>38</v>
      </c>
      <c r="D1321">
        <v>15</v>
      </c>
      <c r="E1321">
        <v>0</v>
      </c>
    </row>
    <row r="1322" spans="1:5" x14ac:dyDescent="0.3">
      <c r="A1322">
        <v>10749</v>
      </c>
      <c r="B1322">
        <v>59</v>
      </c>
      <c r="C1322">
        <v>55</v>
      </c>
      <c r="D1322">
        <v>6</v>
      </c>
      <c r="E1322">
        <v>0</v>
      </c>
    </row>
    <row r="1323" spans="1:5" x14ac:dyDescent="0.3">
      <c r="A1323">
        <v>10749</v>
      </c>
      <c r="B1323">
        <v>76</v>
      </c>
      <c r="C1323">
        <v>18</v>
      </c>
      <c r="D1323">
        <v>10</v>
      </c>
      <c r="E1323">
        <v>0</v>
      </c>
    </row>
    <row r="1324" spans="1:5" x14ac:dyDescent="0.3">
      <c r="A1324">
        <v>10750</v>
      </c>
      <c r="B1324">
        <v>14</v>
      </c>
      <c r="C1324">
        <v>2325</v>
      </c>
      <c r="D1324">
        <v>5</v>
      </c>
      <c r="E1324">
        <v>15</v>
      </c>
    </row>
    <row r="1325" spans="1:5" x14ac:dyDescent="0.3">
      <c r="A1325">
        <v>10750</v>
      </c>
      <c r="B1325">
        <v>45</v>
      </c>
      <c r="C1325">
        <v>95</v>
      </c>
      <c r="D1325">
        <v>40</v>
      </c>
      <c r="E1325">
        <v>15</v>
      </c>
    </row>
    <row r="1326" spans="1:5" x14ac:dyDescent="0.3">
      <c r="A1326">
        <v>10750</v>
      </c>
      <c r="B1326">
        <v>59</v>
      </c>
      <c r="C1326">
        <v>55</v>
      </c>
      <c r="D1326">
        <v>25</v>
      </c>
      <c r="E1326">
        <v>15</v>
      </c>
    </row>
    <row r="1327" spans="1:5" x14ac:dyDescent="0.3">
      <c r="A1327">
        <v>10751</v>
      </c>
      <c r="B1327">
        <v>26</v>
      </c>
      <c r="C1327">
        <v>3123</v>
      </c>
      <c r="D1327">
        <v>12</v>
      </c>
      <c r="E1327">
        <v>1</v>
      </c>
    </row>
    <row r="1328" spans="1:5" x14ac:dyDescent="0.3">
      <c r="A1328">
        <v>10751</v>
      </c>
      <c r="B1328">
        <v>30</v>
      </c>
      <c r="C1328">
        <v>2589</v>
      </c>
      <c r="D1328">
        <v>30</v>
      </c>
      <c r="E1328">
        <v>0</v>
      </c>
    </row>
    <row r="1329" spans="1:5" x14ac:dyDescent="0.3">
      <c r="A1329">
        <v>10751</v>
      </c>
      <c r="B1329">
        <v>50</v>
      </c>
      <c r="C1329">
        <v>1625</v>
      </c>
      <c r="D1329">
        <v>20</v>
      </c>
      <c r="E1329">
        <v>1</v>
      </c>
    </row>
    <row r="1330" spans="1:5" x14ac:dyDescent="0.3">
      <c r="A1330">
        <v>10751</v>
      </c>
      <c r="B1330">
        <v>73</v>
      </c>
      <c r="C1330">
        <v>15</v>
      </c>
      <c r="D1330">
        <v>15</v>
      </c>
      <c r="E1330">
        <v>0</v>
      </c>
    </row>
    <row r="1331" spans="1:5" x14ac:dyDescent="0.3">
      <c r="A1331">
        <v>10752</v>
      </c>
      <c r="B1331">
        <v>1</v>
      </c>
      <c r="C1331">
        <v>18</v>
      </c>
      <c r="D1331">
        <v>8</v>
      </c>
      <c r="E1331">
        <v>0</v>
      </c>
    </row>
    <row r="1332" spans="1:5" x14ac:dyDescent="0.3">
      <c r="A1332">
        <v>10752</v>
      </c>
      <c r="B1332">
        <v>69</v>
      </c>
      <c r="C1332">
        <v>36</v>
      </c>
      <c r="D1332">
        <v>3</v>
      </c>
      <c r="E1332">
        <v>0</v>
      </c>
    </row>
    <row r="1333" spans="1:5" x14ac:dyDescent="0.3">
      <c r="A1333">
        <v>10753</v>
      </c>
      <c r="B1333">
        <v>45</v>
      </c>
      <c r="C1333">
        <v>95</v>
      </c>
      <c r="D1333">
        <v>4</v>
      </c>
      <c r="E1333">
        <v>0</v>
      </c>
    </row>
    <row r="1334" spans="1:5" x14ac:dyDescent="0.3">
      <c r="A1334">
        <v>10753</v>
      </c>
      <c r="B1334">
        <v>74</v>
      </c>
      <c r="C1334">
        <v>10</v>
      </c>
      <c r="D1334">
        <v>5</v>
      </c>
      <c r="E1334">
        <v>0</v>
      </c>
    </row>
    <row r="1335" spans="1:5" x14ac:dyDescent="0.3">
      <c r="A1335">
        <v>10754</v>
      </c>
      <c r="B1335">
        <v>40</v>
      </c>
      <c r="C1335">
        <v>184</v>
      </c>
      <c r="D1335">
        <v>3</v>
      </c>
      <c r="E1335">
        <v>0</v>
      </c>
    </row>
    <row r="1336" spans="1:5" x14ac:dyDescent="0.3">
      <c r="A1336">
        <v>10755</v>
      </c>
      <c r="B1336">
        <v>47</v>
      </c>
      <c r="C1336">
        <v>95</v>
      </c>
      <c r="D1336">
        <v>30</v>
      </c>
      <c r="E1336">
        <v>25</v>
      </c>
    </row>
    <row r="1337" spans="1:5" x14ac:dyDescent="0.3">
      <c r="A1337">
        <v>10755</v>
      </c>
      <c r="B1337">
        <v>56</v>
      </c>
      <c r="C1337">
        <v>38</v>
      </c>
      <c r="D1337">
        <v>30</v>
      </c>
      <c r="E1337">
        <v>25</v>
      </c>
    </row>
    <row r="1338" spans="1:5" x14ac:dyDescent="0.3">
      <c r="A1338">
        <v>10755</v>
      </c>
      <c r="B1338">
        <v>57</v>
      </c>
      <c r="C1338">
        <v>195</v>
      </c>
      <c r="D1338">
        <v>14</v>
      </c>
      <c r="E1338">
        <v>25</v>
      </c>
    </row>
    <row r="1339" spans="1:5" x14ac:dyDescent="0.3">
      <c r="A1339">
        <v>10755</v>
      </c>
      <c r="B1339">
        <v>69</v>
      </c>
      <c r="C1339">
        <v>36</v>
      </c>
      <c r="D1339">
        <v>25</v>
      </c>
      <c r="E1339">
        <v>25</v>
      </c>
    </row>
    <row r="1340" spans="1:5" x14ac:dyDescent="0.3">
      <c r="A1340">
        <v>10756</v>
      </c>
      <c r="B1340">
        <v>18</v>
      </c>
      <c r="C1340">
        <v>625</v>
      </c>
      <c r="D1340">
        <v>21</v>
      </c>
      <c r="E1340">
        <v>2</v>
      </c>
    </row>
    <row r="1341" spans="1:5" x14ac:dyDescent="0.3">
      <c r="A1341">
        <v>10756</v>
      </c>
      <c r="B1341">
        <v>36</v>
      </c>
      <c r="C1341">
        <v>19</v>
      </c>
      <c r="D1341">
        <v>20</v>
      </c>
      <c r="E1341">
        <v>2</v>
      </c>
    </row>
    <row r="1342" spans="1:5" x14ac:dyDescent="0.3">
      <c r="A1342">
        <v>10756</v>
      </c>
      <c r="B1342">
        <v>68</v>
      </c>
      <c r="C1342">
        <v>125</v>
      </c>
      <c r="D1342">
        <v>6</v>
      </c>
      <c r="E1342">
        <v>2</v>
      </c>
    </row>
    <row r="1343" spans="1:5" x14ac:dyDescent="0.3">
      <c r="A1343">
        <v>10756</v>
      </c>
      <c r="B1343">
        <v>69</v>
      </c>
      <c r="C1343">
        <v>36</v>
      </c>
      <c r="D1343">
        <v>20</v>
      </c>
      <c r="E1343">
        <v>2</v>
      </c>
    </row>
    <row r="1344" spans="1:5" x14ac:dyDescent="0.3">
      <c r="A1344">
        <v>10757</v>
      </c>
      <c r="B1344">
        <v>34</v>
      </c>
      <c r="C1344">
        <v>14</v>
      </c>
      <c r="D1344">
        <v>30</v>
      </c>
      <c r="E1344">
        <v>0</v>
      </c>
    </row>
    <row r="1345" spans="1:5" x14ac:dyDescent="0.3">
      <c r="A1345">
        <v>10757</v>
      </c>
      <c r="B1345">
        <v>59</v>
      </c>
      <c r="C1345">
        <v>55</v>
      </c>
      <c r="D1345">
        <v>7</v>
      </c>
      <c r="E1345">
        <v>0</v>
      </c>
    </row>
    <row r="1346" spans="1:5" x14ac:dyDescent="0.3">
      <c r="A1346">
        <v>10757</v>
      </c>
      <c r="B1346">
        <v>62</v>
      </c>
      <c r="C1346">
        <v>493</v>
      </c>
      <c r="D1346">
        <v>30</v>
      </c>
      <c r="E1346">
        <v>0</v>
      </c>
    </row>
    <row r="1347" spans="1:5" x14ac:dyDescent="0.3">
      <c r="A1347">
        <v>10757</v>
      </c>
      <c r="B1347">
        <v>64</v>
      </c>
      <c r="C1347">
        <v>3325</v>
      </c>
      <c r="D1347">
        <v>24</v>
      </c>
      <c r="E1347">
        <v>0</v>
      </c>
    </row>
    <row r="1348" spans="1:5" x14ac:dyDescent="0.3">
      <c r="A1348">
        <v>10758</v>
      </c>
      <c r="B1348">
        <v>26</v>
      </c>
      <c r="C1348">
        <v>3123</v>
      </c>
      <c r="D1348">
        <v>20</v>
      </c>
      <c r="E1348">
        <v>0</v>
      </c>
    </row>
    <row r="1349" spans="1:5" x14ac:dyDescent="0.3">
      <c r="A1349">
        <v>10758</v>
      </c>
      <c r="B1349">
        <v>52</v>
      </c>
      <c r="C1349">
        <v>7</v>
      </c>
      <c r="D1349">
        <v>60</v>
      </c>
      <c r="E1349">
        <v>0</v>
      </c>
    </row>
    <row r="1350" spans="1:5" x14ac:dyDescent="0.3">
      <c r="A1350">
        <v>10758</v>
      </c>
      <c r="B1350">
        <v>70</v>
      </c>
      <c r="C1350">
        <v>15</v>
      </c>
      <c r="D1350">
        <v>40</v>
      </c>
      <c r="E1350">
        <v>0</v>
      </c>
    </row>
    <row r="1351" spans="1:5" x14ac:dyDescent="0.3">
      <c r="A1351">
        <v>10759</v>
      </c>
      <c r="B1351">
        <v>32</v>
      </c>
      <c r="C1351">
        <v>32</v>
      </c>
      <c r="D1351">
        <v>10</v>
      </c>
      <c r="E1351">
        <v>0</v>
      </c>
    </row>
    <row r="1352" spans="1:5" x14ac:dyDescent="0.3">
      <c r="A1352">
        <v>10760</v>
      </c>
      <c r="B1352">
        <v>25</v>
      </c>
      <c r="C1352">
        <v>14</v>
      </c>
      <c r="D1352">
        <v>12</v>
      </c>
      <c r="E1352">
        <v>25</v>
      </c>
    </row>
    <row r="1353" spans="1:5" x14ac:dyDescent="0.3">
      <c r="A1353">
        <v>10760</v>
      </c>
      <c r="B1353">
        <v>27</v>
      </c>
      <c r="C1353">
        <v>439</v>
      </c>
      <c r="D1353">
        <v>40</v>
      </c>
      <c r="E1353">
        <v>0</v>
      </c>
    </row>
    <row r="1354" spans="1:5" x14ac:dyDescent="0.3">
      <c r="A1354">
        <v>10760</v>
      </c>
      <c r="B1354">
        <v>43</v>
      </c>
      <c r="C1354">
        <v>46</v>
      </c>
      <c r="D1354">
        <v>30</v>
      </c>
      <c r="E1354">
        <v>25</v>
      </c>
    </row>
    <row r="1355" spans="1:5" x14ac:dyDescent="0.3">
      <c r="A1355">
        <v>10761</v>
      </c>
      <c r="B1355">
        <v>25</v>
      </c>
      <c r="C1355">
        <v>14</v>
      </c>
      <c r="D1355">
        <v>35</v>
      </c>
      <c r="E1355">
        <v>25</v>
      </c>
    </row>
    <row r="1356" spans="1:5" x14ac:dyDescent="0.3">
      <c r="A1356">
        <v>10761</v>
      </c>
      <c r="B1356">
        <v>75</v>
      </c>
      <c r="C1356">
        <v>775</v>
      </c>
      <c r="D1356">
        <v>18</v>
      </c>
      <c r="E1356">
        <v>0</v>
      </c>
    </row>
    <row r="1357" spans="1:5" x14ac:dyDescent="0.3">
      <c r="A1357">
        <v>10762</v>
      </c>
      <c r="B1357">
        <v>39</v>
      </c>
      <c r="C1357">
        <v>18</v>
      </c>
      <c r="D1357">
        <v>16</v>
      </c>
      <c r="E1357">
        <v>0</v>
      </c>
    </row>
    <row r="1358" spans="1:5" x14ac:dyDescent="0.3">
      <c r="A1358">
        <v>10762</v>
      </c>
      <c r="B1358">
        <v>47</v>
      </c>
      <c r="C1358">
        <v>95</v>
      </c>
      <c r="D1358">
        <v>30</v>
      </c>
      <c r="E1358">
        <v>0</v>
      </c>
    </row>
    <row r="1359" spans="1:5" x14ac:dyDescent="0.3">
      <c r="A1359">
        <v>10762</v>
      </c>
      <c r="B1359">
        <v>51</v>
      </c>
      <c r="C1359">
        <v>53</v>
      </c>
      <c r="D1359">
        <v>28</v>
      </c>
      <c r="E1359">
        <v>0</v>
      </c>
    </row>
    <row r="1360" spans="1:5" x14ac:dyDescent="0.3">
      <c r="A1360">
        <v>10762</v>
      </c>
      <c r="B1360">
        <v>56</v>
      </c>
      <c r="C1360">
        <v>38</v>
      </c>
      <c r="D1360">
        <v>60</v>
      </c>
      <c r="E1360">
        <v>0</v>
      </c>
    </row>
    <row r="1361" spans="1:5" x14ac:dyDescent="0.3">
      <c r="A1361">
        <v>10763</v>
      </c>
      <c r="B1361">
        <v>21</v>
      </c>
      <c r="C1361">
        <v>10</v>
      </c>
      <c r="D1361">
        <v>40</v>
      </c>
      <c r="E1361">
        <v>0</v>
      </c>
    </row>
    <row r="1362" spans="1:5" x14ac:dyDescent="0.3">
      <c r="A1362">
        <v>10763</v>
      </c>
      <c r="B1362">
        <v>22</v>
      </c>
      <c r="C1362">
        <v>21</v>
      </c>
      <c r="D1362">
        <v>6</v>
      </c>
      <c r="E1362">
        <v>0</v>
      </c>
    </row>
    <row r="1363" spans="1:5" x14ac:dyDescent="0.3">
      <c r="A1363">
        <v>10763</v>
      </c>
      <c r="B1363">
        <v>24</v>
      </c>
      <c r="C1363">
        <v>45</v>
      </c>
      <c r="D1363">
        <v>20</v>
      </c>
      <c r="E1363">
        <v>0</v>
      </c>
    </row>
    <row r="1364" spans="1:5" x14ac:dyDescent="0.3">
      <c r="A1364">
        <v>10764</v>
      </c>
      <c r="B1364">
        <v>3</v>
      </c>
      <c r="C1364">
        <v>10</v>
      </c>
      <c r="D1364">
        <v>20</v>
      </c>
      <c r="E1364">
        <v>1</v>
      </c>
    </row>
    <row r="1365" spans="1:5" x14ac:dyDescent="0.3">
      <c r="A1365">
        <v>10764</v>
      </c>
      <c r="B1365">
        <v>39</v>
      </c>
      <c r="C1365">
        <v>18</v>
      </c>
      <c r="D1365">
        <v>130</v>
      </c>
      <c r="E1365">
        <v>1</v>
      </c>
    </row>
    <row r="1366" spans="1:5" x14ac:dyDescent="0.3">
      <c r="A1366">
        <v>10765</v>
      </c>
      <c r="B1366">
        <v>65</v>
      </c>
      <c r="C1366">
        <v>2105</v>
      </c>
      <c r="D1366">
        <v>80</v>
      </c>
      <c r="E1366">
        <v>1</v>
      </c>
    </row>
    <row r="1367" spans="1:5" x14ac:dyDescent="0.3">
      <c r="A1367">
        <v>10766</v>
      </c>
      <c r="B1367">
        <v>2</v>
      </c>
      <c r="C1367">
        <v>19</v>
      </c>
      <c r="D1367">
        <v>40</v>
      </c>
      <c r="E1367">
        <v>0</v>
      </c>
    </row>
    <row r="1368" spans="1:5" x14ac:dyDescent="0.3">
      <c r="A1368">
        <v>10766</v>
      </c>
      <c r="B1368">
        <v>7</v>
      </c>
      <c r="C1368">
        <v>30</v>
      </c>
      <c r="D1368">
        <v>35</v>
      </c>
      <c r="E1368">
        <v>0</v>
      </c>
    </row>
    <row r="1369" spans="1:5" x14ac:dyDescent="0.3">
      <c r="A1369">
        <v>10766</v>
      </c>
      <c r="B1369">
        <v>68</v>
      </c>
      <c r="C1369">
        <v>125</v>
      </c>
      <c r="D1369">
        <v>40</v>
      </c>
      <c r="E1369">
        <v>0</v>
      </c>
    </row>
    <row r="1370" spans="1:5" x14ac:dyDescent="0.3">
      <c r="A1370">
        <v>10767</v>
      </c>
      <c r="B1370">
        <v>42</v>
      </c>
      <c r="C1370">
        <v>14</v>
      </c>
      <c r="D1370">
        <v>2</v>
      </c>
      <c r="E1370">
        <v>0</v>
      </c>
    </row>
    <row r="1371" spans="1:5" x14ac:dyDescent="0.3">
      <c r="A1371">
        <v>10768</v>
      </c>
      <c r="B1371">
        <v>22</v>
      </c>
      <c r="C1371">
        <v>21</v>
      </c>
      <c r="D1371">
        <v>4</v>
      </c>
      <c r="E1371">
        <v>0</v>
      </c>
    </row>
    <row r="1372" spans="1:5" x14ac:dyDescent="0.3">
      <c r="A1372">
        <v>10768</v>
      </c>
      <c r="B1372">
        <v>31</v>
      </c>
      <c r="C1372">
        <v>125</v>
      </c>
      <c r="D1372">
        <v>50</v>
      </c>
      <c r="E1372">
        <v>0</v>
      </c>
    </row>
    <row r="1373" spans="1:5" x14ac:dyDescent="0.3">
      <c r="A1373">
        <v>10768</v>
      </c>
      <c r="B1373">
        <v>60</v>
      </c>
      <c r="C1373">
        <v>34</v>
      </c>
      <c r="D1373">
        <v>15</v>
      </c>
      <c r="E1373">
        <v>0</v>
      </c>
    </row>
    <row r="1374" spans="1:5" x14ac:dyDescent="0.3">
      <c r="A1374">
        <v>10768</v>
      </c>
      <c r="B1374">
        <v>71</v>
      </c>
      <c r="C1374">
        <v>215</v>
      </c>
      <c r="D1374">
        <v>12</v>
      </c>
      <c r="E1374">
        <v>0</v>
      </c>
    </row>
    <row r="1375" spans="1:5" x14ac:dyDescent="0.3">
      <c r="A1375">
        <v>10769</v>
      </c>
      <c r="B1375">
        <v>41</v>
      </c>
      <c r="C1375">
        <v>965</v>
      </c>
      <c r="D1375">
        <v>30</v>
      </c>
      <c r="E1375">
        <v>5</v>
      </c>
    </row>
    <row r="1376" spans="1:5" x14ac:dyDescent="0.3">
      <c r="A1376">
        <v>10769</v>
      </c>
      <c r="B1376">
        <v>52</v>
      </c>
      <c r="C1376">
        <v>7</v>
      </c>
      <c r="D1376">
        <v>15</v>
      </c>
      <c r="E1376">
        <v>5</v>
      </c>
    </row>
    <row r="1377" spans="1:5" x14ac:dyDescent="0.3">
      <c r="A1377">
        <v>10769</v>
      </c>
      <c r="B1377">
        <v>61</v>
      </c>
      <c r="C1377">
        <v>285</v>
      </c>
      <c r="D1377">
        <v>20</v>
      </c>
      <c r="E1377">
        <v>0</v>
      </c>
    </row>
    <row r="1378" spans="1:5" x14ac:dyDescent="0.3">
      <c r="A1378">
        <v>10769</v>
      </c>
      <c r="B1378">
        <v>62</v>
      </c>
      <c r="C1378">
        <v>493</v>
      </c>
      <c r="D1378">
        <v>15</v>
      </c>
      <c r="E1378">
        <v>0</v>
      </c>
    </row>
    <row r="1379" spans="1:5" x14ac:dyDescent="0.3">
      <c r="A1379">
        <v>10770</v>
      </c>
      <c r="B1379">
        <v>11</v>
      </c>
      <c r="C1379">
        <v>21</v>
      </c>
      <c r="D1379">
        <v>15</v>
      </c>
      <c r="E1379">
        <v>25</v>
      </c>
    </row>
    <row r="1380" spans="1:5" x14ac:dyDescent="0.3">
      <c r="A1380">
        <v>10771</v>
      </c>
      <c r="B1380">
        <v>71</v>
      </c>
      <c r="C1380">
        <v>215</v>
      </c>
      <c r="D1380">
        <v>16</v>
      </c>
      <c r="E1380">
        <v>0</v>
      </c>
    </row>
    <row r="1381" spans="1:5" x14ac:dyDescent="0.3">
      <c r="A1381">
        <v>10772</v>
      </c>
      <c r="B1381">
        <v>29</v>
      </c>
      <c r="C1381">
        <v>12379</v>
      </c>
      <c r="D1381">
        <v>18</v>
      </c>
      <c r="E1381">
        <v>0</v>
      </c>
    </row>
    <row r="1382" spans="1:5" x14ac:dyDescent="0.3">
      <c r="A1382">
        <v>10772</v>
      </c>
      <c r="B1382">
        <v>59</v>
      </c>
      <c r="C1382">
        <v>55</v>
      </c>
      <c r="D1382">
        <v>25</v>
      </c>
      <c r="E1382">
        <v>0</v>
      </c>
    </row>
    <row r="1383" spans="1:5" x14ac:dyDescent="0.3">
      <c r="A1383">
        <v>10773</v>
      </c>
      <c r="B1383">
        <v>17</v>
      </c>
      <c r="C1383">
        <v>39</v>
      </c>
      <c r="D1383">
        <v>33</v>
      </c>
      <c r="E1383">
        <v>0</v>
      </c>
    </row>
    <row r="1384" spans="1:5" x14ac:dyDescent="0.3">
      <c r="A1384">
        <v>10773</v>
      </c>
      <c r="B1384">
        <v>31</v>
      </c>
      <c r="C1384">
        <v>125</v>
      </c>
      <c r="D1384">
        <v>70</v>
      </c>
      <c r="E1384">
        <v>2</v>
      </c>
    </row>
    <row r="1385" spans="1:5" x14ac:dyDescent="0.3">
      <c r="A1385">
        <v>10773</v>
      </c>
      <c r="B1385">
        <v>75</v>
      </c>
      <c r="C1385">
        <v>775</v>
      </c>
      <c r="D1385">
        <v>7</v>
      </c>
      <c r="E1385">
        <v>2</v>
      </c>
    </row>
    <row r="1386" spans="1:5" x14ac:dyDescent="0.3">
      <c r="A1386">
        <v>10774</v>
      </c>
      <c r="B1386">
        <v>31</v>
      </c>
      <c r="C1386">
        <v>125</v>
      </c>
      <c r="D1386">
        <v>2</v>
      </c>
      <c r="E1386">
        <v>25</v>
      </c>
    </row>
    <row r="1387" spans="1:5" x14ac:dyDescent="0.3">
      <c r="A1387">
        <v>10774</v>
      </c>
      <c r="B1387">
        <v>66</v>
      </c>
      <c r="C1387">
        <v>17</v>
      </c>
      <c r="D1387">
        <v>50</v>
      </c>
      <c r="E1387">
        <v>0</v>
      </c>
    </row>
    <row r="1388" spans="1:5" x14ac:dyDescent="0.3">
      <c r="A1388">
        <v>10775</v>
      </c>
      <c r="B1388">
        <v>10</v>
      </c>
      <c r="C1388">
        <v>31</v>
      </c>
      <c r="D1388">
        <v>6</v>
      </c>
      <c r="E1388">
        <v>0</v>
      </c>
    </row>
    <row r="1389" spans="1:5" x14ac:dyDescent="0.3">
      <c r="A1389">
        <v>10775</v>
      </c>
      <c r="B1389">
        <v>67</v>
      </c>
      <c r="C1389">
        <v>14</v>
      </c>
      <c r="D1389">
        <v>3</v>
      </c>
      <c r="E1389">
        <v>0</v>
      </c>
    </row>
    <row r="1390" spans="1:5" x14ac:dyDescent="0.3">
      <c r="A1390">
        <v>10776</v>
      </c>
      <c r="B1390">
        <v>31</v>
      </c>
      <c r="C1390">
        <v>125</v>
      </c>
      <c r="D1390">
        <v>16</v>
      </c>
      <c r="E1390">
        <v>5</v>
      </c>
    </row>
    <row r="1391" spans="1:5" x14ac:dyDescent="0.3">
      <c r="A1391">
        <v>10776</v>
      </c>
      <c r="B1391">
        <v>42</v>
      </c>
      <c r="C1391">
        <v>14</v>
      </c>
      <c r="D1391">
        <v>12</v>
      </c>
      <c r="E1391">
        <v>5</v>
      </c>
    </row>
    <row r="1392" spans="1:5" x14ac:dyDescent="0.3">
      <c r="A1392">
        <v>10776</v>
      </c>
      <c r="B1392">
        <v>45</v>
      </c>
      <c r="C1392">
        <v>95</v>
      </c>
      <c r="D1392">
        <v>27</v>
      </c>
      <c r="E1392">
        <v>5</v>
      </c>
    </row>
    <row r="1393" spans="1:5" x14ac:dyDescent="0.3">
      <c r="A1393">
        <v>10776</v>
      </c>
      <c r="B1393">
        <v>51</v>
      </c>
      <c r="C1393">
        <v>53</v>
      </c>
      <c r="D1393">
        <v>120</v>
      </c>
      <c r="E1393">
        <v>5</v>
      </c>
    </row>
    <row r="1394" spans="1:5" x14ac:dyDescent="0.3">
      <c r="A1394">
        <v>10777</v>
      </c>
      <c r="B1394">
        <v>42</v>
      </c>
      <c r="C1394">
        <v>14</v>
      </c>
      <c r="D1394">
        <v>20</v>
      </c>
      <c r="E1394">
        <v>2</v>
      </c>
    </row>
    <row r="1395" spans="1:5" x14ac:dyDescent="0.3">
      <c r="A1395">
        <v>10778</v>
      </c>
      <c r="B1395">
        <v>41</v>
      </c>
      <c r="C1395">
        <v>965</v>
      </c>
      <c r="D1395">
        <v>10</v>
      </c>
      <c r="E1395">
        <v>0</v>
      </c>
    </row>
    <row r="1396" spans="1:5" x14ac:dyDescent="0.3">
      <c r="A1396">
        <v>10779</v>
      </c>
      <c r="B1396">
        <v>16</v>
      </c>
      <c r="C1396">
        <v>1745</v>
      </c>
      <c r="D1396">
        <v>20</v>
      </c>
      <c r="E1396">
        <v>0</v>
      </c>
    </row>
    <row r="1397" spans="1:5" x14ac:dyDescent="0.3">
      <c r="A1397">
        <v>10779</v>
      </c>
      <c r="B1397">
        <v>62</v>
      </c>
      <c r="C1397">
        <v>493</v>
      </c>
      <c r="D1397">
        <v>20</v>
      </c>
      <c r="E1397">
        <v>0</v>
      </c>
    </row>
    <row r="1398" spans="1:5" x14ac:dyDescent="0.3">
      <c r="A1398">
        <v>10780</v>
      </c>
      <c r="B1398">
        <v>70</v>
      </c>
      <c r="C1398">
        <v>15</v>
      </c>
      <c r="D1398">
        <v>35</v>
      </c>
      <c r="E1398">
        <v>0</v>
      </c>
    </row>
    <row r="1399" spans="1:5" x14ac:dyDescent="0.3">
      <c r="A1399">
        <v>10780</v>
      </c>
      <c r="B1399">
        <v>77</v>
      </c>
      <c r="C1399">
        <v>13</v>
      </c>
      <c r="D1399">
        <v>15</v>
      </c>
      <c r="E1399">
        <v>0</v>
      </c>
    </row>
    <row r="1400" spans="1:5" x14ac:dyDescent="0.3">
      <c r="A1400">
        <v>10781</v>
      </c>
      <c r="B1400">
        <v>54</v>
      </c>
      <c r="C1400">
        <v>745</v>
      </c>
      <c r="D1400">
        <v>3</v>
      </c>
      <c r="E1400">
        <v>2</v>
      </c>
    </row>
    <row r="1401" spans="1:5" x14ac:dyDescent="0.3">
      <c r="A1401">
        <v>10781</v>
      </c>
      <c r="B1401">
        <v>56</v>
      </c>
      <c r="C1401">
        <v>38</v>
      </c>
      <c r="D1401">
        <v>20</v>
      </c>
      <c r="E1401">
        <v>2</v>
      </c>
    </row>
    <row r="1402" spans="1:5" x14ac:dyDescent="0.3">
      <c r="A1402">
        <v>10781</v>
      </c>
      <c r="B1402">
        <v>74</v>
      </c>
      <c r="C1402">
        <v>10</v>
      </c>
      <c r="D1402">
        <v>35</v>
      </c>
      <c r="E1402">
        <v>0</v>
      </c>
    </row>
    <row r="1403" spans="1:5" x14ac:dyDescent="0.3">
      <c r="A1403">
        <v>10782</v>
      </c>
      <c r="B1403">
        <v>31</v>
      </c>
      <c r="C1403">
        <v>125</v>
      </c>
      <c r="D1403">
        <v>1</v>
      </c>
      <c r="E1403">
        <v>0</v>
      </c>
    </row>
    <row r="1404" spans="1:5" x14ac:dyDescent="0.3">
      <c r="A1404">
        <v>10783</v>
      </c>
      <c r="B1404">
        <v>31</v>
      </c>
      <c r="C1404">
        <v>125</v>
      </c>
      <c r="D1404">
        <v>10</v>
      </c>
      <c r="E1404">
        <v>0</v>
      </c>
    </row>
    <row r="1405" spans="1:5" x14ac:dyDescent="0.3">
      <c r="A1405">
        <v>10783</v>
      </c>
      <c r="B1405">
        <v>38</v>
      </c>
      <c r="C1405">
        <v>2635</v>
      </c>
      <c r="D1405">
        <v>5</v>
      </c>
      <c r="E1405">
        <v>0</v>
      </c>
    </row>
    <row r="1406" spans="1:5" x14ac:dyDescent="0.3">
      <c r="A1406">
        <v>10784</v>
      </c>
      <c r="B1406">
        <v>36</v>
      </c>
      <c r="C1406">
        <v>19</v>
      </c>
      <c r="D1406">
        <v>30</v>
      </c>
      <c r="E1406">
        <v>0</v>
      </c>
    </row>
    <row r="1407" spans="1:5" x14ac:dyDescent="0.3">
      <c r="A1407">
        <v>10784</v>
      </c>
      <c r="B1407">
        <v>39</v>
      </c>
      <c r="C1407">
        <v>18</v>
      </c>
      <c r="D1407">
        <v>2</v>
      </c>
      <c r="E1407">
        <v>15</v>
      </c>
    </row>
    <row r="1408" spans="1:5" x14ac:dyDescent="0.3">
      <c r="A1408">
        <v>10784</v>
      </c>
      <c r="B1408">
        <v>72</v>
      </c>
      <c r="C1408">
        <v>348</v>
      </c>
      <c r="D1408">
        <v>30</v>
      </c>
      <c r="E1408">
        <v>15</v>
      </c>
    </row>
    <row r="1409" spans="1:5" x14ac:dyDescent="0.3">
      <c r="A1409">
        <v>10785</v>
      </c>
      <c r="B1409">
        <v>10</v>
      </c>
      <c r="C1409">
        <v>31</v>
      </c>
      <c r="D1409">
        <v>10</v>
      </c>
      <c r="E1409">
        <v>0</v>
      </c>
    </row>
    <row r="1410" spans="1:5" x14ac:dyDescent="0.3">
      <c r="A1410">
        <v>10785</v>
      </c>
      <c r="B1410">
        <v>75</v>
      </c>
      <c r="C1410">
        <v>775</v>
      </c>
      <c r="D1410">
        <v>10</v>
      </c>
      <c r="E1410">
        <v>0</v>
      </c>
    </row>
    <row r="1411" spans="1:5" x14ac:dyDescent="0.3">
      <c r="A1411">
        <v>10786</v>
      </c>
      <c r="B1411">
        <v>8</v>
      </c>
      <c r="C1411">
        <v>40</v>
      </c>
      <c r="D1411">
        <v>30</v>
      </c>
      <c r="E1411">
        <v>2</v>
      </c>
    </row>
    <row r="1412" spans="1:5" x14ac:dyDescent="0.3">
      <c r="A1412">
        <v>10786</v>
      </c>
      <c r="B1412">
        <v>30</v>
      </c>
      <c r="C1412">
        <v>2589</v>
      </c>
      <c r="D1412">
        <v>15</v>
      </c>
      <c r="E1412">
        <v>2</v>
      </c>
    </row>
    <row r="1413" spans="1:5" x14ac:dyDescent="0.3">
      <c r="A1413">
        <v>10786</v>
      </c>
      <c r="B1413">
        <v>75</v>
      </c>
      <c r="C1413">
        <v>775</v>
      </c>
      <c r="D1413">
        <v>42</v>
      </c>
      <c r="E1413">
        <v>2</v>
      </c>
    </row>
    <row r="1414" spans="1:5" x14ac:dyDescent="0.3">
      <c r="A1414">
        <v>10787</v>
      </c>
      <c r="B1414">
        <v>2</v>
      </c>
      <c r="C1414">
        <v>19</v>
      </c>
      <c r="D1414">
        <v>15</v>
      </c>
      <c r="E1414">
        <v>5</v>
      </c>
    </row>
    <row r="1415" spans="1:5" x14ac:dyDescent="0.3">
      <c r="A1415">
        <v>10787</v>
      </c>
      <c r="B1415">
        <v>29</v>
      </c>
      <c r="C1415">
        <v>12379</v>
      </c>
      <c r="D1415">
        <v>20</v>
      </c>
      <c r="E1415">
        <v>5</v>
      </c>
    </row>
    <row r="1416" spans="1:5" x14ac:dyDescent="0.3">
      <c r="A1416">
        <v>10788</v>
      </c>
      <c r="B1416">
        <v>19</v>
      </c>
      <c r="C1416">
        <v>92</v>
      </c>
      <c r="D1416">
        <v>50</v>
      </c>
      <c r="E1416">
        <v>5</v>
      </c>
    </row>
    <row r="1417" spans="1:5" x14ac:dyDescent="0.3">
      <c r="A1417">
        <v>10788</v>
      </c>
      <c r="B1417">
        <v>75</v>
      </c>
      <c r="C1417">
        <v>775</v>
      </c>
      <c r="D1417">
        <v>40</v>
      </c>
      <c r="E1417">
        <v>5</v>
      </c>
    </row>
    <row r="1418" spans="1:5" x14ac:dyDescent="0.3">
      <c r="A1418">
        <v>10789</v>
      </c>
      <c r="B1418">
        <v>18</v>
      </c>
      <c r="C1418">
        <v>625</v>
      </c>
      <c r="D1418">
        <v>30</v>
      </c>
      <c r="E1418">
        <v>0</v>
      </c>
    </row>
    <row r="1419" spans="1:5" x14ac:dyDescent="0.3">
      <c r="A1419">
        <v>10789</v>
      </c>
      <c r="B1419">
        <v>35</v>
      </c>
      <c r="C1419">
        <v>18</v>
      </c>
      <c r="D1419">
        <v>15</v>
      </c>
      <c r="E1419">
        <v>0</v>
      </c>
    </row>
    <row r="1420" spans="1:5" x14ac:dyDescent="0.3">
      <c r="A1420">
        <v>10789</v>
      </c>
      <c r="B1420">
        <v>63</v>
      </c>
      <c r="C1420">
        <v>439</v>
      </c>
      <c r="D1420">
        <v>30</v>
      </c>
      <c r="E1420">
        <v>0</v>
      </c>
    </row>
    <row r="1421" spans="1:5" x14ac:dyDescent="0.3">
      <c r="A1421">
        <v>10789</v>
      </c>
      <c r="B1421">
        <v>68</v>
      </c>
      <c r="C1421">
        <v>125</v>
      </c>
      <c r="D1421">
        <v>18</v>
      </c>
      <c r="E1421">
        <v>0</v>
      </c>
    </row>
    <row r="1422" spans="1:5" x14ac:dyDescent="0.3">
      <c r="A1422">
        <v>10790</v>
      </c>
      <c r="B1422">
        <v>7</v>
      </c>
      <c r="C1422">
        <v>30</v>
      </c>
      <c r="D1422">
        <v>3</v>
      </c>
      <c r="E1422">
        <v>15</v>
      </c>
    </row>
    <row r="1423" spans="1:5" x14ac:dyDescent="0.3">
      <c r="A1423">
        <v>10790</v>
      </c>
      <c r="B1423">
        <v>56</v>
      </c>
      <c r="C1423">
        <v>38</v>
      </c>
      <c r="D1423">
        <v>20</v>
      </c>
      <c r="E1423">
        <v>15</v>
      </c>
    </row>
    <row r="1424" spans="1:5" x14ac:dyDescent="0.3">
      <c r="A1424">
        <v>10791</v>
      </c>
      <c r="B1424">
        <v>29</v>
      </c>
      <c r="C1424">
        <v>12379</v>
      </c>
      <c r="D1424">
        <v>14</v>
      </c>
      <c r="E1424">
        <v>5</v>
      </c>
    </row>
    <row r="1425" spans="1:5" x14ac:dyDescent="0.3">
      <c r="A1425">
        <v>10791</v>
      </c>
      <c r="B1425">
        <v>41</v>
      </c>
      <c r="C1425">
        <v>965</v>
      </c>
      <c r="D1425">
        <v>20</v>
      </c>
      <c r="E1425">
        <v>5</v>
      </c>
    </row>
    <row r="1426" spans="1:5" x14ac:dyDescent="0.3">
      <c r="A1426">
        <v>10792</v>
      </c>
      <c r="B1426">
        <v>2</v>
      </c>
      <c r="C1426">
        <v>19</v>
      </c>
      <c r="D1426">
        <v>10</v>
      </c>
      <c r="E1426">
        <v>0</v>
      </c>
    </row>
    <row r="1427" spans="1:5" x14ac:dyDescent="0.3">
      <c r="A1427">
        <v>10792</v>
      </c>
      <c r="B1427">
        <v>54</v>
      </c>
      <c r="C1427">
        <v>745</v>
      </c>
      <c r="D1427">
        <v>3</v>
      </c>
      <c r="E1427">
        <v>0</v>
      </c>
    </row>
    <row r="1428" spans="1:5" x14ac:dyDescent="0.3">
      <c r="A1428">
        <v>10792</v>
      </c>
      <c r="B1428">
        <v>68</v>
      </c>
      <c r="C1428">
        <v>125</v>
      </c>
      <c r="D1428">
        <v>15</v>
      </c>
      <c r="E1428">
        <v>0</v>
      </c>
    </row>
    <row r="1429" spans="1:5" x14ac:dyDescent="0.3">
      <c r="A1429">
        <v>10793</v>
      </c>
      <c r="B1429">
        <v>41</v>
      </c>
      <c r="C1429">
        <v>965</v>
      </c>
      <c r="D1429">
        <v>14</v>
      </c>
      <c r="E1429">
        <v>0</v>
      </c>
    </row>
    <row r="1430" spans="1:5" x14ac:dyDescent="0.3">
      <c r="A1430">
        <v>10793</v>
      </c>
      <c r="B1430">
        <v>52</v>
      </c>
      <c r="C1430">
        <v>7</v>
      </c>
      <c r="D1430">
        <v>8</v>
      </c>
      <c r="E1430">
        <v>0</v>
      </c>
    </row>
    <row r="1431" spans="1:5" x14ac:dyDescent="0.3">
      <c r="A1431">
        <v>10794</v>
      </c>
      <c r="B1431">
        <v>14</v>
      </c>
      <c r="C1431">
        <v>2325</v>
      </c>
      <c r="D1431">
        <v>15</v>
      </c>
      <c r="E1431">
        <v>2</v>
      </c>
    </row>
    <row r="1432" spans="1:5" x14ac:dyDescent="0.3">
      <c r="A1432">
        <v>10794</v>
      </c>
      <c r="B1432">
        <v>54</v>
      </c>
      <c r="C1432">
        <v>745</v>
      </c>
      <c r="D1432">
        <v>6</v>
      </c>
      <c r="E1432">
        <v>2</v>
      </c>
    </row>
    <row r="1433" spans="1:5" x14ac:dyDescent="0.3">
      <c r="A1433">
        <v>10795</v>
      </c>
      <c r="B1433">
        <v>16</v>
      </c>
      <c r="C1433">
        <v>1745</v>
      </c>
      <c r="D1433">
        <v>65</v>
      </c>
      <c r="E1433">
        <v>0</v>
      </c>
    </row>
    <row r="1434" spans="1:5" x14ac:dyDescent="0.3">
      <c r="A1434">
        <v>10795</v>
      </c>
      <c r="B1434">
        <v>17</v>
      </c>
      <c r="C1434">
        <v>39</v>
      </c>
      <c r="D1434">
        <v>35</v>
      </c>
      <c r="E1434">
        <v>25</v>
      </c>
    </row>
    <row r="1435" spans="1:5" x14ac:dyDescent="0.3">
      <c r="A1435">
        <v>10796</v>
      </c>
      <c r="B1435">
        <v>26</v>
      </c>
      <c r="C1435">
        <v>3123</v>
      </c>
      <c r="D1435">
        <v>21</v>
      </c>
      <c r="E1435">
        <v>2</v>
      </c>
    </row>
    <row r="1436" spans="1:5" x14ac:dyDescent="0.3">
      <c r="A1436">
        <v>10796</v>
      </c>
      <c r="B1436">
        <v>44</v>
      </c>
      <c r="C1436">
        <v>1945</v>
      </c>
      <c r="D1436">
        <v>10</v>
      </c>
      <c r="E1436">
        <v>0</v>
      </c>
    </row>
    <row r="1437" spans="1:5" x14ac:dyDescent="0.3">
      <c r="A1437">
        <v>10796</v>
      </c>
      <c r="B1437">
        <v>64</v>
      </c>
      <c r="C1437">
        <v>3325</v>
      </c>
      <c r="D1437">
        <v>35</v>
      </c>
      <c r="E1437">
        <v>2</v>
      </c>
    </row>
    <row r="1438" spans="1:5" x14ac:dyDescent="0.3">
      <c r="A1438">
        <v>10796</v>
      </c>
      <c r="B1438">
        <v>69</v>
      </c>
      <c r="C1438">
        <v>36</v>
      </c>
      <c r="D1438">
        <v>24</v>
      </c>
      <c r="E1438">
        <v>2</v>
      </c>
    </row>
    <row r="1439" spans="1:5" x14ac:dyDescent="0.3">
      <c r="A1439">
        <v>10797</v>
      </c>
      <c r="B1439">
        <v>11</v>
      </c>
      <c r="C1439">
        <v>21</v>
      </c>
      <c r="D1439">
        <v>20</v>
      </c>
      <c r="E1439">
        <v>0</v>
      </c>
    </row>
    <row r="1440" spans="1:5" x14ac:dyDescent="0.3">
      <c r="A1440">
        <v>10798</v>
      </c>
      <c r="B1440">
        <v>62</v>
      </c>
      <c r="C1440">
        <v>493</v>
      </c>
      <c r="D1440">
        <v>2</v>
      </c>
      <c r="E1440">
        <v>0</v>
      </c>
    </row>
    <row r="1441" spans="1:5" x14ac:dyDescent="0.3">
      <c r="A1441">
        <v>10798</v>
      </c>
      <c r="B1441">
        <v>72</v>
      </c>
      <c r="C1441">
        <v>348</v>
      </c>
      <c r="D1441">
        <v>10</v>
      </c>
      <c r="E1441">
        <v>0</v>
      </c>
    </row>
    <row r="1442" spans="1:5" x14ac:dyDescent="0.3">
      <c r="A1442">
        <v>10799</v>
      </c>
      <c r="B1442">
        <v>13</v>
      </c>
      <c r="C1442">
        <v>6</v>
      </c>
      <c r="D1442">
        <v>20</v>
      </c>
      <c r="E1442">
        <v>15</v>
      </c>
    </row>
    <row r="1443" spans="1:5" x14ac:dyDescent="0.3">
      <c r="A1443">
        <v>10799</v>
      </c>
      <c r="B1443">
        <v>24</v>
      </c>
      <c r="C1443">
        <v>45</v>
      </c>
      <c r="D1443">
        <v>20</v>
      </c>
      <c r="E1443">
        <v>15</v>
      </c>
    </row>
    <row r="1444" spans="1:5" x14ac:dyDescent="0.3">
      <c r="A1444">
        <v>10799</v>
      </c>
      <c r="B1444">
        <v>59</v>
      </c>
      <c r="C1444">
        <v>55</v>
      </c>
      <c r="D1444">
        <v>25</v>
      </c>
      <c r="E1444">
        <v>0</v>
      </c>
    </row>
    <row r="1445" spans="1:5" x14ac:dyDescent="0.3">
      <c r="A1445">
        <v>10800</v>
      </c>
      <c r="B1445">
        <v>11</v>
      </c>
      <c r="C1445">
        <v>21</v>
      </c>
      <c r="D1445">
        <v>50</v>
      </c>
      <c r="E1445">
        <v>1</v>
      </c>
    </row>
    <row r="1446" spans="1:5" x14ac:dyDescent="0.3">
      <c r="A1446">
        <v>10800</v>
      </c>
      <c r="B1446">
        <v>51</v>
      </c>
      <c r="C1446">
        <v>53</v>
      </c>
      <c r="D1446">
        <v>10</v>
      </c>
      <c r="E1446">
        <v>1</v>
      </c>
    </row>
    <row r="1447" spans="1:5" x14ac:dyDescent="0.3">
      <c r="A1447">
        <v>10800</v>
      </c>
      <c r="B1447">
        <v>54</v>
      </c>
      <c r="C1447">
        <v>745</v>
      </c>
      <c r="D1447">
        <v>7</v>
      </c>
      <c r="E1447">
        <v>1</v>
      </c>
    </row>
    <row r="1448" spans="1:5" x14ac:dyDescent="0.3">
      <c r="A1448">
        <v>10801</v>
      </c>
      <c r="B1448">
        <v>17</v>
      </c>
      <c r="C1448">
        <v>39</v>
      </c>
      <c r="D1448">
        <v>40</v>
      </c>
      <c r="E1448">
        <v>25</v>
      </c>
    </row>
    <row r="1449" spans="1:5" x14ac:dyDescent="0.3">
      <c r="A1449">
        <v>10801</v>
      </c>
      <c r="B1449">
        <v>29</v>
      </c>
      <c r="C1449">
        <v>12379</v>
      </c>
      <c r="D1449">
        <v>20</v>
      </c>
      <c r="E1449">
        <v>25</v>
      </c>
    </row>
    <row r="1450" spans="1:5" x14ac:dyDescent="0.3">
      <c r="A1450">
        <v>10802</v>
      </c>
      <c r="B1450">
        <v>30</v>
      </c>
      <c r="C1450">
        <v>2589</v>
      </c>
      <c r="D1450">
        <v>25</v>
      </c>
      <c r="E1450">
        <v>25</v>
      </c>
    </row>
    <row r="1451" spans="1:5" x14ac:dyDescent="0.3">
      <c r="A1451">
        <v>10802</v>
      </c>
      <c r="B1451">
        <v>51</v>
      </c>
      <c r="C1451">
        <v>53</v>
      </c>
      <c r="D1451">
        <v>30</v>
      </c>
      <c r="E1451">
        <v>25</v>
      </c>
    </row>
    <row r="1452" spans="1:5" x14ac:dyDescent="0.3">
      <c r="A1452">
        <v>10802</v>
      </c>
      <c r="B1452">
        <v>55</v>
      </c>
      <c r="C1452">
        <v>24</v>
      </c>
      <c r="D1452">
        <v>60</v>
      </c>
      <c r="E1452">
        <v>25</v>
      </c>
    </row>
    <row r="1453" spans="1:5" x14ac:dyDescent="0.3">
      <c r="A1453">
        <v>10802</v>
      </c>
      <c r="B1453">
        <v>62</v>
      </c>
      <c r="C1453">
        <v>493</v>
      </c>
      <c r="D1453">
        <v>5</v>
      </c>
      <c r="E1453">
        <v>25</v>
      </c>
    </row>
    <row r="1454" spans="1:5" x14ac:dyDescent="0.3">
      <c r="A1454">
        <v>10803</v>
      </c>
      <c r="B1454">
        <v>19</v>
      </c>
      <c r="C1454">
        <v>92</v>
      </c>
      <c r="D1454">
        <v>24</v>
      </c>
      <c r="E1454">
        <v>5</v>
      </c>
    </row>
    <row r="1455" spans="1:5" x14ac:dyDescent="0.3">
      <c r="A1455">
        <v>10803</v>
      </c>
      <c r="B1455">
        <v>25</v>
      </c>
      <c r="C1455">
        <v>14</v>
      </c>
      <c r="D1455">
        <v>15</v>
      </c>
      <c r="E1455">
        <v>5</v>
      </c>
    </row>
    <row r="1456" spans="1:5" x14ac:dyDescent="0.3">
      <c r="A1456">
        <v>10803</v>
      </c>
      <c r="B1456">
        <v>59</v>
      </c>
      <c r="C1456">
        <v>55</v>
      </c>
      <c r="D1456">
        <v>15</v>
      </c>
      <c r="E1456">
        <v>5</v>
      </c>
    </row>
    <row r="1457" spans="1:5" x14ac:dyDescent="0.3">
      <c r="A1457">
        <v>10804</v>
      </c>
      <c r="B1457">
        <v>10</v>
      </c>
      <c r="C1457">
        <v>31</v>
      </c>
      <c r="D1457">
        <v>36</v>
      </c>
      <c r="E1457">
        <v>0</v>
      </c>
    </row>
    <row r="1458" spans="1:5" x14ac:dyDescent="0.3">
      <c r="A1458">
        <v>10804</v>
      </c>
      <c r="B1458">
        <v>28</v>
      </c>
      <c r="C1458">
        <v>456</v>
      </c>
      <c r="D1458">
        <v>24</v>
      </c>
      <c r="E1458">
        <v>0</v>
      </c>
    </row>
    <row r="1459" spans="1:5" x14ac:dyDescent="0.3">
      <c r="A1459">
        <v>10804</v>
      </c>
      <c r="B1459">
        <v>49</v>
      </c>
      <c r="C1459">
        <v>20</v>
      </c>
      <c r="D1459">
        <v>4</v>
      </c>
      <c r="E1459">
        <v>15</v>
      </c>
    </row>
    <row r="1460" spans="1:5" x14ac:dyDescent="0.3">
      <c r="A1460">
        <v>10805</v>
      </c>
      <c r="B1460">
        <v>34</v>
      </c>
      <c r="C1460">
        <v>14</v>
      </c>
      <c r="D1460">
        <v>10</v>
      </c>
      <c r="E1460">
        <v>0</v>
      </c>
    </row>
    <row r="1461" spans="1:5" x14ac:dyDescent="0.3">
      <c r="A1461">
        <v>10805</v>
      </c>
      <c r="B1461">
        <v>38</v>
      </c>
      <c r="C1461">
        <v>2635</v>
      </c>
      <c r="D1461">
        <v>10</v>
      </c>
      <c r="E1461">
        <v>0</v>
      </c>
    </row>
    <row r="1462" spans="1:5" x14ac:dyDescent="0.3">
      <c r="A1462">
        <v>10806</v>
      </c>
      <c r="B1462">
        <v>2</v>
      </c>
      <c r="C1462">
        <v>19</v>
      </c>
      <c r="D1462">
        <v>20</v>
      </c>
      <c r="E1462">
        <v>25</v>
      </c>
    </row>
    <row r="1463" spans="1:5" x14ac:dyDescent="0.3">
      <c r="A1463">
        <v>10806</v>
      </c>
      <c r="B1463">
        <v>65</v>
      </c>
      <c r="C1463">
        <v>2105</v>
      </c>
      <c r="D1463">
        <v>2</v>
      </c>
      <c r="E1463">
        <v>0</v>
      </c>
    </row>
    <row r="1464" spans="1:5" x14ac:dyDescent="0.3">
      <c r="A1464">
        <v>10806</v>
      </c>
      <c r="B1464">
        <v>74</v>
      </c>
      <c r="C1464">
        <v>10</v>
      </c>
      <c r="D1464">
        <v>15</v>
      </c>
      <c r="E1464">
        <v>25</v>
      </c>
    </row>
    <row r="1465" spans="1:5" x14ac:dyDescent="0.3">
      <c r="A1465">
        <v>10807</v>
      </c>
      <c r="B1465">
        <v>40</v>
      </c>
      <c r="C1465">
        <v>184</v>
      </c>
      <c r="D1465">
        <v>1</v>
      </c>
      <c r="E1465">
        <v>0</v>
      </c>
    </row>
    <row r="1466" spans="1:5" x14ac:dyDescent="0.3">
      <c r="A1466">
        <v>10808</v>
      </c>
      <c r="B1466">
        <v>56</v>
      </c>
      <c r="C1466">
        <v>38</v>
      </c>
      <c r="D1466">
        <v>20</v>
      </c>
      <c r="E1466">
        <v>15</v>
      </c>
    </row>
    <row r="1467" spans="1:5" x14ac:dyDescent="0.3">
      <c r="A1467">
        <v>10808</v>
      </c>
      <c r="B1467">
        <v>76</v>
      </c>
      <c r="C1467">
        <v>18</v>
      </c>
      <c r="D1467">
        <v>50</v>
      </c>
      <c r="E1467">
        <v>15</v>
      </c>
    </row>
    <row r="1468" spans="1:5" x14ac:dyDescent="0.3">
      <c r="A1468">
        <v>10809</v>
      </c>
      <c r="B1468">
        <v>52</v>
      </c>
      <c r="C1468">
        <v>7</v>
      </c>
      <c r="D1468">
        <v>20</v>
      </c>
      <c r="E1468">
        <v>0</v>
      </c>
    </row>
    <row r="1469" spans="1:5" x14ac:dyDescent="0.3">
      <c r="A1469">
        <v>10810</v>
      </c>
      <c r="B1469">
        <v>13</v>
      </c>
      <c r="C1469">
        <v>6</v>
      </c>
      <c r="D1469">
        <v>7</v>
      </c>
      <c r="E1469">
        <v>0</v>
      </c>
    </row>
    <row r="1470" spans="1:5" x14ac:dyDescent="0.3">
      <c r="A1470">
        <v>10810</v>
      </c>
      <c r="B1470">
        <v>25</v>
      </c>
      <c r="C1470">
        <v>14</v>
      </c>
      <c r="D1470">
        <v>5</v>
      </c>
      <c r="E1470">
        <v>0</v>
      </c>
    </row>
    <row r="1471" spans="1:5" x14ac:dyDescent="0.3">
      <c r="A1471">
        <v>10810</v>
      </c>
      <c r="B1471">
        <v>70</v>
      </c>
      <c r="C1471">
        <v>15</v>
      </c>
      <c r="D1471">
        <v>5</v>
      </c>
      <c r="E1471">
        <v>0</v>
      </c>
    </row>
    <row r="1472" spans="1:5" x14ac:dyDescent="0.3">
      <c r="A1472">
        <v>10811</v>
      </c>
      <c r="B1472">
        <v>19</v>
      </c>
      <c r="C1472">
        <v>92</v>
      </c>
      <c r="D1472">
        <v>15</v>
      </c>
      <c r="E1472">
        <v>0</v>
      </c>
    </row>
    <row r="1473" spans="1:5" x14ac:dyDescent="0.3">
      <c r="A1473">
        <v>10811</v>
      </c>
      <c r="B1473">
        <v>23</v>
      </c>
      <c r="C1473">
        <v>9</v>
      </c>
      <c r="D1473">
        <v>18</v>
      </c>
      <c r="E1473">
        <v>0</v>
      </c>
    </row>
    <row r="1474" spans="1:5" x14ac:dyDescent="0.3">
      <c r="A1474">
        <v>10811</v>
      </c>
      <c r="B1474">
        <v>40</v>
      </c>
      <c r="C1474">
        <v>184</v>
      </c>
      <c r="D1474">
        <v>30</v>
      </c>
      <c r="E1474">
        <v>0</v>
      </c>
    </row>
    <row r="1475" spans="1:5" x14ac:dyDescent="0.3">
      <c r="A1475">
        <v>10812</v>
      </c>
      <c r="B1475">
        <v>31</v>
      </c>
      <c r="C1475">
        <v>125</v>
      </c>
      <c r="D1475">
        <v>16</v>
      </c>
      <c r="E1475">
        <v>1</v>
      </c>
    </row>
    <row r="1476" spans="1:5" x14ac:dyDescent="0.3">
      <c r="A1476">
        <v>10812</v>
      </c>
      <c r="B1476">
        <v>72</v>
      </c>
      <c r="C1476">
        <v>348</v>
      </c>
      <c r="D1476">
        <v>40</v>
      </c>
      <c r="E1476">
        <v>1</v>
      </c>
    </row>
    <row r="1477" spans="1:5" x14ac:dyDescent="0.3">
      <c r="A1477">
        <v>10812</v>
      </c>
      <c r="B1477">
        <v>77</v>
      </c>
      <c r="C1477">
        <v>13</v>
      </c>
      <c r="D1477">
        <v>20</v>
      </c>
      <c r="E1477">
        <v>0</v>
      </c>
    </row>
    <row r="1478" spans="1:5" x14ac:dyDescent="0.3">
      <c r="A1478">
        <v>10813</v>
      </c>
      <c r="B1478">
        <v>2</v>
      </c>
      <c r="C1478">
        <v>19</v>
      </c>
      <c r="D1478">
        <v>12</v>
      </c>
      <c r="E1478">
        <v>2</v>
      </c>
    </row>
    <row r="1479" spans="1:5" x14ac:dyDescent="0.3">
      <c r="A1479">
        <v>10813</v>
      </c>
      <c r="B1479">
        <v>46</v>
      </c>
      <c r="C1479">
        <v>12</v>
      </c>
      <c r="D1479">
        <v>35</v>
      </c>
      <c r="E1479">
        <v>0</v>
      </c>
    </row>
    <row r="1480" spans="1:5" x14ac:dyDescent="0.3">
      <c r="A1480">
        <v>10814</v>
      </c>
      <c r="B1480">
        <v>41</v>
      </c>
      <c r="C1480">
        <v>965</v>
      </c>
      <c r="D1480">
        <v>20</v>
      </c>
      <c r="E1480">
        <v>0</v>
      </c>
    </row>
    <row r="1481" spans="1:5" x14ac:dyDescent="0.3">
      <c r="A1481">
        <v>10814</v>
      </c>
      <c r="B1481">
        <v>43</v>
      </c>
      <c r="C1481">
        <v>46</v>
      </c>
      <c r="D1481">
        <v>20</v>
      </c>
      <c r="E1481">
        <v>15</v>
      </c>
    </row>
    <row r="1482" spans="1:5" x14ac:dyDescent="0.3">
      <c r="A1482">
        <v>10814</v>
      </c>
      <c r="B1482">
        <v>48</v>
      </c>
      <c r="C1482">
        <v>1275</v>
      </c>
      <c r="D1482">
        <v>8</v>
      </c>
      <c r="E1482">
        <v>15</v>
      </c>
    </row>
    <row r="1483" spans="1:5" x14ac:dyDescent="0.3">
      <c r="A1483">
        <v>10814</v>
      </c>
      <c r="B1483">
        <v>61</v>
      </c>
      <c r="C1483">
        <v>285</v>
      </c>
      <c r="D1483">
        <v>30</v>
      </c>
      <c r="E1483">
        <v>15</v>
      </c>
    </row>
    <row r="1484" spans="1:5" x14ac:dyDescent="0.3">
      <c r="A1484">
        <v>10815</v>
      </c>
      <c r="B1484">
        <v>33</v>
      </c>
      <c r="C1484">
        <v>25</v>
      </c>
      <c r="D1484">
        <v>16</v>
      </c>
      <c r="E1484">
        <v>0</v>
      </c>
    </row>
    <row r="1485" spans="1:5" x14ac:dyDescent="0.3">
      <c r="A1485">
        <v>10816</v>
      </c>
      <c r="B1485">
        <v>38</v>
      </c>
      <c r="C1485">
        <v>2635</v>
      </c>
      <c r="D1485">
        <v>30</v>
      </c>
      <c r="E1485">
        <v>5</v>
      </c>
    </row>
    <row r="1486" spans="1:5" x14ac:dyDescent="0.3">
      <c r="A1486">
        <v>10816</v>
      </c>
      <c r="B1486">
        <v>62</v>
      </c>
      <c r="C1486">
        <v>493</v>
      </c>
      <c r="D1486">
        <v>20</v>
      </c>
      <c r="E1486">
        <v>5</v>
      </c>
    </row>
    <row r="1487" spans="1:5" x14ac:dyDescent="0.3">
      <c r="A1487">
        <v>10817</v>
      </c>
      <c r="B1487">
        <v>26</v>
      </c>
      <c r="C1487">
        <v>3123</v>
      </c>
      <c r="D1487">
        <v>40</v>
      </c>
      <c r="E1487">
        <v>15</v>
      </c>
    </row>
    <row r="1488" spans="1:5" x14ac:dyDescent="0.3">
      <c r="A1488">
        <v>10817</v>
      </c>
      <c r="B1488">
        <v>38</v>
      </c>
      <c r="C1488">
        <v>2635</v>
      </c>
      <c r="D1488">
        <v>30</v>
      </c>
      <c r="E1488">
        <v>0</v>
      </c>
    </row>
    <row r="1489" spans="1:5" x14ac:dyDescent="0.3">
      <c r="A1489">
        <v>10817</v>
      </c>
      <c r="B1489">
        <v>40</v>
      </c>
      <c r="C1489">
        <v>184</v>
      </c>
      <c r="D1489">
        <v>60</v>
      </c>
      <c r="E1489">
        <v>15</v>
      </c>
    </row>
    <row r="1490" spans="1:5" x14ac:dyDescent="0.3">
      <c r="A1490">
        <v>10817</v>
      </c>
      <c r="B1490">
        <v>62</v>
      </c>
      <c r="C1490">
        <v>493</v>
      </c>
      <c r="D1490">
        <v>25</v>
      </c>
      <c r="E1490">
        <v>15</v>
      </c>
    </row>
    <row r="1491" spans="1:5" x14ac:dyDescent="0.3">
      <c r="A1491">
        <v>10818</v>
      </c>
      <c r="B1491">
        <v>32</v>
      </c>
      <c r="C1491">
        <v>32</v>
      </c>
      <c r="D1491">
        <v>20</v>
      </c>
      <c r="E1491">
        <v>0</v>
      </c>
    </row>
    <row r="1492" spans="1:5" x14ac:dyDescent="0.3">
      <c r="A1492">
        <v>10818</v>
      </c>
      <c r="B1492">
        <v>41</v>
      </c>
      <c r="C1492">
        <v>965</v>
      </c>
      <c r="D1492">
        <v>20</v>
      </c>
      <c r="E1492">
        <v>0</v>
      </c>
    </row>
    <row r="1493" spans="1:5" x14ac:dyDescent="0.3">
      <c r="A1493">
        <v>10819</v>
      </c>
      <c r="B1493">
        <v>43</v>
      </c>
      <c r="C1493">
        <v>46</v>
      </c>
      <c r="D1493">
        <v>7</v>
      </c>
      <c r="E1493">
        <v>0</v>
      </c>
    </row>
    <row r="1494" spans="1:5" x14ac:dyDescent="0.3">
      <c r="A1494">
        <v>10819</v>
      </c>
      <c r="B1494">
        <v>75</v>
      </c>
      <c r="C1494">
        <v>775</v>
      </c>
      <c r="D1494">
        <v>20</v>
      </c>
      <c r="E1494">
        <v>0</v>
      </c>
    </row>
    <row r="1495" spans="1:5" x14ac:dyDescent="0.3">
      <c r="A1495">
        <v>10820</v>
      </c>
      <c r="B1495">
        <v>56</v>
      </c>
      <c r="C1495">
        <v>38</v>
      </c>
      <c r="D1495">
        <v>30</v>
      </c>
      <c r="E1495">
        <v>0</v>
      </c>
    </row>
    <row r="1496" spans="1:5" x14ac:dyDescent="0.3">
      <c r="A1496">
        <v>10821</v>
      </c>
      <c r="B1496">
        <v>35</v>
      </c>
      <c r="C1496">
        <v>18</v>
      </c>
      <c r="D1496">
        <v>20</v>
      </c>
      <c r="E1496">
        <v>0</v>
      </c>
    </row>
    <row r="1497" spans="1:5" x14ac:dyDescent="0.3">
      <c r="A1497">
        <v>10821</v>
      </c>
      <c r="B1497">
        <v>51</v>
      </c>
      <c r="C1497">
        <v>53</v>
      </c>
      <c r="D1497">
        <v>6</v>
      </c>
      <c r="E1497">
        <v>0</v>
      </c>
    </row>
    <row r="1498" spans="1:5" x14ac:dyDescent="0.3">
      <c r="A1498">
        <v>10822</v>
      </c>
      <c r="B1498">
        <v>62</v>
      </c>
      <c r="C1498">
        <v>493</v>
      </c>
      <c r="D1498">
        <v>3</v>
      </c>
      <c r="E1498">
        <v>0</v>
      </c>
    </row>
    <row r="1499" spans="1:5" x14ac:dyDescent="0.3">
      <c r="A1499">
        <v>10822</v>
      </c>
      <c r="B1499">
        <v>70</v>
      </c>
      <c r="C1499">
        <v>15</v>
      </c>
      <c r="D1499">
        <v>6</v>
      </c>
      <c r="E1499">
        <v>0</v>
      </c>
    </row>
    <row r="1500" spans="1:5" x14ac:dyDescent="0.3">
      <c r="A1500">
        <v>10823</v>
      </c>
      <c r="B1500">
        <v>11</v>
      </c>
      <c r="C1500">
        <v>21</v>
      </c>
      <c r="D1500">
        <v>20</v>
      </c>
      <c r="E1500">
        <v>1</v>
      </c>
    </row>
    <row r="1501" spans="1:5" x14ac:dyDescent="0.3">
      <c r="A1501">
        <v>10823</v>
      </c>
      <c r="B1501">
        <v>57</v>
      </c>
      <c r="C1501">
        <v>195</v>
      </c>
      <c r="D1501">
        <v>15</v>
      </c>
      <c r="E1501">
        <v>0</v>
      </c>
    </row>
    <row r="1502" spans="1:5" x14ac:dyDescent="0.3">
      <c r="A1502">
        <v>10823</v>
      </c>
      <c r="B1502">
        <v>59</v>
      </c>
      <c r="C1502">
        <v>55</v>
      </c>
      <c r="D1502">
        <v>40</v>
      </c>
      <c r="E1502">
        <v>1</v>
      </c>
    </row>
    <row r="1503" spans="1:5" x14ac:dyDescent="0.3">
      <c r="A1503">
        <v>10823</v>
      </c>
      <c r="B1503">
        <v>77</v>
      </c>
      <c r="C1503">
        <v>13</v>
      </c>
      <c r="D1503">
        <v>15</v>
      </c>
      <c r="E1503">
        <v>1</v>
      </c>
    </row>
    <row r="1504" spans="1:5" x14ac:dyDescent="0.3">
      <c r="A1504">
        <v>10824</v>
      </c>
      <c r="B1504">
        <v>41</v>
      </c>
      <c r="C1504">
        <v>965</v>
      </c>
      <c r="D1504">
        <v>12</v>
      </c>
      <c r="E1504">
        <v>0</v>
      </c>
    </row>
    <row r="1505" spans="1:5" x14ac:dyDescent="0.3">
      <c r="A1505">
        <v>10824</v>
      </c>
      <c r="B1505">
        <v>70</v>
      </c>
      <c r="C1505">
        <v>15</v>
      </c>
      <c r="D1505">
        <v>9</v>
      </c>
      <c r="E1505">
        <v>0</v>
      </c>
    </row>
    <row r="1506" spans="1:5" x14ac:dyDescent="0.3">
      <c r="A1506">
        <v>10825</v>
      </c>
      <c r="B1506">
        <v>26</v>
      </c>
      <c r="C1506">
        <v>3123</v>
      </c>
      <c r="D1506">
        <v>12</v>
      </c>
      <c r="E1506">
        <v>0</v>
      </c>
    </row>
    <row r="1507" spans="1:5" x14ac:dyDescent="0.3">
      <c r="A1507">
        <v>10825</v>
      </c>
      <c r="B1507">
        <v>53</v>
      </c>
      <c r="C1507">
        <v>328</v>
      </c>
      <c r="D1507">
        <v>20</v>
      </c>
      <c r="E1507">
        <v>0</v>
      </c>
    </row>
    <row r="1508" spans="1:5" x14ac:dyDescent="0.3">
      <c r="A1508">
        <v>10826</v>
      </c>
      <c r="B1508">
        <v>31</v>
      </c>
      <c r="C1508">
        <v>125</v>
      </c>
      <c r="D1508">
        <v>35</v>
      </c>
      <c r="E1508">
        <v>0</v>
      </c>
    </row>
    <row r="1509" spans="1:5" x14ac:dyDescent="0.3">
      <c r="A1509">
        <v>10826</v>
      </c>
      <c r="B1509">
        <v>57</v>
      </c>
      <c r="C1509">
        <v>195</v>
      </c>
      <c r="D1509">
        <v>15</v>
      </c>
      <c r="E1509">
        <v>0</v>
      </c>
    </row>
    <row r="1510" spans="1:5" x14ac:dyDescent="0.3">
      <c r="A1510">
        <v>10827</v>
      </c>
      <c r="B1510">
        <v>10</v>
      </c>
      <c r="C1510">
        <v>31</v>
      </c>
      <c r="D1510">
        <v>15</v>
      </c>
      <c r="E1510">
        <v>0</v>
      </c>
    </row>
    <row r="1511" spans="1:5" x14ac:dyDescent="0.3">
      <c r="A1511">
        <v>10827</v>
      </c>
      <c r="B1511">
        <v>39</v>
      </c>
      <c r="C1511">
        <v>18</v>
      </c>
      <c r="D1511">
        <v>21</v>
      </c>
      <c r="E1511">
        <v>0</v>
      </c>
    </row>
    <row r="1512" spans="1:5" x14ac:dyDescent="0.3">
      <c r="A1512">
        <v>10828</v>
      </c>
      <c r="B1512">
        <v>20</v>
      </c>
      <c r="C1512">
        <v>81</v>
      </c>
      <c r="D1512">
        <v>5</v>
      </c>
      <c r="E1512">
        <v>0</v>
      </c>
    </row>
    <row r="1513" spans="1:5" x14ac:dyDescent="0.3">
      <c r="A1513">
        <v>10828</v>
      </c>
      <c r="B1513">
        <v>38</v>
      </c>
      <c r="C1513">
        <v>2635</v>
      </c>
      <c r="D1513">
        <v>2</v>
      </c>
      <c r="E1513">
        <v>0</v>
      </c>
    </row>
    <row r="1514" spans="1:5" x14ac:dyDescent="0.3">
      <c r="A1514">
        <v>10829</v>
      </c>
      <c r="B1514">
        <v>2</v>
      </c>
      <c r="C1514">
        <v>19</v>
      </c>
      <c r="D1514">
        <v>10</v>
      </c>
      <c r="E1514">
        <v>0</v>
      </c>
    </row>
    <row r="1515" spans="1:5" x14ac:dyDescent="0.3">
      <c r="A1515">
        <v>10829</v>
      </c>
      <c r="B1515">
        <v>8</v>
      </c>
      <c r="C1515">
        <v>40</v>
      </c>
      <c r="D1515">
        <v>20</v>
      </c>
      <c r="E1515">
        <v>0</v>
      </c>
    </row>
    <row r="1516" spans="1:5" x14ac:dyDescent="0.3">
      <c r="A1516">
        <v>10829</v>
      </c>
      <c r="B1516">
        <v>13</v>
      </c>
      <c r="C1516">
        <v>6</v>
      </c>
      <c r="D1516">
        <v>10</v>
      </c>
      <c r="E1516">
        <v>0</v>
      </c>
    </row>
    <row r="1517" spans="1:5" x14ac:dyDescent="0.3">
      <c r="A1517">
        <v>10829</v>
      </c>
      <c r="B1517">
        <v>60</v>
      </c>
      <c r="C1517">
        <v>34</v>
      </c>
      <c r="D1517">
        <v>21</v>
      </c>
      <c r="E1517">
        <v>0</v>
      </c>
    </row>
    <row r="1518" spans="1:5" x14ac:dyDescent="0.3">
      <c r="A1518">
        <v>10830</v>
      </c>
      <c r="B1518">
        <v>6</v>
      </c>
      <c r="C1518">
        <v>25</v>
      </c>
      <c r="D1518">
        <v>6</v>
      </c>
      <c r="E1518">
        <v>0</v>
      </c>
    </row>
    <row r="1519" spans="1:5" x14ac:dyDescent="0.3">
      <c r="A1519">
        <v>10830</v>
      </c>
      <c r="B1519">
        <v>39</v>
      </c>
      <c r="C1519">
        <v>18</v>
      </c>
      <c r="D1519">
        <v>28</v>
      </c>
      <c r="E1519">
        <v>0</v>
      </c>
    </row>
    <row r="1520" spans="1:5" x14ac:dyDescent="0.3">
      <c r="A1520">
        <v>10830</v>
      </c>
      <c r="B1520">
        <v>60</v>
      </c>
      <c r="C1520">
        <v>34</v>
      </c>
      <c r="D1520">
        <v>30</v>
      </c>
      <c r="E1520">
        <v>0</v>
      </c>
    </row>
    <row r="1521" spans="1:5" x14ac:dyDescent="0.3">
      <c r="A1521">
        <v>10830</v>
      </c>
      <c r="B1521">
        <v>68</v>
      </c>
      <c r="C1521">
        <v>125</v>
      </c>
      <c r="D1521">
        <v>24</v>
      </c>
      <c r="E1521">
        <v>0</v>
      </c>
    </row>
    <row r="1522" spans="1:5" x14ac:dyDescent="0.3">
      <c r="A1522">
        <v>10831</v>
      </c>
      <c r="B1522">
        <v>19</v>
      </c>
      <c r="C1522">
        <v>92</v>
      </c>
      <c r="D1522">
        <v>2</v>
      </c>
      <c r="E1522">
        <v>0</v>
      </c>
    </row>
    <row r="1523" spans="1:5" x14ac:dyDescent="0.3">
      <c r="A1523">
        <v>10831</v>
      </c>
      <c r="B1523">
        <v>35</v>
      </c>
      <c r="C1523">
        <v>18</v>
      </c>
      <c r="D1523">
        <v>8</v>
      </c>
      <c r="E1523">
        <v>0</v>
      </c>
    </row>
    <row r="1524" spans="1:5" x14ac:dyDescent="0.3">
      <c r="A1524">
        <v>10831</v>
      </c>
      <c r="B1524">
        <v>38</v>
      </c>
      <c r="C1524">
        <v>2635</v>
      </c>
      <c r="D1524">
        <v>8</v>
      </c>
      <c r="E1524">
        <v>0</v>
      </c>
    </row>
    <row r="1525" spans="1:5" x14ac:dyDescent="0.3">
      <c r="A1525">
        <v>10831</v>
      </c>
      <c r="B1525">
        <v>43</v>
      </c>
      <c r="C1525">
        <v>46</v>
      </c>
      <c r="D1525">
        <v>9</v>
      </c>
      <c r="E1525">
        <v>0</v>
      </c>
    </row>
    <row r="1526" spans="1:5" x14ac:dyDescent="0.3">
      <c r="A1526">
        <v>10832</v>
      </c>
      <c r="B1526">
        <v>13</v>
      </c>
      <c r="C1526">
        <v>6</v>
      </c>
      <c r="D1526">
        <v>3</v>
      </c>
      <c r="E1526">
        <v>2</v>
      </c>
    </row>
    <row r="1527" spans="1:5" x14ac:dyDescent="0.3">
      <c r="A1527">
        <v>10832</v>
      </c>
      <c r="B1527">
        <v>25</v>
      </c>
      <c r="C1527">
        <v>14</v>
      </c>
      <c r="D1527">
        <v>10</v>
      </c>
      <c r="E1527">
        <v>2</v>
      </c>
    </row>
    <row r="1528" spans="1:5" x14ac:dyDescent="0.3">
      <c r="A1528">
        <v>10832</v>
      </c>
      <c r="B1528">
        <v>44</v>
      </c>
      <c r="C1528">
        <v>1945</v>
      </c>
      <c r="D1528">
        <v>16</v>
      </c>
      <c r="E1528">
        <v>2</v>
      </c>
    </row>
    <row r="1529" spans="1:5" x14ac:dyDescent="0.3">
      <c r="A1529">
        <v>10832</v>
      </c>
      <c r="B1529">
        <v>64</v>
      </c>
      <c r="C1529">
        <v>3325</v>
      </c>
      <c r="D1529">
        <v>3</v>
      </c>
      <c r="E1529">
        <v>0</v>
      </c>
    </row>
    <row r="1530" spans="1:5" x14ac:dyDescent="0.3">
      <c r="A1530">
        <v>10833</v>
      </c>
      <c r="B1530">
        <v>7</v>
      </c>
      <c r="C1530">
        <v>30</v>
      </c>
      <c r="D1530">
        <v>20</v>
      </c>
      <c r="E1530">
        <v>1</v>
      </c>
    </row>
    <row r="1531" spans="1:5" x14ac:dyDescent="0.3">
      <c r="A1531">
        <v>10833</v>
      </c>
      <c r="B1531">
        <v>31</v>
      </c>
      <c r="C1531">
        <v>125</v>
      </c>
      <c r="D1531">
        <v>9</v>
      </c>
      <c r="E1531">
        <v>1</v>
      </c>
    </row>
    <row r="1532" spans="1:5" x14ac:dyDescent="0.3">
      <c r="A1532">
        <v>10833</v>
      </c>
      <c r="B1532">
        <v>53</v>
      </c>
      <c r="C1532">
        <v>328</v>
      </c>
      <c r="D1532">
        <v>9</v>
      </c>
      <c r="E1532">
        <v>1</v>
      </c>
    </row>
    <row r="1533" spans="1:5" x14ac:dyDescent="0.3">
      <c r="A1533">
        <v>10834</v>
      </c>
      <c r="B1533">
        <v>29</v>
      </c>
      <c r="C1533">
        <v>12379</v>
      </c>
      <c r="D1533">
        <v>8</v>
      </c>
      <c r="E1533">
        <v>5</v>
      </c>
    </row>
    <row r="1534" spans="1:5" x14ac:dyDescent="0.3">
      <c r="A1534">
        <v>10834</v>
      </c>
      <c r="B1534">
        <v>30</v>
      </c>
      <c r="C1534">
        <v>2589</v>
      </c>
      <c r="D1534">
        <v>20</v>
      </c>
      <c r="E1534">
        <v>5</v>
      </c>
    </row>
    <row r="1535" spans="1:5" x14ac:dyDescent="0.3">
      <c r="A1535">
        <v>10835</v>
      </c>
      <c r="B1535">
        <v>59</v>
      </c>
      <c r="C1535">
        <v>55</v>
      </c>
      <c r="D1535">
        <v>15</v>
      </c>
      <c r="E1535">
        <v>0</v>
      </c>
    </row>
    <row r="1536" spans="1:5" x14ac:dyDescent="0.3">
      <c r="A1536">
        <v>10835</v>
      </c>
      <c r="B1536">
        <v>77</v>
      </c>
      <c r="C1536">
        <v>13</v>
      </c>
      <c r="D1536">
        <v>2</v>
      </c>
      <c r="E1536">
        <v>2</v>
      </c>
    </row>
    <row r="1537" spans="1:5" x14ac:dyDescent="0.3">
      <c r="A1537">
        <v>10836</v>
      </c>
      <c r="B1537">
        <v>22</v>
      </c>
      <c r="C1537">
        <v>21</v>
      </c>
      <c r="D1537">
        <v>52</v>
      </c>
      <c r="E1537">
        <v>0</v>
      </c>
    </row>
    <row r="1538" spans="1:5" x14ac:dyDescent="0.3">
      <c r="A1538">
        <v>10836</v>
      </c>
      <c r="B1538">
        <v>35</v>
      </c>
      <c r="C1538">
        <v>18</v>
      </c>
      <c r="D1538">
        <v>6</v>
      </c>
      <c r="E1538">
        <v>0</v>
      </c>
    </row>
    <row r="1539" spans="1:5" x14ac:dyDescent="0.3">
      <c r="A1539">
        <v>10836</v>
      </c>
      <c r="B1539">
        <v>57</v>
      </c>
      <c r="C1539">
        <v>195</v>
      </c>
      <c r="D1539">
        <v>24</v>
      </c>
      <c r="E1539">
        <v>0</v>
      </c>
    </row>
    <row r="1540" spans="1:5" x14ac:dyDescent="0.3">
      <c r="A1540">
        <v>10836</v>
      </c>
      <c r="B1540">
        <v>60</v>
      </c>
      <c r="C1540">
        <v>34</v>
      </c>
      <c r="D1540">
        <v>60</v>
      </c>
      <c r="E1540">
        <v>0</v>
      </c>
    </row>
    <row r="1541" spans="1:5" x14ac:dyDescent="0.3">
      <c r="A1541">
        <v>10836</v>
      </c>
      <c r="B1541">
        <v>64</v>
      </c>
      <c r="C1541">
        <v>3325</v>
      </c>
      <c r="D1541">
        <v>30</v>
      </c>
      <c r="E1541">
        <v>0</v>
      </c>
    </row>
    <row r="1542" spans="1:5" x14ac:dyDescent="0.3">
      <c r="A1542">
        <v>10837</v>
      </c>
      <c r="B1542">
        <v>13</v>
      </c>
      <c r="C1542">
        <v>6</v>
      </c>
      <c r="D1542">
        <v>6</v>
      </c>
      <c r="E1542">
        <v>0</v>
      </c>
    </row>
    <row r="1543" spans="1:5" x14ac:dyDescent="0.3">
      <c r="A1543">
        <v>10837</v>
      </c>
      <c r="B1543">
        <v>40</v>
      </c>
      <c r="C1543">
        <v>184</v>
      </c>
      <c r="D1543">
        <v>25</v>
      </c>
      <c r="E1543">
        <v>0</v>
      </c>
    </row>
    <row r="1544" spans="1:5" x14ac:dyDescent="0.3">
      <c r="A1544">
        <v>10837</v>
      </c>
      <c r="B1544">
        <v>47</v>
      </c>
      <c r="C1544">
        <v>95</v>
      </c>
      <c r="D1544">
        <v>40</v>
      </c>
      <c r="E1544">
        <v>25</v>
      </c>
    </row>
    <row r="1545" spans="1:5" x14ac:dyDescent="0.3">
      <c r="A1545">
        <v>10837</v>
      </c>
      <c r="B1545">
        <v>76</v>
      </c>
      <c r="C1545">
        <v>18</v>
      </c>
      <c r="D1545">
        <v>21</v>
      </c>
      <c r="E1545">
        <v>25</v>
      </c>
    </row>
    <row r="1546" spans="1:5" x14ac:dyDescent="0.3">
      <c r="A1546">
        <v>10838</v>
      </c>
      <c r="B1546">
        <v>1</v>
      </c>
      <c r="C1546">
        <v>18</v>
      </c>
      <c r="D1546">
        <v>4</v>
      </c>
      <c r="E1546">
        <v>25</v>
      </c>
    </row>
    <row r="1547" spans="1:5" x14ac:dyDescent="0.3">
      <c r="A1547">
        <v>10838</v>
      </c>
      <c r="B1547">
        <v>18</v>
      </c>
      <c r="C1547">
        <v>625</v>
      </c>
      <c r="D1547">
        <v>25</v>
      </c>
      <c r="E1547">
        <v>25</v>
      </c>
    </row>
    <row r="1548" spans="1:5" x14ac:dyDescent="0.3">
      <c r="A1548">
        <v>10838</v>
      </c>
      <c r="B1548">
        <v>36</v>
      </c>
      <c r="C1548">
        <v>19</v>
      </c>
      <c r="D1548">
        <v>50</v>
      </c>
      <c r="E1548">
        <v>25</v>
      </c>
    </row>
    <row r="1549" spans="1:5" x14ac:dyDescent="0.3">
      <c r="A1549">
        <v>10839</v>
      </c>
      <c r="B1549">
        <v>58</v>
      </c>
      <c r="C1549">
        <v>1325</v>
      </c>
      <c r="D1549">
        <v>30</v>
      </c>
      <c r="E1549">
        <v>1</v>
      </c>
    </row>
    <row r="1550" spans="1:5" x14ac:dyDescent="0.3">
      <c r="A1550">
        <v>10839</v>
      </c>
      <c r="B1550">
        <v>72</v>
      </c>
      <c r="C1550">
        <v>348</v>
      </c>
      <c r="D1550">
        <v>15</v>
      </c>
      <c r="E1550">
        <v>1</v>
      </c>
    </row>
    <row r="1551" spans="1:5" x14ac:dyDescent="0.3">
      <c r="A1551">
        <v>10840</v>
      </c>
      <c r="B1551">
        <v>25</v>
      </c>
      <c r="C1551">
        <v>14</v>
      </c>
      <c r="D1551">
        <v>6</v>
      </c>
      <c r="E1551">
        <v>2</v>
      </c>
    </row>
    <row r="1552" spans="1:5" x14ac:dyDescent="0.3">
      <c r="A1552">
        <v>10840</v>
      </c>
      <c r="B1552">
        <v>39</v>
      </c>
      <c r="C1552">
        <v>18</v>
      </c>
      <c r="D1552">
        <v>10</v>
      </c>
      <c r="E1552">
        <v>2</v>
      </c>
    </row>
    <row r="1553" spans="1:5" x14ac:dyDescent="0.3">
      <c r="A1553">
        <v>10841</v>
      </c>
      <c r="B1553">
        <v>10</v>
      </c>
      <c r="C1553">
        <v>31</v>
      </c>
      <c r="D1553">
        <v>16</v>
      </c>
      <c r="E1553">
        <v>0</v>
      </c>
    </row>
    <row r="1554" spans="1:5" x14ac:dyDescent="0.3">
      <c r="A1554">
        <v>10841</v>
      </c>
      <c r="B1554">
        <v>56</v>
      </c>
      <c r="C1554">
        <v>38</v>
      </c>
      <c r="D1554">
        <v>30</v>
      </c>
      <c r="E1554">
        <v>0</v>
      </c>
    </row>
    <row r="1555" spans="1:5" x14ac:dyDescent="0.3">
      <c r="A1555">
        <v>10841</v>
      </c>
      <c r="B1555">
        <v>59</v>
      </c>
      <c r="C1555">
        <v>55</v>
      </c>
      <c r="D1555">
        <v>50</v>
      </c>
      <c r="E1555">
        <v>0</v>
      </c>
    </row>
    <row r="1556" spans="1:5" x14ac:dyDescent="0.3">
      <c r="A1556">
        <v>10841</v>
      </c>
      <c r="B1556">
        <v>77</v>
      </c>
      <c r="C1556">
        <v>13</v>
      </c>
      <c r="D1556">
        <v>15</v>
      </c>
      <c r="E1556">
        <v>0</v>
      </c>
    </row>
    <row r="1557" spans="1:5" x14ac:dyDescent="0.3">
      <c r="A1557">
        <v>10842</v>
      </c>
      <c r="B1557">
        <v>11</v>
      </c>
      <c r="C1557">
        <v>21</v>
      </c>
      <c r="D1557">
        <v>15</v>
      </c>
      <c r="E1557">
        <v>0</v>
      </c>
    </row>
    <row r="1558" spans="1:5" x14ac:dyDescent="0.3">
      <c r="A1558">
        <v>10842</v>
      </c>
      <c r="B1558">
        <v>43</v>
      </c>
      <c r="C1558">
        <v>46</v>
      </c>
      <c r="D1558">
        <v>5</v>
      </c>
      <c r="E1558">
        <v>0</v>
      </c>
    </row>
    <row r="1559" spans="1:5" x14ac:dyDescent="0.3">
      <c r="A1559">
        <v>10842</v>
      </c>
      <c r="B1559">
        <v>68</v>
      </c>
      <c r="C1559">
        <v>125</v>
      </c>
      <c r="D1559">
        <v>20</v>
      </c>
      <c r="E1559">
        <v>0</v>
      </c>
    </row>
    <row r="1560" spans="1:5" x14ac:dyDescent="0.3">
      <c r="A1560">
        <v>10842</v>
      </c>
      <c r="B1560">
        <v>70</v>
      </c>
      <c r="C1560">
        <v>15</v>
      </c>
      <c r="D1560">
        <v>12</v>
      </c>
      <c r="E1560">
        <v>0</v>
      </c>
    </row>
    <row r="1561" spans="1:5" x14ac:dyDescent="0.3">
      <c r="A1561">
        <v>10843</v>
      </c>
      <c r="B1561">
        <v>51</v>
      </c>
      <c r="C1561">
        <v>53</v>
      </c>
      <c r="D1561">
        <v>4</v>
      </c>
      <c r="E1561">
        <v>25</v>
      </c>
    </row>
    <row r="1562" spans="1:5" x14ac:dyDescent="0.3">
      <c r="A1562">
        <v>10844</v>
      </c>
      <c r="B1562">
        <v>22</v>
      </c>
      <c r="C1562">
        <v>21</v>
      </c>
      <c r="D1562">
        <v>35</v>
      </c>
      <c r="E1562">
        <v>0</v>
      </c>
    </row>
    <row r="1563" spans="1:5" x14ac:dyDescent="0.3">
      <c r="A1563">
        <v>10845</v>
      </c>
      <c r="B1563">
        <v>23</v>
      </c>
      <c r="C1563">
        <v>9</v>
      </c>
      <c r="D1563">
        <v>70</v>
      </c>
      <c r="E1563">
        <v>1</v>
      </c>
    </row>
    <row r="1564" spans="1:5" x14ac:dyDescent="0.3">
      <c r="A1564">
        <v>10845</v>
      </c>
      <c r="B1564">
        <v>35</v>
      </c>
      <c r="C1564">
        <v>18</v>
      </c>
      <c r="D1564">
        <v>25</v>
      </c>
      <c r="E1564">
        <v>1</v>
      </c>
    </row>
    <row r="1565" spans="1:5" x14ac:dyDescent="0.3">
      <c r="A1565">
        <v>10845</v>
      </c>
      <c r="B1565">
        <v>42</v>
      </c>
      <c r="C1565">
        <v>14</v>
      </c>
      <c r="D1565">
        <v>42</v>
      </c>
      <c r="E1565">
        <v>1</v>
      </c>
    </row>
    <row r="1566" spans="1:5" x14ac:dyDescent="0.3">
      <c r="A1566">
        <v>10845</v>
      </c>
      <c r="B1566">
        <v>58</v>
      </c>
      <c r="C1566">
        <v>1325</v>
      </c>
      <c r="D1566">
        <v>60</v>
      </c>
      <c r="E1566">
        <v>1</v>
      </c>
    </row>
    <row r="1567" spans="1:5" x14ac:dyDescent="0.3">
      <c r="A1567">
        <v>10845</v>
      </c>
      <c r="B1567">
        <v>64</v>
      </c>
      <c r="C1567">
        <v>3325</v>
      </c>
      <c r="D1567">
        <v>48</v>
      </c>
      <c r="E1567">
        <v>0</v>
      </c>
    </row>
    <row r="1568" spans="1:5" x14ac:dyDescent="0.3">
      <c r="A1568">
        <v>10846</v>
      </c>
      <c r="B1568">
        <v>4</v>
      </c>
      <c r="C1568">
        <v>22</v>
      </c>
      <c r="D1568">
        <v>21</v>
      </c>
      <c r="E1568">
        <v>0</v>
      </c>
    </row>
    <row r="1569" spans="1:5" x14ac:dyDescent="0.3">
      <c r="A1569">
        <v>10846</v>
      </c>
      <c r="B1569">
        <v>70</v>
      </c>
      <c r="C1569">
        <v>15</v>
      </c>
      <c r="D1569">
        <v>30</v>
      </c>
      <c r="E1569">
        <v>0</v>
      </c>
    </row>
    <row r="1570" spans="1:5" x14ac:dyDescent="0.3">
      <c r="A1570">
        <v>10846</v>
      </c>
      <c r="B1570">
        <v>74</v>
      </c>
      <c r="C1570">
        <v>10</v>
      </c>
      <c r="D1570">
        <v>20</v>
      </c>
      <c r="E1570">
        <v>0</v>
      </c>
    </row>
    <row r="1571" spans="1:5" x14ac:dyDescent="0.3">
      <c r="A1571">
        <v>10847</v>
      </c>
      <c r="B1571">
        <v>1</v>
      </c>
      <c r="C1571">
        <v>18</v>
      </c>
      <c r="D1571">
        <v>80</v>
      </c>
      <c r="E1571">
        <v>2</v>
      </c>
    </row>
    <row r="1572" spans="1:5" x14ac:dyDescent="0.3">
      <c r="A1572">
        <v>10847</v>
      </c>
      <c r="B1572">
        <v>19</v>
      </c>
      <c r="C1572">
        <v>92</v>
      </c>
      <c r="D1572">
        <v>12</v>
      </c>
      <c r="E1572">
        <v>2</v>
      </c>
    </row>
    <row r="1573" spans="1:5" x14ac:dyDescent="0.3">
      <c r="A1573">
        <v>10847</v>
      </c>
      <c r="B1573">
        <v>37</v>
      </c>
      <c r="C1573">
        <v>26</v>
      </c>
      <c r="D1573">
        <v>60</v>
      </c>
      <c r="E1573">
        <v>2</v>
      </c>
    </row>
    <row r="1574" spans="1:5" x14ac:dyDescent="0.3">
      <c r="A1574">
        <v>10847</v>
      </c>
      <c r="B1574">
        <v>45</v>
      </c>
      <c r="C1574">
        <v>95</v>
      </c>
      <c r="D1574">
        <v>36</v>
      </c>
      <c r="E1574">
        <v>2</v>
      </c>
    </row>
    <row r="1575" spans="1:5" x14ac:dyDescent="0.3">
      <c r="A1575">
        <v>10847</v>
      </c>
      <c r="B1575">
        <v>60</v>
      </c>
      <c r="C1575">
        <v>34</v>
      </c>
      <c r="D1575">
        <v>45</v>
      </c>
      <c r="E1575">
        <v>2</v>
      </c>
    </row>
    <row r="1576" spans="1:5" x14ac:dyDescent="0.3">
      <c r="A1576">
        <v>10847</v>
      </c>
      <c r="B1576">
        <v>71</v>
      </c>
      <c r="C1576">
        <v>215</v>
      </c>
      <c r="D1576">
        <v>55</v>
      </c>
      <c r="E1576">
        <v>2</v>
      </c>
    </row>
    <row r="1577" spans="1:5" x14ac:dyDescent="0.3">
      <c r="A1577">
        <v>10848</v>
      </c>
      <c r="B1577">
        <v>5</v>
      </c>
      <c r="C1577">
        <v>2135</v>
      </c>
      <c r="D1577">
        <v>30</v>
      </c>
      <c r="E1577">
        <v>0</v>
      </c>
    </row>
    <row r="1578" spans="1:5" x14ac:dyDescent="0.3">
      <c r="A1578">
        <v>10848</v>
      </c>
      <c r="B1578">
        <v>9</v>
      </c>
      <c r="C1578">
        <v>97</v>
      </c>
      <c r="D1578">
        <v>3</v>
      </c>
      <c r="E1578">
        <v>0</v>
      </c>
    </row>
    <row r="1579" spans="1:5" x14ac:dyDescent="0.3">
      <c r="A1579">
        <v>10849</v>
      </c>
      <c r="B1579">
        <v>3</v>
      </c>
      <c r="C1579">
        <v>10</v>
      </c>
      <c r="D1579">
        <v>49</v>
      </c>
      <c r="E1579">
        <v>0</v>
      </c>
    </row>
    <row r="1580" spans="1:5" x14ac:dyDescent="0.3">
      <c r="A1580">
        <v>10849</v>
      </c>
      <c r="B1580">
        <v>26</v>
      </c>
      <c r="C1580">
        <v>3123</v>
      </c>
      <c r="D1580">
        <v>18</v>
      </c>
      <c r="E1580">
        <v>15</v>
      </c>
    </row>
    <row r="1581" spans="1:5" x14ac:dyDescent="0.3">
      <c r="A1581">
        <v>10850</v>
      </c>
      <c r="B1581">
        <v>25</v>
      </c>
      <c r="C1581">
        <v>14</v>
      </c>
      <c r="D1581">
        <v>20</v>
      </c>
      <c r="E1581">
        <v>15</v>
      </c>
    </row>
    <row r="1582" spans="1:5" x14ac:dyDescent="0.3">
      <c r="A1582">
        <v>10850</v>
      </c>
      <c r="B1582">
        <v>33</v>
      </c>
      <c r="C1582">
        <v>25</v>
      </c>
      <c r="D1582">
        <v>4</v>
      </c>
      <c r="E1582">
        <v>15</v>
      </c>
    </row>
    <row r="1583" spans="1:5" x14ac:dyDescent="0.3">
      <c r="A1583">
        <v>10850</v>
      </c>
      <c r="B1583">
        <v>70</v>
      </c>
      <c r="C1583">
        <v>15</v>
      </c>
      <c r="D1583">
        <v>30</v>
      </c>
      <c r="E1583">
        <v>15</v>
      </c>
    </row>
    <row r="1584" spans="1:5" x14ac:dyDescent="0.3">
      <c r="A1584">
        <v>10851</v>
      </c>
      <c r="B1584">
        <v>2</v>
      </c>
      <c r="C1584">
        <v>19</v>
      </c>
      <c r="D1584">
        <v>5</v>
      </c>
      <c r="E1584">
        <v>5</v>
      </c>
    </row>
    <row r="1585" spans="1:5" x14ac:dyDescent="0.3">
      <c r="A1585">
        <v>10851</v>
      </c>
      <c r="B1585">
        <v>25</v>
      </c>
      <c r="C1585">
        <v>14</v>
      </c>
      <c r="D1585">
        <v>10</v>
      </c>
      <c r="E1585">
        <v>5</v>
      </c>
    </row>
    <row r="1586" spans="1:5" x14ac:dyDescent="0.3">
      <c r="A1586">
        <v>10851</v>
      </c>
      <c r="B1586">
        <v>57</v>
      </c>
      <c r="C1586">
        <v>195</v>
      </c>
      <c r="D1586">
        <v>10</v>
      </c>
      <c r="E1586">
        <v>5</v>
      </c>
    </row>
    <row r="1587" spans="1:5" x14ac:dyDescent="0.3">
      <c r="A1587">
        <v>10851</v>
      </c>
      <c r="B1587">
        <v>59</v>
      </c>
      <c r="C1587">
        <v>55</v>
      </c>
      <c r="D1587">
        <v>42</v>
      </c>
      <c r="E1587">
        <v>5</v>
      </c>
    </row>
    <row r="1588" spans="1:5" x14ac:dyDescent="0.3">
      <c r="A1588">
        <v>10852</v>
      </c>
      <c r="B1588">
        <v>2</v>
      </c>
      <c r="C1588">
        <v>19</v>
      </c>
      <c r="D1588">
        <v>15</v>
      </c>
      <c r="E1588">
        <v>0</v>
      </c>
    </row>
    <row r="1589" spans="1:5" x14ac:dyDescent="0.3">
      <c r="A1589">
        <v>10852</v>
      </c>
      <c r="B1589">
        <v>17</v>
      </c>
      <c r="C1589">
        <v>39</v>
      </c>
      <c r="D1589">
        <v>6</v>
      </c>
      <c r="E1589">
        <v>0</v>
      </c>
    </row>
    <row r="1590" spans="1:5" x14ac:dyDescent="0.3">
      <c r="A1590">
        <v>10852</v>
      </c>
      <c r="B1590">
        <v>62</v>
      </c>
      <c r="C1590">
        <v>493</v>
      </c>
      <c r="D1590">
        <v>50</v>
      </c>
      <c r="E1590">
        <v>0</v>
      </c>
    </row>
    <row r="1591" spans="1:5" x14ac:dyDescent="0.3">
      <c r="A1591">
        <v>10853</v>
      </c>
      <c r="B1591">
        <v>18</v>
      </c>
      <c r="C1591">
        <v>625</v>
      </c>
      <c r="D1591">
        <v>10</v>
      </c>
      <c r="E1591">
        <v>0</v>
      </c>
    </row>
    <row r="1592" spans="1:5" x14ac:dyDescent="0.3">
      <c r="A1592">
        <v>10854</v>
      </c>
      <c r="B1592">
        <v>10</v>
      </c>
      <c r="C1592">
        <v>31</v>
      </c>
      <c r="D1592">
        <v>100</v>
      </c>
      <c r="E1592">
        <v>15</v>
      </c>
    </row>
    <row r="1593" spans="1:5" x14ac:dyDescent="0.3">
      <c r="A1593">
        <v>10854</v>
      </c>
      <c r="B1593">
        <v>13</v>
      </c>
      <c r="C1593">
        <v>6</v>
      </c>
      <c r="D1593">
        <v>65</v>
      </c>
      <c r="E1593">
        <v>15</v>
      </c>
    </row>
    <row r="1594" spans="1:5" x14ac:dyDescent="0.3">
      <c r="A1594">
        <v>10855</v>
      </c>
      <c r="B1594">
        <v>16</v>
      </c>
      <c r="C1594">
        <v>1745</v>
      </c>
      <c r="D1594">
        <v>50</v>
      </c>
      <c r="E1594">
        <v>0</v>
      </c>
    </row>
    <row r="1595" spans="1:5" x14ac:dyDescent="0.3">
      <c r="A1595">
        <v>10855</v>
      </c>
      <c r="B1595">
        <v>31</v>
      </c>
      <c r="C1595">
        <v>125</v>
      </c>
      <c r="D1595">
        <v>14</v>
      </c>
      <c r="E1595">
        <v>0</v>
      </c>
    </row>
    <row r="1596" spans="1:5" x14ac:dyDescent="0.3">
      <c r="A1596">
        <v>10855</v>
      </c>
      <c r="B1596">
        <v>56</v>
      </c>
      <c r="C1596">
        <v>38</v>
      </c>
      <c r="D1596">
        <v>24</v>
      </c>
      <c r="E1596">
        <v>0</v>
      </c>
    </row>
    <row r="1597" spans="1:5" x14ac:dyDescent="0.3">
      <c r="A1597">
        <v>10855</v>
      </c>
      <c r="B1597">
        <v>65</v>
      </c>
      <c r="C1597">
        <v>2105</v>
      </c>
      <c r="D1597">
        <v>15</v>
      </c>
      <c r="E1597">
        <v>15</v>
      </c>
    </row>
    <row r="1598" spans="1:5" x14ac:dyDescent="0.3">
      <c r="A1598">
        <v>10856</v>
      </c>
      <c r="B1598">
        <v>2</v>
      </c>
      <c r="C1598">
        <v>19</v>
      </c>
      <c r="D1598">
        <v>20</v>
      </c>
      <c r="E1598">
        <v>0</v>
      </c>
    </row>
    <row r="1599" spans="1:5" x14ac:dyDescent="0.3">
      <c r="A1599">
        <v>10856</v>
      </c>
      <c r="B1599">
        <v>42</v>
      </c>
      <c r="C1599">
        <v>14</v>
      </c>
      <c r="D1599">
        <v>20</v>
      </c>
      <c r="E1599">
        <v>0</v>
      </c>
    </row>
    <row r="1600" spans="1:5" x14ac:dyDescent="0.3">
      <c r="A1600">
        <v>10857</v>
      </c>
      <c r="B1600">
        <v>3</v>
      </c>
      <c r="C1600">
        <v>10</v>
      </c>
      <c r="D1600">
        <v>30</v>
      </c>
      <c r="E1600">
        <v>0</v>
      </c>
    </row>
    <row r="1601" spans="1:5" x14ac:dyDescent="0.3">
      <c r="A1601">
        <v>10857</v>
      </c>
      <c r="B1601">
        <v>26</v>
      </c>
      <c r="C1601">
        <v>3123</v>
      </c>
      <c r="D1601">
        <v>35</v>
      </c>
      <c r="E1601">
        <v>25</v>
      </c>
    </row>
    <row r="1602" spans="1:5" x14ac:dyDescent="0.3">
      <c r="A1602">
        <v>10857</v>
      </c>
      <c r="B1602">
        <v>29</v>
      </c>
      <c r="C1602">
        <v>12379</v>
      </c>
      <c r="D1602">
        <v>10</v>
      </c>
      <c r="E1602">
        <v>25</v>
      </c>
    </row>
    <row r="1603" spans="1:5" x14ac:dyDescent="0.3">
      <c r="A1603">
        <v>10858</v>
      </c>
      <c r="B1603">
        <v>7</v>
      </c>
      <c r="C1603">
        <v>30</v>
      </c>
      <c r="D1603">
        <v>5</v>
      </c>
      <c r="E1603">
        <v>0</v>
      </c>
    </row>
    <row r="1604" spans="1:5" x14ac:dyDescent="0.3">
      <c r="A1604">
        <v>10858</v>
      </c>
      <c r="B1604">
        <v>27</v>
      </c>
      <c r="C1604">
        <v>439</v>
      </c>
      <c r="D1604">
        <v>10</v>
      </c>
      <c r="E1604">
        <v>0</v>
      </c>
    </row>
    <row r="1605" spans="1:5" x14ac:dyDescent="0.3">
      <c r="A1605">
        <v>10858</v>
      </c>
      <c r="B1605">
        <v>70</v>
      </c>
      <c r="C1605">
        <v>15</v>
      </c>
      <c r="D1605">
        <v>4</v>
      </c>
      <c r="E1605">
        <v>0</v>
      </c>
    </row>
    <row r="1606" spans="1:5" x14ac:dyDescent="0.3">
      <c r="A1606">
        <v>10859</v>
      </c>
      <c r="B1606">
        <v>24</v>
      </c>
      <c r="C1606">
        <v>45</v>
      </c>
      <c r="D1606">
        <v>40</v>
      </c>
      <c r="E1606">
        <v>25</v>
      </c>
    </row>
    <row r="1607" spans="1:5" x14ac:dyDescent="0.3">
      <c r="A1607">
        <v>10859</v>
      </c>
      <c r="B1607">
        <v>54</v>
      </c>
      <c r="C1607">
        <v>745</v>
      </c>
      <c r="D1607">
        <v>35</v>
      </c>
      <c r="E1607">
        <v>25</v>
      </c>
    </row>
    <row r="1608" spans="1:5" x14ac:dyDescent="0.3">
      <c r="A1608">
        <v>10859</v>
      </c>
      <c r="B1608">
        <v>64</v>
      </c>
      <c r="C1608">
        <v>3325</v>
      </c>
      <c r="D1608">
        <v>30</v>
      </c>
      <c r="E1608">
        <v>25</v>
      </c>
    </row>
    <row r="1609" spans="1:5" x14ac:dyDescent="0.3">
      <c r="A1609">
        <v>10860</v>
      </c>
      <c r="B1609">
        <v>51</v>
      </c>
      <c r="C1609">
        <v>53</v>
      </c>
      <c r="D1609">
        <v>3</v>
      </c>
      <c r="E1609">
        <v>0</v>
      </c>
    </row>
    <row r="1610" spans="1:5" x14ac:dyDescent="0.3">
      <c r="A1610">
        <v>10860</v>
      </c>
      <c r="B1610">
        <v>76</v>
      </c>
      <c r="C1610">
        <v>18</v>
      </c>
      <c r="D1610">
        <v>20</v>
      </c>
      <c r="E1610">
        <v>0</v>
      </c>
    </row>
    <row r="1611" spans="1:5" x14ac:dyDescent="0.3">
      <c r="A1611">
        <v>10861</v>
      </c>
      <c r="B1611">
        <v>17</v>
      </c>
      <c r="C1611">
        <v>39</v>
      </c>
      <c r="D1611">
        <v>42</v>
      </c>
      <c r="E1611">
        <v>0</v>
      </c>
    </row>
    <row r="1612" spans="1:5" x14ac:dyDescent="0.3">
      <c r="A1612">
        <v>10861</v>
      </c>
      <c r="B1612">
        <v>18</v>
      </c>
      <c r="C1612">
        <v>625</v>
      </c>
      <c r="D1612">
        <v>20</v>
      </c>
      <c r="E1612">
        <v>0</v>
      </c>
    </row>
    <row r="1613" spans="1:5" x14ac:dyDescent="0.3">
      <c r="A1613">
        <v>10861</v>
      </c>
      <c r="B1613">
        <v>21</v>
      </c>
      <c r="C1613">
        <v>10</v>
      </c>
      <c r="D1613">
        <v>40</v>
      </c>
      <c r="E1613">
        <v>0</v>
      </c>
    </row>
    <row r="1614" spans="1:5" x14ac:dyDescent="0.3">
      <c r="A1614">
        <v>10861</v>
      </c>
      <c r="B1614">
        <v>33</v>
      </c>
      <c r="C1614">
        <v>25</v>
      </c>
      <c r="D1614">
        <v>35</v>
      </c>
      <c r="E1614">
        <v>0</v>
      </c>
    </row>
    <row r="1615" spans="1:5" x14ac:dyDescent="0.3">
      <c r="A1615">
        <v>10861</v>
      </c>
      <c r="B1615">
        <v>62</v>
      </c>
      <c r="C1615">
        <v>493</v>
      </c>
      <c r="D1615">
        <v>3</v>
      </c>
      <c r="E1615">
        <v>0</v>
      </c>
    </row>
    <row r="1616" spans="1:5" x14ac:dyDescent="0.3">
      <c r="A1616">
        <v>10862</v>
      </c>
      <c r="B1616">
        <v>11</v>
      </c>
      <c r="C1616">
        <v>21</v>
      </c>
      <c r="D1616">
        <v>25</v>
      </c>
      <c r="E1616">
        <v>0</v>
      </c>
    </row>
    <row r="1617" spans="1:5" x14ac:dyDescent="0.3">
      <c r="A1617">
        <v>10862</v>
      </c>
      <c r="B1617">
        <v>52</v>
      </c>
      <c r="C1617">
        <v>7</v>
      </c>
      <c r="D1617">
        <v>8</v>
      </c>
      <c r="E1617">
        <v>0</v>
      </c>
    </row>
    <row r="1618" spans="1:5" x14ac:dyDescent="0.3">
      <c r="A1618">
        <v>10863</v>
      </c>
      <c r="B1618">
        <v>1</v>
      </c>
      <c r="C1618">
        <v>18</v>
      </c>
      <c r="D1618">
        <v>20</v>
      </c>
      <c r="E1618">
        <v>15</v>
      </c>
    </row>
    <row r="1619" spans="1:5" x14ac:dyDescent="0.3">
      <c r="A1619">
        <v>10863</v>
      </c>
      <c r="B1619">
        <v>58</v>
      </c>
      <c r="C1619">
        <v>1325</v>
      </c>
      <c r="D1619">
        <v>12</v>
      </c>
      <c r="E1619">
        <v>15</v>
      </c>
    </row>
    <row r="1620" spans="1:5" x14ac:dyDescent="0.3">
      <c r="A1620">
        <v>10864</v>
      </c>
      <c r="B1620">
        <v>35</v>
      </c>
      <c r="C1620">
        <v>18</v>
      </c>
      <c r="D1620">
        <v>4</v>
      </c>
      <c r="E1620">
        <v>0</v>
      </c>
    </row>
    <row r="1621" spans="1:5" x14ac:dyDescent="0.3">
      <c r="A1621">
        <v>10864</v>
      </c>
      <c r="B1621">
        <v>67</v>
      </c>
      <c r="C1621">
        <v>14</v>
      </c>
      <c r="D1621">
        <v>15</v>
      </c>
      <c r="E1621">
        <v>0</v>
      </c>
    </row>
    <row r="1622" spans="1:5" x14ac:dyDescent="0.3">
      <c r="A1622">
        <v>10865</v>
      </c>
      <c r="B1622">
        <v>38</v>
      </c>
      <c r="C1622">
        <v>2635</v>
      </c>
      <c r="D1622">
        <v>60</v>
      </c>
      <c r="E1622">
        <v>5</v>
      </c>
    </row>
    <row r="1623" spans="1:5" x14ac:dyDescent="0.3">
      <c r="A1623">
        <v>10865</v>
      </c>
      <c r="B1623">
        <v>39</v>
      </c>
      <c r="C1623">
        <v>18</v>
      </c>
      <c r="D1623">
        <v>80</v>
      </c>
      <c r="E1623">
        <v>5</v>
      </c>
    </row>
    <row r="1624" spans="1:5" x14ac:dyDescent="0.3">
      <c r="A1624">
        <v>10866</v>
      </c>
      <c r="B1624">
        <v>2</v>
      </c>
      <c r="C1624">
        <v>19</v>
      </c>
      <c r="D1624">
        <v>21</v>
      </c>
      <c r="E1624">
        <v>25</v>
      </c>
    </row>
    <row r="1625" spans="1:5" x14ac:dyDescent="0.3">
      <c r="A1625">
        <v>10866</v>
      </c>
      <c r="B1625">
        <v>24</v>
      </c>
      <c r="C1625">
        <v>45</v>
      </c>
      <c r="D1625">
        <v>6</v>
      </c>
      <c r="E1625">
        <v>25</v>
      </c>
    </row>
    <row r="1626" spans="1:5" x14ac:dyDescent="0.3">
      <c r="A1626">
        <v>10866</v>
      </c>
      <c r="B1626">
        <v>30</v>
      </c>
      <c r="C1626">
        <v>2589</v>
      </c>
      <c r="D1626">
        <v>40</v>
      </c>
      <c r="E1626">
        <v>25</v>
      </c>
    </row>
    <row r="1627" spans="1:5" x14ac:dyDescent="0.3">
      <c r="A1627">
        <v>10867</v>
      </c>
      <c r="B1627">
        <v>53</v>
      </c>
      <c r="C1627">
        <v>328</v>
      </c>
      <c r="D1627">
        <v>3</v>
      </c>
      <c r="E1627">
        <v>0</v>
      </c>
    </row>
    <row r="1628" spans="1:5" x14ac:dyDescent="0.3">
      <c r="A1628">
        <v>10868</v>
      </c>
      <c r="B1628">
        <v>26</v>
      </c>
      <c r="C1628">
        <v>3123</v>
      </c>
      <c r="D1628">
        <v>20</v>
      </c>
      <c r="E1628">
        <v>0</v>
      </c>
    </row>
    <row r="1629" spans="1:5" x14ac:dyDescent="0.3">
      <c r="A1629">
        <v>10868</v>
      </c>
      <c r="B1629">
        <v>35</v>
      </c>
      <c r="C1629">
        <v>18</v>
      </c>
      <c r="D1629">
        <v>30</v>
      </c>
      <c r="E1629">
        <v>0</v>
      </c>
    </row>
    <row r="1630" spans="1:5" x14ac:dyDescent="0.3">
      <c r="A1630">
        <v>10868</v>
      </c>
      <c r="B1630">
        <v>49</v>
      </c>
      <c r="C1630">
        <v>20</v>
      </c>
      <c r="D1630">
        <v>42</v>
      </c>
      <c r="E1630">
        <v>1</v>
      </c>
    </row>
    <row r="1631" spans="1:5" x14ac:dyDescent="0.3">
      <c r="A1631">
        <v>10869</v>
      </c>
      <c r="B1631">
        <v>1</v>
      </c>
      <c r="C1631">
        <v>18</v>
      </c>
      <c r="D1631">
        <v>40</v>
      </c>
      <c r="E1631">
        <v>0</v>
      </c>
    </row>
    <row r="1632" spans="1:5" x14ac:dyDescent="0.3">
      <c r="A1632">
        <v>10869</v>
      </c>
      <c r="B1632">
        <v>11</v>
      </c>
      <c r="C1632">
        <v>21</v>
      </c>
      <c r="D1632">
        <v>10</v>
      </c>
      <c r="E1632">
        <v>0</v>
      </c>
    </row>
    <row r="1633" spans="1:5" x14ac:dyDescent="0.3">
      <c r="A1633">
        <v>10869</v>
      </c>
      <c r="B1633">
        <v>23</v>
      </c>
      <c r="C1633">
        <v>9</v>
      </c>
      <c r="D1633">
        <v>50</v>
      </c>
      <c r="E1633">
        <v>0</v>
      </c>
    </row>
    <row r="1634" spans="1:5" x14ac:dyDescent="0.3">
      <c r="A1634">
        <v>10869</v>
      </c>
      <c r="B1634">
        <v>68</v>
      </c>
      <c r="C1634">
        <v>125</v>
      </c>
      <c r="D1634">
        <v>20</v>
      </c>
      <c r="E1634">
        <v>0</v>
      </c>
    </row>
    <row r="1635" spans="1:5" x14ac:dyDescent="0.3">
      <c r="A1635">
        <v>10870</v>
      </c>
      <c r="B1635">
        <v>35</v>
      </c>
      <c r="C1635">
        <v>18</v>
      </c>
      <c r="D1635">
        <v>3</v>
      </c>
      <c r="E1635">
        <v>0</v>
      </c>
    </row>
    <row r="1636" spans="1:5" x14ac:dyDescent="0.3">
      <c r="A1636">
        <v>10870</v>
      </c>
      <c r="B1636">
        <v>51</v>
      </c>
      <c r="C1636">
        <v>53</v>
      </c>
      <c r="D1636">
        <v>2</v>
      </c>
      <c r="E1636">
        <v>0</v>
      </c>
    </row>
    <row r="1637" spans="1:5" x14ac:dyDescent="0.3">
      <c r="A1637">
        <v>10871</v>
      </c>
      <c r="B1637">
        <v>6</v>
      </c>
      <c r="C1637">
        <v>25</v>
      </c>
      <c r="D1637">
        <v>50</v>
      </c>
      <c r="E1637">
        <v>5</v>
      </c>
    </row>
    <row r="1638" spans="1:5" x14ac:dyDescent="0.3">
      <c r="A1638">
        <v>10871</v>
      </c>
      <c r="B1638">
        <v>16</v>
      </c>
      <c r="C1638">
        <v>1745</v>
      </c>
      <c r="D1638">
        <v>12</v>
      </c>
      <c r="E1638">
        <v>5</v>
      </c>
    </row>
    <row r="1639" spans="1:5" x14ac:dyDescent="0.3">
      <c r="A1639">
        <v>10871</v>
      </c>
      <c r="B1639">
        <v>17</v>
      </c>
      <c r="C1639">
        <v>39</v>
      </c>
      <c r="D1639">
        <v>16</v>
      </c>
      <c r="E1639">
        <v>5</v>
      </c>
    </row>
    <row r="1640" spans="1:5" x14ac:dyDescent="0.3">
      <c r="A1640">
        <v>10872</v>
      </c>
      <c r="B1640">
        <v>55</v>
      </c>
      <c r="C1640">
        <v>24</v>
      </c>
      <c r="D1640">
        <v>10</v>
      </c>
      <c r="E1640">
        <v>5</v>
      </c>
    </row>
    <row r="1641" spans="1:5" x14ac:dyDescent="0.3">
      <c r="A1641">
        <v>10872</v>
      </c>
      <c r="B1641">
        <v>62</v>
      </c>
      <c r="C1641">
        <v>493</v>
      </c>
      <c r="D1641">
        <v>20</v>
      </c>
      <c r="E1641">
        <v>5</v>
      </c>
    </row>
    <row r="1642" spans="1:5" x14ac:dyDescent="0.3">
      <c r="A1642">
        <v>10872</v>
      </c>
      <c r="B1642">
        <v>64</v>
      </c>
      <c r="C1642">
        <v>3325</v>
      </c>
      <c r="D1642">
        <v>15</v>
      </c>
      <c r="E1642">
        <v>5</v>
      </c>
    </row>
    <row r="1643" spans="1:5" x14ac:dyDescent="0.3">
      <c r="A1643">
        <v>10872</v>
      </c>
      <c r="B1643">
        <v>65</v>
      </c>
      <c r="C1643">
        <v>2105</v>
      </c>
      <c r="D1643">
        <v>21</v>
      </c>
      <c r="E1643">
        <v>5</v>
      </c>
    </row>
    <row r="1644" spans="1:5" x14ac:dyDescent="0.3">
      <c r="A1644">
        <v>10873</v>
      </c>
      <c r="B1644">
        <v>21</v>
      </c>
      <c r="C1644">
        <v>10</v>
      </c>
      <c r="D1644">
        <v>20</v>
      </c>
      <c r="E1644">
        <v>0</v>
      </c>
    </row>
    <row r="1645" spans="1:5" x14ac:dyDescent="0.3">
      <c r="A1645">
        <v>10873</v>
      </c>
      <c r="B1645">
        <v>28</v>
      </c>
      <c r="C1645">
        <v>456</v>
      </c>
      <c r="D1645">
        <v>3</v>
      </c>
      <c r="E1645">
        <v>0</v>
      </c>
    </row>
    <row r="1646" spans="1:5" x14ac:dyDescent="0.3">
      <c r="A1646">
        <v>10874</v>
      </c>
      <c r="B1646">
        <v>10</v>
      </c>
      <c r="C1646">
        <v>31</v>
      </c>
      <c r="D1646">
        <v>10</v>
      </c>
      <c r="E1646">
        <v>0</v>
      </c>
    </row>
    <row r="1647" spans="1:5" x14ac:dyDescent="0.3">
      <c r="A1647">
        <v>10875</v>
      </c>
      <c r="B1647">
        <v>19</v>
      </c>
      <c r="C1647">
        <v>92</v>
      </c>
      <c r="D1647">
        <v>25</v>
      </c>
      <c r="E1647">
        <v>0</v>
      </c>
    </row>
    <row r="1648" spans="1:5" x14ac:dyDescent="0.3">
      <c r="A1648">
        <v>10875</v>
      </c>
      <c r="B1648">
        <v>47</v>
      </c>
      <c r="C1648">
        <v>95</v>
      </c>
      <c r="D1648">
        <v>21</v>
      </c>
      <c r="E1648">
        <v>1</v>
      </c>
    </row>
    <row r="1649" spans="1:5" x14ac:dyDescent="0.3">
      <c r="A1649">
        <v>10875</v>
      </c>
      <c r="B1649">
        <v>49</v>
      </c>
      <c r="C1649">
        <v>20</v>
      </c>
      <c r="D1649">
        <v>15</v>
      </c>
      <c r="E1649">
        <v>0</v>
      </c>
    </row>
    <row r="1650" spans="1:5" x14ac:dyDescent="0.3">
      <c r="A1650">
        <v>10876</v>
      </c>
      <c r="B1650">
        <v>46</v>
      </c>
      <c r="C1650">
        <v>12</v>
      </c>
      <c r="D1650">
        <v>21</v>
      </c>
      <c r="E1650">
        <v>0</v>
      </c>
    </row>
    <row r="1651" spans="1:5" x14ac:dyDescent="0.3">
      <c r="A1651">
        <v>10876</v>
      </c>
      <c r="B1651">
        <v>64</v>
      </c>
      <c r="C1651">
        <v>3325</v>
      </c>
      <c r="D1651">
        <v>20</v>
      </c>
      <c r="E1651">
        <v>0</v>
      </c>
    </row>
    <row r="1652" spans="1:5" x14ac:dyDescent="0.3">
      <c r="A1652">
        <v>10877</v>
      </c>
      <c r="B1652">
        <v>16</v>
      </c>
      <c r="C1652">
        <v>1745</v>
      </c>
      <c r="D1652">
        <v>30</v>
      </c>
      <c r="E1652">
        <v>25</v>
      </c>
    </row>
    <row r="1653" spans="1:5" x14ac:dyDescent="0.3">
      <c r="A1653">
        <v>10877</v>
      </c>
      <c r="B1653">
        <v>18</v>
      </c>
      <c r="C1653">
        <v>625</v>
      </c>
      <c r="D1653">
        <v>25</v>
      </c>
      <c r="E1653">
        <v>0</v>
      </c>
    </row>
    <row r="1654" spans="1:5" x14ac:dyDescent="0.3">
      <c r="A1654">
        <v>10878</v>
      </c>
      <c r="B1654">
        <v>20</v>
      </c>
      <c r="C1654">
        <v>81</v>
      </c>
      <c r="D1654">
        <v>20</v>
      </c>
      <c r="E1654">
        <v>5</v>
      </c>
    </row>
    <row r="1655" spans="1:5" x14ac:dyDescent="0.3">
      <c r="A1655">
        <v>10879</v>
      </c>
      <c r="B1655">
        <v>40</v>
      </c>
      <c r="C1655">
        <v>184</v>
      </c>
      <c r="D1655">
        <v>12</v>
      </c>
      <c r="E1655">
        <v>0</v>
      </c>
    </row>
    <row r="1656" spans="1:5" x14ac:dyDescent="0.3">
      <c r="A1656">
        <v>10879</v>
      </c>
      <c r="B1656">
        <v>65</v>
      </c>
      <c r="C1656">
        <v>2105</v>
      </c>
      <c r="D1656">
        <v>10</v>
      </c>
      <c r="E1656">
        <v>0</v>
      </c>
    </row>
    <row r="1657" spans="1:5" x14ac:dyDescent="0.3">
      <c r="A1657">
        <v>10879</v>
      </c>
      <c r="B1657">
        <v>76</v>
      </c>
      <c r="C1657">
        <v>18</v>
      </c>
      <c r="D1657">
        <v>10</v>
      </c>
      <c r="E1657">
        <v>0</v>
      </c>
    </row>
    <row r="1658" spans="1:5" x14ac:dyDescent="0.3">
      <c r="A1658">
        <v>10880</v>
      </c>
      <c r="B1658">
        <v>23</v>
      </c>
      <c r="C1658">
        <v>9</v>
      </c>
      <c r="D1658">
        <v>30</v>
      </c>
      <c r="E1658">
        <v>2</v>
      </c>
    </row>
    <row r="1659" spans="1:5" x14ac:dyDescent="0.3">
      <c r="A1659">
        <v>10880</v>
      </c>
      <c r="B1659">
        <v>61</v>
      </c>
      <c r="C1659">
        <v>285</v>
      </c>
      <c r="D1659">
        <v>30</v>
      </c>
      <c r="E1659">
        <v>2</v>
      </c>
    </row>
    <row r="1660" spans="1:5" x14ac:dyDescent="0.3">
      <c r="A1660">
        <v>10880</v>
      </c>
      <c r="B1660">
        <v>70</v>
      </c>
      <c r="C1660">
        <v>15</v>
      </c>
      <c r="D1660">
        <v>50</v>
      </c>
      <c r="E1660">
        <v>2</v>
      </c>
    </row>
    <row r="1661" spans="1:5" x14ac:dyDescent="0.3">
      <c r="A1661">
        <v>10881</v>
      </c>
      <c r="B1661">
        <v>73</v>
      </c>
      <c r="C1661">
        <v>15</v>
      </c>
      <c r="D1661">
        <v>10</v>
      </c>
      <c r="E1661">
        <v>0</v>
      </c>
    </row>
    <row r="1662" spans="1:5" x14ac:dyDescent="0.3">
      <c r="A1662">
        <v>10882</v>
      </c>
      <c r="B1662">
        <v>42</v>
      </c>
      <c r="C1662">
        <v>14</v>
      </c>
      <c r="D1662">
        <v>25</v>
      </c>
      <c r="E1662">
        <v>0</v>
      </c>
    </row>
    <row r="1663" spans="1:5" x14ac:dyDescent="0.3">
      <c r="A1663">
        <v>10882</v>
      </c>
      <c r="B1663">
        <v>49</v>
      </c>
      <c r="C1663">
        <v>20</v>
      </c>
      <c r="D1663">
        <v>20</v>
      </c>
      <c r="E1663">
        <v>15</v>
      </c>
    </row>
    <row r="1664" spans="1:5" x14ac:dyDescent="0.3">
      <c r="A1664">
        <v>10882</v>
      </c>
      <c r="B1664">
        <v>54</v>
      </c>
      <c r="C1664">
        <v>745</v>
      </c>
      <c r="D1664">
        <v>32</v>
      </c>
      <c r="E1664">
        <v>15</v>
      </c>
    </row>
    <row r="1665" spans="1:5" x14ac:dyDescent="0.3">
      <c r="A1665">
        <v>10883</v>
      </c>
      <c r="B1665">
        <v>24</v>
      </c>
      <c r="C1665">
        <v>45</v>
      </c>
      <c r="D1665">
        <v>8</v>
      </c>
      <c r="E1665">
        <v>0</v>
      </c>
    </row>
    <row r="1666" spans="1:5" x14ac:dyDescent="0.3">
      <c r="A1666">
        <v>10884</v>
      </c>
      <c r="B1666">
        <v>21</v>
      </c>
      <c r="C1666">
        <v>10</v>
      </c>
      <c r="D1666">
        <v>40</v>
      </c>
      <c r="E1666">
        <v>5</v>
      </c>
    </row>
    <row r="1667" spans="1:5" x14ac:dyDescent="0.3">
      <c r="A1667">
        <v>10884</v>
      </c>
      <c r="B1667">
        <v>56</v>
      </c>
      <c r="C1667">
        <v>38</v>
      </c>
      <c r="D1667">
        <v>21</v>
      </c>
      <c r="E1667">
        <v>5</v>
      </c>
    </row>
    <row r="1668" spans="1:5" x14ac:dyDescent="0.3">
      <c r="A1668">
        <v>10884</v>
      </c>
      <c r="B1668">
        <v>65</v>
      </c>
      <c r="C1668">
        <v>2105</v>
      </c>
      <c r="D1668">
        <v>12</v>
      </c>
      <c r="E1668">
        <v>5</v>
      </c>
    </row>
    <row r="1669" spans="1:5" x14ac:dyDescent="0.3">
      <c r="A1669">
        <v>10885</v>
      </c>
      <c r="B1669">
        <v>2</v>
      </c>
      <c r="C1669">
        <v>19</v>
      </c>
      <c r="D1669">
        <v>20</v>
      </c>
      <c r="E1669">
        <v>0</v>
      </c>
    </row>
    <row r="1670" spans="1:5" x14ac:dyDescent="0.3">
      <c r="A1670">
        <v>10885</v>
      </c>
      <c r="B1670">
        <v>24</v>
      </c>
      <c r="C1670">
        <v>45</v>
      </c>
      <c r="D1670">
        <v>12</v>
      </c>
      <c r="E1670">
        <v>0</v>
      </c>
    </row>
    <row r="1671" spans="1:5" x14ac:dyDescent="0.3">
      <c r="A1671">
        <v>10885</v>
      </c>
      <c r="B1671">
        <v>70</v>
      </c>
      <c r="C1671">
        <v>15</v>
      </c>
      <c r="D1671">
        <v>30</v>
      </c>
      <c r="E1671">
        <v>0</v>
      </c>
    </row>
    <row r="1672" spans="1:5" x14ac:dyDescent="0.3">
      <c r="A1672">
        <v>10885</v>
      </c>
      <c r="B1672">
        <v>77</v>
      </c>
      <c r="C1672">
        <v>13</v>
      </c>
      <c r="D1672">
        <v>25</v>
      </c>
      <c r="E1672">
        <v>0</v>
      </c>
    </row>
    <row r="1673" spans="1:5" x14ac:dyDescent="0.3">
      <c r="A1673">
        <v>10886</v>
      </c>
      <c r="B1673">
        <v>10</v>
      </c>
      <c r="C1673">
        <v>31</v>
      </c>
      <c r="D1673">
        <v>70</v>
      </c>
      <c r="E1673">
        <v>0</v>
      </c>
    </row>
    <row r="1674" spans="1:5" x14ac:dyDescent="0.3">
      <c r="A1674">
        <v>10886</v>
      </c>
      <c r="B1674">
        <v>31</v>
      </c>
      <c r="C1674">
        <v>125</v>
      </c>
      <c r="D1674">
        <v>35</v>
      </c>
      <c r="E1674">
        <v>0</v>
      </c>
    </row>
    <row r="1675" spans="1:5" x14ac:dyDescent="0.3">
      <c r="A1675">
        <v>10886</v>
      </c>
      <c r="B1675">
        <v>77</v>
      </c>
      <c r="C1675">
        <v>13</v>
      </c>
      <c r="D1675">
        <v>40</v>
      </c>
      <c r="E1675">
        <v>0</v>
      </c>
    </row>
    <row r="1676" spans="1:5" x14ac:dyDescent="0.3">
      <c r="A1676">
        <v>10887</v>
      </c>
      <c r="B1676">
        <v>25</v>
      </c>
      <c r="C1676">
        <v>14</v>
      </c>
      <c r="D1676">
        <v>5</v>
      </c>
      <c r="E1676">
        <v>0</v>
      </c>
    </row>
    <row r="1677" spans="1:5" x14ac:dyDescent="0.3">
      <c r="A1677">
        <v>10888</v>
      </c>
      <c r="B1677">
        <v>2</v>
      </c>
      <c r="C1677">
        <v>19</v>
      </c>
      <c r="D1677">
        <v>20</v>
      </c>
      <c r="E1677">
        <v>0</v>
      </c>
    </row>
    <row r="1678" spans="1:5" x14ac:dyDescent="0.3">
      <c r="A1678">
        <v>10888</v>
      </c>
      <c r="B1678">
        <v>68</v>
      </c>
      <c r="C1678">
        <v>125</v>
      </c>
      <c r="D1678">
        <v>18</v>
      </c>
      <c r="E1678">
        <v>0</v>
      </c>
    </row>
    <row r="1679" spans="1:5" x14ac:dyDescent="0.3">
      <c r="A1679">
        <v>10889</v>
      </c>
      <c r="B1679">
        <v>11</v>
      </c>
      <c r="C1679">
        <v>21</v>
      </c>
      <c r="D1679">
        <v>40</v>
      </c>
      <c r="E1679">
        <v>0</v>
      </c>
    </row>
    <row r="1680" spans="1:5" x14ac:dyDescent="0.3">
      <c r="A1680">
        <v>10889</v>
      </c>
      <c r="B1680">
        <v>38</v>
      </c>
      <c r="C1680">
        <v>2635</v>
      </c>
      <c r="D1680">
        <v>40</v>
      </c>
      <c r="E1680">
        <v>0</v>
      </c>
    </row>
    <row r="1681" spans="1:5" x14ac:dyDescent="0.3">
      <c r="A1681">
        <v>10890</v>
      </c>
      <c r="B1681">
        <v>17</v>
      </c>
      <c r="C1681">
        <v>39</v>
      </c>
      <c r="D1681">
        <v>15</v>
      </c>
      <c r="E1681">
        <v>0</v>
      </c>
    </row>
    <row r="1682" spans="1:5" x14ac:dyDescent="0.3">
      <c r="A1682">
        <v>10890</v>
      </c>
      <c r="B1682">
        <v>34</v>
      </c>
      <c r="C1682">
        <v>14</v>
      </c>
      <c r="D1682">
        <v>10</v>
      </c>
      <c r="E1682">
        <v>0</v>
      </c>
    </row>
    <row r="1683" spans="1:5" x14ac:dyDescent="0.3">
      <c r="A1683">
        <v>10890</v>
      </c>
      <c r="B1683">
        <v>41</v>
      </c>
      <c r="C1683">
        <v>965</v>
      </c>
      <c r="D1683">
        <v>14</v>
      </c>
      <c r="E1683">
        <v>0</v>
      </c>
    </row>
    <row r="1684" spans="1:5" x14ac:dyDescent="0.3">
      <c r="A1684">
        <v>10891</v>
      </c>
      <c r="B1684">
        <v>30</v>
      </c>
      <c r="C1684">
        <v>2589</v>
      </c>
      <c r="D1684">
        <v>15</v>
      </c>
      <c r="E1684">
        <v>5</v>
      </c>
    </row>
    <row r="1685" spans="1:5" x14ac:dyDescent="0.3">
      <c r="A1685">
        <v>10892</v>
      </c>
      <c r="B1685">
        <v>59</v>
      </c>
      <c r="C1685">
        <v>55</v>
      </c>
      <c r="D1685">
        <v>40</v>
      </c>
      <c r="E1685">
        <v>5</v>
      </c>
    </row>
    <row r="1686" spans="1:5" x14ac:dyDescent="0.3">
      <c r="A1686">
        <v>10893</v>
      </c>
      <c r="B1686">
        <v>8</v>
      </c>
      <c r="C1686">
        <v>40</v>
      </c>
      <c r="D1686">
        <v>30</v>
      </c>
      <c r="E1686">
        <v>0</v>
      </c>
    </row>
    <row r="1687" spans="1:5" x14ac:dyDescent="0.3">
      <c r="A1687">
        <v>10893</v>
      </c>
      <c r="B1687">
        <v>24</v>
      </c>
      <c r="C1687">
        <v>45</v>
      </c>
      <c r="D1687">
        <v>10</v>
      </c>
      <c r="E1687">
        <v>0</v>
      </c>
    </row>
    <row r="1688" spans="1:5" x14ac:dyDescent="0.3">
      <c r="A1688">
        <v>10893</v>
      </c>
      <c r="B1688">
        <v>29</v>
      </c>
      <c r="C1688">
        <v>12379</v>
      </c>
      <c r="D1688">
        <v>24</v>
      </c>
      <c r="E1688">
        <v>0</v>
      </c>
    </row>
    <row r="1689" spans="1:5" x14ac:dyDescent="0.3">
      <c r="A1689">
        <v>10893</v>
      </c>
      <c r="B1689">
        <v>30</v>
      </c>
      <c r="C1689">
        <v>2589</v>
      </c>
      <c r="D1689">
        <v>35</v>
      </c>
      <c r="E1689">
        <v>0</v>
      </c>
    </row>
    <row r="1690" spans="1:5" x14ac:dyDescent="0.3">
      <c r="A1690">
        <v>10893</v>
      </c>
      <c r="B1690">
        <v>36</v>
      </c>
      <c r="C1690">
        <v>19</v>
      </c>
      <c r="D1690">
        <v>20</v>
      </c>
      <c r="E1690">
        <v>0</v>
      </c>
    </row>
    <row r="1691" spans="1:5" x14ac:dyDescent="0.3">
      <c r="A1691">
        <v>10894</v>
      </c>
      <c r="B1691">
        <v>13</v>
      </c>
      <c r="C1691">
        <v>6</v>
      </c>
      <c r="D1691">
        <v>28</v>
      </c>
      <c r="E1691">
        <v>5</v>
      </c>
    </row>
    <row r="1692" spans="1:5" x14ac:dyDescent="0.3">
      <c r="A1692">
        <v>10894</v>
      </c>
      <c r="B1692">
        <v>69</v>
      </c>
      <c r="C1692">
        <v>36</v>
      </c>
      <c r="D1692">
        <v>50</v>
      </c>
      <c r="E1692">
        <v>5</v>
      </c>
    </row>
    <row r="1693" spans="1:5" x14ac:dyDescent="0.3">
      <c r="A1693">
        <v>10894</v>
      </c>
      <c r="B1693">
        <v>75</v>
      </c>
      <c r="C1693">
        <v>775</v>
      </c>
      <c r="D1693">
        <v>120</v>
      </c>
      <c r="E1693">
        <v>5</v>
      </c>
    </row>
    <row r="1694" spans="1:5" x14ac:dyDescent="0.3">
      <c r="A1694">
        <v>10895</v>
      </c>
      <c r="B1694">
        <v>24</v>
      </c>
      <c r="C1694">
        <v>45</v>
      </c>
      <c r="D1694">
        <v>110</v>
      </c>
      <c r="E1694">
        <v>0</v>
      </c>
    </row>
    <row r="1695" spans="1:5" x14ac:dyDescent="0.3">
      <c r="A1695">
        <v>10895</v>
      </c>
      <c r="B1695">
        <v>39</v>
      </c>
      <c r="C1695">
        <v>18</v>
      </c>
      <c r="D1695">
        <v>45</v>
      </c>
      <c r="E1695">
        <v>0</v>
      </c>
    </row>
    <row r="1696" spans="1:5" x14ac:dyDescent="0.3">
      <c r="A1696">
        <v>10895</v>
      </c>
      <c r="B1696">
        <v>40</v>
      </c>
      <c r="C1696">
        <v>184</v>
      </c>
      <c r="D1696">
        <v>91</v>
      </c>
      <c r="E1696">
        <v>0</v>
      </c>
    </row>
    <row r="1697" spans="1:5" x14ac:dyDescent="0.3">
      <c r="A1697">
        <v>10895</v>
      </c>
      <c r="B1697">
        <v>60</v>
      </c>
      <c r="C1697">
        <v>34</v>
      </c>
      <c r="D1697">
        <v>100</v>
      </c>
      <c r="E1697">
        <v>0</v>
      </c>
    </row>
    <row r="1698" spans="1:5" x14ac:dyDescent="0.3">
      <c r="A1698">
        <v>10896</v>
      </c>
      <c r="B1698">
        <v>45</v>
      </c>
      <c r="C1698">
        <v>95</v>
      </c>
      <c r="D1698">
        <v>15</v>
      </c>
      <c r="E1698">
        <v>0</v>
      </c>
    </row>
    <row r="1699" spans="1:5" x14ac:dyDescent="0.3">
      <c r="A1699">
        <v>10896</v>
      </c>
      <c r="B1699">
        <v>56</v>
      </c>
      <c r="C1699">
        <v>38</v>
      </c>
      <c r="D1699">
        <v>16</v>
      </c>
      <c r="E1699">
        <v>0</v>
      </c>
    </row>
    <row r="1700" spans="1:5" x14ac:dyDescent="0.3">
      <c r="A1700">
        <v>10897</v>
      </c>
      <c r="B1700">
        <v>29</v>
      </c>
      <c r="C1700">
        <v>12379</v>
      </c>
      <c r="D1700">
        <v>80</v>
      </c>
      <c r="E1700">
        <v>0</v>
      </c>
    </row>
    <row r="1701" spans="1:5" x14ac:dyDescent="0.3">
      <c r="A1701">
        <v>10897</v>
      </c>
      <c r="B1701">
        <v>30</v>
      </c>
      <c r="C1701">
        <v>2589</v>
      </c>
      <c r="D1701">
        <v>36</v>
      </c>
      <c r="E1701">
        <v>0</v>
      </c>
    </row>
    <row r="1702" spans="1:5" x14ac:dyDescent="0.3">
      <c r="A1702">
        <v>10898</v>
      </c>
      <c r="B1702">
        <v>13</v>
      </c>
      <c r="C1702">
        <v>6</v>
      </c>
      <c r="D1702">
        <v>5</v>
      </c>
      <c r="E1702">
        <v>0</v>
      </c>
    </row>
    <row r="1703" spans="1:5" x14ac:dyDescent="0.3">
      <c r="A1703">
        <v>10899</v>
      </c>
      <c r="B1703">
        <v>39</v>
      </c>
      <c r="C1703">
        <v>18</v>
      </c>
      <c r="D1703">
        <v>8</v>
      </c>
      <c r="E1703">
        <v>15</v>
      </c>
    </row>
    <row r="1704" spans="1:5" x14ac:dyDescent="0.3">
      <c r="A1704">
        <v>10900</v>
      </c>
      <c r="B1704">
        <v>70</v>
      </c>
      <c r="C1704">
        <v>15</v>
      </c>
      <c r="D1704">
        <v>3</v>
      </c>
      <c r="E1704">
        <v>25</v>
      </c>
    </row>
    <row r="1705" spans="1:5" x14ac:dyDescent="0.3">
      <c r="A1705">
        <v>10901</v>
      </c>
      <c r="B1705">
        <v>41</v>
      </c>
      <c r="C1705">
        <v>965</v>
      </c>
      <c r="D1705">
        <v>30</v>
      </c>
      <c r="E1705">
        <v>0</v>
      </c>
    </row>
    <row r="1706" spans="1:5" x14ac:dyDescent="0.3">
      <c r="A1706">
        <v>10901</v>
      </c>
      <c r="B1706">
        <v>71</v>
      </c>
      <c r="C1706">
        <v>215</v>
      </c>
      <c r="D1706">
        <v>30</v>
      </c>
      <c r="E1706">
        <v>0</v>
      </c>
    </row>
    <row r="1707" spans="1:5" x14ac:dyDescent="0.3">
      <c r="A1707">
        <v>10902</v>
      </c>
      <c r="B1707">
        <v>55</v>
      </c>
      <c r="C1707">
        <v>24</v>
      </c>
      <c r="D1707">
        <v>30</v>
      </c>
      <c r="E1707">
        <v>15</v>
      </c>
    </row>
    <row r="1708" spans="1:5" x14ac:dyDescent="0.3">
      <c r="A1708">
        <v>10902</v>
      </c>
      <c r="B1708">
        <v>62</v>
      </c>
      <c r="C1708">
        <v>493</v>
      </c>
      <c r="D1708">
        <v>6</v>
      </c>
      <c r="E1708">
        <v>15</v>
      </c>
    </row>
    <row r="1709" spans="1:5" x14ac:dyDescent="0.3">
      <c r="A1709">
        <v>10903</v>
      </c>
      <c r="B1709">
        <v>13</v>
      </c>
      <c r="C1709">
        <v>6</v>
      </c>
      <c r="D1709">
        <v>40</v>
      </c>
      <c r="E1709">
        <v>0</v>
      </c>
    </row>
    <row r="1710" spans="1:5" x14ac:dyDescent="0.3">
      <c r="A1710">
        <v>10903</v>
      </c>
      <c r="B1710">
        <v>65</v>
      </c>
      <c r="C1710">
        <v>2105</v>
      </c>
      <c r="D1710">
        <v>21</v>
      </c>
      <c r="E1710">
        <v>0</v>
      </c>
    </row>
    <row r="1711" spans="1:5" x14ac:dyDescent="0.3">
      <c r="A1711">
        <v>10903</v>
      </c>
      <c r="B1711">
        <v>68</v>
      </c>
      <c r="C1711">
        <v>125</v>
      </c>
      <c r="D1711">
        <v>20</v>
      </c>
      <c r="E1711">
        <v>0</v>
      </c>
    </row>
    <row r="1712" spans="1:5" x14ac:dyDescent="0.3">
      <c r="A1712">
        <v>10904</v>
      </c>
      <c r="B1712">
        <v>58</v>
      </c>
      <c r="C1712">
        <v>1325</v>
      </c>
      <c r="D1712">
        <v>15</v>
      </c>
      <c r="E1712">
        <v>0</v>
      </c>
    </row>
    <row r="1713" spans="1:5" x14ac:dyDescent="0.3">
      <c r="A1713">
        <v>10904</v>
      </c>
      <c r="B1713">
        <v>62</v>
      </c>
      <c r="C1713">
        <v>493</v>
      </c>
      <c r="D1713">
        <v>35</v>
      </c>
      <c r="E1713">
        <v>0</v>
      </c>
    </row>
    <row r="1714" spans="1:5" x14ac:dyDescent="0.3">
      <c r="A1714">
        <v>10905</v>
      </c>
      <c r="B1714">
        <v>1</v>
      </c>
      <c r="C1714">
        <v>18</v>
      </c>
      <c r="D1714">
        <v>20</v>
      </c>
      <c r="E1714">
        <v>5</v>
      </c>
    </row>
    <row r="1715" spans="1:5" x14ac:dyDescent="0.3">
      <c r="A1715">
        <v>10906</v>
      </c>
      <c r="B1715">
        <v>61</v>
      </c>
      <c r="C1715">
        <v>285</v>
      </c>
      <c r="D1715">
        <v>15</v>
      </c>
      <c r="E1715">
        <v>0</v>
      </c>
    </row>
    <row r="1716" spans="1:5" x14ac:dyDescent="0.3">
      <c r="A1716">
        <v>10907</v>
      </c>
      <c r="B1716">
        <v>75</v>
      </c>
      <c r="C1716">
        <v>775</v>
      </c>
      <c r="D1716">
        <v>14</v>
      </c>
      <c r="E1716">
        <v>0</v>
      </c>
    </row>
    <row r="1717" spans="1:5" x14ac:dyDescent="0.3">
      <c r="A1717">
        <v>10908</v>
      </c>
      <c r="B1717">
        <v>7</v>
      </c>
      <c r="C1717">
        <v>30</v>
      </c>
      <c r="D1717">
        <v>20</v>
      </c>
      <c r="E1717">
        <v>5</v>
      </c>
    </row>
    <row r="1718" spans="1:5" x14ac:dyDescent="0.3">
      <c r="A1718">
        <v>10908</v>
      </c>
      <c r="B1718">
        <v>52</v>
      </c>
      <c r="C1718">
        <v>7</v>
      </c>
      <c r="D1718">
        <v>14</v>
      </c>
      <c r="E1718">
        <v>5</v>
      </c>
    </row>
    <row r="1719" spans="1:5" x14ac:dyDescent="0.3">
      <c r="A1719">
        <v>10909</v>
      </c>
      <c r="B1719">
        <v>7</v>
      </c>
      <c r="C1719">
        <v>30</v>
      </c>
      <c r="D1719">
        <v>12</v>
      </c>
      <c r="E1719">
        <v>0</v>
      </c>
    </row>
    <row r="1720" spans="1:5" x14ac:dyDescent="0.3">
      <c r="A1720">
        <v>10909</v>
      </c>
      <c r="B1720">
        <v>16</v>
      </c>
      <c r="C1720">
        <v>1745</v>
      </c>
      <c r="D1720">
        <v>15</v>
      </c>
      <c r="E1720">
        <v>0</v>
      </c>
    </row>
    <row r="1721" spans="1:5" x14ac:dyDescent="0.3">
      <c r="A1721">
        <v>10909</v>
      </c>
      <c r="B1721">
        <v>41</v>
      </c>
      <c r="C1721">
        <v>965</v>
      </c>
      <c r="D1721">
        <v>5</v>
      </c>
      <c r="E1721">
        <v>0</v>
      </c>
    </row>
    <row r="1722" spans="1:5" x14ac:dyDescent="0.3">
      <c r="A1722">
        <v>10910</v>
      </c>
      <c r="B1722">
        <v>19</v>
      </c>
      <c r="C1722">
        <v>92</v>
      </c>
      <c r="D1722">
        <v>12</v>
      </c>
      <c r="E1722">
        <v>0</v>
      </c>
    </row>
    <row r="1723" spans="1:5" x14ac:dyDescent="0.3">
      <c r="A1723">
        <v>10910</v>
      </c>
      <c r="B1723">
        <v>49</v>
      </c>
      <c r="C1723">
        <v>20</v>
      </c>
      <c r="D1723">
        <v>10</v>
      </c>
      <c r="E1723">
        <v>0</v>
      </c>
    </row>
    <row r="1724" spans="1:5" x14ac:dyDescent="0.3">
      <c r="A1724">
        <v>10910</v>
      </c>
      <c r="B1724">
        <v>61</v>
      </c>
      <c r="C1724">
        <v>285</v>
      </c>
      <c r="D1724">
        <v>5</v>
      </c>
      <c r="E1724">
        <v>0</v>
      </c>
    </row>
    <row r="1725" spans="1:5" x14ac:dyDescent="0.3">
      <c r="A1725">
        <v>10911</v>
      </c>
      <c r="B1725">
        <v>1</v>
      </c>
      <c r="C1725">
        <v>18</v>
      </c>
      <c r="D1725">
        <v>10</v>
      </c>
      <c r="E1725">
        <v>0</v>
      </c>
    </row>
    <row r="1726" spans="1:5" x14ac:dyDescent="0.3">
      <c r="A1726">
        <v>10911</v>
      </c>
      <c r="B1726">
        <v>17</v>
      </c>
      <c r="C1726">
        <v>39</v>
      </c>
      <c r="D1726">
        <v>12</v>
      </c>
      <c r="E1726">
        <v>0</v>
      </c>
    </row>
    <row r="1727" spans="1:5" x14ac:dyDescent="0.3">
      <c r="A1727">
        <v>10911</v>
      </c>
      <c r="B1727">
        <v>67</v>
      </c>
      <c r="C1727">
        <v>14</v>
      </c>
      <c r="D1727">
        <v>15</v>
      </c>
      <c r="E1727">
        <v>0</v>
      </c>
    </row>
    <row r="1728" spans="1:5" x14ac:dyDescent="0.3">
      <c r="A1728">
        <v>10912</v>
      </c>
      <c r="B1728">
        <v>11</v>
      </c>
      <c r="C1728">
        <v>21</v>
      </c>
      <c r="D1728">
        <v>40</v>
      </c>
      <c r="E1728">
        <v>25</v>
      </c>
    </row>
    <row r="1729" spans="1:5" x14ac:dyDescent="0.3">
      <c r="A1729">
        <v>10912</v>
      </c>
      <c r="B1729">
        <v>29</v>
      </c>
      <c r="C1729">
        <v>12379</v>
      </c>
      <c r="D1729">
        <v>60</v>
      </c>
      <c r="E1729">
        <v>25</v>
      </c>
    </row>
    <row r="1730" spans="1:5" x14ac:dyDescent="0.3">
      <c r="A1730">
        <v>10913</v>
      </c>
      <c r="B1730">
        <v>4</v>
      </c>
      <c r="C1730">
        <v>22</v>
      </c>
      <c r="D1730">
        <v>30</v>
      </c>
      <c r="E1730">
        <v>25</v>
      </c>
    </row>
    <row r="1731" spans="1:5" x14ac:dyDescent="0.3">
      <c r="A1731">
        <v>10913</v>
      </c>
      <c r="B1731">
        <v>33</v>
      </c>
      <c r="C1731">
        <v>25</v>
      </c>
      <c r="D1731">
        <v>40</v>
      </c>
      <c r="E1731">
        <v>25</v>
      </c>
    </row>
    <row r="1732" spans="1:5" x14ac:dyDescent="0.3">
      <c r="A1732">
        <v>10913</v>
      </c>
      <c r="B1732">
        <v>58</v>
      </c>
      <c r="C1732">
        <v>1325</v>
      </c>
      <c r="D1732">
        <v>15</v>
      </c>
      <c r="E1732">
        <v>0</v>
      </c>
    </row>
    <row r="1733" spans="1:5" x14ac:dyDescent="0.3">
      <c r="A1733">
        <v>10914</v>
      </c>
      <c r="B1733">
        <v>71</v>
      </c>
      <c r="C1733">
        <v>215</v>
      </c>
      <c r="D1733">
        <v>25</v>
      </c>
      <c r="E1733">
        <v>0</v>
      </c>
    </row>
    <row r="1734" spans="1:5" x14ac:dyDescent="0.3">
      <c r="A1734">
        <v>10915</v>
      </c>
      <c r="B1734">
        <v>17</v>
      </c>
      <c r="C1734">
        <v>39</v>
      </c>
      <c r="D1734">
        <v>10</v>
      </c>
      <c r="E1734">
        <v>0</v>
      </c>
    </row>
    <row r="1735" spans="1:5" x14ac:dyDescent="0.3">
      <c r="A1735">
        <v>10915</v>
      </c>
      <c r="B1735">
        <v>33</v>
      </c>
      <c r="C1735">
        <v>25</v>
      </c>
      <c r="D1735">
        <v>30</v>
      </c>
      <c r="E1735">
        <v>0</v>
      </c>
    </row>
    <row r="1736" spans="1:5" x14ac:dyDescent="0.3">
      <c r="A1736">
        <v>10915</v>
      </c>
      <c r="B1736">
        <v>54</v>
      </c>
      <c r="C1736">
        <v>745</v>
      </c>
      <c r="D1736">
        <v>10</v>
      </c>
      <c r="E1736">
        <v>0</v>
      </c>
    </row>
    <row r="1737" spans="1:5" x14ac:dyDescent="0.3">
      <c r="A1737">
        <v>10916</v>
      </c>
      <c r="B1737">
        <v>16</v>
      </c>
      <c r="C1737">
        <v>1745</v>
      </c>
      <c r="D1737">
        <v>6</v>
      </c>
      <c r="E1737">
        <v>0</v>
      </c>
    </row>
    <row r="1738" spans="1:5" x14ac:dyDescent="0.3">
      <c r="A1738">
        <v>10916</v>
      </c>
      <c r="B1738">
        <v>32</v>
      </c>
      <c r="C1738">
        <v>32</v>
      </c>
      <c r="D1738">
        <v>6</v>
      </c>
      <c r="E1738">
        <v>0</v>
      </c>
    </row>
    <row r="1739" spans="1:5" x14ac:dyDescent="0.3">
      <c r="A1739">
        <v>10916</v>
      </c>
      <c r="B1739">
        <v>57</v>
      </c>
      <c r="C1739">
        <v>195</v>
      </c>
      <c r="D1739">
        <v>20</v>
      </c>
      <c r="E1739">
        <v>0</v>
      </c>
    </row>
    <row r="1740" spans="1:5" x14ac:dyDescent="0.3">
      <c r="A1740">
        <v>10917</v>
      </c>
      <c r="B1740">
        <v>30</v>
      </c>
      <c r="C1740">
        <v>2589</v>
      </c>
      <c r="D1740">
        <v>1</v>
      </c>
      <c r="E1740">
        <v>0</v>
      </c>
    </row>
    <row r="1741" spans="1:5" x14ac:dyDescent="0.3">
      <c r="A1741">
        <v>10917</v>
      </c>
      <c r="B1741">
        <v>60</v>
      </c>
      <c r="C1741">
        <v>34</v>
      </c>
      <c r="D1741">
        <v>10</v>
      </c>
      <c r="E1741">
        <v>0</v>
      </c>
    </row>
    <row r="1742" spans="1:5" x14ac:dyDescent="0.3">
      <c r="A1742">
        <v>10918</v>
      </c>
      <c r="B1742">
        <v>1</v>
      </c>
      <c r="C1742">
        <v>18</v>
      </c>
      <c r="D1742">
        <v>60</v>
      </c>
      <c r="E1742">
        <v>25</v>
      </c>
    </row>
    <row r="1743" spans="1:5" x14ac:dyDescent="0.3">
      <c r="A1743">
        <v>10918</v>
      </c>
      <c r="B1743">
        <v>60</v>
      </c>
      <c r="C1743">
        <v>34</v>
      </c>
      <c r="D1743">
        <v>25</v>
      </c>
      <c r="E1743">
        <v>25</v>
      </c>
    </row>
    <row r="1744" spans="1:5" x14ac:dyDescent="0.3">
      <c r="A1744">
        <v>10919</v>
      </c>
      <c r="B1744">
        <v>16</v>
      </c>
      <c r="C1744">
        <v>1745</v>
      </c>
      <c r="D1744">
        <v>24</v>
      </c>
      <c r="E1744">
        <v>0</v>
      </c>
    </row>
    <row r="1745" spans="1:5" x14ac:dyDescent="0.3">
      <c r="A1745">
        <v>10919</v>
      </c>
      <c r="B1745">
        <v>25</v>
      </c>
      <c r="C1745">
        <v>14</v>
      </c>
      <c r="D1745">
        <v>24</v>
      </c>
      <c r="E1745">
        <v>0</v>
      </c>
    </row>
    <row r="1746" spans="1:5" x14ac:dyDescent="0.3">
      <c r="A1746">
        <v>10919</v>
      </c>
      <c r="B1746">
        <v>40</v>
      </c>
      <c r="C1746">
        <v>184</v>
      </c>
      <c r="D1746">
        <v>20</v>
      </c>
      <c r="E1746">
        <v>0</v>
      </c>
    </row>
    <row r="1747" spans="1:5" x14ac:dyDescent="0.3">
      <c r="A1747">
        <v>10920</v>
      </c>
      <c r="B1747">
        <v>50</v>
      </c>
      <c r="C1747">
        <v>1625</v>
      </c>
      <c r="D1747">
        <v>24</v>
      </c>
      <c r="E1747">
        <v>0</v>
      </c>
    </row>
    <row r="1748" spans="1:5" x14ac:dyDescent="0.3">
      <c r="A1748">
        <v>10921</v>
      </c>
      <c r="B1748">
        <v>35</v>
      </c>
      <c r="C1748">
        <v>18</v>
      </c>
      <c r="D1748">
        <v>10</v>
      </c>
      <c r="E1748">
        <v>0</v>
      </c>
    </row>
    <row r="1749" spans="1:5" x14ac:dyDescent="0.3">
      <c r="A1749">
        <v>10921</v>
      </c>
      <c r="B1749">
        <v>63</v>
      </c>
      <c r="C1749">
        <v>439</v>
      </c>
      <c r="D1749">
        <v>40</v>
      </c>
      <c r="E1749">
        <v>0</v>
      </c>
    </row>
    <row r="1750" spans="1:5" x14ac:dyDescent="0.3">
      <c r="A1750">
        <v>10922</v>
      </c>
      <c r="B1750">
        <v>17</v>
      </c>
      <c r="C1750">
        <v>39</v>
      </c>
      <c r="D1750">
        <v>15</v>
      </c>
      <c r="E1750">
        <v>0</v>
      </c>
    </row>
    <row r="1751" spans="1:5" x14ac:dyDescent="0.3">
      <c r="A1751">
        <v>10922</v>
      </c>
      <c r="B1751">
        <v>24</v>
      </c>
      <c r="C1751">
        <v>45</v>
      </c>
      <c r="D1751">
        <v>35</v>
      </c>
      <c r="E1751">
        <v>0</v>
      </c>
    </row>
    <row r="1752" spans="1:5" x14ac:dyDescent="0.3">
      <c r="A1752">
        <v>10923</v>
      </c>
      <c r="B1752">
        <v>42</v>
      </c>
      <c r="C1752">
        <v>14</v>
      </c>
      <c r="D1752">
        <v>10</v>
      </c>
      <c r="E1752">
        <v>2</v>
      </c>
    </row>
    <row r="1753" spans="1:5" x14ac:dyDescent="0.3">
      <c r="A1753">
        <v>10923</v>
      </c>
      <c r="B1753">
        <v>43</v>
      </c>
      <c r="C1753">
        <v>46</v>
      </c>
      <c r="D1753">
        <v>10</v>
      </c>
      <c r="E1753">
        <v>2</v>
      </c>
    </row>
    <row r="1754" spans="1:5" x14ac:dyDescent="0.3">
      <c r="A1754">
        <v>10923</v>
      </c>
      <c r="B1754">
        <v>67</v>
      </c>
      <c r="C1754">
        <v>14</v>
      </c>
      <c r="D1754">
        <v>24</v>
      </c>
      <c r="E1754">
        <v>2</v>
      </c>
    </row>
    <row r="1755" spans="1:5" x14ac:dyDescent="0.3">
      <c r="A1755">
        <v>10924</v>
      </c>
      <c r="B1755">
        <v>10</v>
      </c>
      <c r="C1755">
        <v>31</v>
      </c>
      <c r="D1755">
        <v>20</v>
      </c>
      <c r="E1755">
        <v>1</v>
      </c>
    </row>
    <row r="1756" spans="1:5" x14ac:dyDescent="0.3">
      <c r="A1756">
        <v>10924</v>
      </c>
      <c r="B1756">
        <v>28</v>
      </c>
      <c r="C1756">
        <v>456</v>
      </c>
      <c r="D1756">
        <v>30</v>
      </c>
      <c r="E1756">
        <v>1</v>
      </c>
    </row>
    <row r="1757" spans="1:5" x14ac:dyDescent="0.3">
      <c r="A1757">
        <v>10924</v>
      </c>
      <c r="B1757">
        <v>75</v>
      </c>
      <c r="C1757">
        <v>775</v>
      </c>
      <c r="D1757">
        <v>6</v>
      </c>
      <c r="E1757">
        <v>0</v>
      </c>
    </row>
    <row r="1758" spans="1:5" x14ac:dyDescent="0.3">
      <c r="A1758">
        <v>10925</v>
      </c>
      <c r="B1758">
        <v>36</v>
      </c>
      <c r="C1758">
        <v>19</v>
      </c>
      <c r="D1758">
        <v>25</v>
      </c>
      <c r="E1758">
        <v>15</v>
      </c>
    </row>
    <row r="1759" spans="1:5" x14ac:dyDescent="0.3">
      <c r="A1759">
        <v>10925</v>
      </c>
      <c r="B1759">
        <v>52</v>
      </c>
      <c r="C1759">
        <v>7</v>
      </c>
      <c r="D1759">
        <v>12</v>
      </c>
      <c r="E1759">
        <v>15</v>
      </c>
    </row>
    <row r="1760" spans="1:5" x14ac:dyDescent="0.3">
      <c r="A1760">
        <v>10926</v>
      </c>
      <c r="B1760">
        <v>11</v>
      </c>
      <c r="C1760">
        <v>21</v>
      </c>
      <c r="D1760">
        <v>2</v>
      </c>
      <c r="E1760">
        <v>0</v>
      </c>
    </row>
    <row r="1761" spans="1:5" x14ac:dyDescent="0.3">
      <c r="A1761">
        <v>10926</v>
      </c>
      <c r="B1761">
        <v>13</v>
      </c>
      <c r="C1761">
        <v>6</v>
      </c>
      <c r="D1761">
        <v>10</v>
      </c>
      <c r="E1761">
        <v>0</v>
      </c>
    </row>
    <row r="1762" spans="1:5" x14ac:dyDescent="0.3">
      <c r="A1762">
        <v>10926</v>
      </c>
      <c r="B1762">
        <v>19</v>
      </c>
      <c r="C1762">
        <v>92</v>
      </c>
      <c r="D1762">
        <v>7</v>
      </c>
      <c r="E1762">
        <v>0</v>
      </c>
    </row>
    <row r="1763" spans="1:5" x14ac:dyDescent="0.3">
      <c r="A1763">
        <v>10926</v>
      </c>
      <c r="B1763">
        <v>72</v>
      </c>
      <c r="C1763">
        <v>348</v>
      </c>
      <c r="D1763">
        <v>10</v>
      </c>
      <c r="E1763">
        <v>0</v>
      </c>
    </row>
    <row r="1764" spans="1:5" x14ac:dyDescent="0.3">
      <c r="A1764">
        <v>10927</v>
      </c>
      <c r="B1764">
        <v>20</v>
      </c>
      <c r="C1764">
        <v>81</v>
      </c>
      <c r="D1764">
        <v>5</v>
      </c>
      <c r="E1764">
        <v>0</v>
      </c>
    </row>
    <row r="1765" spans="1:5" x14ac:dyDescent="0.3">
      <c r="A1765">
        <v>10927</v>
      </c>
      <c r="B1765">
        <v>52</v>
      </c>
      <c r="C1765">
        <v>7</v>
      </c>
      <c r="D1765">
        <v>5</v>
      </c>
      <c r="E1765">
        <v>0</v>
      </c>
    </row>
    <row r="1766" spans="1:5" x14ac:dyDescent="0.3">
      <c r="A1766">
        <v>10927</v>
      </c>
      <c r="B1766">
        <v>76</v>
      </c>
      <c r="C1766">
        <v>18</v>
      </c>
      <c r="D1766">
        <v>20</v>
      </c>
      <c r="E1766">
        <v>0</v>
      </c>
    </row>
    <row r="1767" spans="1:5" x14ac:dyDescent="0.3">
      <c r="A1767">
        <v>10928</v>
      </c>
      <c r="B1767">
        <v>47</v>
      </c>
      <c r="C1767">
        <v>95</v>
      </c>
      <c r="D1767">
        <v>5</v>
      </c>
      <c r="E1767">
        <v>0</v>
      </c>
    </row>
    <row r="1768" spans="1:5" x14ac:dyDescent="0.3">
      <c r="A1768">
        <v>10928</v>
      </c>
      <c r="B1768">
        <v>76</v>
      </c>
      <c r="C1768">
        <v>18</v>
      </c>
      <c r="D1768">
        <v>5</v>
      </c>
      <c r="E1768">
        <v>0</v>
      </c>
    </row>
    <row r="1769" spans="1:5" x14ac:dyDescent="0.3">
      <c r="A1769">
        <v>10929</v>
      </c>
      <c r="B1769">
        <v>21</v>
      </c>
      <c r="C1769">
        <v>10</v>
      </c>
      <c r="D1769">
        <v>60</v>
      </c>
      <c r="E1769">
        <v>0</v>
      </c>
    </row>
    <row r="1770" spans="1:5" x14ac:dyDescent="0.3">
      <c r="A1770">
        <v>10929</v>
      </c>
      <c r="B1770">
        <v>75</v>
      </c>
      <c r="C1770">
        <v>775</v>
      </c>
      <c r="D1770">
        <v>49</v>
      </c>
      <c r="E1770">
        <v>0</v>
      </c>
    </row>
    <row r="1771" spans="1:5" x14ac:dyDescent="0.3">
      <c r="A1771">
        <v>10929</v>
      </c>
      <c r="B1771">
        <v>77</v>
      </c>
      <c r="C1771">
        <v>13</v>
      </c>
      <c r="D1771">
        <v>15</v>
      </c>
      <c r="E1771">
        <v>0</v>
      </c>
    </row>
    <row r="1772" spans="1:5" x14ac:dyDescent="0.3">
      <c r="A1772">
        <v>10930</v>
      </c>
      <c r="B1772">
        <v>21</v>
      </c>
      <c r="C1772">
        <v>10</v>
      </c>
      <c r="D1772">
        <v>36</v>
      </c>
      <c r="E1772">
        <v>0</v>
      </c>
    </row>
    <row r="1773" spans="1:5" x14ac:dyDescent="0.3">
      <c r="A1773">
        <v>10930</v>
      </c>
      <c r="B1773">
        <v>27</v>
      </c>
      <c r="C1773">
        <v>439</v>
      </c>
      <c r="D1773">
        <v>25</v>
      </c>
      <c r="E1773">
        <v>0</v>
      </c>
    </row>
    <row r="1774" spans="1:5" x14ac:dyDescent="0.3">
      <c r="A1774">
        <v>10930</v>
      </c>
      <c r="B1774">
        <v>55</v>
      </c>
      <c r="C1774">
        <v>24</v>
      </c>
      <c r="D1774">
        <v>25</v>
      </c>
      <c r="E1774">
        <v>2</v>
      </c>
    </row>
    <row r="1775" spans="1:5" x14ac:dyDescent="0.3">
      <c r="A1775">
        <v>10930</v>
      </c>
      <c r="B1775">
        <v>58</v>
      </c>
      <c r="C1775">
        <v>1325</v>
      </c>
      <c r="D1775">
        <v>30</v>
      </c>
      <c r="E1775">
        <v>2</v>
      </c>
    </row>
    <row r="1776" spans="1:5" x14ac:dyDescent="0.3">
      <c r="A1776">
        <v>10931</v>
      </c>
      <c r="B1776">
        <v>13</v>
      </c>
      <c r="C1776">
        <v>6</v>
      </c>
      <c r="D1776">
        <v>42</v>
      </c>
      <c r="E1776">
        <v>15</v>
      </c>
    </row>
    <row r="1777" spans="1:5" x14ac:dyDescent="0.3">
      <c r="A1777">
        <v>10931</v>
      </c>
      <c r="B1777">
        <v>57</v>
      </c>
      <c r="C1777">
        <v>195</v>
      </c>
      <c r="D1777">
        <v>30</v>
      </c>
      <c r="E1777">
        <v>0</v>
      </c>
    </row>
    <row r="1778" spans="1:5" x14ac:dyDescent="0.3">
      <c r="A1778">
        <v>10932</v>
      </c>
      <c r="B1778">
        <v>16</v>
      </c>
      <c r="C1778">
        <v>1745</v>
      </c>
      <c r="D1778">
        <v>30</v>
      </c>
      <c r="E1778">
        <v>1</v>
      </c>
    </row>
    <row r="1779" spans="1:5" x14ac:dyDescent="0.3">
      <c r="A1779">
        <v>10932</v>
      </c>
      <c r="B1779">
        <v>62</v>
      </c>
      <c r="C1779">
        <v>493</v>
      </c>
      <c r="D1779">
        <v>14</v>
      </c>
      <c r="E1779">
        <v>1</v>
      </c>
    </row>
    <row r="1780" spans="1:5" x14ac:dyDescent="0.3">
      <c r="A1780">
        <v>10932</v>
      </c>
      <c r="B1780">
        <v>72</v>
      </c>
      <c r="C1780">
        <v>348</v>
      </c>
      <c r="D1780">
        <v>16</v>
      </c>
      <c r="E1780">
        <v>0</v>
      </c>
    </row>
    <row r="1781" spans="1:5" x14ac:dyDescent="0.3">
      <c r="A1781">
        <v>10932</v>
      </c>
      <c r="B1781">
        <v>75</v>
      </c>
      <c r="C1781">
        <v>775</v>
      </c>
      <c r="D1781">
        <v>20</v>
      </c>
      <c r="E1781">
        <v>1</v>
      </c>
    </row>
    <row r="1782" spans="1:5" x14ac:dyDescent="0.3">
      <c r="A1782">
        <v>10933</v>
      </c>
      <c r="B1782">
        <v>53</v>
      </c>
      <c r="C1782">
        <v>328</v>
      </c>
      <c r="D1782">
        <v>2</v>
      </c>
      <c r="E1782">
        <v>0</v>
      </c>
    </row>
    <row r="1783" spans="1:5" x14ac:dyDescent="0.3">
      <c r="A1783">
        <v>10933</v>
      </c>
      <c r="B1783">
        <v>61</v>
      </c>
      <c r="C1783">
        <v>285</v>
      </c>
      <c r="D1783">
        <v>30</v>
      </c>
      <c r="E1783">
        <v>0</v>
      </c>
    </row>
    <row r="1784" spans="1:5" x14ac:dyDescent="0.3">
      <c r="A1784">
        <v>10934</v>
      </c>
      <c r="B1784">
        <v>6</v>
      </c>
      <c r="C1784">
        <v>25</v>
      </c>
      <c r="D1784">
        <v>20</v>
      </c>
      <c r="E1784">
        <v>0</v>
      </c>
    </row>
    <row r="1785" spans="1:5" x14ac:dyDescent="0.3">
      <c r="A1785">
        <v>10935</v>
      </c>
      <c r="B1785">
        <v>1</v>
      </c>
      <c r="C1785">
        <v>18</v>
      </c>
      <c r="D1785">
        <v>21</v>
      </c>
      <c r="E1785">
        <v>0</v>
      </c>
    </row>
    <row r="1786" spans="1:5" x14ac:dyDescent="0.3">
      <c r="A1786">
        <v>10935</v>
      </c>
      <c r="B1786">
        <v>18</v>
      </c>
      <c r="C1786">
        <v>625</v>
      </c>
      <c r="D1786">
        <v>4</v>
      </c>
      <c r="E1786">
        <v>25</v>
      </c>
    </row>
    <row r="1787" spans="1:5" x14ac:dyDescent="0.3">
      <c r="A1787">
        <v>10935</v>
      </c>
      <c r="B1787">
        <v>23</v>
      </c>
      <c r="C1787">
        <v>9</v>
      </c>
      <c r="D1787">
        <v>8</v>
      </c>
      <c r="E1787">
        <v>25</v>
      </c>
    </row>
    <row r="1788" spans="1:5" x14ac:dyDescent="0.3">
      <c r="A1788">
        <v>10936</v>
      </c>
      <c r="B1788">
        <v>36</v>
      </c>
      <c r="C1788">
        <v>19</v>
      </c>
      <c r="D1788">
        <v>30</v>
      </c>
      <c r="E1788">
        <v>2</v>
      </c>
    </row>
    <row r="1789" spans="1:5" x14ac:dyDescent="0.3">
      <c r="A1789">
        <v>10937</v>
      </c>
      <c r="B1789">
        <v>28</v>
      </c>
      <c r="C1789">
        <v>456</v>
      </c>
      <c r="D1789">
        <v>8</v>
      </c>
      <c r="E1789">
        <v>0</v>
      </c>
    </row>
    <row r="1790" spans="1:5" x14ac:dyDescent="0.3">
      <c r="A1790">
        <v>10937</v>
      </c>
      <c r="B1790">
        <v>34</v>
      </c>
      <c r="C1790">
        <v>14</v>
      </c>
      <c r="D1790">
        <v>20</v>
      </c>
      <c r="E1790">
        <v>0</v>
      </c>
    </row>
    <row r="1791" spans="1:5" x14ac:dyDescent="0.3">
      <c r="A1791">
        <v>10938</v>
      </c>
      <c r="B1791">
        <v>13</v>
      </c>
      <c r="C1791">
        <v>6</v>
      </c>
      <c r="D1791">
        <v>20</v>
      </c>
      <c r="E1791">
        <v>25</v>
      </c>
    </row>
    <row r="1792" spans="1:5" x14ac:dyDescent="0.3">
      <c r="A1792">
        <v>10938</v>
      </c>
      <c r="B1792">
        <v>43</v>
      </c>
      <c r="C1792">
        <v>46</v>
      </c>
      <c r="D1792">
        <v>24</v>
      </c>
      <c r="E1792">
        <v>25</v>
      </c>
    </row>
    <row r="1793" spans="1:5" x14ac:dyDescent="0.3">
      <c r="A1793">
        <v>10938</v>
      </c>
      <c r="B1793">
        <v>60</v>
      </c>
      <c r="C1793">
        <v>34</v>
      </c>
      <c r="D1793">
        <v>49</v>
      </c>
      <c r="E1793">
        <v>25</v>
      </c>
    </row>
    <row r="1794" spans="1:5" x14ac:dyDescent="0.3">
      <c r="A1794">
        <v>10938</v>
      </c>
      <c r="B1794">
        <v>71</v>
      </c>
      <c r="C1794">
        <v>215</v>
      </c>
      <c r="D1794">
        <v>35</v>
      </c>
      <c r="E1794">
        <v>25</v>
      </c>
    </row>
    <row r="1795" spans="1:5" x14ac:dyDescent="0.3">
      <c r="A1795">
        <v>10939</v>
      </c>
      <c r="B1795">
        <v>2</v>
      </c>
      <c r="C1795">
        <v>19</v>
      </c>
      <c r="D1795">
        <v>10</v>
      </c>
      <c r="E1795">
        <v>15</v>
      </c>
    </row>
    <row r="1796" spans="1:5" x14ac:dyDescent="0.3">
      <c r="A1796">
        <v>10939</v>
      </c>
      <c r="B1796">
        <v>67</v>
      </c>
      <c r="C1796">
        <v>14</v>
      </c>
      <c r="D1796">
        <v>40</v>
      </c>
      <c r="E1796">
        <v>15</v>
      </c>
    </row>
    <row r="1797" spans="1:5" x14ac:dyDescent="0.3">
      <c r="A1797">
        <v>10940</v>
      </c>
      <c r="B1797">
        <v>7</v>
      </c>
      <c r="C1797">
        <v>30</v>
      </c>
      <c r="D1797">
        <v>8</v>
      </c>
      <c r="E1797">
        <v>0</v>
      </c>
    </row>
    <row r="1798" spans="1:5" x14ac:dyDescent="0.3">
      <c r="A1798">
        <v>10940</v>
      </c>
      <c r="B1798">
        <v>13</v>
      </c>
      <c r="C1798">
        <v>6</v>
      </c>
      <c r="D1798">
        <v>20</v>
      </c>
      <c r="E1798">
        <v>0</v>
      </c>
    </row>
    <row r="1799" spans="1:5" x14ac:dyDescent="0.3">
      <c r="A1799">
        <v>10941</v>
      </c>
      <c r="B1799">
        <v>31</v>
      </c>
      <c r="C1799">
        <v>125</v>
      </c>
      <c r="D1799">
        <v>44</v>
      </c>
      <c r="E1799">
        <v>25</v>
      </c>
    </row>
    <row r="1800" spans="1:5" x14ac:dyDescent="0.3">
      <c r="A1800">
        <v>10941</v>
      </c>
      <c r="B1800">
        <v>62</v>
      </c>
      <c r="C1800">
        <v>493</v>
      </c>
      <c r="D1800">
        <v>30</v>
      </c>
      <c r="E1800">
        <v>25</v>
      </c>
    </row>
    <row r="1801" spans="1:5" x14ac:dyDescent="0.3">
      <c r="A1801">
        <v>10941</v>
      </c>
      <c r="B1801">
        <v>68</v>
      </c>
      <c r="C1801">
        <v>125</v>
      </c>
      <c r="D1801">
        <v>80</v>
      </c>
      <c r="E1801">
        <v>25</v>
      </c>
    </row>
    <row r="1802" spans="1:5" x14ac:dyDescent="0.3">
      <c r="A1802">
        <v>10941</v>
      </c>
      <c r="B1802">
        <v>72</v>
      </c>
      <c r="C1802">
        <v>348</v>
      </c>
      <c r="D1802">
        <v>50</v>
      </c>
      <c r="E1802">
        <v>0</v>
      </c>
    </row>
    <row r="1803" spans="1:5" x14ac:dyDescent="0.3">
      <c r="A1803">
        <v>10942</v>
      </c>
      <c r="B1803">
        <v>49</v>
      </c>
      <c r="C1803">
        <v>20</v>
      </c>
      <c r="D1803">
        <v>28</v>
      </c>
      <c r="E1803">
        <v>0</v>
      </c>
    </row>
    <row r="1804" spans="1:5" x14ac:dyDescent="0.3">
      <c r="A1804">
        <v>10943</v>
      </c>
      <c r="B1804">
        <v>13</v>
      </c>
      <c r="C1804">
        <v>6</v>
      </c>
      <c r="D1804">
        <v>15</v>
      </c>
      <c r="E1804">
        <v>0</v>
      </c>
    </row>
    <row r="1805" spans="1:5" x14ac:dyDescent="0.3">
      <c r="A1805">
        <v>10943</v>
      </c>
      <c r="B1805">
        <v>22</v>
      </c>
      <c r="C1805">
        <v>21</v>
      </c>
      <c r="D1805">
        <v>21</v>
      </c>
      <c r="E1805">
        <v>0</v>
      </c>
    </row>
    <row r="1806" spans="1:5" x14ac:dyDescent="0.3">
      <c r="A1806">
        <v>10943</v>
      </c>
      <c r="B1806">
        <v>46</v>
      </c>
      <c r="C1806">
        <v>12</v>
      </c>
      <c r="D1806">
        <v>15</v>
      </c>
      <c r="E1806">
        <v>0</v>
      </c>
    </row>
    <row r="1807" spans="1:5" x14ac:dyDescent="0.3">
      <c r="A1807">
        <v>10944</v>
      </c>
      <c r="B1807">
        <v>11</v>
      </c>
      <c r="C1807">
        <v>21</v>
      </c>
      <c r="D1807">
        <v>5</v>
      </c>
      <c r="E1807">
        <v>25</v>
      </c>
    </row>
    <row r="1808" spans="1:5" x14ac:dyDescent="0.3">
      <c r="A1808">
        <v>10944</v>
      </c>
      <c r="B1808">
        <v>44</v>
      </c>
      <c r="C1808">
        <v>1945</v>
      </c>
      <c r="D1808">
        <v>18</v>
      </c>
      <c r="E1808">
        <v>25</v>
      </c>
    </row>
    <row r="1809" spans="1:5" x14ac:dyDescent="0.3">
      <c r="A1809">
        <v>10944</v>
      </c>
      <c r="B1809">
        <v>56</v>
      </c>
      <c r="C1809">
        <v>38</v>
      </c>
      <c r="D1809">
        <v>18</v>
      </c>
      <c r="E1809">
        <v>0</v>
      </c>
    </row>
    <row r="1810" spans="1:5" x14ac:dyDescent="0.3">
      <c r="A1810">
        <v>10945</v>
      </c>
      <c r="B1810">
        <v>13</v>
      </c>
      <c r="C1810">
        <v>6</v>
      </c>
      <c r="D1810">
        <v>20</v>
      </c>
      <c r="E1810">
        <v>0</v>
      </c>
    </row>
    <row r="1811" spans="1:5" x14ac:dyDescent="0.3">
      <c r="A1811">
        <v>10945</v>
      </c>
      <c r="B1811">
        <v>31</v>
      </c>
      <c r="C1811">
        <v>125</v>
      </c>
      <c r="D1811">
        <v>10</v>
      </c>
      <c r="E1811">
        <v>0</v>
      </c>
    </row>
    <row r="1812" spans="1:5" x14ac:dyDescent="0.3">
      <c r="A1812">
        <v>10946</v>
      </c>
      <c r="B1812">
        <v>10</v>
      </c>
      <c r="C1812">
        <v>31</v>
      </c>
      <c r="D1812">
        <v>25</v>
      </c>
      <c r="E1812">
        <v>0</v>
      </c>
    </row>
    <row r="1813" spans="1:5" x14ac:dyDescent="0.3">
      <c r="A1813">
        <v>10946</v>
      </c>
      <c r="B1813">
        <v>24</v>
      </c>
      <c r="C1813">
        <v>45</v>
      </c>
      <c r="D1813">
        <v>25</v>
      </c>
      <c r="E1813">
        <v>0</v>
      </c>
    </row>
    <row r="1814" spans="1:5" x14ac:dyDescent="0.3">
      <c r="A1814">
        <v>10946</v>
      </c>
      <c r="B1814">
        <v>77</v>
      </c>
      <c r="C1814">
        <v>13</v>
      </c>
      <c r="D1814">
        <v>40</v>
      </c>
      <c r="E1814">
        <v>0</v>
      </c>
    </row>
    <row r="1815" spans="1:5" x14ac:dyDescent="0.3">
      <c r="A1815">
        <v>10947</v>
      </c>
      <c r="B1815">
        <v>59</v>
      </c>
      <c r="C1815">
        <v>55</v>
      </c>
      <c r="D1815">
        <v>4</v>
      </c>
      <c r="E1815">
        <v>0</v>
      </c>
    </row>
    <row r="1816" spans="1:5" x14ac:dyDescent="0.3">
      <c r="A1816">
        <v>10948</v>
      </c>
      <c r="B1816">
        <v>50</v>
      </c>
      <c r="C1816">
        <v>1625</v>
      </c>
      <c r="D1816">
        <v>9</v>
      </c>
      <c r="E1816">
        <v>0</v>
      </c>
    </row>
    <row r="1817" spans="1:5" x14ac:dyDescent="0.3">
      <c r="A1817">
        <v>10948</v>
      </c>
      <c r="B1817">
        <v>51</v>
      </c>
      <c r="C1817">
        <v>53</v>
      </c>
      <c r="D1817">
        <v>40</v>
      </c>
      <c r="E1817">
        <v>0</v>
      </c>
    </row>
    <row r="1818" spans="1:5" x14ac:dyDescent="0.3">
      <c r="A1818">
        <v>10948</v>
      </c>
      <c r="B1818">
        <v>55</v>
      </c>
      <c r="C1818">
        <v>24</v>
      </c>
      <c r="D1818">
        <v>4</v>
      </c>
      <c r="E1818">
        <v>0</v>
      </c>
    </row>
    <row r="1819" spans="1:5" x14ac:dyDescent="0.3">
      <c r="A1819">
        <v>10949</v>
      </c>
      <c r="B1819">
        <v>6</v>
      </c>
      <c r="C1819">
        <v>25</v>
      </c>
      <c r="D1819">
        <v>12</v>
      </c>
      <c r="E1819">
        <v>0</v>
      </c>
    </row>
    <row r="1820" spans="1:5" x14ac:dyDescent="0.3">
      <c r="A1820">
        <v>10949</v>
      </c>
      <c r="B1820">
        <v>10</v>
      </c>
      <c r="C1820">
        <v>31</v>
      </c>
      <c r="D1820">
        <v>30</v>
      </c>
      <c r="E1820">
        <v>0</v>
      </c>
    </row>
    <row r="1821" spans="1:5" x14ac:dyDescent="0.3">
      <c r="A1821">
        <v>10949</v>
      </c>
      <c r="B1821">
        <v>17</v>
      </c>
      <c r="C1821">
        <v>39</v>
      </c>
      <c r="D1821">
        <v>6</v>
      </c>
      <c r="E1821">
        <v>0</v>
      </c>
    </row>
    <row r="1822" spans="1:5" x14ac:dyDescent="0.3">
      <c r="A1822">
        <v>10949</v>
      </c>
      <c r="B1822">
        <v>62</v>
      </c>
      <c r="C1822">
        <v>493</v>
      </c>
      <c r="D1822">
        <v>60</v>
      </c>
      <c r="E1822">
        <v>0</v>
      </c>
    </row>
    <row r="1823" spans="1:5" x14ac:dyDescent="0.3">
      <c r="A1823">
        <v>10950</v>
      </c>
      <c r="B1823">
        <v>4</v>
      </c>
      <c r="C1823">
        <v>22</v>
      </c>
      <c r="D1823">
        <v>5</v>
      </c>
      <c r="E1823">
        <v>0</v>
      </c>
    </row>
    <row r="1824" spans="1:5" x14ac:dyDescent="0.3">
      <c r="A1824">
        <v>10951</v>
      </c>
      <c r="B1824">
        <v>33</v>
      </c>
      <c r="C1824">
        <v>25</v>
      </c>
      <c r="D1824">
        <v>15</v>
      </c>
      <c r="E1824">
        <v>5</v>
      </c>
    </row>
    <row r="1825" spans="1:5" x14ac:dyDescent="0.3">
      <c r="A1825">
        <v>10951</v>
      </c>
      <c r="B1825">
        <v>41</v>
      </c>
      <c r="C1825">
        <v>965</v>
      </c>
      <c r="D1825">
        <v>6</v>
      </c>
      <c r="E1825">
        <v>5</v>
      </c>
    </row>
    <row r="1826" spans="1:5" x14ac:dyDescent="0.3">
      <c r="A1826">
        <v>10951</v>
      </c>
      <c r="B1826">
        <v>75</v>
      </c>
      <c r="C1826">
        <v>775</v>
      </c>
      <c r="D1826">
        <v>50</v>
      </c>
      <c r="E1826">
        <v>5</v>
      </c>
    </row>
    <row r="1827" spans="1:5" x14ac:dyDescent="0.3">
      <c r="A1827">
        <v>10952</v>
      </c>
      <c r="B1827">
        <v>6</v>
      </c>
      <c r="C1827">
        <v>25</v>
      </c>
      <c r="D1827">
        <v>16</v>
      </c>
      <c r="E1827">
        <v>5</v>
      </c>
    </row>
    <row r="1828" spans="1:5" x14ac:dyDescent="0.3">
      <c r="A1828">
        <v>10952</v>
      </c>
      <c r="B1828">
        <v>28</v>
      </c>
      <c r="C1828">
        <v>456</v>
      </c>
      <c r="D1828">
        <v>2</v>
      </c>
      <c r="E1828">
        <v>0</v>
      </c>
    </row>
    <row r="1829" spans="1:5" x14ac:dyDescent="0.3">
      <c r="A1829">
        <v>10953</v>
      </c>
      <c r="B1829">
        <v>20</v>
      </c>
      <c r="C1829">
        <v>81</v>
      </c>
      <c r="D1829">
        <v>50</v>
      </c>
      <c r="E1829">
        <v>5</v>
      </c>
    </row>
    <row r="1830" spans="1:5" x14ac:dyDescent="0.3">
      <c r="A1830">
        <v>10953</v>
      </c>
      <c r="B1830">
        <v>31</v>
      </c>
      <c r="C1830">
        <v>125</v>
      </c>
      <c r="D1830">
        <v>50</v>
      </c>
      <c r="E1830">
        <v>5</v>
      </c>
    </row>
    <row r="1831" spans="1:5" x14ac:dyDescent="0.3">
      <c r="A1831">
        <v>10954</v>
      </c>
      <c r="B1831">
        <v>16</v>
      </c>
      <c r="C1831">
        <v>1745</v>
      </c>
      <c r="D1831">
        <v>28</v>
      </c>
      <c r="E1831">
        <v>15</v>
      </c>
    </row>
    <row r="1832" spans="1:5" x14ac:dyDescent="0.3">
      <c r="A1832">
        <v>10954</v>
      </c>
      <c r="B1832">
        <v>31</v>
      </c>
      <c r="C1832">
        <v>125</v>
      </c>
      <c r="D1832">
        <v>25</v>
      </c>
      <c r="E1832">
        <v>15</v>
      </c>
    </row>
    <row r="1833" spans="1:5" x14ac:dyDescent="0.3">
      <c r="A1833">
        <v>10954</v>
      </c>
      <c r="B1833">
        <v>45</v>
      </c>
      <c r="C1833">
        <v>95</v>
      </c>
      <c r="D1833">
        <v>30</v>
      </c>
      <c r="E1833">
        <v>0</v>
      </c>
    </row>
    <row r="1834" spans="1:5" x14ac:dyDescent="0.3">
      <c r="A1834">
        <v>10954</v>
      </c>
      <c r="B1834">
        <v>60</v>
      </c>
      <c r="C1834">
        <v>34</v>
      </c>
      <c r="D1834">
        <v>24</v>
      </c>
      <c r="E1834">
        <v>15</v>
      </c>
    </row>
    <row r="1835" spans="1:5" x14ac:dyDescent="0.3">
      <c r="A1835">
        <v>10955</v>
      </c>
      <c r="B1835">
        <v>75</v>
      </c>
      <c r="C1835">
        <v>775</v>
      </c>
      <c r="D1835">
        <v>12</v>
      </c>
      <c r="E1835">
        <v>2</v>
      </c>
    </row>
    <row r="1836" spans="1:5" x14ac:dyDescent="0.3">
      <c r="A1836">
        <v>10956</v>
      </c>
      <c r="B1836">
        <v>21</v>
      </c>
      <c r="C1836">
        <v>10</v>
      </c>
      <c r="D1836">
        <v>12</v>
      </c>
      <c r="E1836">
        <v>0</v>
      </c>
    </row>
    <row r="1837" spans="1:5" x14ac:dyDescent="0.3">
      <c r="A1837">
        <v>10956</v>
      </c>
      <c r="B1837">
        <v>47</v>
      </c>
      <c r="C1837">
        <v>95</v>
      </c>
      <c r="D1837">
        <v>14</v>
      </c>
      <c r="E1837">
        <v>0</v>
      </c>
    </row>
    <row r="1838" spans="1:5" x14ac:dyDescent="0.3">
      <c r="A1838">
        <v>10956</v>
      </c>
      <c r="B1838">
        <v>51</v>
      </c>
      <c r="C1838">
        <v>53</v>
      </c>
      <c r="D1838">
        <v>8</v>
      </c>
      <c r="E1838">
        <v>0</v>
      </c>
    </row>
    <row r="1839" spans="1:5" x14ac:dyDescent="0.3">
      <c r="A1839">
        <v>10957</v>
      </c>
      <c r="B1839">
        <v>30</v>
      </c>
      <c r="C1839">
        <v>2589</v>
      </c>
      <c r="D1839">
        <v>30</v>
      </c>
      <c r="E1839">
        <v>0</v>
      </c>
    </row>
    <row r="1840" spans="1:5" x14ac:dyDescent="0.3">
      <c r="A1840">
        <v>10957</v>
      </c>
      <c r="B1840">
        <v>35</v>
      </c>
      <c r="C1840">
        <v>18</v>
      </c>
      <c r="D1840">
        <v>40</v>
      </c>
      <c r="E1840">
        <v>0</v>
      </c>
    </row>
    <row r="1841" spans="1:5" x14ac:dyDescent="0.3">
      <c r="A1841">
        <v>10957</v>
      </c>
      <c r="B1841">
        <v>64</v>
      </c>
      <c r="C1841">
        <v>3325</v>
      </c>
      <c r="D1841">
        <v>8</v>
      </c>
      <c r="E1841">
        <v>0</v>
      </c>
    </row>
    <row r="1842" spans="1:5" x14ac:dyDescent="0.3">
      <c r="A1842">
        <v>10958</v>
      </c>
      <c r="B1842">
        <v>5</v>
      </c>
      <c r="C1842">
        <v>2135</v>
      </c>
      <c r="D1842">
        <v>20</v>
      </c>
      <c r="E1842">
        <v>0</v>
      </c>
    </row>
    <row r="1843" spans="1:5" x14ac:dyDescent="0.3">
      <c r="A1843">
        <v>10958</v>
      </c>
      <c r="B1843">
        <v>7</v>
      </c>
      <c r="C1843">
        <v>30</v>
      </c>
      <c r="D1843">
        <v>6</v>
      </c>
      <c r="E1843">
        <v>0</v>
      </c>
    </row>
    <row r="1844" spans="1:5" x14ac:dyDescent="0.3">
      <c r="A1844">
        <v>10958</v>
      </c>
      <c r="B1844">
        <v>72</v>
      </c>
      <c r="C1844">
        <v>348</v>
      </c>
      <c r="D1844">
        <v>5</v>
      </c>
      <c r="E1844">
        <v>0</v>
      </c>
    </row>
    <row r="1845" spans="1:5" x14ac:dyDescent="0.3">
      <c r="A1845">
        <v>10959</v>
      </c>
      <c r="B1845">
        <v>75</v>
      </c>
      <c r="C1845">
        <v>775</v>
      </c>
      <c r="D1845">
        <v>20</v>
      </c>
      <c r="E1845">
        <v>15</v>
      </c>
    </row>
    <row r="1846" spans="1:5" x14ac:dyDescent="0.3">
      <c r="A1846">
        <v>10960</v>
      </c>
      <c r="B1846">
        <v>24</v>
      </c>
      <c r="C1846">
        <v>45</v>
      </c>
      <c r="D1846">
        <v>10</v>
      </c>
      <c r="E1846">
        <v>25</v>
      </c>
    </row>
    <row r="1847" spans="1:5" x14ac:dyDescent="0.3">
      <c r="A1847">
        <v>10960</v>
      </c>
      <c r="B1847">
        <v>41</v>
      </c>
      <c r="C1847">
        <v>965</v>
      </c>
      <c r="D1847">
        <v>24</v>
      </c>
      <c r="E1847">
        <v>0</v>
      </c>
    </row>
    <row r="1848" spans="1:5" x14ac:dyDescent="0.3">
      <c r="A1848">
        <v>10961</v>
      </c>
      <c r="B1848">
        <v>52</v>
      </c>
      <c r="C1848">
        <v>7</v>
      </c>
      <c r="D1848">
        <v>6</v>
      </c>
      <c r="E1848">
        <v>5</v>
      </c>
    </row>
    <row r="1849" spans="1:5" x14ac:dyDescent="0.3">
      <c r="A1849">
        <v>10961</v>
      </c>
      <c r="B1849">
        <v>76</v>
      </c>
      <c r="C1849">
        <v>18</v>
      </c>
      <c r="D1849">
        <v>60</v>
      </c>
      <c r="E1849">
        <v>0</v>
      </c>
    </row>
    <row r="1850" spans="1:5" x14ac:dyDescent="0.3">
      <c r="A1850">
        <v>10962</v>
      </c>
      <c r="B1850">
        <v>7</v>
      </c>
      <c r="C1850">
        <v>30</v>
      </c>
      <c r="D1850">
        <v>45</v>
      </c>
      <c r="E1850">
        <v>0</v>
      </c>
    </row>
    <row r="1851" spans="1:5" x14ac:dyDescent="0.3">
      <c r="A1851">
        <v>10962</v>
      </c>
      <c r="B1851">
        <v>13</v>
      </c>
      <c r="C1851">
        <v>6</v>
      </c>
      <c r="D1851">
        <v>77</v>
      </c>
      <c r="E1851">
        <v>0</v>
      </c>
    </row>
    <row r="1852" spans="1:5" x14ac:dyDescent="0.3">
      <c r="A1852">
        <v>10962</v>
      </c>
      <c r="B1852">
        <v>53</v>
      </c>
      <c r="C1852">
        <v>328</v>
      </c>
      <c r="D1852">
        <v>20</v>
      </c>
      <c r="E1852">
        <v>0</v>
      </c>
    </row>
    <row r="1853" spans="1:5" x14ac:dyDescent="0.3">
      <c r="A1853">
        <v>10962</v>
      </c>
      <c r="B1853">
        <v>69</v>
      </c>
      <c r="C1853">
        <v>36</v>
      </c>
      <c r="D1853">
        <v>9</v>
      </c>
      <c r="E1853">
        <v>0</v>
      </c>
    </row>
    <row r="1854" spans="1:5" x14ac:dyDescent="0.3">
      <c r="A1854">
        <v>10962</v>
      </c>
      <c r="B1854">
        <v>76</v>
      </c>
      <c r="C1854">
        <v>18</v>
      </c>
      <c r="D1854">
        <v>44</v>
      </c>
      <c r="E1854">
        <v>0</v>
      </c>
    </row>
    <row r="1855" spans="1:5" x14ac:dyDescent="0.3">
      <c r="A1855">
        <v>10963</v>
      </c>
      <c r="B1855">
        <v>60</v>
      </c>
      <c r="C1855">
        <v>34</v>
      </c>
      <c r="D1855">
        <v>2</v>
      </c>
      <c r="E1855">
        <v>15</v>
      </c>
    </row>
    <row r="1856" spans="1:5" x14ac:dyDescent="0.3">
      <c r="A1856">
        <v>10964</v>
      </c>
      <c r="B1856">
        <v>18</v>
      </c>
      <c r="C1856">
        <v>625</v>
      </c>
      <c r="D1856">
        <v>6</v>
      </c>
      <c r="E1856">
        <v>0</v>
      </c>
    </row>
    <row r="1857" spans="1:5" x14ac:dyDescent="0.3">
      <c r="A1857">
        <v>10964</v>
      </c>
      <c r="B1857">
        <v>38</v>
      </c>
      <c r="C1857">
        <v>2635</v>
      </c>
      <c r="D1857">
        <v>5</v>
      </c>
      <c r="E1857">
        <v>0</v>
      </c>
    </row>
    <row r="1858" spans="1:5" x14ac:dyDescent="0.3">
      <c r="A1858">
        <v>10964</v>
      </c>
      <c r="B1858">
        <v>69</v>
      </c>
      <c r="C1858">
        <v>36</v>
      </c>
      <c r="D1858">
        <v>10</v>
      </c>
      <c r="E1858">
        <v>0</v>
      </c>
    </row>
    <row r="1859" spans="1:5" x14ac:dyDescent="0.3">
      <c r="A1859">
        <v>10965</v>
      </c>
      <c r="B1859">
        <v>51</v>
      </c>
      <c r="C1859">
        <v>53</v>
      </c>
      <c r="D1859">
        <v>16</v>
      </c>
      <c r="E1859">
        <v>0</v>
      </c>
    </row>
    <row r="1860" spans="1:5" x14ac:dyDescent="0.3">
      <c r="A1860">
        <v>10966</v>
      </c>
      <c r="B1860">
        <v>37</v>
      </c>
      <c r="C1860">
        <v>26</v>
      </c>
      <c r="D1860">
        <v>8</v>
      </c>
      <c r="E1860">
        <v>0</v>
      </c>
    </row>
    <row r="1861" spans="1:5" x14ac:dyDescent="0.3">
      <c r="A1861">
        <v>10966</v>
      </c>
      <c r="B1861">
        <v>56</v>
      </c>
      <c r="C1861">
        <v>38</v>
      </c>
      <c r="D1861">
        <v>12</v>
      </c>
      <c r="E1861">
        <v>15</v>
      </c>
    </row>
    <row r="1862" spans="1:5" x14ac:dyDescent="0.3">
      <c r="A1862">
        <v>10966</v>
      </c>
      <c r="B1862">
        <v>62</v>
      </c>
      <c r="C1862">
        <v>493</v>
      </c>
      <c r="D1862">
        <v>12</v>
      </c>
      <c r="E1862">
        <v>15</v>
      </c>
    </row>
    <row r="1863" spans="1:5" x14ac:dyDescent="0.3">
      <c r="A1863">
        <v>10967</v>
      </c>
      <c r="B1863">
        <v>19</v>
      </c>
      <c r="C1863">
        <v>92</v>
      </c>
      <c r="D1863">
        <v>12</v>
      </c>
      <c r="E1863">
        <v>0</v>
      </c>
    </row>
    <row r="1864" spans="1:5" x14ac:dyDescent="0.3">
      <c r="A1864">
        <v>10967</v>
      </c>
      <c r="B1864">
        <v>49</v>
      </c>
      <c r="C1864">
        <v>20</v>
      </c>
      <c r="D1864">
        <v>40</v>
      </c>
      <c r="E1864">
        <v>0</v>
      </c>
    </row>
    <row r="1865" spans="1:5" x14ac:dyDescent="0.3">
      <c r="A1865">
        <v>10968</v>
      </c>
      <c r="B1865">
        <v>12</v>
      </c>
      <c r="C1865">
        <v>38</v>
      </c>
      <c r="D1865">
        <v>30</v>
      </c>
      <c r="E1865">
        <v>0</v>
      </c>
    </row>
    <row r="1866" spans="1:5" x14ac:dyDescent="0.3">
      <c r="A1866">
        <v>10968</v>
      </c>
      <c r="B1866">
        <v>24</v>
      </c>
      <c r="C1866">
        <v>45</v>
      </c>
      <c r="D1866">
        <v>30</v>
      </c>
      <c r="E1866">
        <v>0</v>
      </c>
    </row>
    <row r="1867" spans="1:5" x14ac:dyDescent="0.3">
      <c r="A1867">
        <v>10968</v>
      </c>
      <c r="B1867">
        <v>64</v>
      </c>
      <c r="C1867">
        <v>3325</v>
      </c>
      <c r="D1867">
        <v>4</v>
      </c>
      <c r="E1867">
        <v>0</v>
      </c>
    </row>
    <row r="1868" spans="1:5" x14ac:dyDescent="0.3">
      <c r="A1868">
        <v>10969</v>
      </c>
      <c r="B1868">
        <v>46</v>
      </c>
      <c r="C1868">
        <v>12</v>
      </c>
      <c r="D1868">
        <v>9</v>
      </c>
      <c r="E1868">
        <v>0</v>
      </c>
    </row>
    <row r="1869" spans="1:5" x14ac:dyDescent="0.3">
      <c r="A1869">
        <v>10970</v>
      </c>
      <c r="B1869">
        <v>52</v>
      </c>
      <c r="C1869">
        <v>7</v>
      </c>
      <c r="D1869">
        <v>40</v>
      </c>
      <c r="E1869">
        <v>2</v>
      </c>
    </row>
    <row r="1870" spans="1:5" x14ac:dyDescent="0.3">
      <c r="A1870">
        <v>10971</v>
      </c>
      <c r="B1870">
        <v>29</v>
      </c>
      <c r="C1870">
        <v>12379</v>
      </c>
      <c r="D1870">
        <v>14</v>
      </c>
      <c r="E1870">
        <v>0</v>
      </c>
    </row>
    <row r="1871" spans="1:5" x14ac:dyDescent="0.3">
      <c r="A1871">
        <v>10972</v>
      </c>
      <c r="B1871">
        <v>17</v>
      </c>
      <c r="C1871">
        <v>39</v>
      </c>
      <c r="D1871">
        <v>6</v>
      </c>
      <c r="E1871">
        <v>0</v>
      </c>
    </row>
    <row r="1872" spans="1:5" x14ac:dyDescent="0.3">
      <c r="A1872">
        <v>10972</v>
      </c>
      <c r="B1872">
        <v>33</v>
      </c>
      <c r="C1872">
        <v>25</v>
      </c>
      <c r="D1872">
        <v>7</v>
      </c>
      <c r="E1872">
        <v>0</v>
      </c>
    </row>
    <row r="1873" spans="1:5" x14ac:dyDescent="0.3">
      <c r="A1873">
        <v>10973</v>
      </c>
      <c r="B1873">
        <v>26</v>
      </c>
      <c r="C1873">
        <v>3123</v>
      </c>
      <c r="D1873">
        <v>5</v>
      </c>
      <c r="E1873">
        <v>0</v>
      </c>
    </row>
    <row r="1874" spans="1:5" x14ac:dyDescent="0.3">
      <c r="A1874">
        <v>10973</v>
      </c>
      <c r="B1874">
        <v>41</v>
      </c>
      <c r="C1874">
        <v>965</v>
      </c>
      <c r="D1874">
        <v>6</v>
      </c>
      <c r="E1874">
        <v>0</v>
      </c>
    </row>
    <row r="1875" spans="1:5" x14ac:dyDescent="0.3">
      <c r="A1875">
        <v>10973</v>
      </c>
      <c r="B1875">
        <v>75</v>
      </c>
      <c r="C1875">
        <v>775</v>
      </c>
      <c r="D1875">
        <v>10</v>
      </c>
      <c r="E1875">
        <v>0</v>
      </c>
    </row>
    <row r="1876" spans="1:5" x14ac:dyDescent="0.3">
      <c r="A1876">
        <v>10974</v>
      </c>
      <c r="B1876">
        <v>63</v>
      </c>
      <c r="C1876">
        <v>439</v>
      </c>
      <c r="D1876">
        <v>10</v>
      </c>
      <c r="E1876">
        <v>0</v>
      </c>
    </row>
    <row r="1877" spans="1:5" x14ac:dyDescent="0.3">
      <c r="A1877">
        <v>10975</v>
      </c>
      <c r="B1877">
        <v>8</v>
      </c>
      <c r="C1877">
        <v>40</v>
      </c>
      <c r="D1877">
        <v>16</v>
      </c>
      <c r="E1877">
        <v>0</v>
      </c>
    </row>
    <row r="1878" spans="1:5" x14ac:dyDescent="0.3">
      <c r="A1878">
        <v>10975</v>
      </c>
      <c r="B1878">
        <v>75</v>
      </c>
      <c r="C1878">
        <v>775</v>
      </c>
      <c r="D1878">
        <v>10</v>
      </c>
      <c r="E1878">
        <v>0</v>
      </c>
    </row>
    <row r="1879" spans="1:5" x14ac:dyDescent="0.3">
      <c r="A1879">
        <v>10976</v>
      </c>
      <c r="B1879">
        <v>28</v>
      </c>
      <c r="C1879">
        <v>456</v>
      </c>
      <c r="D1879">
        <v>20</v>
      </c>
      <c r="E1879">
        <v>0</v>
      </c>
    </row>
    <row r="1880" spans="1:5" x14ac:dyDescent="0.3">
      <c r="A1880">
        <v>10977</v>
      </c>
      <c r="B1880">
        <v>39</v>
      </c>
      <c r="C1880">
        <v>18</v>
      </c>
      <c r="D1880">
        <v>30</v>
      </c>
      <c r="E1880">
        <v>0</v>
      </c>
    </row>
    <row r="1881" spans="1:5" x14ac:dyDescent="0.3">
      <c r="A1881">
        <v>10977</v>
      </c>
      <c r="B1881">
        <v>47</v>
      </c>
      <c r="C1881">
        <v>95</v>
      </c>
      <c r="D1881">
        <v>30</v>
      </c>
      <c r="E1881">
        <v>0</v>
      </c>
    </row>
    <row r="1882" spans="1:5" x14ac:dyDescent="0.3">
      <c r="A1882">
        <v>10977</v>
      </c>
      <c r="B1882">
        <v>51</v>
      </c>
      <c r="C1882">
        <v>53</v>
      </c>
      <c r="D1882">
        <v>10</v>
      </c>
      <c r="E1882">
        <v>0</v>
      </c>
    </row>
    <row r="1883" spans="1:5" x14ac:dyDescent="0.3">
      <c r="A1883">
        <v>10977</v>
      </c>
      <c r="B1883">
        <v>63</v>
      </c>
      <c r="C1883">
        <v>439</v>
      </c>
      <c r="D1883">
        <v>20</v>
      </c>
      <c r="E1883">
        <v>0</v>
      </c>
    </row>
    <row r="1884" spans="1:5" x14ac:dyDescent="0.3">
      <c r="A1884">
        <v>10978</v>
      </c>
      <c r="B1884">
        <v>8</v>
      </c>
      <c r="C1884">
        <v>40</v>
      </c>
      <c r="D1884">
        <v>20</v>
      </c>
      <c r="E1884">
        <v>15</v>
      </c>
    </row>
    <row r="1885" spans="1:5" x14ac:dyDescent="0.3">
      <c r="A1885">
        <v>10978</v>
      </c>
      <c r="B1885">
        <v>21</v>
      </c>
      <c r="C1885">
        <v>10</v>
      </c>
      <c r="D1885">
        <v>40</v>
      </c>
      <c r="E1885">
        <v>15</v>
      </c>
    </row>
    <row r="1886" spans="1:5" x14ac:dyDescent="0.3">
      <c r="A1886">
        <v>10978</v>
      </c>
      <c r="B1886">
        <v>40</v>
      </c>
      <c r="C1886">
        <v>184</v>
      </c>
      <c r="D1886">
        <v>10</v>
      </c>
      <c r="E1886">
        <v>0</v>
      </c>
    </row>
    <row r="1887" spans="1:5" x14ac:dyDescent="0.3">
      <c r="A1887">
        <v>10978</v>
      </c>
      <c r="B1887">
        <v>44</v>
      </c>
      <c r="C1887">
        <v>1945</v>
      </c>
      <c r="D1887">
        <v>6</v>
      </c>
      <c r="E1887">
        <v>15</v>
      </c>
    </row>
    <row r="1888" spans="1:5" x14ac:dyDescent="0.3">
      <c r="A1888">
        <v>10979</v>
      </c>
      <c r="B1888">
        <v>7</v>
      </c>
      <c r="C1888">
        <v>30</v>
      </c>
      <c r="D1888">
        <v>18</v>
      </c>
      <c r="E1888">
        <v>0</v>
      </c>
    </row>
    <row r="1889" spans="1:5" x14ac:dyDescent="0.3">
      <c r="A1889">
        <v>10979</v>
      </c>
      <c r="B1889">
        <v>12</v>
      </c>
      <c r="C1889">
        <v>38</v>
      </c>
      <c r="D1889">
        <v>20</v>
      </c>
      <c r="E1889">
        <v>0</v>
      </c>
    </row>
    <row r="1890" spans="1:5" x14ac:dyDescent="0.3">
      <c r="A1890">
        <v>10979</v>
      </c>
      <c r="B1890">
        <v>24</v>
      </c>
      <c r="C1890">
        <v>45</v>
      </c>
      <c r="D1890">
        <v>80</v>
      </c>
      <c r="E1890">
        <v>0</v>
      </c>
    </row>
    <row r="1891" spans="1:5" x14ac:dyDescent="0.3">
      <c r="A1891">
        <v>10979</v>
      </c>
      <c r="B1891">
        <v>27</v>
      </c>
      <c r="C1891">
        <v>439</v>
      </c>
      <c r="D1891">
        <v>30</v>
      </c>
      <c r="E1891">
        <v>0</v>
      </c>
    </row>
    <row r="1892" spans="1:5" x14ac:dyDescent="0.3">
      <c r="A1892">
        <v>10979</v>
      </c>
      <c r="B1892">
        <v>31</v>
      </c>
      <c r="C1892">
        <v>125</v>
      </c>
      <c r="D1892">
        <v>24</v>
      </c>
      <c r="E1892">
        <v>0</v>
      </c>
    </row>
    <row r="1893" spans="1:5" x14ac:dyDescent="0.3">
      <c r="A1893">
        <v>10979</v>
      </c>
      <c r="B1893">
        <v>63</v>
      </c>
      <c r="C1893">
        <v>439</v>
      </c>
      <c r="D1893">
        <v>35</v>
      </c>
      <c r="E1893">
        <v>0</v>
      </c>
    </row>
    <row r="1894" spans="1:5" x14ac:dyDescent="0.3">
      <c r="A1894">
        <v>10980</v>
      </c>
      <c r="B1894">
        <v>75</v>
      </c>
      <c r="C1894">
        <v>775</v>
      </c>
      <c r="D1894">
        <v>40</v>
      </c>
      <c r="E1894">
        <v>2</v>
      </c>
    </row>
    <row r="1895" spans="1:5" x14ac:dyDescent="0.3">
      <c r="A1895">
        <v>10981</v>
      </c>
      <c r="B1895">
        <v>38</v>
      </c>
      <c r="C1895">
        <v>2635</v>
      </c>
      <c r="D1895">
        <v>60</v>
      </c>
      <c r="E1895">
        <v>0</v>
      </c>
    </row>
    <row r="1896" spans="1:5" x14ac:dyDescent="0.3">
      <c r="A1896">
        <v>10982</v>
      </c>
      <c r="B1896">
        <v>7</v>
      </c>
      <c r="C1896">
        <v>30</v>
      </c>
      <c r="D1896">
        <v>20</v>
      </c>
      <c r="E1896">
        <v>0</v>
      </c>
    </row>
    <row r="1897" spans="1:5" x14ac:dyDescent="0.3">
      <c r="A1897">
        <v>10982</v>
      </c>
      <c r="B1897">
        <v>43</v>
      </c>
      <c r="C1897">
        <v>46</v>
      </c>
      <c r="D1897">
        <v>9</v>
      </c>
      <c r="E1897">
        <v>0</v>
      </c>
    </row>
    <row r="1898" spans="1:5" x14ac:dyDescent="0.3">
      <c r="A1898">
        <v>10983</v>
      </c>
      <c r="B1898">
        <v>13</v>
      </c>
      <c r="C1898">
        <v>6</v>
      </c>
      <c r="D1898">
        <v>84</v>
      </c>
      <c r="E1898">
        <v>15</v>
      </c>
    </row>
    <row r="1899" spans="1:5" x14ac:dyDescent="0.3">
      <c r="A1899">
        <v>10983</v>
      </c>
      <c r="B1899">
        <v>57</v>
      </c>
      <c r="C1899">
        <v>195</v>
      </c>
      <c r="D1899">
        <v>15</v>
      </c>
      <c r="E1899">
        <v>0</v>
      </c>
    </row>
    <row r="1900" spans="1:5" x14ac:dyDescent="0.3">
      <c r="A1900">
        <v>10984</v>
      </c>
      <c r="B1900">
        <v>16</v>
      </c>
      <c r="C1900">
        <v>1745</v>
      </c>
      <c r="D1900">
        <v>55</v>
      </c>
      <c r="E1900">
        <v>0</v>
      </c>
    </row>
    <row r="1901" spans="1:5" x14ac:dyDescent="0.3">
      <c r="A1901">
        <v>10984</v>
      </c>
      <c r="B1901">
        <v>24</v>
      </c>
      <c r="C1901">
        <v>45</v>
      </c>
      <c r="D1901">
        <v>20</v>
      </c>
      <c r="E1901">
        <v>0</v>
      </c>
    </row>
    <row r="1902" spans="1:5" x14ac:dyDescent="0.3">
      <c r="A1902">
        <v>10984</v>
      </c>
      <c r="B1902">
        <v>36</v>
      </c>
      <c r="C1902">
        <v>19</v>
      </c>
      <c r="D1902">
        <v>40</v>
      </c>
      <c r="E1902">
        <v>0</v>
      </c>
    </row>
    <row r="1903" spans="1:5" x14ac:dyDescent="0.3">
      <c r="A1903">
        <v>10985</v>
      </c>
      <c r="B1903">
        <v>16</v>
      </c>
      <c r="C1903">
        <v>1745</v>
      </c>
      <c r="D1903">
        <v>36</v>
      </c>
      <c r="E1903">
        <v>1</v>
      </c>
    </row>
    <row r="1904" spans="1:5" x14ac:dyDescent="0.3">
      <c r="A1904">
        <v>10985</v>
      </c>
      <c r="B1904">
        <v>18</v>
      </c>
      <c r="C1904">
        <v>625</v>
      </c>
      <c r="D1904">
        <v>8</v>
      </c>
      <c r="E1904">
        <v>1</v>
      </c>
    </row>
    <row r="1905" spans="1:5" x14ac:dyDescent="0.3">
      <c r="A1905">
        <v>10985</v>
      </c>
      <c r="B1905">
        <v>32</v>
      </c>
      <c r="C1905">
        <v>32</v>
      </c>
      <c r="D1905">
        <v>35</v>
      </c>
      <c r="E1905">
        <v>1</v>
      </c>
    </row>
    <row r="1906" spans="1:5" x14ac:dyDescent="0.3">
      <c r="A1906">
        <v>10986</v>
      </c>
      <c r="B1906">
        <v>11</v>
      </c>
      <c r="C1906">
        <v>21</v>
      </c>
      <c r="D1906">
        <v>30</v>
      </c>
      <c r="E1906">
        <v>0</v>
      </c>
    </row>
    <row r="1907" spans="1:5" x14ac:dyDescent="0.3">
      <c r="A1907">
        <v>10986</v>
      </c>
      <c r="B1907">
        <v>20</v>
      </c>
      <c r="C1907">
        <v>81</v>
      </c>
      <c r="D1907">
        <v>15</v>
      </c>
      <c r="E1907">
        <v>0</v>
      </c>
    </row>
    <row r="1908" spans="1:5" x14ac:dyDescent="0.3">
      <c r="A1908">
        <v>10986</v>
      </c>
      <c r="B1908">
        <v>76</v>
      </c>
      <c r="C1908">
        <v>18</v>
      </c>
      <c r="D1908">
        <v>10</v>
      </c>
      <c r="E1908">
        <v>0</v>
      </c>
    </row>
    <row r="1909" spans="1:5" x14ac:dyDescent="0.3">
      <c r="A1909">
        <v>10986</v>
      </c>
      <c r="B1909">
        <v>77</v>
      </c>
      <c r="C1909">
        <v>13</v>
      </c>
      <c r="D1909">
        <v>15</v>
      </c>
      <c r="E1909">
        <v>0</v>
      </c>
    </row>
    <row r="1910" spans="1:5" x14ac:dyDescent="0.3">
      <c r="A1910">
        <v>10987</v>
      </c>
      <c r="B1910">
        <v>7</v>
      </c>
      <c r="C1910">
        <v>30</v>
      </c>
      <c r="D1910">
        <v>60</v>
      </c>
      <c r="E1910">
        <v>0</v>
      </c>
    </row>
    <row r="1911" spans="1:5" x14ac:dyDescent="0.3">
      <c r="A1911">
        <v>10987</v>
      </c>
      <c r="B1911">
        <v>43</v>
      </c>
      <c r="C1911">
        <v>46</v>
      </c>
      <c r="D1911">
        <v>6</v>
      </c>
      <c r="E1911">
        <v>0</v>
      </c>
    </row>
    <row r="1912" spans="1:5" x14ac:dyDescent="0.3">
      <c r="A1912">
        <v>10987</v>
      </c>
      <c r="B1912">
        <v>72</v>
      </c>
      <c r="C1912">
        <v>348</v>
      </c>
      <c r="D1912">
        <v>20</v>
      </c>
      <c r="E1912">
        <v>0</v>
      </c>
    </row>
    <row r="1913" spans="1:5" x14ac:dyDescent="0.3">
      <c r="A1913">
        <v>10988</v>
      </c>
      <c r="B1913">
        <v>7</v>
      </c>
      <c r="C1913">
        <v>30</v>
      </c>
      <c r="D1913">
        <v>60</v>
      </c>
      <c r="E1913">
        <v>0</v>
      </c>
    </row>
    <row r="1914" spans="1:5" x14ac:dyDescent="0.3">
      <c r="A1914">
        <v>10988</v>
      </c>
      <c r="B1914">
        <v>62</v>
      </c>
      <c r="C1914">
        <v>493</v>
      </c>
      <c r="D1914">
        <v>40</v>
      </c>
      <c r="E1914">
        <v>1</v>
      </c>
    </row>
    <row r="1915" spans="1:5" x14ac:dyDescent="0.3">
      <c r="A1915">
        <v>10989</v>
      </c>
      <c r="B1915">
        <v>6</v>
      </c>
      <c r="C1915">
        <v>25</v>
      </c>
      <c r="D1915">
        <v>40</v>
      </c>
      <c r="E1915">
        <v>0</v>
      </c>
    </row>
    <row r="1916" spans="1:5" x14ac:dyDescent="0.3">
      <c r="A1916">
        <v>10989</v>
      </c>
      <c r="B1916">
        <v>11</v>
      </c>
      <c r="C1916">
        <v>21</v>
      </c>
      <c r="D1916">
        <v>15</v>
      </c>
      <c r="E1916">
        <v>0</v>
      </c>
    </row>
    <row r="1917" spans="1:5" x14ac:dyDescent="0.3">
      <c r="A1917">
        <v>10989</v>
      </c>
      <c r="B1917">
        <v>41</v>
      </c>
      <c r="C1917">
        <v>965</v>
      </c>
      <c r="D1917">
        <v>4</v>
      </c>
      <c r="E1917">
        <v>0</v>
      </c>
    </row>
    <row r="1918" spans="1:5" x14ac:dyDescent="0.3">
      <c r="A1918">
        <v>10990</v>
      </c>
      <c r="B1918">
        <v>21</v>
      </c>
      <c r="C1918">
        <v>10</v>
      </c>
      <c r="D1918">
        <v>65</v>
      </c>
      <c r="E1918">
        <v>0</v>
      </c>
    </row>
    <row r="1919" spans="1:5" x14ac:dyDescent="0.3">
      <c r="A1919">
        <v>10990</v>
      </c>
      <c r="B1919">
        <v>34</v>
      </c>
      <c r="C1919">
        <v>14</v>
      </c>
      <c r="D1919">
        <v>60</v>
      </c>
      <c r="E1919">
        <v>15</v>
      </c>
    </row>
    <row r="1920" spans="1:5" x14ac:dyDescent="0.3">
      <c r="A1920">
        <v>10990</v>
      </c>
      <c r="B1920">
        <v>55</v>
      </c>
      <c r="C1920">
        <v>24</v>
      </c>
      <c r="D1920">
        <v>65</v>
      </c>
      <c r="E1920">
        <v>15</v>
      </c>
    </row>
    <row r="1921" spans="1:5" x14ac:dyDescent="0.3">
      <c r="A1921">
        <v>10990</v>
      </c>
      <c r="B1921">
        <v>61</v>
      </c>
      <c r="C1921">
        <v>285</v>
      </c>
      <c r="D1921">
        <v>66</v>
      </c>
      <c r="E1921">
        <v>15</v>
      </c>
    </row>
    <row r="1922" spans="1:5" x14ac:dyDescent="0.3">
      <c r="A1922">
        <v>10991</v>
      </c>
      <c r="B1922">
        <v>2</v>
      </c>
      <c r="C1922">
        <v>19</v>
      </c>
      <c r="D1922">
        <v>50</v>
      </c>
      <c r="E1922">
        <v>2</v>
      </c>
    </row>
    <row r="1923" spans="1:5" x14ac:dyDescent="0.3">
      <c r="A1923">
        <v>10991</v>
      </c>
      <c r="B1923">
        <v>70</v>
      </c>
      <c r="C1923">
        <v>15</v>
      </c>
      <c r="D1923">
        <v>20</v>
      </c>
      <c r="E1923">
        <v>2</v>
      </c>
    </row>
    <row r="1924" spans="1:5" x14ac:dyDescent="0.3">
      <c r="A1924">
        <v>10991</v>
      </c>
      <c r="B1924">
        <v>76</v>
      </c>
      <c r="C1924">
        <v>18</v>
      </c>
      <c r="D1924">
        <v>90</v>
      </c>
      <c r="E1924">
        <v>2</v>
      </c>
    </row>
    <row r="1925" spans="1:5" x14ac:dyDescent="0.3">
      <c r="A1925">
        <v>10992</v>
      </c>
      <c r="B1925">
        <v>72</v>
      </c>
      <c r="C1925">
        <v>348</v>
      </c>
      <c r="D1925">
        <v>2</v>
      </c>
      <c r="E1925">
        <v>0</v>
      </c>
    </row>
    <row r="1926" spans="1:5" x14ac:dyDescent="0.3">
      <c r="A1926">
        <v>10993</v>
      </c>
      <c r="B1926">
        <v>29</v>
      </c>
      <c r="C1926">
        <v>12379</v>
      </c>
      <c r="D1926">
        <v>50</v>
      </c>
      <c r="E1926">
        <v>25</v>
      </c>
    </row>
    <row r="1927" spans="1:5" x14ac:dyDescent="0.3">
      <c r="A1927">
        <v>10993</v>
      </c>
      <c r="B1927">
        <v>41</v>
      </c>
      <c r="C1927">
        <v>965</v>
      </c>
      <c r="D1927">
        <v>35</v>
      </c>
      <c r="E1927">
        <v>25</v>
      </c>
    </row>
    <row r="1928" spans="1:5" x14ac:dyDescent="0.3">
      <c r="A1928">
        <v>10994</v>
      </c>
      <c r="B1928">
        <v>59</v>
      </c>
      <c r="C1928">
        <v>55</v>
      </c>
      <c r="D1928">
        <v>18</v>
      </c>
      <c r="E1928">
        <v>5</v>
      </c>
    </row>
    <row r="1929" spans="1:5" x14ac:dyDescent="0.3">
      <c r="A1929">
        <v>10995</v>
      </c>
      <c r="B1929">
        <v>51</v>
      </c>
      <c r="C1929">
        <v>53</v>
      </c>
      <c r="D1929">
        <v>20</v>
      </c>
      <c r="E1929">
        <v>0</v>
      </c>
    </row>
    <row r="1930" spans="1:5" x14ac:dyDescent="0.3">
      <c r="A1930">
        <v>10995</v>
      </c>
      <c r="B1930">
        <v>60</v>
      </c>
      <c r="C1930">
        <v>34</v>
      </c>
      <c r="D1930">
        <v>4</v>
      </c>
      <c r="E1930">
        <v>0</v>
      </c>
    </row>
    <row r="1931" spans="1:5" x14ac:dyDescent="0.3">
      <c r="A1931">
        <v>10996</v>
      </c>
      <c r="B1931">
        <v>42</v>
      </c>
      <c r="C1931">
        <v>14</v>
      </c>
      <c r="D1931">
        <v>40</v>
      </c>
      <c r="E1931">
        <v>0</v>
      </c>
    </row>
    <row r="1932" spans="1:5" x14ac:dyDescent="0.3">
      <c r="A1932">
        <v>10997</v>
      </c>
      <c r="B1932">
        <v>32</v>
      </c>
      <c r="C1932">
        <v>32</v>
      </c>
      <c r="D1932">
        <v>50</v>
      </c>
      <c r="E1932">
        <v>0</v>
      </c>
    </row>
    <row r="1933" spans="1:5" x14ac:dyDescent="0.3">
      <c r="A1933">
        <v>10997</v>
      </c>
      <c r="B1933">
        <v>46</v>
      </c>
      <c r="C1933">
        <v>12</v>
      </c>
      <c r="D1933">
        <v>20</v>
      </c>
      <c r="E1933">
        <v>25</v>
      </c>
    </row>
    <row r="1934" spans="1:5" x14ac:dyDescent="0.3">
      <c r="A1934">
        <v>10997</v>
      </c>
      <c r="B1934">
        <v>52</v>
      </c>
      <c r="C1934">
        <v>7</v>
      </c>
      <c r="D1934">
        <v>20</v>
      </c>
      <c r="E1934">
        <v>25</v>
      </c>
    </row>
    <row r="1935" spans="1:5" x14ac:dyDescent="0.3">
      <c r="A1935">
        <v>10998</v>
      </c>
      <c r="B1935">
        <v>24</v>
      </c>
      <c r="C1935">
        <v>45</v>
      </c>
      <c r="D1935">
        <v>12</v>
      </c>
      <c r="E1935">
        <v>0</v>
      </c>
    </row>
    <row r="1936" spans="1:5" x14ac:dyDescent="0.3">
      <c r="A1936">
        <v>10998</v>
      </c>
      <c r="B1936">
        <v>61</v>
      </c>
      <c r="C1936">
        <v>285</v>
      </c>
      <c r="D1936">
        <v>7</v>
      </c>
      <c r="E1936">
        <v>0</v>
      </c>
    </row>
    <row r="1937" spans="1:5" x14ac:dyDescent="0.3">
      <c r="A1937">
        <v>10998</v>
      </c>
      <c r="B1937">
        <v>74</v>
      </c>
      <c r="C1937">
        <v>10</v>
      </c>
      <c r="D1937">
        <v>20</v>
      </c>
      <c r="E1937">
        <v>0</v>
      </c>
    </row>
    <row r="1938" spans="1:5" x14ac:dyDescent="0.3">
      <c r="A1938">
        <v>10998</v>
      </c>
      <c r="B1938">
        <v>75</v>
      </c>
      <c r="C1938">
        <v>775</v>
      </c>
      <c r="D1938">
        <v>30</v>
      </c>
      <c r="E1938">
        <v>0</v>
      </c>
    </row>
    <row r="1939" spans="1:5" x14ac:dyDescent="0.3">
      <c r="A1939">
        <v>10999</v>
      </c>
      <c r="B1939">
        <v>41</v>
      </c>
      <c r="C1939">
        <v>965</v>
      </c>
      <c r="D1939">
        <v>20</v>
      </c>
      <c r="E1939">
        <v>5</v>
      </c>
    </row>
    <row r="1940" spans="1:5" x14ac:dyDescent="0.3">
      <c r="A1940">
        <v>10999</v>
      </c>
      <c r="B1940">
        <v>51</v>
      </c>
      <c r="C1940">
        <v>53</v>
      </c>
      <c r="D1940">
        <v>15</v>
      </c>
      <c r="E1940">
        <v>5</v>
      </c>
    </row>
    <row r="1941" spans="1:5" x14ac:dyDescent="0.3">
      <c r="A1941">
        <v>10999</v>
      </c>
      <c r="B1941">
        <v>77</v>
      </c>
      <c r="C1941">
        <v>13</v>
      </c>
      <c r="D1941">
        <v>21</v>
      </c>
      <c r="E1941">
        <v>5</v>
      </c>
    </row>
    <row r="1942" spans="1:5" x14ac:dyDescent="0.3">
      <c r="A1942">
        <v>11000</v>
      </c>
      <c r="B1942">
        <v>4</v>
      </c>
      <c r="C1942">
        <v>22</v>
      </c>
      <c r="D1942">
        <v>25</v>
      </c>
      <c r="E1942">
        <v>25</v>
      </c>
    </row>
    <row r="1943" spans="1:5" x14ac:dyDescent="0.3">
      <c r="A1943">
        <v>11000</v>
      </c>
      <c r="B1943">
        <v>24</v>
      </c>
      <c r="C1943">
        <v>45</v>
      </c>
      <c r="D1943">
        <v>30</v>
      </c>
      <c r="E1943">
        <v>25</v>
      </c>
    </row>
    <row r="1944" spans="1:5" x14ac:dyDescent="0.3">
      <c r="A1944">
        <v>11000</v>
      </c>
      <c r="B1944">
        <v>77</v>
      </c>
      <c r="C1944">
        <v>13</v>
      </c>
      <c r="D1944">
        <v>30</v>
      </c>
      <c r="E1944">
        <v>0</v>
      </c>
    </row>
    <row r="1945" spans="1:5" x14ac:dyDescent="0.3">
      <c r="A1945">
        <v>11001</v>
      </c>
      <c r="B1945">
        <v>7</v>
      </c>
      <c r="C1945">
        <v>30</v>
      </c>
      <c r="D1945">
        <v>60</v>
      </c>
      <c r="E1945">
        <v>0</v>
      </c>
    </row>
    <row r="1946" spans="1:5" x14ac:dyDescent="0.3">
      <c r="A1946">
        <v>11001</v>
      </c>
      <c r="B1946">
        <v>22</v>
      </c>
      <c r="C1946">
        <v>21</v>
      </c>
      <c r="D1946">
        <v>25</v>
      </c>
      <c r="E1946">
        <v>0</v>
      </c>
    </row>
    <row r="1947" spans="1:5" x14ac:dyDescent="0.3">
      <c r="A1947">
        <v>11001</v>
      </c>
      <c r="B1947">
        <v>46</v>
      </c>
      <c r="C1947">
        <v>12</v>
      </c>
      <c r="D1947">
        <v>25</v>
      </c>
      <c r="E1947">
        <v>0</v>
      </c>
    </row>
    <row r="1948" spans="1:5" x14ac:dyDescent="0.3">
      <c r="A1948">
        <v>11001</v>
      </c>
      <c r="B1948">
        <v>55</v>
      </c>
      <c r="C1948">
        <v>24</v>
      </c>
      <c r="D1948">
        <v>6</v>
      </c>
      <c r="E1948">
        <v>0</v>
      </c>
    </row>
    <row r="1949" spans="1:5" x14ac:dyDescent="0.3">
      <c r="A1949">
        <v>11002</v>
      </c>
      <c r="B1949">
        <v>13</v>
      </c>
      <c r="C1949">
        <v>6</v>
      </c>
      <c r="D1949">
        <v>56</v>
      </c>
      <c r="E1949">
        <v>0</v>
      </c>
    </row>
    <row r="1950" spans="1:5" x14ac:dyDescent="0.3">
      <c r="A1950">
        <v>11002</v>
      </c>
      <c r="B1950">
        <v>35</v>
      </c>
      <c r="C1950">
        <v>18</v>
      </c>
      <c r="D1950">
        <v>15</v>
      </c>
      <c r="E1950">
        <v>15</v>
      </c>
    </row>
    <row r="1951" spans="1:5" x14ac:dyDescent="0.3">
      <c r="A1951">
        <v>11002</v>
      </c>
      <c r="B1951">
        <v>42</v>
      </c>
      <c r="C1951">
        <v>14</v>
      </c>
      <c r="D1951">
        <v>24</v>
      </c>
      <c r="E1951">
        <v>15</v>
      </c>
    </row>
    <row r="1952" spans="1:5" x14ac:dyDescent="0.3">
      <c r="A1952">
        <v>11002</v>
      </c>
      <c r="B1952">
        <v>55</v>
      </c>
      <c r="C1952">
        <v>24</v>
      </c>
      <c r="D1952">
        <v>40</v>
      </c>
      <c r="E1952">
        <v>0</v>
      </c>
    </row>
    <row r="1953" spans="1:5" x14ac:dyDescent="0.3">
      <c r="A1953">
        <v>11003</v>
      </c>
      <c r="B1953">
        <v>1</v>
      </c>
      <c r="C1953">
        <v>18</v>
      </c>
      <c r="D1953">
        <v>4</v>
      </c>
      <c r="E1953">
        <v>0</v>
      </c>
    </row>
    <row r="1954" spans="1:5" x14ac:dyDescent="0.3">
      <c r="A1954">
        <v>11003</v>
      </c>
      <c r="B1954">
        <v>40</v>
      </c>
      <c r="C1954">
        <v>184</v>
      </c>
      <c r="D1954">
        <v>10</v>
      </c>
      <c r="E1954">
        <v>0</v>
      </c>
    </row>
    <row r="1955" spans="1:5" x14ac:dyDescent="0.3">
      <c r="A1955">
        <v>11003</v>
      </c>
      <c r="B1955">
        <v>52</v>
      </c>
      <c r="C1955">
        <v>7</v>
      </c>
      <c r="D1955">
        <v>10</v>
      </c>
      <c r="E1955">
        <v>0</v>
      </c>
    </row>
    <row r="1956" spans="1:5" x14ac:dyDescent="0.3">
      <c r="A1956">
        <v>11004</v>
      </c>
      <c r="B1956">
        <v>26</v>
      </c>
      <c r="C1956">
        <v>3123</v>
      </c>
      <c r="D1956">
        <v>6</v>
      </c>
      <c r="E1956">
        <v>0</v>
      </c>
    </row>
    <row r="1957" spans="1:5" x14ac:dyDescent="0.3">
      <c r="A1957">
        <v>11004</v>
      </c>
      <c r="B1957">
        <v>76</v>
      </c>
      <c r="C1957">
        <v>18</v>
      </c>
      <c r="D1957">
        <v>6</v>
      </c>
      <c r="E1957">
        <v>0</v>
      </c>
    </row>
    <row r="1958" spans="1:5" x14ac:dyDescent="0.3">
      <c r="A1958">
        <v>11005</v>
      </c>
      <c r="B1958">
        <v>1</v>
      </c>
      <c r="C1958">
        <v>18</v>
      </c>
      <c r="D1958">
        <v>2</v>
      </c>
      <c r="E1958">
        <v>0</v>
      </c>
    </row>
    <row r="1959" spans="1:5" x14ac:dyDescent="0.3">
      <c r="A1959">
        <v>11005</v>
      </c>
      <c r="B1959">
        <v>59</v>
      </c>
      <c r="C1959">
        <v>55</v>
      </c>
      <c r="D1959">
        <v>10</v>
      </c>
      <c r="E1959">
        <v>0</v>
      </c>
    </row>
    <row r="1960" spans="1:5" x14ac:dyDescent="0.3">
      <c r="A1960">
        <v>11006</v>
      </c>
      <c r="B1960">
        <v>1</v>
      </c>
      <c r="C1960">
        <v>18</v>
      </c>
      <c r="D1960">
        <v>8</v>
      </c>
      <c r="E1960">
        <v>0</v>
      </c>
    </row>
    <row r="1961" spans="1:5" x14ac:dyDescent="0.3">
      <c r="A1961">
        <v>11006</v>
      </c>
      <c r="B1961">
        <v>29</v>
      </c>
      <c r="C1961">
        <v>12379</v>
      </c>
      <c r="D1961">
        <v>2</v>
      </c>
      <c r="E1961">
        <v>25</v>
      </c>
    </row>
    <row r="1962" spans="1:5" x14ac:dyDescent="0.3">
      <c r="A1962">
        <v>11007</v>
      </c>
      <c r="B1962">
        <v>8</v>
      </c>
      <c r="C1962">
        <v>40</v>
      </c>
      <c r="D1962">
        <v>30</v>
      </c>
      <c r="E1962">
        <v>0</v>
      </c>
    </row>
    <row r="1963" spans="1:5" x14ac:dyDescent="0.3">
      <c r="A1963">
        <v>11007</v>
      </c>
      <c r="B1963">
        <v>29</v>
      </c>
      <c r="C1963">
        <v>12379</v>
      </c>
      <c r="D1963">
        <v>10</v>
      </c>
      <c r="E1963">
        <v>0</v>
      </c>
    </row>
    <row r="1964" spans="1:5" x14ac:dyDescent="0.3">
      <c r="A1964">
        <v>11007</v>
      </c>
      <c r="B1964">
        <v>42</v>
      </c>
      <c r="C1964">
        <v>14</v>
      </c>
      <c r="D1964">
        <v>14</v>
      </c>
      <c r="E1964">
        <v>0</v>
      </c>
    </row>
    <row r="1965" spans="1:5" x14ac:dyDescent="0.3">
      <c r="A1965">
        <v>11008</v>
      </c>
      <c r="B1965">
        <v>28</v>
      </c>
      <c r="C1965">
        <v>456</v>
      </c>
      <c r="D1965">
        <v>70</v>
      </c>
      <c r="E1965">
        <v>5</v>
      </c>
    </row>
    <row r="1966" spans="1:5" x14ac:dyDescent="0.3">
      <c r="A1966">
        <v>11008</v>
      </c>
      <c r="B1966">
        <v>34</v>
      </c>
      <c r="C1966">
        <v>14</v>
      </c>
      <c r="D1966">
        <v>90</v>
      </c>
      <c r="E1966">
        <v>5</v>
      </c>
    </row>
    <row r="1967" spans="1:5" x14ac:dyDescent="0.3">
      <c r="A1967">
        <v>11008</v>
      </c>
      <c r="B1967">
        <v>71</v>
      </c>
      <c r="C1967">
        <v>215</v>
      </c>
      <c r="D1967">
        <v>21</v>
      </c>
      <c r="E1967">
        <v>0</v>
      </c>
    </row>
    <row r="1968" spans="1:5" x14ac:dyDescent="0.3">
      <c r="A1968">
        <v>11009</v>
      </c>
      <c r="B1968">
        <v>24</v>
      </c>
      <c r="C1968">
        <v>45</v>
      </c>
      <c r="D1968">
        <v>12</v>
      </c>
      <c r="E1968">
        <v>0</v>
      </c>
    </row>
    <row r="1969" spans="1:5" x14ac:dyDescent="0.3">
      <c r="A1969">
        <v>11009</v>
      </c>
      <c r="B1969">
        <v>36</v>
      </c>
      <c r="C1969">
        <v>19</v>
      </c>
      <c r="D1969">
        <v>18</v>
      </c>
      <c r="E1969">
        <v>25</v>
      </c>
    </row>
    <row r="1970" spans="1:5" x14ac:dyDescent="0.3">
      <c r="A1970">
        <v>11009</v>
      </c>
      <c r="B1970">
        <v>60</v>
      </c>
      <c r="C1970">
        <v>34</v>
      </c>
      <c r="D1970">
        <v>9</v>
      </c>
      <c r="E1970">
        <v>0</v>
      </c>
    </row>
    <row r="1971" spans="1:5" x14ac:dyDescent="0.3">
      <c r="A1971">
        <v>11010</v>
      </c>
      <c r="B1971">
        <v>7</v>
      </c>
      <c r="C1971">
        <v>30</v>
      </c>
      <c r="D1971">
        <v>20</v>
      </c>
      <c r="E1971">
        <v>0</v>
      </c>
    </row>
    <row r="1972" spans="1:5" x14ac:dyDescent="0.3">
      <c r="A1972">
        <v>11010</v>
      </c>
      <c r="B1972">
        <v>24</v>
      </c>
      <c r="C1972">
        <v>45</v>
      </c>
      <c r="D1972">
        <v>10</v>
      </c>
      <c r="E1972">
        <v>0</v>
      </c>
    </row>
    <row r="1973" spans="1:5" x14ac:dyDescent="0.3">
      <c r="A1973">
        <v>11011</v>
      </c>
      <c r="B1973">
        <v>58</v>
      </c>
      <c r="C1973">
        <v>1325</v>
      </c>
      <c r="D1973">
        <v>40</v>
      </c>
      <c r="E1973">
        <v>5</v>
      </c>
    </row>
    <row r="1974" spans="1:5" x14ac:dyDescent="0.3">
      <c r="A1974">
        <v>11011</v>
      </c>
      <c r="B1974">
        <v>71</v>
      </c>
      <c r="C1974">
        <v>215</v>
      </c>
      <c r="D1974">
        <v>20</v>
      </c>
      <c r="E1974">
        <v>0</v>
      </c>
    </row>
    <row r="1975" spans="1:5" x14ac:dyDescent="0.3">
      <c r="A1975">
        <v>11012</v>
      </c>
      <c r="B1975">
        <v>19</v>
      </c>
      <c r="C1975">
        <v>92</v>
      </c>
      <c r="D1975">
        <v>50</v>
      </c>
      <c r="E1975">
        <v>5</v>
      </c>
    </row>
    <row r="1976" spans="1:5" x14ac:dyDescent="0.3">
      <c r="A1976">
        <v>11012</v>
      </c>
      <c r="B1976">
        <v>60</v>
      </c>
      <c r="C1976">
        <v>34</v>
      </c>
      <c r="D1976">
        <v>36</v>
      </c>
      <c r="E1976">
        <v>5</v>
      </c>
    </row>
    <row r="1977" spans="1:5" x14ac:dyDescent="0.3">
      <c r="A1977">
        <v>11012</v>
      </c>
      <c r="B1977">
        <v>71</v>
      </c>
      <c r="C1977">
        <v>215</v>
      </c>
      <c r="D1977">
        <v>60</v>
      </c>
      <c r="E1977">
        <v>5</v>
      </c>
    </row>
    <row r="1978" spans="1:5" x14ac:dyDescent="0.3">
      <c r="A1978">
        <v>11013</v>
      </c>
      <c r="B1978">
        <v>23</v>
      </c>
      <c r="C1978">
        <v>9</v>
      </c>
      <c r="D1978">
        <v>10</v>
      </c>
      <c r="E1978">
        <v>0</v>
      </c>
    </row>
    <row r="1979" spans="1:5" x14ac:dyDescent="0.3">
      <c r="A1979">
        <v>11013</v>
      </c>
      <c r="B1979">
        <v>42</v>
      </c>
      <c r="C1979">
        <v>14</v>
      </c>
      <c r="D1979">
        <v>4</v>
      </c>
      <c r="E1979">
        <v>0</v>
      </c>
    </row>
    <row r="1980" spans="1:5" x14ac:dyDescent="0.3">
      <c r="A1980">
        <v>11013</v>
      </c>
      <c r="B1980">
        <v>45</v>
      </c>
      <c r="C1980">
        <v>95</v>
      </c>
      <c r="D1980">
        <v>20</v>
      </c>
      <c r="E1980">
        <v>0</v>
      </c>
    </row>
    <row r="1981" spans="1:5" x14ac:dyDescent="0.3">
      <c r="A1981">
        <v>11013</v>
      </c>
      <c r="B1981">
        <v>68</v>
      </c>
      <c r="C1981">
        <v>125</v>
      </c>
      <c r="D1981">
        <v>2</v>
      </c>
      <c r="E1981">
        <v>0</v>
      </c>
    </row>
    <row r="1982" spans="1:5" x14ac:dyDescent="0.3">
      <c r="A1982">
        <v>11014</v>
      </c>
      <c r="B1982">
        <v>41</v>
      </c>
      <c r="C1982">
        <v>965</v>
      </c>
      <c r="D1982">
        <v>28</v>
      </c>
      <c r="E1982">
        <v>1</v>
      </c>
    </row>
    <row r="1983" spans="1:5" x14ac:dyDescent="0.3">
      <c r="A1983">
        <v>11015</v>
      </c>
      <c r="B1983">
        <v>30</v>
      </c>
      <c r="C1983">
        <v>2589</v>
      </c>
      <c r="D1983">
        <v>15</v>
      </c>
      <c r="E1983">
        <v>0</v>
      </c>
    </row>
    <row r="1984" spans="1:5" x14ac:dyDescent="0.3">
      <c r="A1984">
        <v>11015</v>
      </c>
      <c r="B1984">
        <v>77</v>
      </c>
      <c r="C1984">
        <v>13</v>
      </c>
      <c r="D1984">
        <v>18</v>
      </c>
      <c r="E1984">
        <v>0</v>
      </c>
    </row>
    <row r="1985" spans="1:5" x14ac:dyDescent="0.3">
      <c r="A1985">
        <v>11016</v>
      </c>
      <c r="B1985">
        <v>31</v>
      </c>
      <c r="C1985">
        <v>125</v>
      </c>
      <c r="D1985">
        <v>15</v>
      </c>
      <c r="E1985">
        <v>0</v>
      </c>
    </row>
    <row r="1986" spans="1:5" x14ac:dyDescent="0.3">
      <c r="A1986">
        <v>11016</v>
      </c>
      <c r="B1986">
        <v>36</v>
      </c>
      <c r="C1986">
        <v>19</v>
      </c>
      <c r="D1986">
        <v>16</v>
      </c>
      <c r="E1986">
        <v>0</v>
      </c>
    </row>
    <row r="1987" spans="1:5" x14ac:dyDescent="0.3">
      <c r="A1987">
        <v>11017</v>
      </c>
      <c r="B1987">
        <v>3</v>
      </c>
      <c r="C1987">
        <v>10</v>
      </c>
      <c r="D1987">
        <v>25</v>
      </c>
      <c r="E1987">
        <v>0</v>
      </c>
    </row>
    <row r="1988" spans="1:5" x14ac:dyDescent="0.3">
      <c r="A1988">
        <v>11017</v>
      </c>
      <c r="B1988">
        <v>59</v>
      </c>
      <c r="C1988">
        <v>55</v>
      </c>
      <c r="D1988">
        <v>110</v>
      </c>
      <c r="E1988">
        <v>0</v>
      </c>
    </row>
    <row r="1989" spans="1:5" x14ac:dyDescent="0.3">
      <c r="A1989">
        <v>11017</v>
      </c>
      <c r="B1989">
        <v>70</v>
      </c>
      <c r="C1989">
        <v>15</v>
      </c>
      <c r="D1989">
        <v>30</v>
      </c>
      <c r="E1989">
        <v>0</v>
      </c>
    </row>
    <row r="1990" spans="1:5" x14ac:dyDescent="0.3">
      <c r="A1990">
        <v>11018</v>
      </c>
      <c r="B1990">
        <v>12</v>
      </c>
      <c r="C1990">
        <v>38</v>
      </c>
      <c r="D1990">
        <v>20</v>
      </c>
      <c r="E1990">
        <v>0</v>
      </c>
    </row>
    <row r="1991" spans="1:5" x14ac:dyDescent="0.3">
      <c r="A1991">
        <v>11018</v>
      </c>
      <c r="B1991">
        <v>18</v>
      </c>
      <c r="C1991">
        <v>625</v>
      </c>
      <c r="D1991">
        <v>10</v>
      </c>
      <c r="E1991">
        <v>0</v>
      </c>
    </row>
    <row r="1992" spans="1:5" x14ac:dyDescent="0.3">
      <c r="A1992">
        <v>11018</v>
      </c>
      <c r="B1992">
        <v>56</v>
      </c>
      <c r="C1992">
        <v>38</v>
      </c>
      <c r="D1992">
        <v>5</v>
      </c>
      <c r="E1992">
        <v>0</v>
      </c>
    </row>
    <row r="1993" spans="1:5" x14ac:dyDescent="0.3">
      <c r="A1993">
        <v>11019</v>
      </c>
      <c r="B1993">
        <v>46</v>
      </c>
      <c r="C1993">
        <v>12</v>
      </c>
      <c r="D1993">
        <v>3</v>
      </c>
      <c r="E1993">
        <v>0</v>
      </c>
    </row>
    <row r="1994" spans="1:5" x14ac:dyDescent="0.3">
      <c r="A1994">
        <v>11019</v>
      </c>
      <c r="B1994">
        <v>49</v>
      </c>
      <c r="C1994">
        <v>20</v>
      </c>
      <c r="D1994">
        <v>2</v>
      </c>
      <c r="E1994">
        <v>0</v>
      </c>
    </row>
    <row r="1995" spans="1:5" x14ac:dyDescent="0.3">
      <c r="A1995">
        <v>11020</v>
      </c>
      <c r="B1995">
        <v>10</v>
      </c>
      <c r="C1995">
        <v>31</v>
      </c>
      <c r="D1995">
        <v>24</v>
      </c>
      <c r="E1995">
        <v>15</v>
      </c>
    </row>
    <row r="1996" spans="1:5" x14ac:dyDescent="0.3">
      <c r="A1996">
        <v>11021</v>
      </c>
      <c r="B1996">
        <v>2</v>
      </c>
      <c r="C1996">
        <v>19</v>
      </c>
      <c r="D1996">
        <v>11</v>
      </c>
      <c r="E1996">
        <v>25</v>
      </c>
    </row>
    <row r="1997" spans="1:5" x14ac:dyDescent="0.3">
      <c r="A1997">
        <v>11021</v>
      </c>
      <c r="B1997">
        <v>20</v>
      </c>
      <c r="C1997">
        <v>81</v>
      </c>
      <c r="D1997">
        <v>15</v>
      </c>
      <c r="E1997">
        <v>0</v>
      </c>
    </row>
    <row r="1998" spans="1:5" x14ac:dyDescent="0.3">
      <c r="A1998">
        <v>11021</v>
      </c>
      <c r="B1998">
        <v>26</v>
      </c>
      <c r="C1998">
        <v>3123</v>
      </c>
      <c r="D1998">
        <v>63</v>
      </c>
      <c r="E1998">
        <v>0</v>
      </c>
    </row>
    <row r="1999" spans="1:5" x14ac:dyDescent="0.3">
      <c r="A1999">
        <v>11021</v>
      </c>
      <c r="B1999">
        <v>51</v>
      </c>
      <c r="C1999">
        <v>53</v>
      </c>
      <c r="D1999">
        <v>44</v>
      </c>
      <c r="E1999">
        <v>25</v>
      </c>
    </row>
    <row r="2000" spans="1:5" x14ac:dyDescent="0.3">
      <c r="A2000">
        <v>11021</v>
      </c>
      <c r="B2000">
        <v>72</v>
      </c>
      <c r="C2000">
        <v>348</v>
      </c>
      <c r="D2000">
        <v>35</v>
      </c>
      <c r="E2000">
        <v>0</v>
      </c>
    </row>
    <row r="2001" spans="1:5" x14ac:dyDescent="0.3">
      <c r="A2001">
        <v>11022</v>
      </c>
      <c r="B2001">
        <v>19</v>
      </c>
      <c r="C2001">
        <v>92</v>
      </c>
      <c r="D2001">
        <v>35</v>
      </c>
      <c r="E2001">
        <v>0</v>
      </c>
    </row>
    <row r="2002" spans="1:5" x14ac:dyDescent="0.3">
      <c r="A2002">
        <v>11022</v>
      </c>
      <c r="B2002">
        <v>69</v>
      </c>
      <c r="C2002">
        <v>36</v>
      </c>
      <c r="D2002">
        <v>30</v>
      </c>
      <c r="E2002">
        <v>0</v>
      </c>
    </row>
    <row r="2003" spans="1:5" x14ac:dyDescent="0.3">
      <c r="A2003">
        <v>11023</v>
      </c>
      <c r="B2003">
        <v>7</v>
      </c>
      <c r="C2003">
        <v>30</v>
      </c>
      <c r="D2003">
        <v>4</v>
      </c>
      <c r="E2003">
        <v>0</v>
      </c>
    </row>
    <row r="2004" spans="1:5" x14ac:dyDescent="0.3">
      <c r="A2004">
        <v>11023</v>
      </c>
      <c r="B2004">
        <v>43</v>
      </c>
      <c r="C2004">
        <v>46</v>
      </c>
      <c r="D2004">
        <v>30</v>
      </c>
      <c r="E2004">
        <v>0</v>
      </c>
    </row>
    <row r="2005" spans="1:5" x14ac:dyDescent="0.3">
      <c r="A2005">
        <v>11024</v>
      </c>
      <c r="B2005">
        <v>26</v>
      </c>
      <c r="C2005">
        <v>3123</v>
      </c>
      <c r="D2005">
        <v>12</v>
      </c>
      <c r="E2005">
        <v>0</v>
      </c>
    </row>
    <row r="2006" spans="1:5" x14ac:dyDescent="0.3">
      <c r="A2006">
        <v>11024</v>
      </c>
      <c r="B2006">
        <v>33</v>
      </c>
      <c r="C2006">
        <v>25</v>
      </c>
      <c r="D2006">
        <v>30</v>
      </c>
      <c r="E2006">
        <v>0</v>
      </c>
    </row>
    <row r="2007" spans="1:5" x14ac:dyDescent="0.3">
      <c r="A2007">
        <v>11024</v>
      </c>
      <c r="B2007">
        <v>65</v>
      </c>
      <c r="C2007">
        <v>2105</v>
      </c>
      <c r="D2007">
        <v>21</v>
      </c>
      <c r="E2007">
        <v>0</v>
      </c>
    </row>
    <row r="2008" spans="1:5" x14ac:dyDescent="0.3">
      <c r="A2008">
        <v>11024</v>
      </c>
      <c r="B2008">
        <v>71</v>
      </c>
      <c r="C2008">
        <v>215</v>
      </c>
      <c r="D2008">
        <v>50</v>
      </c>
      <c r="E2008">
        <v>0</v>
      </c>
    </row>
    <row r="2009" spans="1:5" x14ac:dyDescent="0.3">
      <c r="A2009">
        <v>11025</v>
      </c>
      <c r="B2009">
        <v>1</v>
      </c>
      <c r="C2009">
        <v>18</v>
      </c>
      <c r="D2009">
        <v>10</v>
      </c>
      <c r="E2009">
        <v>1</v>
      </c>
    </row>
    <row r="2010" spans="1:5" x14ac:dyDescent="0.3">
      <c r="A2010">
        <v>11025</v>
      </c>
      <c r="B2010">
        <v>13</v>
      </c>
      <c r="C2010">
        <v>6</v>
      </c>
      <c r="D2010">
        <v>20</v>
      </c>
      <c r="E2010">
        <v>1</v>
      </c>
    </row>
    <row r="2011" spans="1:5" x14ac:dyDescent="0.3">
      <c r="A2011">
        <v>11026</v>
      </c>
      <c r="B2011">
        <v>18</v>
      </c>
      <c r="C2011">
        <v>625</v>
      </c>
      <c r="D2011">
        <v>8</v>
      </c>
      <c r="E2011">
        <v>0</v>
      </c>
    </row>
    <row r="2012" spans="1:5" x14ac:dyDescent="0.3">
      <c r="A2012">
        <v>11026</v>
      </c>
      <c r="B2012">
        <v>51</v>
      </c>
      <c r="C2012">
        <v>53</v>
      </c>
      <c r="D2012">
        <v>10</v>
      </c>
      <c r="E2012">
        <v>0</v>
      </c>
    </row>
    <row r="2013" spans="1:5" x14ac:dyDescent="0.3">
      <c r="A2013">
        <v>11027</v>
      </c>
      <c r="B2013">
        <v>24</v>
      </c>
      <c r="C2013">
        <v>45</v>
      </c>
      <c r="D2013">
        <v>30</v>
      </c>
      <c r="E2013">
        <v>25</v>
      </c>
    </row>
    <row r="2014" spans="1:5" x14ac:dyDescent="0.3">
      <c r="A2014">
        <v>11027</v>
      </c>
      <c r="B2014">
        <v>62</v>
      </c>
      <c r="C2014">
        <v>493</v>
      </c>
      <c r="D2014">
        <v>21</v>
      </c>
      <c r="E2014">
        <v>25</v>
      </c>
    </row>
    <row r="2015" spans="1:5" x14ac:dyDescent="0.3">
      <c r="A2015">
        <v>11028</v>
      </c>
      <c r="B2015">
        <v>55</v>
      </c>
      <c r="C2015">
        <v>24</v>
      </c>
      <c r="D2015">
        <v>35</v>
      </c>
      <c r="E2015">
        <v>0</v>
      </c>
    </row>
    <row r="2016" spans="1:5" x14ac:dyDescent="0.3">
      <c r="A2016">
        <v>11028</v>
      </c>
      <c r="B2016">
        <v>59</v>
      </c>
      <c r="C2016">
        <v>55</v>
      </c>
      <c r="D2016">
        <v>24</v>
      </c>
      <c r="E2016">
        <v>0</v>
      </c>
    </row>
    <row r="2017" spans="1:5" x14ac:dyDescent="0.3">
      <c r="A2017">
        <v>11029</v>
      </c>
      <c r="B2017">
        <v>56</v>
      </c>
      <c r="C2017">
        <v>38</v>
      </c>
      <c r="D2017">
        <v>20</v>
      </c>
      <c r="E2017">
        <v>0</v>
      </c>
    </row>
    <row r="2018" spans="1:5" x14ac:dyDescent="0.3">
      <c r="A2018">
        <v>11029</v>
      </c>
      <c r="B2018">
        <v>63</v>
      </c>
      <c r="C2018">
        <v>439</v>
      </c>
      <c r="D2018">
        <v>12</v>
      </c>
      <c r="E2018">
        <v>0</v>
      </c>
    </row>
    <row r="2019" spans="1:5" x14ac:dyDescent="0.3">
      <c r="A2019">
        <v>11030</v>
      </c>
      <c r="B2019">
        <v>2</v>
      </c>
      <c r="C2019">
        <v>19</v>
      </c>
      <c r="D2019">
        <v>100</v>
      </c>
      <c r="E2019">
        <v>25</v>
      </c>
    </row>
    <row r="2020" spans="1:5" x14ac:dyDescent="0.3">
      <c r="A2020">
        <v>11030</v>
      </c>
      <c r="B2020">
        <v>5</v>
      </c>
      <c r="C2020">
        <v>2135</v>
      </c>
      <c r="D2020">
        <v>70</v>
      </c>
      <c r="E2020">
        <v>0</v>
      </c>
    </row>
    <row r="2021" spans="1:5" x14ac:dyDescent="0.3">
      <c r="A2021">
        <v>11030</v>
      </c>
      <c r="B2021">
        <v>29</v>
      </c>
      <c r="C2021">
        <v>12379</v>
      </c>
      <c r="D2021">
        <v>60</v>
      </c>
      <c r="E2021">
        <v>25</v>
      </c>
    </row>
    <row r="2022" spans="1:5" x14ac:dyDescent="0.3">
      <c r="A2022">
        <v>11030</v>
      </c>
      <c r="B2022">
        <v>59</v>
      </c>
      <c r="C2022">
        <v>55</v>
      </c>
      <c r="D2022">
        <v>100</v>
      </c>
      <c r="E2022">
        <v>25</v>
      </c>
    </row>
    <row r="2023" spans="1:5" x14ac:dyDescent="0.3">
      <c r="A2023">
        <v>11031</v>
      </c>
      <c r="B2023">
        <v>1</v>
      </c>
      <c r="C2023">
        <v>18</v>
      </c>
      <c r="D2023">
        <v>45</v>
      </c>
      <c r="E2023">
        <v>0</v>
      </c>
    </row>
    <row r="2024" spans="1:5" x14ac:dyDescent="0.3">
      <c r="A2024">
        <v>11031</v>
      </c>
      <c r="B2024">
        <v>13</v>
      </c>
      <c r="C2024">
        <v>6</v>
      </c>
      <c r="D2024">
        <v>80</v>
      </c>
      <c r="E2024">
        <v>0</v>
      </c>
    </row>
    <row r="2025" spans="1:5" x14ac:dyDescent="0.3">
      <c r="A2025">
        <v>11031</v>
      </c>
      <c r="B2025">
        <v>24</v>
      </c>
      <c r="C2025">
        <v>45</v>
      </c>
      <c r="D2025">
        <v>21</v>
      </c>
      <c r="E2025">
        <v>0</v>
      </c>
    </row>
    <row r="2026" spans="1:5" x14ac:dyDescent="0.3">
      <c r="A2026">
        <v>11031</v>
      </c>
      <c r="B2026">
        <v>64</v>
      </c>
      <c r="C2026">
        <v>3325</v>
      </c>
      <c r="D2026">
        <v>20</v>
      </c>
      <c r="E2026">
        <v>0</v>
      </c>
    </row>
    <row r="2027" spans="1:5" x14ac:dyDescent="0.3">
      <c r="A2027">
        <v>11031</v>
      </c>
      <c r="B2027">
        <v>71</v>
      </c>
      <c r="C2027">
        <v>215</v>
      </c>
      <c r="D2027">
        <v>16</v>
      </c>
      <c r="E2027">
        <v>0</v>
      </c>
    </row>
    <row r="2028" spans="1:5" x14ac:dyDescent="0.3">
      <c r="A2028">
        <v>11032</v>
      </c>
      <c r="B2028">
        <v>36</v>
      </c>
      <c r="C2028">
        <v>19</v>
      </c>
      <c r="D2028">
        <v>35</v>
      </c>
      <c r="E2028">
        <v>0</v>
      </c>
    </row>
    <row r="2029" spans="1:5" x14ac:dyDescent="0.3">
      <c r="A2029">
        <v>11032</v>
      </c>
      <c r="B2029">
        <v>38</v>
      </c>
      <c r="C2029">
        <v>2635</v>
      </c>
      <c r="D2029">
        <v>25</v>
      </c>
      <c r="E2029">
        <v>0</v>
      </c>
    </row>
    <row r="2030" spans="1:5" x14ac:dyDescent="0.3">
      <c r="A2030">
        <v>11032</v>
      </c>
      <c r="B2030">
        <v>59</v>
      </c>
      <c r="C2030">
        <v>55</v>
      </c>
      <c r="D2030">
        <v>30</v>
      </c>
      <c r="E2030">
        <v>0</v>
      </c>
    </row>
    <row r="2031" spans="1:5" x14ac:dyDescent="0.3">
      <c r="A2031">
        <v>11033</v>
      </c>
      <c r="B2031">
        <v>53</v>
      </c>
      <c r="C2031">
        <v>328</v>
      </c>
      <c r="D2031">
        <v>70</v>
      </c>
      <c r="E2031">
        <v>1</v>
      </c>
    </row>
    <row r="2032" spans="1:5" x14ac:dyDescent="0.3">
      <c r="A2032">
        <v>11033</v>
      </c>
      <c r="B2032">
        <v>69</v>
      </c>
      <c r="C2032">
        <v>36</v>
      </c>
      <c r="D2032">
        <v>36</v>
      </c>
      <c r="E2032">
        <v>1</v>
      </c>
    </row>
    <row r="2033" spans="1:5" x14ac:dyDescent="0.3">
      <c r="A2033">
        <v>11034</v>
      </c>
      <c r="B2033">
        <v>21</v>
      </c>
      <c r="C2033">
        <v>10</v>
      </c>
      <c r="D2033">
        <v>15</v>
      </c>
      <c r="E2033">
        <v>1</v>
      </c>
    </row>
    <row r="2034" spans="1:5" x14ac:dyDescent="0.3">
      <c r="A2034">
        <v>11034</v>
      </c>
      <c r="B2034">
        <v>44</v>
      </c>
      <c r="C2034">
        <v>1945</v>
      </c>
      <c r="D2034">
        <v>12</v>
      </c>
      <c r="E2034">
        <v>0</v>
      </c>
    </row>
    <row r="2035" spans="1:5" x14ac:dyDescent="0.3">
      <c r="A2035">
        <v>11034</v>
      </c>
      <c r="B2035">
        <v>61</v>
      </c>
      <c r="C2035">
        <v>285</v>
      </c>
      <c r="D2035">
        <v>6</v>
      </c>
      <c r="E2035">
        <v>0</v>
      </c>
    </row>
    <row r="2036" spans="1:5" x14ac:dyDescent="0.3">
      <c r="A2036">
        <v>11035</v>
      </c>
      <c r="B2036">
        <v>1</v>
      </c>
      <c r="C2036">
        <v>18</v>
      </c>
      <c r="D2036">
        <v>10</v>
      </c>
      <c r="E2036">
        <v>0</v>
      </c>
    </row>
    <row r="2037" spans="1:5" x14ac:dyDescent="0.3">
      <c r="A2037">
        <v>11035</v>
      </c>
      <c r="B2037">
        <v>35</v>
      </c>
      <c r="C2037">
        <v>18</v>
      </c>
      <c r="D2037">
        <v>60</v>
      </c>
      <c r="E2037">
        <v>0</v>
      </c>
    </row>
    <row r="2038" spans="1:5" x14ac:dyDescent="0.3">
      <c r="A2038">
        <v>11035</v>
      </c>
      <c r="B2038">
        <v>42</v>
      </c>
      <c r="C2038">
        <v>14</v>
      </c>
      <c r="D2038">
        <v>30</v>
      </c>
      <c r="E2038">
        <v>0</v>
      </c>
    </row>
    <row r="2039" spans="1:5" x14ac:dyDescent="0.3">
      <c r="A2039">
        <v>11035</v>
      </c>
      <c r="B2039">
        <v>54</v>
      </c>
      <c r="C2039">
        <v>745</v>
      </c>
      <c r="D2039">
        <v>10</v>
      </c>
      <c r="E2039">
        <v>0</v>
      </c>
    </row>
    <row r="2040" spans="1:5" x14ac:dyDescent="0.3">
      <c r="A2040">
        <v>11036</v>
      </c>
      <c r="B2040">
        <v>13</v>
      </c>
      <c r="C2040">
        <v>6</v>
      </c>
      <c r="D2040">
        <v>7</v>
      </c>
      <c r="E2040">
        <v>0</v>
      </c>
    </row>
    <row r="2041" spans="1:5" x14ac:dyDescent="0.3">
      <c r="A2041">
        <v>11036</v>
      </c>
      <c r="B2041">
        <v>59</v>
      </c>
      <c r="C2041">
        <v>55</v>
      </c>
      <c r="D2041">
        <v>30</v>
      </c>
      <c r="E2041">
        <v>0</v>
      </c>
    </row>
    <row r="2042" spans="1:5" x14ac:dyDescent="0.3">
      <c r="A2042">
        <v>11037</v>
      </c>
      <c r="B2042">
        <v>70</v>
      </c>
      <c r="C2042">
        <v>15</v>
      </c>
      <c r="D2042">
        <v>4</v>
      </c>
      <c r="E2042">
        <v>0</v>
      </c>
    </row>
    <row r="2043" spans="1:5" x14ac:dyDescent="0.3">
      <c r="A2043">
        <v>11038</v>
      </c>
      <c r="B2043">
        <v>40</v>
      </c>
      <c r="C2043">
        <v>184</v>
      </c>
      <c r="D2043">
        <v>5</v>
      </c>
      <c r="E2043">
        <v>2</v>
      </c>
    </row>
    <row r="2044" spans="1:5" x14ac:dyDescent="0.3">
      <c r="A2044">
        <v>11038</v>
      </c>
      <c r="B2044">
        <v>52</v>
      </c>
      <c r="C2044">
        <v>7</v>
      </c>
      <c r="D2044">
        <v>2</v>
      </c>
      <c r="E2044">
        <v>0</v>
      </c>
    </row>
    <row r="2045" spans="1:5" x14ac:dyDescent="0.3">
      <c r="A2045">
        <v>11038</v>
      </c>
      <c r="B2045">
        <v>71</v>
      </c>
      <c r="C2045">
        <v>215</v>
      </c>
      <c r="D2045">
        <v>30</v>
      </c>
      <c r="E2045">
        <v>0</v>
      </c>
    </row>
    <row r="2046" spans="1:5" x14ac:dyDescent="0.3">
      <c r="A2046">
        <v>11039</v>
      </c>
      <c r="B2046">
        <v>28</v>
      </c>
      <c r="C2046">
        <v>456</v>
      </c>
      <c r="D2046">
        <v>20</v>
      </c>
      <c r="E2046">
        <v>0</v>
      </c>
    </row>
    <row r="2047" spans="1:5" x14ac:dyDescent="0.3">
      <c r="A2047">
        <v>11039</v>
      </c>
      <c r="B2047">
        <v>35</v>
      </c>
      <c r="C2047">
        <v>18</v>
      </c>
      <c r="D2047">
        <v>24</v>
      </c>
      <c r="E2047">
        <v>0</v>
      </c>
    </row>
    <row r="2048" spans="1:5" x14ac:dyDescent="0.3">
      <c r="A2048">
        <v>11039</v>
      </c>
      <c r="B2048">
        <v>49</v>
      </c>
      <c r="C2048">
        <v>20</v>
      </c>
      <c r="D2048">
        <v>60</v>
      </c>
      <c r="E2048">
        <v>0</v>
      </c>
    </row>
    <row r="2049" spans="1:5" x14ac:dyDescent="0.3">
      <c r="A2049">
        <v>11039</v>
      </c>
      <c r="B2049">
        <v>57</v>
      </c>
      <c r="C2049">
        <v>195</v>
      </c>
      <c r="D2049">
        <v>28</v>
      </c>
      <c r="E2049">
        <v>0</v>
      </c>
    </row>
    <row r="2050" spans="1:5" x14ac:dyDescent="0.3">
      <c r="A2050">
        <v>11040</v>
      </c>
      <c r="B2050">
        <v>21</v>
      </c>
      <c r="C2050">
        <v>10</v>
      </c>
      <c r="D2050">
        <v>20</v>
      </c>
      <c r="E2050">
        <v>0</v>
      </c>
    </row>
    <row r="2051" spans="1:5" x14ac:dyDescent="0.3">
      <c r="A2051">
        <v>11041</v>
      </c>
      <c r="B2051">
        <v>2</v>
      </c>
      <c r="C2051">
        <v>19</v>
      </c>
      <c r="D2051">
        <v>30</v>
      </c>
      <c r="E2051">
        <v>2</v>
      </c>
    </row>
    <row r="2052" spans="1:5" x14ac:dyDescent="0.3">
      <c r="A2052">
        <v>11041</v>
      </c>
      <c r="B2052">
        <v>63</v>
      </c>
      <c r="C2052">
        <v>439</v>
      </c>
      <c r="D2052">
        <v>30</v>
      </c>
      <c r="E2052">
        <v>0</v>
      </c>
    </row>
    <row r="2053" spans="1:5" x14ac:dyDescent="0.3">
      <c r="A2053">
        <v>11042</v>
      </c>
      <c r="B2053">
        <v>44</v>
      </c>
      <c r="C2053">
        <v>1945</v>
      </c>
      <c r="D2053">
        <v>15</v>
      </c>
      <c r="E2053">
        <v>0</v>
      </c>
    </row>
    <row r="2054" spans="1:5" x14ac:dyDescent="0.3">
      <c r="A2054">
        <v>11042</v>
      </c>
      <c r="B2054">
        <v>61</v>
      </c>
      <c r="C2054">
        <v>285</v>
      </c>
      <c r="D2054">
        <v>4</v>
      </c>
      <c r="E2054">
        <v>0</v>
      </c>
    </row>
    <row r="2055" spans="1:5" x14ac:dyDescent="0.3">
      <c r="A2055">
        <v>11043</v>
      </c>
      <c r="B2055">
        <v>11</v>
      </c>
      <c r="C2055">
        <v>21</v>
      </c>
      <c r="D2055">
        <v>10</v>
      </c>
      <c r="E2055">
        <v>0</v>
      </c>
    </row>
    <row r="2056" spans="1:5" x14ac:dyDescent="0.3">
      <c r="A2056">
        <v>11044</v>
      </c>
      <c r="B2056">
        <v>62</v>
      </c>
      <c r="C2056">
        <v>493</v>
      </c>
      <c r="D2056">
        <v>12</v>
      </c>
      <c r="E2056">
        <v>0</v>
      </c>
    </row>
    <row r="2057" spans="1:5" x14ac:dyDescent="0.3">
      <c r="A2057">
        <v>11045</v>
      </c>
      <c r="B2057">
        <v>33</v>
      </c>
      <c r="C2057">
        <v>25</v>
      </c>
      <c r="D2057">
        <v>15</v>
      </c>
      <c r="E2057">
        <v>0</v>
      </c>
    </row>
    <row r="2058" spans="1:5" x14ac:dyDescent="0.3">
      <c r="A2058">
        <v>11045</v>
      </c>
      <c r="B2058">
        <v>51</v>
      </c>
      <c r="C2058">
        <v>53</v>
      </c>
      <c r="D2058">
        <v>24</v>
      </c>
      <c r="E2058">
        <v>0</v>
      </c>
    </row>
    <row r="2059" spans="1:5" x14ac:dyDescent="0.3">
      <c r="A2059">
        <v>11046</v>
      </c>
      <c r="B2059">
        <v>12</v>
      </c>
      <c r="C2059">
        <v>38</v>
      </c>
      <c r="D2059">
        <v>20</v>
      </c>
      <c r="E2059">
        <v>5</v>
      </c>
    </row>
    <row r="2060" spans="1:5" x14ac:dyDescent="0.3">
      <c r="A2060">
        <v>11046</v>
      </c>
      <c r="B2060">
        <v>32</v>
      </c>
      <c r="C2060">
        <v>32</v>
      </c>
      <c r="D2060">
        <v>15</v>
      </c>
      <c r="E2060">
        <v>5</v>
      </c>
    </row>
    <row r="2061" spans="1:5" x14ac:dyDescent="0.3">
      <c r="A2061">
        <v>11046</v>
      </c>
      <c r="B2061">
        <v>35</v>
      </c>
      <c r="C2061">
        <v>18</v>
      </c>
      <c r="D2061">
        <v>18</v>
      </c>
      <c r="E2061">
        <v>5</v>
      </c>
    </row>
    <row r="2062" spans="1:5" x14ac:dyDescent="0.3">
      <c r="A2062">
        <v>11047</v>
      </c>
      <c r="B2062">
        <v>1</v>
      </c>
      <c r="C2062">
        <v>18</v>
      </c>
      <c r="D2062">
        <v>25</v>
      </c>
      <c r="E2062">
        <v>25</v>
      </c>
    </row>
    <row r="2063" spans="1:5" x14ac:dyDescent="0.3">
      <c r="A2063">
        <v>11047</v>
      </c>
      <c r="B2063">
        <v>5</v>
      </c>
      <c r="C2063">
        <v>2135</v>
      </c>
      <c r="D2063">
        <v>30</v>
      </c>
      <c r="E2063">
        <v>25</v>
      </c>
    </row>
    <row r="2064" spans="1:5" x14ac:dyDescent="0.3">
      <c r="A2064">
        <v>11048</v>
      </c>
      <c r="B2064">
        <v>68</v>
      </c>
      <c r="C2064">
        <v>125</v>
      </c>
      <c r="D2064">
        <v>42</v>
      </c>
      <c r="E2064">
        <v>0</v>
      </c>
    </row>
    <row r="2065" spans="1:5" x14ac:dyDescent="0.3">
      <c r="A2065">
        <v>11049</v>
      </c>
      <c r="B2065">
        <v>2</v>
      </c>
      <c r="C2065">
        <v>19</v>
      </c>
      <c r="D2065">
        <v>10</v>
      </c>
      <c r="E2065">
        <v>2</v>
      </c>
    </row>
    <row r="2066" spans="1:5" x14ac:dyDescent="0.3">
      <c r="A2066">
        <v>11049</v>
      </c>
      <c r="B2066">
        <v>12</v>
      </c>
      <c r="C2066">
        <v>38</v>
      </c>
      <c r="D2066">
        <v>4</v>
      </c>
      <c r="E2066">
        <v>2</v>
      </c>
    </row>
    <row r="2067" spans="1:5" x14ac:dyDescent="0.3">
      <c r="A2067">
        <v>11050</v>
      </c>
      <c r="B2067">
        <v>76</v>
      </c>
      <c r="C2067">
        <v>18</v>
      </c>
      <c r="D2067">
        <v>50</v>
      </c>
      <c r="E2067">
        <v>1</v>
      </c>
    </row>
    <row r="2068" spans="1:5" x14ac:dyDescent="0.3">
      <c r="A2068">
        <v>11051</v>
      </c>
      <c r="B2068">
        <v>24</v>
      </c>
      <c r="C2068">
        <v>45</v>
      </c>
      <c r="D2068">
        <v>10</v>
      </c>
      <c r="E2068">
        <v>2</v>
      </c>
    </row>
    <row r="2069" spans="1:5" x14ac:dyDescent="0.3">
      <c r="A2069">
        <v>11052</v>
      </c>
      <c r="B2069">
        <v>43</v>
      </c>
      <c r="C2069">
        <v>46</v>
      </c>
      <c r="D2069">
        <v>30</v>
      </c>
      <c r="E2069">
        <v>2</v>
      </c>
    </row>
    <row r="2070" spans="1:5" x14ac:dyDescent="0.3">
      <c r="A2070">
        <v>11052</v>
      </c>
      <c r="B2070">
        <v>61</v>
      </c>
      <c r="C2070">
        <v>285</v>
      </c>
      <c r="D2070">
        <v>10</v>
      </c>
      <c r="E2070">
        <v>2</v>
      </c>
    </row>
    <row r="2071" spans="1:5" x14ac:dyDescent="0.3">
      <c r="A2071">
        <v>11053</v>
      </c>
      <c r="B2071">
        <v>18</v>
      </c>
      <c r="C2071">
        <v>625</v>
      </c>
      <c r="D2071">
        <v>35</v>
      </c>
      <c r="E2071">
        <v>2</v>
      </c>
    </row>
    <row r="2072" spans="1:5" x14ac:dyDescent="0.3">
      <c r="A2072">
        <v>11053</v>
      </c>
      <c r="B2072">
        <v>32</v>
      </c>
      <c r="C2072">
        <v>32</v>
      </c>
      <c r="D2072">
        <v>20</v>
      </c>
      <c r="E2072">
        <v>0</v>
      </c>
    </row>
    <row r="2073" spans="1:5" x14ac:dyDescent="0.3">
      <c r="A2073">
        <v>11053</v>
      </c>
      <c r="B2073">
        <v>64</v>
      </c>
      <c r="C2073">
        <v>3325</v>
      </c>
      <c r="D2073">
        <v>25</v>
      </c>
      <c r="E2073">
        <v>2</v>
      </c>
    </row>
    <row r="2074" spans="1:5" x14ac:dyDescent="0.3">
      <c r="A2074">
        <v>11054</v>
      </c>
      <c r="B2074">
        <v>33</v>
      </c>
      <c r="C2074">
        <v>25</v>
      </c>
      <c r="D2074">
        <v>10</v>
      </c>
      <c r="E2074">
        <v>0</v>
      </c>
    </row>
    <row r="2075" spans="1:5" x14ac:dyDescent="0.3">
      <c r="A2075">
        <v>11054</v>
      </c>
      <c r="B2075">
        <v>67</v>
      </c>
      <c r="C2075">
        <v>14</v>
      </c>
      <c r="D2075">
        <v>20</v>
      </c>
      <c r="E2075">
        <v>0</v>
      </c>
    </row>
    <row r="2076" spans="1:5" x14ac:dyDescent="0.3">
      <c r="A2076">
        <v>11055</v>
      </c>
      <c r="B2076">
        <v>24</v>
      </c>
      <c r="C2076">
        <v>45</v>
      </c>
      <c r="D2076">
        <v>15</v>
      </c>
      <c r="E2076">
        <v>0</v>
      </c>
    </row>
    <row r="2077" spans="1:5" x14ac:dyDescent="0.3">
      <c r="A2077">
        <v>11055</v>
      </c>
      <c r="B2077">
        <v>25</v>
      </c>
      <c r="C2077">
        <v>14</v>
      </c>
      <c r="D2077">
        <v>15</v>
      </c>
      <c r="E2077">
        <v>0</v>
      </c>
    </row>
    <row r="2078" spans="1:5" x14ac:dyDescent="0.3">
      <c r="A2078">
        <v>11055</v>
      </c>
      <c r="B2078">
        <v>51</v>
      </c>
      <c r="C2078">
        <v>53</v>
      </c>
      <c r="D2078">
        <v>20</v>
      </c>
      <c r="E2078">
        <v>0</v>
      </c>
    </row>
    <row r="2079" spans="1:5" x14ac:dyDescent="0.3">
      <c r="A2079">
        <v>11055</v>
      </c>
      <c r="B2079">
        <v>57</v>
      </c>
      <c r="C2079">
        <v>195</v>
      </c>
      <c r="D2079">
        <v>20</v>
      </c>
      <c r="E2079">
        <v>0</v>
      </c>
    </row>
    <row r="2080" spans="1:5" x14ac:dyDescent="0.3">
      <c r="A2080">
        <v>11056</v>
      </c>
      <c r="B2080">
        <v>7</v>
      </c>
      <c r="C2080">
        <v>30</v>
      </c>
      <c r="D2080">
        <v>40</v>
      </c>
      <c r="E2080">
        <v>0</v>
      </c>
    </row>
    <row r="2081" spans="1:5" x14ac:dyDescent="0.3">
      <c r="A2081">
        <v>11056</v>
      </c>
      <c r="B2081">
        <v>55</v>
      </c>
      <c r="C2081">
        <v>24</v>
      </c>
      <c r="D2081">
        <v>35</v>
      </c>
      <c r="E2081">
        <v>0</v>
      </c>
    </row>
    <row r="2082" spans="1:5" x14ac:dyDescent="0.3">
      <c r="A2082">
        <v>11056</v>
      </c>
      <c r="B2082">
        <v>60</v>
      </c>
      <c r="C2082">
        <v>34</v>
      </c>
      <c r="D2082">
        <v>50</v>
      </c>
      <c r="E2082">
        <v>0</v>
      </c>
    </row>
    <row r="2083" spans="1:5" x14ac:dyDescent="0.3">
      <c r="A2083">
        <v>11057</v>
      </c>
      <c r="B2083">
        <v>70</v>
      </c>
      <c r="C2083">
        <v>15</v>
      </c>
      <c r="D2083">
        <v>3</v>
      </c>
      <c r="E2083">
        <v>0</v>
      </c>
    </row>
    <row r="2084" spans="1:5" x14ac:dyDescent="0.3">
      <c r="A2084">
        <v>11058</v>
      </c>
      <c r="B2084">
        <v>21</v>
      </c>
      <c r="C2084">
        <v>10</v>
      </c>
      <c r="D2084">
        <v>3</v>
      </c>
      <c r="E2084">
        <v>0</v>
      </c>
    </row>
    <row r="2085" spans="1:5" x14ac:dyDescent="0.3">
      <c r="A2085">
        <v>11058</v>
      </c>
      <c r="B2085">
        <v>60</v>
      </c>
      <c r="C2085">
        <v>34</v>
      </c>
      <c r="D2085">
        <v>21</v>
      </c>
      <c r="E2085">
        <v>0</v>
      </c>
    </row>
    <row r="2086" spans="1:5" x14ac:dyDescent="0.3">
      <c r="A2086">
        <v>11058</v>
      </c>
      <c r="B2086">
        <v>61</v>
      </c>
      <c r="C2086">
        <v>285</v>
      </c>
      <c r="D2086">
        <v>4</v>
      </c>
      <c r="E2086">
        <v>0</v>
      </c>
    </row>
    <row r="2087" spans="1:5" x14ac:dyDescent="0.3">
      <c r="A2087">
        <v>11059</v>
      </c>
      <c r="B2087">
        <v>13</v>
      </c>
      <c r="C2087">
        <v>6</v>
      </c>
      <c r="D2087">
        <v>30</v>
      </c>
      <c r="E2087">
        <v>0</v>
      </c>
    </row>
    <row r="2088" spans="1:5" x14ac:dyDescent="0.3">
      <c r="A2088">
        <v>11059</v>
      </c>
      <c r="B2088">
        <v>17</v>
      </c>
      <c r="C2088">
        <v>39</v>
      </c>
      <c r="D2088">
        <v>12</v>
      </c>
      <c r="E2088">
        <v>0</v>
      </c>
    </row>
    <row r="2089" spans="1:5" x14ac:dyDescent="0.3">
      <c r="A2089">
        <v>11059</v>
      </c>
      <c r="B2089">
        <v>60</v>
      </c>
      <c r="C2089">
        <v>34</v>
      </c>
      <c r="D2089">
        <v>35</v>
      </c>
      <c r="E2089">
        <v>0</v>
      </c>
    </row>
    <row r="2090" spans="1:5" x14ac:dyDescent="0.3">
      <c r="A2090">
        <v>11060</v>
      </c>
      <c r="B2090">
        <v>60</v>
      </c>
      <c r="C2090">
        <v>34</v>
      </c>
      <c r="D2090">
        <v>4</v>
      </c>
      <c r="E2090">
        <v>0</v>
      </c>
    </row>
    <row r="2091" spans="1:5" x14ac:dyDescent="0.3">
      <c r="A2091">
        <v>11060</v>
      </c>
      <c r="B2091">
        <v>77</v>
      </c>
      <c r="C2091">
        <v>13</v>
      </c>
      <c r="D2091">
        <v>10</v>
      </c>
      <c r="E2091">
        <v>0</v>
      </c>
    </row>
    <row r="2092" spans="1:5" x14ac:dyDescent="0.3">
      <c r="A2092">
        <v>11061</v>
      </c>
      <c r="B2092">
        <v>60</v>
      </c>
      <c r="C2092">
        <v>34</v>
      </c>
      <c r="D2092">
        <v>15</v>
      </c>
      <c r="E2092">
        <v>0</v>
      </c>
    </row>
    <row r="2093" spans="1:5" x14ac:dyDescent="0.3">
      <c r="A2093">
        <v>11062</v>
      </c>
      <c r="B2093">
        <v>53</v>
      </c>
      <c r="C2093">
        <v>328</v>
      </c>
      <c r="D2093">
        <v>10</v>
      </c>
      <c r="E2093">
        <v>2</v>
      </c>
    </row>
    <row r="2094" spans="1:5" x14ac:dyDescent="0.3">
      <c r="A2094">
        <v>11062</v>
      </c>
      <c r="B2094">
        <v>70</v>
      </c>
      <c r="C2094">
        <v>15</v>
      </c>
      <c r="D2094">
        <v>12</v>
      </c>
      <c r="E2094">
        <v>2</v>
      </c>
    </row>
    <row r="2095" spans="1:5" x14ac:dyDescent="0.3">
      <c r="A2095">
        <v>11063</v>
      </c>
      <c r="B2095">
        <v>34</v>
      </c>
      <c r="C2095">
        <v>14</v>
      </c>
      <c r="D2095">
        <v>30</v>
      </c>
      <c r="E2095">
        <v>0</v>
      </c>
    </row>
    <row r="2096" spans="1:5" x14ac:dyDescent="0.3">
      <c r="A2096">
        <v>11063</v>
      </c>
      <c r="B2096">
        <v>40</v>
      </c>
      <c r="C2096">
        <v>184</v>
      </c>
      <c r="D2096">
        <v>40</v>
      </c>
      <c r="E2096">
        <v>1</v>
      </c>
    </row>
    <row r="2097" spans="1:5" x14ac:dyDescent="0.3">
      <c r="A2097">
        <v>11063</v>
      </c>
      <c r="B2097">
        <v>41</v>
      </c>
      <c r="C2097">
        <v>965</v>
      </c>
      <c r="D2097">
        <v>30</v>
      </c>
      <c r="E2097">
        <v>1</v>
      </c>
    </row>
    <row r="2098" spans="1:5" x14ac:dyDescent="0.3">
      <c r="A2098">
        <v>11064</v>
      </c>
      <c r="B2098">
        <v>17</v>
      </c>
      <c r="C2098">
        <v>39</v>
      </c>
      <c r="D2098">
        <v>77</v>
      </c>
      <c r="E2098">
        <v>1</v>
      </c>
    </row>
    <row r="2099" spans="1:5" x14ac:dyDescent="0.3">
      <c r="A2099">
        <v>11064</v>
      </c>
      <c r="B2099">
        <v>41</v>
      </c>
      <c r="C2099">
        <v>965</v>
      </c>
      <c r="D2099">
        <v>12</v>
      </c>
      <c r="E2099">
        <v>0</v>
      </c>
    </row>
    <row r="2100" spans="1:5" x14ac:dyDescent="0.3">
      <c r="A2100">
        <v>11064</v>
      </c>
      <c r="B2100">
        <v>53</v>
      </c>
      <c r="C2100">
        <v>328</v>
      </c>
      <c r="D2100">
        <v>25</v>
      </c>
      <c r="E2100">
        <v>1</v>
      </c>
    </row>
    <row r="2101" spans="1:5" x14ac:dyDescent="0.3">
      <c r="A2101">
        <v>11064</v>
      </c>
      <c r="B2101">
        <v>55</v>
      </c>
      <c r="C2101">
        <v>24</v>
      </c>
      <c r="D2101">
        <v>4</v>
      </c>
      <c r="E2101">
        <v>1</v>
      </c>
    </row>
    <row r="2102" spans="1:5" x14ac:dyDescent="0.3">
      <c r="A2102">
        <v>11064</v>
      </c>
      <c r="B2102">
        <v>68</v>
      </c>
      <c r="C2102">
        <v>125</v>
      </c>
      <c r="D2102">
        <v>55</v>
      </c>
      <c r="E2102">
        <v>0</v>
      </c>
    </row>
    <row r="2103" spans="1:5" x14ac:dyDescent="0.3">
      <c r="A2103">
        <v>11065</v>
      </c>
      <c r="B2103">
        <v>30</v>
      </c>
      <c r="C2103">
        <v>2589</v>
      </c>
      <c r="D2103">
        <v>4</v>
      </c>
      <c r="E2103">
        <v>25</v>
      </c>
    </row>
    <row r="2104" spans="1:5" x14ac:dyDescent="0.3">
      <c r="A2104">
        <v>11065</v>
      </c>
      <c r="B2104">
        <v>54</v>
      </c>
      <c r="C2104">
        <v>745</v>
      </c>
      <c r="D2104">
        <v>20</v>
      </c>
      <c r="E2104">
        <v>25</v>
      </c>
    </row>
    <row r="2105" spans="1:5" x14ac:dyDescent="0.3">
      <c r="A2105">
        <v>11066</v>
      </c>
      <c r="B2105">
        <v>16</v>
      </c>
      <c r="C2105">
        <v>1745</v>
      </c>
      <c r="D2105">
        <v>3</v>
      </c>
      <c r="E2105">
        <v>0</v>
      </c>
    </row>
    <row r="2106" spans="1:5" x14ac:dyDescent="0.3">
      <c r="A2106">
        <v>11066</v>
      </c>
      <c r="B2106">
        <v>19</v>
      </c>
      <c r="C2106">
        <v>92</v>
      </c>
      <c r="D2106">
        <v>42</v>
      </c>
      <c r="E2106">
        <v>0</v>
      </c>
    </row>
    <row r="2107" spans="1:5" x14ac:dyDescent="0.3">
      <c r="A2107">
        <v>11066</v>
      </c>
      <c r="B2107">
        <v>34</v>
      </c>
      <c r="C2107">
        <v>14</v>
      </c>
      <c r="D2107">
        <v>35</v>
      </c>
      <c r="E2107">
        <v>0</v>
      </c>
    </row>
    <row r="2108" spans="1:5" x14ac:dyDescent="0.3">
      <c r="A2108">
        <v>11067</v>
      </c>
      <c r="B2108">
        <v>41</v>
      </c>
      <c r="C2108">
        <v>965</v>
      </c>
      <c r="D2108">
        <v>9</v>
      </c>
      <c r="E2108">
        <v>0</v>
      </c>
    </row>
    <row r="2109" spans="1:5" x14ac:dyDescent="0.3">
      <c r="A2109">
        <v>11068</v>
      </c>
      <c r="B2109">
        <v>28</v>
      </c>
      <c r="C2109">
        <v>456</v>
      </c>
      <c r="D2109">
        <v>8</v>
      </c>
      <c r="E2109">
        <v>15</v>
      </c>
    </row>
    <row r="2110" spans="1:5" x14ac:dyDescent="0.3">
      <c r="A2110">
        <v>11068</v>
      </c>
      <c r="B2110">
        <v>43</v>
      </c>
      <c r="C2110">
        <v>46</v>
      </c>
      <c r="D2110">
        <v>36</v>
      </c>
      <c r="E2110">
        <v>15</v>
      </c>
    </row>
    <row r="2111" spans="1:5" x14ac:dyDescent="0.3">
      <c r="A2111">
        <v>11068</v>
      </c>
      <c r="B2111">
        <v>77</v>
      </c>
      <c r="C2111">
        <v>13</v>
      </c>
      <c r="D2111">
        <v>28</v>
      </c>
      <c r="E2111">
        <v>15</v>
      </c>
    </row>
    <row r="2112" spans="1:5" x14ac:dyDescent="0.3">
      <c r="A2112">
        <v>11069</v>
      </c>
      <c r="B2112">
        <v>39</v>
      </c>
      <c r="C2112">
        <v>18</v>
      </c>
      <c r="D2112">
        <v>20</v>
      </c>
      <c r="E2112">
        <v>0</v>
      </c>
    </row>
    <row r="2113" spans="1:5" x14ac:dyDescent="0.3">
      <c r="A2113">
        <v>11070</v>
      </c>
      <c r="B2113">
        <v>1</v>
      </c>
      <c r="C2113">
        <v>18</v>
      </c>
      <c r="D2113">
        <v>40</v>
      </c>
      <c r="E2113">
        <v>15</v>
      </c>
    </row>
    <row r="2114" spans="1:5" x14ac:dyDescent="0.3">
      <c r="A2114">
        <v>11070</v>
      </c>
      <c r="B2114">
        <v>2</v>
      </c>
      <c r="C2114">
        <v>19</v>
      </c>
      <c r="D2114">
        <v>20</v>
      </c>
      <c r="E2114">
        <v>15</v>
      </c>
    </row>
    <row r="2115" spans="1:5" x14ac:dyDescent="0.3">
      <c r="A2115">
        <v>11070</v>
      </c>
      <c r="B2115">
        <v>16</v>
      </c>
      <c r="C2115">
        <v>1745</v>
      </c>
      <c r="D2115">
        <v>30</v>
      </c>
      <c r="E2115">
        <v>15</v>
      </c>
    </row>
    <row r="2116" spans="1:5" x14ac:dyDescent="0.3">
      <c r="A2116">
        <v>11070</v>
      </c>
      <c r="B2116">
        <v>31</v>
      </c>
      <c r="C2116">
        <v>125</v>
      </c>
      <c r="D2116">
        <v>20</v>
      </c>
      <c r="E2116">
        <v>0</v>
      </c>
    </row>
    <row r="2117" spans="1:5" x14ac:dyDescent="0.3">
      <c r="A2117">
        <v>11071</v>
      </c>
      <c r="B2117">
        <v>7</v>
      </c>
      <c r="C2117">
        <v>30</v>
      </c>
      <c r="D2117">
        <v>15</v>
      </c>
      <c r="E2117">
        <v>5</v>
      </c>
    </row>
    <row r="2118" spans="1:5" x14ac:dyDescent="0.3">
      <c r="A2118">
        <v>11071</v>
      </c>
      <c r="B2118">
        <v>13</v>
      </c>
      <c r="C2118">
        <v>6</v>
      </c>
      <c r="D2118">
        <v>10</v>
      </c>
      <c r="E2118">
        <v>5</v>
      </c>
    </row>
    <row r="2119" spans="1:5" x14ac:dyDescent="0.3">
      <c r="A2119">
        <v>11072</v>
      </c>
      <c r="B2119">
        <v>2</v>
      </c>
      <c r="C2119">
        <v>19</v>
      </c>
      <c r="D2119">
        <v>8</v>
      </c>
      <c r="E2119">
        <v>0</v>
      </c>
    </row>
    <row r="2120" spans="1:5" x14ac:dyDescent="0.3">
      <c r="A2120">
        <v>11072</v>
      </c>
      <c r="B2120">
        <v>41</v>
      </c>
      <c r="C2120">
        <v>965</v>
      </c>
      <c r="D2120">
        <v>40</v>
      </c>
      <c r="E2120">
        <v>0</v>
      </c>
    </row>
    <row r="2121" spans="1:5" x14ac:dyDescent="0.3">
      <c r="A2121">
        <v>11072</v>
      </c>
      <c r="B2121">
        <v>50</v>
      </c>
      <c r="C2121">
        <v>1625</v>
      </c>
      <c r="D2121">
        <v>22</v>
      </c>
      <c r="E2121">
        <v>0</v>
      </c>
    </row>
    <row r="2122" spans="1:5" x14ac:dyDescent="0.3">
      <c r="A2122">
        <v>11072</v>
      </c>
      <c r="B2122">
        <v>64</v>
      </c>
      <c r="C2122">
        <v>3325</v>
      </c>
      <c r="D2122">
        <v>130</v>
      </c>
      <c r="E2122">
        <v>0</v>
      </c>
    </row>
    <row r="2123" spans="1:5" x14ac:dyDescent="0.3">
      <c r="A2123">
        <v>11073</v>
      </c>
      <c r="B2123">
        <v>11</v>
      </c>
      <c r="C2123">
        <v>21</v>
      </c>
      <c r="D2123">
        <v>10</v>
      </c>
      <c r="E2123">
        <v>0</v>
      </c>
    </row>
    <row r="2124" spans="1:5" x14ac:dyDescent="0.3">
      <c r="A2124">
        <v>11073</v>
      </c>
      <c r="B2124">
        <v>24</v>
      </c>
      <c r="C2124">
        <v>45</v>
      </c>
      <c r="D2124">
        <v>20</v>
      </c>
      <c r="E2124">
        <v>0</v>
      </c>
    </row>
    <row r="2125" spans="1:5" x14ac:dyDescent="0.3">
      <c r="A2125">
        <v>11074</v>
      </c>
      <c r="B2125">
        <v>16</v>
      </c>
      <c r="C2125">
        <v>1745</v>
      </c>
      <c r="D2125">
        <v>14</v>
      </c>
      <c r="E2125">
        <v>5</v>
      </c>
    </row>
    <row r="2126" spans="1:5" x14ac:dyDescent="0.3">
      <c r="A2126">
        <v>11075</v>
      </c>
      <c r="B2126">
        <v>2</v>
      </c>
      <c r="C2126">
        <v>19</v>
      </c>
      <c r="D2126">
        <v>10</v>
      </c>
      <c r="E2126">
        <v>15</v>
      </c>
    </row>
    <row r="2127" spans="1:5" x14ac:dyDescent="0.3">
      <c r="A2127">
        <v>11075</v>
      </c>
      <c r="B2127">
        <v>46</v>
      </c>
      <c r="C2127">
        <v>12</v>
      </c>
      <c r="D2127">
        <v>30</v>
      </c>
      <c r="E2127">
        <v>15</v>
      </c>
    </row>
    <row r="2128" spans="1:5" x14ac:dyDescent="0.3">
      <c r="A2128">
        <v>11075</v>
      </c>
      <c r="B2128">
        <v>76</v>
      </c>
      <c r="C2128">
        <v>18</v>
      </c>
      <c r="D2128">
        <v>2</v>
      </c>
      <c r="E2128">
        <v>15</v>
      </c>
    </row>
    <row r="2129" spans="1:5" x14ac:dyDescent="0.3">
      <c r="A2129">
        <v>11076</v>
      </c>
      <c r="B2129">
        <v>6</v>
      </c>
      <c r="C2129">
        <v>25</v>
      </c>
      <c r="D2129">
        <v>20</v>
      </c>
      <c r="E2129">
        <v>25</v>
      </c>
    </row>
    <row r="2130" spans="1:5" x14ac:dyDescent="0.3">
      <c r="A2130">
        <v>11076</v>
      </c>
      <c r="B2130">
        <v>14</v>
      </c>
      <c r="C2130">
        <v>2325</v>
      </c>
      <c r="D2130">
        <v>20</v>
      </c>
      <c r="E2130">
        <v>25</v>
      </c>
    </row>
    <row r="2131" spans="1:5" x14ac:dyDescent="0.3">
      <c r="A2131">
        <v>11076</v>
      </c>
      <c r="B2131">
        <v>19</v>
      </c>
      <c r="C2131">
        <v>92</v>
      </c>
      <c r="D2131">
        <v>10</v>
      </c>
      <c r="E2131">
        <v>25</v>
      </c>
    </row>
    <row r="2132" spans="1:5" x14ac:dyDescent="0.3">
      <c r="A2132">
        <v>11077</v>
      </c>
      <c r="B2132">
        <v>2</v>
      </c>
      <c r="C2132">
        <v>19</v>
      </c>
      <c r="D2132">
        <v>24</v>
      </c>
      <c r="E2132">
        <v>2</v>
      </c>
    </row>
    <row r="2133" spans="1:5" x14ac:dyDescent="0.3">
      <c r="A2133">
        <v>11077</v>
      </c>
      <c r="B2133">
        <v>3</v>
      </c>
      <c r="C2133">
        <v>10</v>
      </c>
      <c r="D2133">
        <v>4</v>
      </c>
      <c r="E2133">
        <v>0</v>
      </c>
    </row>
    <row r="2134" spans="1:5" x14ac:dyDescent="0.3">
      <c r="A2134">
        <v>11077</v>
      </c>
      <c r="B2134">
        <v>4</v>
      </c>
      <c r="C2134">
        <v>22</v>
      </c>
      <c r="D2134">
        <v>1</v>
      </c>
      <c r="E2134">
        <v>0</v>
      </c>
    </row>
    <row r="2135" spans="1:5" x14ac:dyDescent="0.3">
      <c r="A2135">
        <v>11077</v>
      </c>
      <c r="B2135">
        <v>6</v>
      </c>
      <c r="C2135">
        <v>25</v>
      </c>
      <c r="D2135">
        <v>1</v>
      </c>
      <c r="E2135">
        <v>2</v>
      </c>
    </row>
    <row r="2136" spans="1:5" x14ac:dyDescent="0.3">
      <c r="A2136">
        <v>11077</v>
      </c>
      <c r="B2136">
        <v>7</v>
      </c>
      <c r="C2136">
        <v>30</v>
      </c>
      <c r="D2136">
        <v>1</v>
      </c>
      <c r="E2136">
        <v>5</v>
      </c>
    </row>
    <row r="2137" spans="1:5" x14ac:dyDescent="0.3">
      <c r="A2137">
        <v>11077</v>
      </c>
      <c r="B2137">
        <v>8</v>
      </c>
      <c r="C2137">
        <v>40</v>
      </c>
      <c r="D2137">
        <v>2</v>
      </c>
      <c r="E2137">
        <v>1</v>
      </c>
    </row>
    <row r="2138" spans="1:5" x14ac:dyDescent="0.3">
      <c r="A2138">
        <v>11077</v>
      </c>
      <c r="B2138">
        <v>10</v>
      </c>
      <c r="C2138">
        <v>31</v>
      </c>
      <c r="D2138">
        <v>1</v>
      </c>
      <c r="E2138">
        <v>0</v>
      </c>
    </row>
    <row r="2139" spans="1:5" x14ac:dyDescent="0.3">
      <c r="A2139">
        <v>11077</v>
      </c>
      <c r="B2139">
        <v>12</v>
      </c>
      <c r="C2139">
        <v>38</v>
      </c>
      <c r="D2139">
        <v>2</v>
      </c>
      <c r="E2139">
        <v>5</v>
      </c>
    </row>
    <row r="2140" spans="1:5" x14ac:dyDescent="0.3">
      <c r="A2140">
        <v>11077</v>
      </c>
      <c r="B2140">
        <v>13</v>
      </c>
      <c r="C2140">
        <v>6</v>
      </c>
      <c r="D2140">
        <v>4</v>
      </c>
      <c r="E2140">
        <v>0</v>
      </c>
    </row>
    <row r="2141" spans="1:5" x14ac:dyDescent="0.3">
      <c r="A2141">
        <v>11077</v>
      </c>
      <c r="B2141">
        <v>14</v>
      </c>
      <c r="C2141">
        <v>2325</v>
      </c>
      <c r="D2141">
        <v>1</v>
      </c>
      <c r="E2141">
        <v>3</v>
      </c>
    </row>
    <row r="2142" spans="1:5" x14ac:dyDescent="0.3">
      <c r="A2142">
        <v>11077</v>
      </c>
      <c r="B2142">
        <v>16</v>
      </c>
      <c r="C2142">
        <v>1745</v>
      </c>
      <c r="D2142">
        <v>2</v>
      </c>
      <c r="E2142">
        <v>3</v>
      </c>
    </row>
    <row r="2143" spans="1:5" x14ac:dyDescent="0.3">
      <c r="A2143">
        <v>11077</v>
      </c>
      <c r="B2143">
        <v>20</v>
      </c>
      <c r="C2143">
        <v>81</v>
      </c>
      <c r="D2143">
        <v>1</v>
      </c>
      <c r="E2143">
        <v>4</v>
      </c>
    </row>
    <row r="2144" spans="1:5" x14ac:dyDescent="0.3">
      <c r="A2144">
        <v>11077</v>
      </c>
      <c r="B2144">
        <v>23</v>
      </c>
      <c r="C2144">
        <v>9</v>
      </c>
      <c r="D2144">
        <v>2</v>
      </c>
      <c r="E2144">
        <v>0</v>
      </c>
    </row>
    <row r="2145" spans="1:5" x14ac:dyDescent="0.3">
      <c r="A2145">
        <v>11077</v>
      </c>
      <c r="B2145">
        <v>32</v>
      </c>
      <c r="C2145">
        <v>32</v>
      </c>
      <c r="D2145">
        <v>1</v>
      </c>
      <c r="E2145">
        <v>0</v>
      </c>
    </row>
    <row r="2146" spans="1:5" x14ac:dyDescent="0.3">
      <c r="A2146">
        <v>11077</v>
      </c>
      <c r="B2146">
        <v>39</v>
      </c>
      <c r="C2146">
        <v>18</v>
      </c>
      <c r="D2146">
        <v>2</v>
      </c>
      <c r="E2146">
        <v>5</v>
      </c>
    </row>
    <row r="2147" spans="1:5" x14ac:dyDescent="0.3">
      <c r="A2147">
        <v>11077</v>
      </c>
      <c r="B2147">
        <v>41</v>
      </c>
      <c r="C2147">
        <v>965</v>
      </c>
      <c r="D2147">
        <v>3</v>
      </c>
      <c r="E2147">
        <v>0</v>
      </c>
    </row>
    <row r="2148" spans="1:5" x14ac:dyDescent="0.3">
      <c r="A2148">
        <v>11077</v>
      </c>
      <c r="B2148">
        <v>46</v>
      </c>
      <c r="C2148">
        <v>12</v>
      </c>
      <c r="D2148">
        <v>3</v>
      </c>
      <c r="E2148">
        <v>2</v>
      </c>
    </row>
    <row r="2149" spans="1:5" x14ac:dyDescent="0.3">
      <c r="A2149">
        <v>11077</v>
      </c>
      <c r="B2149">
        <v>52</v>
      </c>
      <c r="C2149">
        <v>7</v>
      </c>
      <c r="D2149">
        <v>2</v>
      </c>
      <c r="E2149">
        <v>0</v>
      </c>
    </row>
    <row r="2150" spans="1:5" x14ac:dyDescent="0.3">
      <c r="A2150">
        <v>11077</v>
      </c>
      <c r="B2150">
        <v>55</v>
      </c>
      <c r="C2150">
        <v>24</v>
      </c>
      <c r="D2150">
        <v>2</v>
      </c>
      <c r="E2150">
        <v>0</v>
      </c>
    </row>
    <row r="2151" spans="1:5" x14ac:dyDescent="0.3">
      <c r="A2151">
        <v>11077</v>
      </c>
      <c r="B2151">
        <v>60</v>
      </c>
      <c r="C2151">
        <v>34</v>
      </c>
      <c r="D2151">
        <v>2</v>
      </c>
      <c r="E2151">
        <v>6</v>
      </c>
    </row>
    <row r="2152" spans="1:5" x14ac:dyDescent="0.3">
      <c r="A2152">
        <v>11077</v>
      </c>
      <c r="B2152">
        <v>64</v>
      </c>
      <c r="C2152">
        <v>3325</v>
      </c>
      <c r="D2152">
        <v>2</v>
      </c>
      <c r="E2152">
        <v>3</v>
      </c>
    </row>
    <row r="2153" spans="1:5" x14ac:dyDescent="0.3">
      <c r="A2153">
        <v>11077</v>
      </c>
      <c r="B2153">
        <v>66</v>
      </c>
      <c r="C2153">
        <v>17</v>
      </c>
      <c r="D2153">
        <v>1</v>
      </c>
      <c r="E2153">
        <v>0</v>
      </c>
    </row>
    <row r="2154" spans="1:5" x14ac:dyDescent="0.3">
      <c r="A2154">
        <v>11077</v>
      </c>
      <c r="B2154">
        <v>73</v>
      </c>
      <c r="C2154">
        <v>15</v>
      </c>
      <c r="D2154">
        <v>2</v>
      </c>
      <c r="E2154">
        <v>1</v>
      </c>
    </row>
    <row r="2155" spans="1:5" x14ac:dyDescent="0.3">
      <c r="A2155">
        <v>11077</v>
      </c>
      <c r="B2155">
        <v>75</v>
      </c>
      <c r="C2155">
        <v>775</v>
      </c>
      <c r="D2155">
        <v>4</v>
      </c>
      <c r="E2155">
        <v>0</v>
      </c>
    </row>
    <row r="2156" spans="1:5" x14ac:dyDescent="0.3">
      <c r="A2156">
        <v>11077</v>
      </c>
      <c r="B2156">
        <v>77</v>
      </c>
      <c r="C2156">
        <v>13</v>
      </c>
      <c r="D2156">
        <v>2</v>
      </c>
      <c r="E2156">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56"/>
  <sheetViews>
    <sheetView workbookViewId="0">
      <selection activeCell="J9" sqref="J9"/>
    </sheetView>
  </sheetViews>
  <sheetFormatPr defaultRowHeight="14.4" x14ac:dyDescent="0.3"/>
  <cols>
    <col min="1" max="1" width="9.5546875" bestFit="1" customWidth="1"/>
    <col min="2" max="2" width="12.33203125" style="2" bestFit="1" customWidth="1"/>
    <col min="3" max="3" width="11.6640625" bestFit="1" customWidth="1"/>
    <col min="4" max="4" width="29.5546875" bestFit="1" customWidth="1"/>
    <col min="5" max="5" width="14.44140625" bestFit="1" customWidth="1"/>
    <col min="6" max="6" width="10.33203125" bestFit="1" customWidth="1"/>
    <col min="7" max="7" width="10.6640625" bestFit="1" customWidth="1"/>
    <col min="8" max="8" width="10.44140625" bestFit="1" customWidth="1"/>
    <col min="9" max="9" width="12.109375" bestFit="1" customWidth="1"/>
    <col min="10" max="10" width="30.33203125" bestFit="1" customWidth="1"/>
    <col min="11" max="11" width="30.33203125" customWidth="1"/>
    <col min="12" max="12" width="9" bestFit="1" customWidth="1"/>
    <col min="13" max="13" width="14.44140625" bestFit="1" customWidth="1"/>
    <col min="14" max="14" width="6.88671875" bestFit="1" customWidth="1"/>
  </cols>
  <sheetData>
    <row r="1" spans="1:14" x14ac:dyDescent="0.3">
      <c r="A1" t="s">
        <v>415</v>
      </c>
      <c r="B1" s="2" t="s">
        <v>578</v>
      </c>
      <c r="C1" t="s">
        <v>416</v>
      </c>
      <c r="D1" t="s">
        <v>579</v>
      </c>
      <c r="E1" t="s">
        <v>580</v>
      </c>
      <c r="F1" t="s">
        <v>418</v>
      </c>
      <c r="G1" t="s">
        <v>417</v>
      </c>
      <c r="H1" t="s">
        <v>419</v>
      </c>
      <c r="I1" s="3" t="s">
        <v>581</v>
      </c>
      <c r="J1" t="s">
        <v>599</v>
      </c>
      <c r="K1" t="s">
        <v>603</v>
      </c>
      <c r="L1" t="s">
        <v>584</v>
      </c>
      <c r="M1" t="s">
        <v>586</v>
      </c>
      <c r="N1" t="s">
        <v>585</v>
      </c>
    </row>
    <row r="2" spans="1:14" x14ac:dyDescent="0.3">
      <c r="A2">
        <v>10248</v>
      </c>
      <c r="B2" s="2">
        <f>_xlfn.XLOOKUP(Table9[[#This Row],[orderID]],orders[orderID],orders[orderDate],,0)</f>
        <v>41459</v>
      </c>
      <c r="C2">
        <f>_xlfn.XLOOKUP(A2,order_details[orderID],order_details[productID],,0)</f>
        <v>11</v>
      </c>
      <c r="D2" t="str">
        <f>_xlfn.XLOOKUP(C2,products[productID],products[productName],,0)</f>
        <v>Queso Cabrales</v>
      </c>
      <c r="E2" t="str">
        <f>_xlfn.XLOOKUP(_xlfn.XLOOKUP(Table9[[#This Row],[ProductName ]],products[productName],products[categoryID],,0),categories[categoryID],categories[categoryName],,0)</f>
        <v>Dairy Products</v>
      </c>
      <c r="F2">
        <v>12</v>
      </c>
      <c r="G2">
        <v>14</v>
      </c>
      <c r="H2">
        <v>0</v>
      </c>
      <c r="I2">
        <f>Table9[[#This Row],[quantity]]*Table9[[#This Row],[unitPrice]]*(1-Table9[[#This Row],[discount]]/100)</f>
        <v>168</v>
      </c>
      <c r="J2" t="str">
        <f>_xlfn.XLOOKUP(_xlfn.XLOOKUP(A2,orders[orderID],orders[customerID],,0),customers__2[customerID],customers__2[companyName],,0)</f>
        <v>Vins et alcools Chevalier</v>
      </c>
      <c r="K2" t="str">
        <f>_xlfn.XLOOKUP(Table9[[#This Row],[Company Name]],customers__2[companyName],customers__2[country],,0)</f>
        <v>France</v>
      </c>
      <c r="L2">
        <f>MONTH(Table9[[#This Row],[OrderDate ]])</f>
        <v>7</v>
      </c>
      <c r="M2" t="str">
        <f>TEXT(Table9[[#This Row],[OrderDate ]],"mmm")</f>
        <v>Jul</v>
      </c>
      <c r="N2">
        <f>YEAR(Table9[[#This Row],[OrderDate ]])</f>
        <v>2013</v>
      </c>
    </row>
    <row r="3" spans="1:14" x14ac:dyDescent="0.3">
      <c r="A3">
        <v>10248</v>
      </c>
      <c r="B3" s="2">
        <f>_xlfn.XLOOKUP(Table9[[#This Row],[orderID]],orders[orderID],orders[orderDate],,0)</f>
        <v>41459</v>
      </c>
      <c r="C3">
        <f>_xlfn.XLOOKUP(A3,order_details[orderID],order_details[productID],,0)</f>
        <v>11</v>
      </c>
      <c r="D3" t="str">
        <f>_xlfn.XLOOKUP(C3,products[productID],products[productName],,0)</f>
        <v>Queso Cabrales</v>
      </c>
      <c r="E3" t="str">
        <f>_xlfn.XLOOKUP(_xlfn.XLOOKUP(Table9[[#This Row],[ProductName ]],products[productName],products[categoryID],,0),categories[categoryID],categories[categoryName],,0)</f>
        <v>Dairy Products</v>
      </c>
      <c r="F3">
        <v>10</v>
      </c>
      <c r="G3">
        <v>98</v>
      </c>
      <c r="H3">
        <v>0</v>
      </c>
      <c r="I3">
        <f>Table9[[#This Row],[quantity]]*Table9[[#This Row],[unitPrice]]*(1-Table9[[#This Row],[discount]]/100)</f>
        <v>980</v>
      </c>
      <c r="J3" t="str">
        <f>_xlfn.XLOOKUP(_xlfn.XLOOKUP(A3,orders[orderID],orders[customerID],,0),customers__2[customerID],customers__2[companyName],,0)</f>
        <v>Vins et alcools Chevalier</v>
      </c>
      <c r="K3" t="str">
        <f>_xlfn.XLOOKUP(Table9[[#This Row],[Company Name]],customers__2[companyName],customers__2[country],,0)</f>
        <v>France</v>
      </c>
      <c r="L3">
        <f>MONTH(Table9[[#This Row],[OrderDate ]])</f>
        <v>7</v>
      </c>
      <c r="M3" t="str">
        <f>TEXT(Table9[[#This Row],[OrderDate ]],"mmm")</f>
        <v>Jul</v>
      </c>
      <c r="N3">
        <f>YEAR(Table9[[#This Row],[OrderDate ]])</f>
        <v>2013</v>
      </c>
    </row>
    <row r="4" spans="1:14" x14ac:dyDescent="0.3">
      <c r="A4">
        <v>10248</v>
      </c>
      <c r="B4" s="2">
        <f>_xlfn.XLOOKUP(Table9[[#This Row],[orderID]],orders[orderID],orders[orderDate],,0)</f>
        <v>41459</v>
      </c>
      <c r="C4">
        <f>_xlfn.XLOOKUP(A4,order_details[orderID],order_details[productID],,0)</f>
        <v>11</v>
      </c>
      <c r="D4" t="str">
        <f>_xlfn.XLOOKUP(C4,products[productID],products[productName],,0)</f>
        <v>Queso Cabrales</v>
      </c>
      <c r="E4" t="str">
        <f>_xlfn.XLOOKUP(_xlfn.XLOOKUP(Table9[[#This Row],[ProductName ]],products[productName],products[categoryID],,0),categories[categoryID],categories[categoryName],,0)</f>
        <v>Dairy Products</v>
      </c>
      <c r="F4">
        <v>5</v>
      </c>
      <c r="G4">
        <v>348</v>
      </c>
      <c r="H4">
        <v>0</v>
      </c>
      <c r="I4">
        <f>Table9[[#This Row],[quantity]]*Table9[[#This Row],[unitPrice]]*(1-Table9[[#This Row],[discount]]/100)</f>
        <v>1740</v>
      </c>
      <c r="J4" t="str">
        <f>_xlfn.XLOOKUP(_xlfn.XLOOKUP(A4,orders[orderID],orders[customerID],,0),customers__2[customerID],customers__2[companyName],,0)</f>
        <v>Vins et alcools Chevalier</v>
      </c>
      <c r="K4" t="str">
        <f>_xlfn.XLOOKUP(Table9[[#This Row],[Company Name]],customers__2[companyName],customers__2[country],,0)</f>
        <v>France</v>
      </c>
      <c r="L4">
        <f>MONTH(Table9[[#This Row],[OrderDate ]])</f>
        <v>7</v>
      </c>
      <c r="M4" t="str">
        <f>TEXT(Table9[[#This Row],[OrderDate ]],"mmm")</f>
        <v>Jul</v>
      </c>
      <c r="N4">
        <f>YEAR(Table9[[#This Row],[OrderDate ]])</f>
        <v>2013</v>
      </c>
    </row>
    <row r="5" spans="1:14" x14ac:dyDescent="0.3">
      <c r="A5">
        <v>10249</v>
      </c>
      <c r="B5" s="2">
        <f>_xlfn.XLOOKUP(Table9[[#This Row],[orderID]],orders[orderID],orders[orderDate],,0)</f>
        <v>41460</v>
      </c>
      <c r="C5">
        <f>_xlfn.XLOOKUP(A5,order_details[orderID],order_details[productID],,0)</f>
        <v>14</v>
      </c>
      <c r="D5" t="str">
        <f>_xlfn.XLOOKUP(C5,products[productID],products[productName],,0)</f>
        <v>Tofu</v>
      </c>
      <c r="E5" t="str">
        <f>_xlfn.XLOOKUP(_xlfn.XLOOKUP(Table9[[#This Row],[ProductName ]],products[productName],products[categoryID],,0),categories[categoryID],categories[categoryName],,0)</f>
        <v>Produce</v>
      </c>
      <c r="F5">
        <v>9</v>
      </c>
      <c r="G5">
        <v>186</v>
      </c>
      <c r="H5">
        <v>0</v>
      </c>
      <c r="I5">
        <f>Table9[[#This Row],[quantity]]*Table9[[#This Row],[unitPrice]]*(1-Table9[[#This Row],[discount]]/100)</f>
        <v>1674</v>
      </c>
      <c r="J5" t="str">
        <f>_xlfn.XLOOKUP(_xlfn.XLOOKUP(A5,orders[orderID],orders[customerID],,0),customers__2[customerID],customers__2[companyName],,0)</f>
        <v>Toms Spezialitäten</v>
      </c>
      <c r="K5" t="str">
        <f>_xlfn.XLOOKUP(Table9[[#This Row],[Company Name]],customers__2[companyName],customers__2[country],,0)</f>
        <v>Germany</v>
      </c>
      <c r="L5">
        <f>MONTH(Table9[[#This Row],[OrderDate ]])</f>
        <v>7</v>
      </c>
      <c r="M5" t="str">
        <f>TEXT(Table9[[#This Row],[OrderDate ]],"mmm")</f>
        <v>Jul</v>
      </c>
      <c r="N5">
        <f>YEAR(Table9[[#This Row],[OrderDate ]])</f>
        <v>2013</v>
      </c>
    </row>
    <row r="6" spans="1:14" x14ac:dyDescent="0.3">
      <c r="A6">
        <v>10249</v>
      </c>
      <c r="B6" s="2">
        <f>_xlfn.XLOOKUP(Table9[[#This Row],[orderID]],orders[orderID],orders[orderDate],,0)</f>
        <v>41460</v>
      </c>
      <c r="C6">
        <f>_xlfn.XLOOKUP(A6,order_details[orderID],order_details[productID],,0)</f>
        <v>14</v>
      </c>
      <c r="D6" t="str">
        <f>_xlfn.XLOOKUP(C6,products[productID],products[productName],,0)</f>
        <v>Tofu</v>
      </c>
      <c r="E6" t="str">
        <f>_xlfn.XLOOKUP(_xlfn.XLOOKUP(Table9[[#This Row],[ProductName ]],products[productName],products[categoryID],,0),categories[categoryID],categories[categoryName],,0)</f>
        <v>Produce</v>
      </c>
      <c r="F6">
        <v>40</v>
      </c>
      <c r="G6">
        <v>424</v>
      </c>
      <c r="H6">
        <v>0</v>
      </c>
      <c r="I6">
        <f>Table9[[#This Row],[quantity]]*Table9[[#This Row],[unitPrice]]*(1-Table9[[#This Row],[discount]]/100)</f>
        <v>16960</v>
      </c>
      <c r="J6" t="str">
        <f>_xlfn.XLOOKUP(_xlfn.XLOOKUP(A6,orders[orderID],orders[customerID],,0),customers__2[customerID],customers__2[companyName],,0)</f>
        <v>Toms Spezialitäten</v>
      </c>
      <c r="K6" t="str">
        <f>_xlfn.XLOOKUP(Table9[[#This Row],[Company Name]],customers__2[companyName],customers__2[country],,0)</f>
        <v>Germany</v>
      </c>
      <c r="L6">
        <f>MONTH(Table9[[#This Row],[OrderDate ]])</f>
        <v>7</v>
      </c>
      <c r="M6" t="str">
        <f>TEXT(Table9[[#This Row],[OrderDate ]],"mmm")</f>
        <v>Jul</v>
      </c>
      <c r="N6">
        <f>YEAR(Table9[[#This Row],[OrderDate ]])</f>
        <v>2013</v>
      </c>
    </row>
    <row r="7" spans="1:14" x14ac:dyDescent="0.3">
      <c r="A7">
        <v>10250</v>
      </c>
      <c r="B7" s="2">
        <f>_xlfn.XLOOKUP(Table9[[#This Row],[orderID]],orders[orderID],orders[orderDate],,0)</f>
        <v>41463</v>
      </c>
      <c r="C7">
        <f>_xlfn.XLOOKUP(A7,order_details[orderID],order_details[productID],,0)</f>
        <v>41</v>
      </c>
      <c r="D7" t="str">
        <f>_xlfn.XLOOKUP(C7,products[productID],products[productName],,0)</f>
        <v>Jack's New England Clam Chowder</v>
      </c>
      <c r="E7" t="str">
        <f>_xlfn.XLOOKUP(_xlfn.XLOOKUP(Table9[[#This Row],[ProductName ]],products[productName],products[categoryID],,0),categories[categoryID],categories[categoryName],,0)</f>
        <v>Seafood</v>
      </c>
      <c r="F7">
        <v>10</v>
      </c>
      <c r="G7">
        <v>77</v>
      </c>
      <c r="H7">
        <v>0</v>
      </c>
      <c r="I7">
        <f>Table9[[#This Row],[quantity]]*Table9[[#This Row],[unitPrice]]*(1-Table9[[#This Row],[discount]]/100)</f>
        <v>770</v>
      </c>
      <c r="J7" t="str">
        <f>_xlfn.XLOOKUP(_xlfn.XLOOKUP(A7,orders[orderID],orders[customerID],,0),customers__2[customerID],customers__2[companyName],,0)</f>
        <v>Hanari Carnes</v>
      </c>
      <c r="K7" t="str">
        <f>_xlfn.XLOOKUP(Table9[[#This Row],[Company Name]],customers__2[companyName],customers__2[country],,0)</f>
        <v>Brazil</v>
      </c>
      <c r="L7">
        <f>MONTH(Table9[[#This Row],[OrderDate ]])</f>
        <v>7</v>
      </c>
      <c r="M7" t="str">
        <f>TEXT(Table9[[#This Row],[OrderDate ]],"mmm")</f>
        <v>Jul</v>
      </c>
      <c r="N7">
        <f>YEAR(Table9[[#This Row],[OrderDate ]])</f>
        <v>2013</v>
      </c>
    </row>
    <row r="8" spans="1:14" x14ac:dyDescent="0.3">
      <c r="A8">
        <v>10250</v>
      </c>
      <c r="B8" s="2">
        <f>_xlfn.XLOOKUP(Table9[[#This Row],[orderID]],orders[orderID],orders[orderDate],,0)</f>
        <v>41463</v>
      </c>
      <c r="C8">
        <f>_xlfn.XLOOKUP(A8,order_details[orderID],order_details[productID],,0)</f>
        <v>41</v>
      </c>
      <c r="D8" t="str">
        <f>_xlfn.XLOOKUP(C8,products[productID],products[productName],,0)</f>
        <v>Jack's New England Clam Chowder</v>
      </c>
      <c r="E8" t="str">
        <f>_xlfn.XLOOKUP(_xlfn.XLOOKUP(Table9[[#This Row],[ProductName ]],products[productName],products[categoryID],,0),categories[categoryID],categories[categoryName],,0)</f>
        <v>Seafood</v>
      </c>
      <c r="F8">
        <v>35</v>
      </c>
      <c r="G8">
        <v>424</v>
      </c>
      <c r="H8">
        <v>15</v>
      </c>
      <c r="I8">
        <f>Table9[[#This Row],[quantity]]*Table9[[#This Row],[unitPrice]]*(1-Table9[[#This Row],[discount]]/100)</f>
        <v>12614</v>
      </c>
      <c r="J8" t="str">
        <f>_xlfn.XLOOKUP(_xlfn.XLOOKUP(A8,orders[orderID],orders[customerID],,0),customers__2[customerID],customers__2[companyName],,0)</f>
        <v>Hanari Carnes</v>
      </c>
      <c r="K8" t="str">
        <f>_xlfn.XLOOKUP(Table9[[#This Row],[Company Name]],customers__2[companyName],customers__2[country],,0)</f>
        <v>Brazil</v>
      </c>
      <c r="L8">
        <f>MONTH(Table9[[#This Row],[OrderDate ]])</f>
        <v>7</v>
      </c>
      <c r="M8" t="str">
        <f>TEXT(Table9[[#This Row],[OrderDate ]],"mmm")</f>
        <v>Jul</v>
      </c>
      <c r="N8">
        <f>YEAR(Table9[[#This Row],[OrderDate ]])</f>
        <v>2013</v>
      </c>
    </row>
    <row r="9" spans="1:14" x14ac:dyDescent="0.3">
      <c r="A9">
        <v>10250</v>
      </c>
      <c r="B9" s="2">
        <f>_xlfn.XLOOKUP(Table9[[#This Row],[orderID]],orders[orderID],orders[orderDate],,0)</f>
        <v>41463</v>
      </c>
      <c r="C9">
        <f>_xlfn.XLOOKUP(A9,order_details[orderID],order_details[productID],,0)</f>
        <v>41</v>
      </c>
      <c r="D9" t="str">
        <f>_xlfn.XLOOKUP(C9,products[productID],products[productName],,0)</f>
        <v>Jack's New England Clam Chowder</v>
      </c>
      <c r="E9" t="str">
        <f>_xlfn.XLOOKUP(_xlfn.XLOOKUP(Table9[[#This Row],[ProductName ]],products[productName],products[categoryID],,0),categories[categoryID],categories[categoryName],,0)</f>
        <v>Seafood</v>
      </c>
      <c r="F9">
        <v>15</v>
      </c>
      <c r="G9">
        <v>168</v>
      </c>
      <c r="H9">
        <v>15</v>
      </c>
      <c r="I9">
        <f>Table9[[#This Row],[quantity]]*Table9[[#This Row],[unitPrice]]*(1-Table9[[#This Row],[discount]]/100)</f>
        <v>2142</v>
      </c>
      <c r="J9" t="str">
        <f>_xlfn.XLOOKUP(_xlfn.XLOOKUP(A9,orders[orderID],orders[customerID],,0),customers__2[customerID],customers__2[companyName],,0)</f>
        <v>Hanari Carnes</v>
      </c>
      <c r="K9" t="str">
        <f>_xlfn.XLOOKUP(Table9[[#This Row],[Company Name]],customers__2[companyName],customers__2[country],,0)</f>
        <v>Brazil</v>
      </c>
      <c r="L9">
        <f>MONTH(Table9[[#This Row],[OrderDate ]])</f>
        <v>7</v>
      </c>
      <c r="M9" t="str">
        <f>TEXT(Table9[[#This Row],[OrderDate ]],"mmm")</f>
        <v>Jul</v>
      </c>
      <c r="N9">
        <f>YEAR(Table9[[#This Row],[OrderDate ]])</f>
        <v>2013</v>
      </c>
    </row>
    <row r="10" spans="1:14" x14ac:dyDescent="0.3">
      <c r="A10">
        <v>10251</v>
      </c>
      <c r="B10" s="2">
        <f>_xlfn.XLOOKUP(Table9[[#This Row],[orderID]],orders[orderID],orders[orderDate],,0)</f>
        <v>41463</v>
      </c>
      <c r="C10">
        <f>_xlfn.XLOOKUP(A10,order_details[orderID],order_details[productID],,0)</f>
        <v>22</v>
      </c>
      <c r="D10" t="str">
        <f>_xlfn.XLOOKUP(C10,products[productID],products[productName],,0)</f>
        <v>Gustaf's Knackebröd</v>
      </c>
      <c r="E10" t="str">
        <f>_xlfn.XLOOKUP(_xlfn.XLOOKUP(Table9[[#This Row],[ProductName ]],products[productName],products[categoryID],,0),categories[categoryID],categories[categoryName],,0)</f>
        <v>Grains &amp; Cereals</v>
      </c>
      <c r="F10">
        <v>6</v>
      </c>
      <c r="G10">
        <v>168</v>
      </c>
      <c r="H10">
        <v>5</v>
      </c>
      <c r="I10">
        <f>Table9[[#This Row],[quantity]]*Table9[[#This Row],[unitPrice]]*(1-Table9[[#This Row],[discount]]/100)</f>
        <v>957.59999999999991</v>
      </c>
      <c r="J10" t="str">
        <f>_xlfn.XLOOKUP(_xlfn.XLOOKUP(A10,orders[orderID],orders[customerID],,0),customers__2[customerID],customers__2[companyName],,0)</f>
        <v>Victuailles en stock</v>
      </c>
      <c r="K10" t="str">
        <f>_xlfn.XLOOKUP(Table9[[#This Row],[Company Name]],customers__2[companyName],customers__2[country],,0)</f>
        <v>France</v>
      </c>
      <c r="L10">
        <f>MONTH(Table9[[#This Row],[OrderDate ]])</f>
        <v>7</v>
      </c>
      <c r="M10" t="str">
        <f>TEXT(Table9[[#This Row],[OrderDate ]],"mmm")</f>
        <v>Jul</v>
      </c>
      <c r="N10">
        <f>YEAR(Table9[[#This Row],[OrderDate ]])</f>
        <v>2013</v>
      </c>
    </row>
    <row r="11" spans="1:14" x14ac:dyDescent="0.3">
      <c r="A11">
        <v>10251</v>
      </c>
      <c r="B11" s="2">
        <f>_xlfn.XLOOKUP(Table9[[#This Row],[orderID]],orders[orderID],orders[orderDate],,0)</f>
        <v>41463</v>
      </c>
      <c r="C11">
        <f>_xlfn.XLOOKUP(A11,order_details[orderID],order_details[productID],,0)</f>
        <v>22</v>
      </c>
      <c r="D11" t="str">
        <f>_xlfn.XLOOKUP(C11,products[productID],products[productName],,0)</f>
        <v>Gustaf's Knackebröd</v>
      </c>
      <c r="E11" t="str">
        <f>_xlfn.XLOOKUP(_xlfn.XLOOKUP(Table9[[#This Row],[ProductName ]],products[productName],products[categoryID],,0),categories[categoryID],categories[categoryName],,0)</f>
        <v>Grains &amp; Cereals</v>
      </c>
      <c r="F11">
        <v>15</v>
      </c>
      <c r="G11">
        <v>156</v>
      </c>
      <c r="H11">
        <v>5</v>
      </c>
      <c r="I11">
        <f>Table9[[#This Row],[quantity]]*Table9[[#This Row],[unitPrice]]*(1-Table9[[#This Row],[discount]]/100)</f>
        <v>2223</v>
      </c>
      <c r="J11" t="str">
        <f>_xlfn.XLOOKUP(_xlfn.XLOOKUP(A11,orders[orderID],orders[customerID],,0),customers__2[customerID],customers__2[companyName],,0)</f>
        <v>Victuailles en stock</v>
      </c>
      <c r="K11" t="str">
        <f>_xlfn.XLOOKUP(Table9[[#This Row],[Company Name]],customers__2[companyName],customers__2[country],,0)</f>
        <v>France</v>
      </c>
      <c r="L11">
        <f>MONTH(Table9[[#This Row],[OrderDate ]])</f>
        <v>7</v>
      </c>
      <c r="M11" t="str">
        <f>TEXT(Table9[[#This Row],[OrderDate ]],"mmm")</f>
        <v>Jul</v>
      </c>
      <c r="N11">
        <f>YEAR(Table9[[#This Row],[OrderDate ]])</f>
        <v>2013</v>
      </c>
    </row>
    <row r="12" spans="1:14" x14ac:dyDescent="0.3">
      <c r="A12">
        <v>10251</v>
      </c>
      <c r="B12" s="2">
        <f>_xlfn.XLOOKUP(Table9[[#This Row],[orderID]],orders[orderID],orders[orderDate],,0)</f>
        <v>41463</v>
      </c>
      <c r="C12">
        <f>_xlfn.XLOOKUP(A12,order_details[orderID],order_details[productID],,0)</f>
        <v>22</v>
      </c>
      <c r="D12" t="str">
        <f>_xlfn.XLOOKUP(C12,products[productID],products[productName],,0)</f>
        <v>Gustaf's Knackebröd</v>
      </c>
      <c r="E12" t="str">
        <f>_xlfn.XLOOKUP(_xlfn.XLOOKUP(Table9[[#This Row],[ProductName ]],products[productName],products[categoryID],,0),categories[categoryID],categories[categoryName],,0)</f>
        <v>Grains &amp; Cereals</v>
      </c>
      <c r="F12">
        <v>20</v>
      </c>
      <c r="G12">
        <v>168</v>
      </c>
      <c r="H12">
        <v>0</v>
      </c>
      <c r="I12">
        <f>Table9[[#This Row],[quantity]]*Table9[[#This Row],[unitPrice]]*(1-Table9[[#This Row],[discount]]/100)</f>
        <v>3360</v>
      </c>
      <c r="J12" t="str">
        <f>_xlfn.XLOOKUP(_xlfn.XLOOKUP(A12,orders[orderID],orders[customerID],,0),customers__2[customerID],customers__2[companyName],,0)</f>
        <v>Victuailles en stock</v>
      </c>
      <c r="K12" t="str">
        <f>_xlfn.XLOOKUP(Table9[[#This Row],[Company Name]],customers__2[companyName],customers__2[country],,0)</f>
        <v>France</v>
      </c>
      <c r="L12">
        <f>MONTH(Table9[[#This Row],[OrderDate ]])</f>
        <v>7</v>
      </c>
      <c r="M12" t="str">
        <f>TEXT(Table9[[#This Row],[OrderDate ]],"mmm")</f>
        <v>Jul</v>
      </c>
      <c r="N12">
        <f>YEAR(Table9[[#This Row],[OrderDate ]])</f>
        <v>2013</v>
      </c>
    </row>
    <row r="13" spans="1:14" x14ac:dyDescent="0.3">
      <c r="A13">
        <v>10252</v>
      </c>
      <c r="B13" s="2">
        <f>_xlfn.XLOOKUP(Table9[[#This Row],[orderID]],orders[orderID],orders[orderDate],,0)</f>
        <v>41464</v>
      </c>
      <c r="C13">
        <f>_xlfn.XLOOKUP(A13,order_details[orderID],order_details[productID],,0)</f>
        <v>20</v>
      </c>
      <c r="D13" t="str">
        <f>_xlfn.XLOOKUP(C13,products[productID],products[productName],,0)</f>
        <v>Sir Rodney's Marmalade</v>
      </c>
      <c r="E13" t="str">
        <f>_xlfn.XLOOKUP(_xlfn.XLOOKUP(Table9[[#This Row],[ProductName ]],products[productName],products[categoryID],,0),categories[categoryID],categories[categoryName],,0)</f>
        <v>Confections</v>
      </c>
      <c r="F13">
        <v>40</v>
      </c>
      <c r="G13">
        <v>648</v>
      </c>
      <c r="H13">
        <v>5</v>
      </c>
      <c r="I13">
        <f>Table9[[#This Row],[quantity]]*Table9[[#This Row],[unitPrice]]*(1-Table9[[#This Row],[discount]]/100)</f>
        <v>24624</v>
      </c>
      <c r="J13" t="str">
        <f>_xlfn.XLOOKUP(_xlfn.XLOOKUP(A13,orders[orderID],orders[customerID],,0),customers__2[customerID],customers__2[companyName],,0)</f>
        <v>Suprêmes délices</v>
      </c>
      <c r="K13" t="str">
        <f>_xlfn.XLOOKUP(Table9[[#This Row],[Company Name]],customers__2[companyName],customers__2[country],,0)</f>
        <v>Belgium</v>
      </c>
      <c r="L13">
        <f>MONTH(Table9[[#This Row],[OrderDate ]])</f>
        <v>7</v>
      </c>
      <c r="M13" t="str">
        <f>TEXT(Table9[[#This Row],[OrderDate ]],"mmm")</f>
        <v>Jul</v>
      </c>
      <c r="N13">
        <f>YEAR(Table9[[#This Row],[OrderDate ]])</f>
        <v>2013</v>
      </c>
    </row>
    <row r="14" spans="1:14" x14ac:dyDescent="0.3">
      <c r="A14">
        <v>10252</v>
      </c>
      <c r="B14" s="2">
        <f>_xlfn.XLOOKUP(Table9[[#This Row],[orderID]],orders[orderID],orders[orderDate],,0)</f>
        <v>41464</v>
      </c>
      <c r="C14">
        <f>_xlfn.XLOOKUP(A14,order_details[orderID],order_details[productID],,0)</f>
        <v>20</v>
      </c>
      <c r="D14" t="str">
        <f>_xlfn.XLOOKUP(C14,products[productID],products[productName],,0)</f>
        <v>Sir Rodney's Marmalade</v>
      </c>
      <c r="E14" t="str">
        <f>_xlfn.XLOOKUP(_xlfn.XLOOKUP(Table9[[#This Row],[ProductName ]],products[productName],products[categoryID],,0),categories[categoryID],categories[categoryName],,0)</f>
        <v>Confections</v>
      </c>
      <c r="F14">
        <v>25</v>
      </c>
      <c r="G14">
        <v>2</v>
      </c>
      <c r="H14">
        <v>5</v>
      </c>
      <c r="I14">
        <f>Table9[[#This Row],[quantity]]*Table9[[#This Row],[unitPrice]]*(1-Table9[[#This Row],[discount]]/100)</f>
        <v>47.5</v>
      </c>
      <c r="J14" t="str">
        <f>_xlfn.XLOOKUP(_xlfn.XLOOKUP(A14,orders[orderID],orders[customerID],,0),customers__2[customerID],customers__2[companyName],,0)</f>
        <v>Suprêmes délices</v>
      </c>
      <c r="K14" t="str">
        <f>_xlfn.XLOOKUP(Table9[[#This Row],[Company Name]],customers__2[companyName],customers__2[country],,0)</f>
        <v>Belgium</v>
      </c>
      <c r="L14">
        <f>MONTH(Table9[[#This Row],[OrderDate ]])</f>
        <v>7</v>
      </c>
      <c r="M14" t="str">
        <f>TEXT(Table9[[#This Row],[OrderDate ]],"mmm")</f>
        <v>Jul</v>
      </c>
      <c r="N14">
        <f>YEAR(Table9[[#This Row],[OrderDate ]])</f>
        <v>2013</v>
      </c>
    </row>
    <row r="15" spans="1:14" x14ac:dyDescent="0.3">
      <c r="A15">
        <v>10252</v>
      </c>
      <c r="B15" s="2">
        <f>_xlfn.XLOOKUP(Table9[[#This Row],[orderID]],orders[orderID],orders[orderDate],,0)</f>
        <v>41464</v>
      </c>
      <c r="C15">
        <f>_xlfn.XLOOKUP(A15,order_details[orderID],order_details[productID],,0)</f>
        <v>20</v>
      </c>
      <c r="D15" t="str">
        <f>_xlfn.XLOOKUP(C15,products[productID],products[productName],,0)</f>
        <v>Sir Rodney's Marmalade</v>
      </c>
      <c r="E15" t="str">
        <f>_xlfn.XLOOKUP(_xlfn.XLOOKUP(Table9[[#This Row],[ProductName ]],products[productName],products[categoryID],,0),categories[categoryID],categories[categoryName],,0)</f>
        <v>Confections</v>
      </c>
      <c r="F15">
        <v>40</v>
      </c>
      <c r="G15">
        <v>272</v>
      </c>
      <c r="H15">
        <v>0</v>
      </c>
      <c r="I15">
        <f>Table9[[#This Row],[quantity]]*Table9[[#This Row],[unitPrice]]*(1-Table9[[#This Row],[discount]]/100)</f>
        <v>10880</v>
      </c>
      <c r="J15" t="str">
        <f>_xlfn.XLOOKUP(_xlfn.XLOOKUP(A15,orders[orderID],orders[customerID],,0),customers__2[customerID],customers__2[companyName],,0)</f>
        <v>Suprêmes délices</v>
      </c>
      <c r="K15" t="str">
        <f>_xlfn.XLOOKUP(Table9[[#This Row],[Company Name]],customers__2[companyName],customers__2[country],,0)</f>
        <v>Belgium</v>
      </c>
      <c r="L15">
        <f>MONTH(Table9[[#This Row],[OrderDate ]])</f>
        <v>7</v>
      </c>
      <c r="M15" t="str">
        <f>TEXT(Table9[[#This Row],[OrderDate ]],"mmm")</f>
        <v>Jul</v>
      </c>
      <c r="N15">
        <f>YEAR(Table9[[#This Row],[OrderDate ]])</f>
        <v>2013</v>
      </c>
    </row>
    <row r="16" spans="1:14" x14ac:dyDescent="0.3">
      <c r="A16">
        <v>10253</v>
      </c>
      <c r="B16" s="2">
        <f>_xlfn.XLOOKUP(Table9[[#This Row],[orderID]],orders[orderID],orders[orderDate],,0)</f>
        <v>41465</v>
      </c>
      <c r="C16">
        <f>_xlfn.XLOOKUP(A16,order_details[orderID],order_details[productID],,0)</f>
        <v>31</v>
      </c>
      <c r="D16" t="str">
        <f>_xlfn.XLOOKUP(C16,products[productID],products[productName],,0)</f>
        <v>Gorgonzola Telino</v>
      </c>
      <c r="E16" t="str">
        <f>_xlfn.XLOOKUP(_xlfn.XLOOKUP(Table9[[#This Row],[ProductName ]],products[productName],products[categoryID],,0),categories[categoryID],categories[categoryName],,0)</f>
        <v>Dairy Products</v>
      </c>
      <c r="F16">
        <v>20</v>
      </c>
      <c r="G16">
        <v>10</v>
      </c>
      <c r="H16">
        <v>0</v>
      </c>
      <c r="I16">
        <f>Table9[[#This Row],[quantity]]*Table9[[#This Row],[unitPrice]]*(1-Table9[[#This Row],[discount]]/100)</f>
        <v>200</v>
      </c>
      <c r="J16" t="str">
        <f>_xlfn.XLOOKUP(_xlfn.XLOOKUP(A16,orders[orderID],orders[customerID],,0),customers__2[customerID],customers__2[companyName],,0)</f>
        <v>Hanari Carnes</v>
      </c>
      <c r="K16" t="str">
        <f>_xlfn.XLOOKUP(Table9[[#This Row],[Company Name]],customers__2[companyName],customers__2[country],,0)</f>
        <v>Brazil</v>
      </c>
      <c r="L16">
        <f>MONTH(Table9[[#This Row],[OrderDate ]])</f>
        <v>7</v>
      </c>
      <c r="M16" t="str">
        <f>TEXT(Table9[[#This Row],[OrderDate ]],"mmm")</f>
        <v>Jul</v>
      </c>
      <c r="N16">
        <f>YEAR(Table9[[#This Row],[OrderDate ]])</f>
        <v>2013</v>
      </c>
    </row>
    <row r="17" spans="1:14" x14ac:dyDescent="0.3">
      <c r="A17">
        <v>10253</v>
      </c>
      <c r="B17" s="2">
        <f>_xlfn.XLOOKUP(Table9[[#This Row],[orderID]],orders[orderID],orders[orderDate],,0)</f>
        <v>41465</v>
      </c>
      <c r="C17">
        <f>_xlfn.XLOOKUP(A17,order_details[orderID],order_details[productID],,0)</f>
        <v>31</v>
      </c>
      <c r="D17" t="str">
        <f>_xlfn.XLOOKUP(C17,products[productID],products[productName],,0)</f>
        <v>Gorgonzola Telino</v>
      </c>
      <c r="E17" t="str">
        <f>_xlfn.XLOOKUP(_xlfn.XLOOKUP(Table9[[#This Row],[ProductName ]],products[productName],products[categoryID],,0),categories[categoryID],categories[categoryName],,0)</f>
        <v>Dairy Products</v>
      </c>
      <c r="F17">
        <v>42</v>
      </c>
      <c r="G17">
        <v>144</v>
      </c>
      <c r="H17">
        <v>0</v>
      </c>
      <c r="I17">
        <f>Table9[[#This Row],[quantity]]*Table9[[#This Row],[unitPrice]]*(1-Table9[[#This Row],[discount]]/100)</f>
        <v>6048</v>
      </c>
      <c r="J17" t="str">
        <f>_xlfn.XLOOKUP(_xlfn.XLOOKUP(A17,orders[orderID],orders[customerID],,0),customers__2[customerID],customers__2[companyName],,0)</f>
        <v>Hanari Carnes</v>
      </c>
      <c r="K17" t="str">
        <f>_xlfn.XLOOKUP(Table9[[#This Row],[Company Name]],customers__2[companyName],customers__2[country],,0)</f>
        <v>Brazil</v>
      </c>
      <c r="L17">
        <f>MONTH(Table9[[#This Row],[OrderDate ]])</f>
        <v>7</v>
      </c>
      <c r="M17" t="str">
        <f>TEXT(Table9[[#This Row],[OrderDate ]],"mmm")</f>
        <v>Jul</v>
      </c>
      <c r="N17">
        <f>YEAR(Table9[[#This Row],[OrderDate ]])</f>
        <v>2013</v>
      </c>
    </row>
    <row r="18" spans="1:14" x14ac:dyDescent="0.3">
      <c r="A18">
        <v>10253</v>
      </c>
      <c r="B18" s="2">
        <f>_xlfn.XLOOKUP(Table9[[#This Row],[orderID]],orders[orderID],orders[orderDate],,0)</f>
        <v>41465</v>
      </c>
      <c r="C18">
        <f>_xlfn.XLOOKUP(A18,order_details[orderID],order_details[productID],,0)</f>
        <v>31</v>
      </c>
      <c r="D18" t="str">
        <f>_xlfn.XLOOKUP(C18,products[productID],products[productName],,0)</f>
        <v>Gorgonzola Telino</v>
      </c>
      <c r="E18" t="str">
        <f>_xlfn.XLOOKUP(_xlfn.XLOOKUP(Table9[[#This Row],[ProductName ]],products[productName],products[categoryID],,0),categories[categoryID],categories[categoryName],,0)</f>
        <v>Dairy Products</v>
      </c>
      <c r="F18">
        <v>40</v>
      </c>
      <c r="G18">
        <v>16</v>
      </c>
      <c r="H18">
        <v>0</v>
      </c>
      <c r="I18">
        <f>Table9[[#This Row],[quantity]]*Table9[[#This Row],[unitPrice]]*(1-Table9[[#This Row],[discount]]/100)</f>
        <v>640</v>
      </c>
      <c r="J18" t="str">
        <f>_xlfn.XLOOKUP(_xlfn.XLOOKUP(A18,orders[orderID],orders[customerID],,0),customers__2[customerID],customers__2[companyName],,0)</f>
        <v>Hanari Carnes</v>
      </c>
      <c r="K18" t="str">
        <f>_xlfn.XLOOKUP(Table9[[#This Row],[Company Name]],customers__2[companyName],customers__2[country],,0)</f>
        <v>Brazil</v>
      </c>
      <c r="L18">
        <f>MONTH(Table9[[#This Row],[OrderDate ]])</f>
        <v>7</v>
      </c>
      <c r="M18" t="str">
        <f>TEXT(Table9[[#This Row],[OrderDate ]],"mmm")</f>
        <v>Jul</v>
      </c>
      <c r="N18">
        <f>YEAR(Table9[[#This Row],[OrderDate ]])</f>
        <v>2013</v>
      </c>
    </row>
    <row r="19" spans="1:14" x14ac:dyDescent="0.3">
      <c r="A19">
        <v>10254</v>
      </c>
      <c r="B19" s="2">
        <f>_xlfn.XLOOKUP(Table9[[#This Row],[orderID]],orders[orderID],orders[orderDate],,0)</f>
        <v>41466</v>
      </c>
      <c r="C19">
        <f>_xlfn.XLOOKUP(A19,order_details[orderID],order_details[productID],,0)</f>
        <v>24</v>
      </c>
      <c r="D19" t="str">
        <f>_xlfn.XLOOKUP(C19,products[productID],products[productName],,0)</f>
        <v>Guarana Fantastica</v>
      </c>
      <c r="E19" t="str">
        <f>_xlfn.XLOOKUP(_xlfn.XLOOKUP(Table9[[#This Row],[ProductName ]],products[productName],products[categoryID],,0),categories[categoryID],categories[categoryName],,0)</f>
        <v>Beverages</v>
      </c>
      <c r="F19">
        <v>15</v>
      </c>
      <c r="G19">
        <v>36</v>
      </c>
      <c r="H19">
        <v>15</v>
      </c>
      <c r="I19">
        <f>Table9[[#This Row],[quantity]]*Table9[[#This Row],[unitPrice]]*(1-Table9[[#This Row],[discount]]/100)</f>
        <v>459</v>
      </c>
      <c r="J19" t="str">
        <f>_xlfn.XLOOKUP(_xlfn.XLOOKUP(A19,orders[orderID],orders[customerID],,0),customers__2[customerID],customers__2[companyName],,0)</f>
        <v>Chop-suey Chinese</v>
      </c>
      <c r="K19" t="str">
        <f>_xlfn.XLOOKUP(Table9[[#This Row],[Company Name]],customers__2[companyName],customers__2[country],,0)</f>
        <v>Switzerland</v>
      </c>
      <c r="L19">
        <f>MONTH(Table9[[#This Row],[OrderDate ]])</f>
        <v>7</v>
      </c>
      <c r="M19" t="str">
        <f>TEXT(Table9[[#This Row],[OrderDate ]],"mmm")</f>
        <v>Jul</v>
      </c>
      <c r="N19">
        <f>YEAR(Table9[[#This Row],[OrderDate ]])</f>
        <v>2013</v>
      </c>
    </row>
    <row r="20" spans="1:14" x14ac:dyDescent="0.3">
      <c r="A20">
        <v>10254</v>
      </c>
      <c r="B20" s="2">
        <f>_xlfn.XLOOKUP(Table9[[#This Row],[orderID]],orders[orderID],orders[orderDate],,0)</f>
        <v>41466</v>
      </c>
      <c r="C20">
        <f>_xlfn.XLOOKUP(A20,order_details[orderID],order_details[productID],,0)</f>
        <v>24</v>
      </c>
      <c r="D20" t="str">
        <f>_xlfn.XLOOKUP(C20,products[productID],products[productName],,0)</f>
        <v>Guarana Fantastica</v>
      </c>
      <c r="E20" t="str">
        <f>_xlfn.XLOOKUP(_xlfn.XLOOKUP(Table9[[#This Row],[ProductName ]],products[productName],products[categoryID],,0),categories[categoryID],categories[categoryName],,0)</f>
        <v>Beverages</v>
      </c>
      <c r="F20">
        <v>21</v>
      </c>
      <c r="G20">
        <v>192</v>
      </c>
      <c r="H20">
        <v>15</v>
      </c>
      <c r="I20">
        <f>Table9[[#This Row],[quantity]]*Table9[[#This Row],[unitPrice]]*(1-Table9[[#This Row],[discount]]/100)</f>
        <v>3427.2</v>
      </c>
      <c r="J20" t="str">
        <f>_xlfn.XLOOKUP(_xlfn.XLOOKUP(A20,orders[orderID],orders[customerID],,0),customers__2[customerID],customers__2[companyName],,0)</f>
        <v>Chop-suey Chinese</v>
      </c>
      <c r="K20" t="str">
        <f>_xlfn.XLOOKUP(Table9[[#This Row],[Company Name]],customers__2[companyName],customers__2[country],,0)</f>
        <v>Switzerland</v>
      </c>
      <c r="L20">
        <f>MONTH(Table9[[#This Row],[OrderDate ]])</f>
        <v>7</v>
      </c>
      <c r="M20" t="str">
        <f>TEXT(Table9[[#This Row],[OrderDate ]],"mmm")</f>
        <v>Jul</v>
      </c>
      <c r="N20">
        <f>YEAR(Table9[[#This Row],[OrderDate ]])</f>
        <v>2013</v>
      </c>
    </row>
    <row r="21" spans="1:14" x14ac:dyDescent="0.3">
      <c r="A21">
        <v>10254</v>
      </c>
      <c r="B21" s="2">
        <f>_xlfn.XLOOKUP(Table9[[#This Row],[orderID]],orders[orderID],orders[orderDate],,0)</f>
        <v>41466</v>
      </c>
      <c r="C21">
        <f>_xlfn.XLOOKUP(A21,order_details[orderID],order_details[productID],,0)</f>
        <v>24</v>
      </c>
      <c r="D21" t="str">
        <f>_xlfn.XLOOKUP(C21,products[productID],products[productName],,0)</f>
        <v>Guarana Fantastica</v>
      </c>
      <c r="E21" t="str">
        <f>_xlfn.XLOOKUP(_xlfn.XLOOKUP(Table9[[#This Row],[ProductName ]],products[productName],products[categoryID],,0),categories[categoryID],categories[categoryName],,0)</f>
        <v>Beverages</v>
      </c>
      <c r="F21">
        <v>21</v>
      </c>
      <c r="G21">
        <v>8</v>
      </c>
      <c r="H21">
        <v>0</v>
      </c>
      <c r="I21">
        <f>Table9[[#This Row],[quantity]]*Table9[[#This Row],[unitPrice]]*(1-Table9[[#This Row],[discount]]/100)</f>
        <v>168</v>
      </c>
      <c r="J21" t="str">
        <f>_xlfn.XLOOKUP(_xlfn.XLOOKUP(A21,orders[orderID],orders[customerID],,0),customers__2[customerID],customers__2[companyName],,0)</f>
        <v>Chop-suey Chinese</v>
      </c>
      <c r="K21" t="str">
        <f>_xlfn.XLOOKUP(Table9[[#This Row],[Company Name]],customers__2[companyName],customers__2[country],,0)</f>
        <v>Switzerland</v>
      </c>
      <c r="L21">
        <f>MONTH(Table9[[#This Row],[OrderDate ]])</f>
        <v>7</v>
      </c>
      <c r="M21" t="str">
        <f>TEXT(Table9[[#This Row],[OrderDate ]],"mmm")</f>
        <v>Jul</v>
      </c>
      <c r="N21">
        <f>YEAR(Table9[[#This Row],[OrderDate ]])</f>
        <v>2013</v>
      </c>
    </row>
    <row r="22" spans="1:14" x14ac:dyDescent="0.3">
      <c r="A22">
        <v>10255</v>
      </c>
      <c r="B22" s="2">
        <f>_xlfn.XLOOKUP(Table9[[#This Row],[orderID]],orders[orderID],orders[orderDate],,0)</f>
        <v>41467</v>
      </c>
      <c r="C22">
        <f>_xlfn.XLOOKUP(A22,order_details[orderID],order_details[productID],,0)</f>
        <v>2</v>
      </c>
      <c r="D22" t="str">
        <f>_xlfn.XLOOKUP(C22,products[productID],products[productName],,0)</f>
        <v>Chang</v>
      </c>
      <c r="E22" t="str">
        <f>_xlfn.XLOOKUP(_xlfn.XLOOKUP(Table9[[#This Row],[ProductName ]],products[productName],products[categoryID],,0),categories[categoryID],categories[categoryName],,0)</f>
        <v>Beverages</v>
      </c>
      <c r="F22">
        <v>20</v>
      </c>
      <c r="G22">
        <v>152</v>
      </c>
      <c r="H22">
        <v>0</v>
      </c>
      <c r="I22">
        <f>Table9[[#This Row],[quantity]]*Table9[[#This Row],[unitPrice]]*(1-Table9[[#This Row],[discount]]/100)</f>
        <v>3040</v>
      </c>
      <c r="J22" t="str">
        <f>_xlfn.XLOOKUP(_xlfn.XLOOKUP(A22,orders[orderID],orders[customerID],,0),customers__2[customerID],customers__2[companyName],,0)</f>
        <v>Richter Supermarkt</v>
      </c>
      <c r="K22" t="str">
        <f>_xlfn.XLOOKUP(Table9[[#This Row],[Company Name]],customers__2[companyName],customers__2[country],,0)</f>
        <v>Switzerland</v>
      </c>
      <c r="L22">
        <f>MONTH(Table9[[#This Row],[OrderDate ]])</f>
        <v>7</v>
      </c>
      <c r="M22" t="str">
        <f>TEXT(Table9[[#This Row],[OrderDate ]],"mmm")</f>
        <v>Jul</v>
      </c>
      <c r="N22">
        <f>YEAR(Table9[[#This Row],[OrderDate ]])</f>
        <v>2013</v>
      </c>
    </row>
    <row r="23" spans="1:14" x14ac:dyDescent="0.3">
      <c r="A23">
        <v>10255</v>
      </c>
      <c r="B23" s="2">
        <f>_xlfn.XLOOKUP(Table9[[#This Row],[orderID]],orders[orderID],orders[orderDate],,0)</f>
        <v>41467</v>
      </c>
      <c r="C23">
        <f>_xlfn.XLOOKUP(A23,order_details[orderID],order_details[productID],,0)</f>
        <v>2</v>
      </c>
      <c r="D23" t="str">
        <f>_xlfn.XLOOKUP(C23,products[productID],products[productName],,0)</f>
        <v>Chang</v>
      </c>
      <c r="E23" t="str">
        <f>_xlfn.XLOOKUP(_xlfn.XLOOKUP(Table9[[#This Row],[ProductName ]],products[productName],products[categoryID],,0),categories[categoryID],categories[categoryName],,0)</f>
        <v>Beverages</v>
      </c>
      <c r="F23">
        <v>35</v>
      </c>
      <c r="G23">
        <v>139</v>
      </c>
      <c r="H23">
        <v>0</v>
      </c>
      <c r="I23">
        <f>Table9[[#This Row],[quantity]]*Table9[[#This Row],[unitPrice]]*(1-Table9[[#This Row],[discount]]/100)</f>
        <v>4865</v>
      </c>
      <c r="J23" t="str">
        <f>_xlfn.XLOOKUP(_xlfn.XLOOKUP(A23,orders[orderID],orders[customerID],,0),customers__2[customerID],customers__2[companyName],,0)</f>
        <v>Richter Supermarkt</v>
      </c>
      <c r="K23" t="str">
        <f>_xlfn.XLOOKUP(Table9[[#This Row],[Company Name]],customers__2[companyName],customers__2[country],,0)</f>
        <v>Switzerland</v>
      </c>
      <c r="L23">
        <f>MONTH(Table9[[#This Row],[OrderDate ]])</f>
        <v>7</v>
      </c>
      <c r="M23" t="str">
        <f>TEXT(Table9[[#This Row],[OrderDate ]],"mmm")</f>
        <v>Jul</v>
      </c>
      <c r="N23">
        <f>YEAR(Table9[[#This Row],[OrderDate ]])</f>
        <v>2013</v>
      </c>
    </row>
    <row r="24" spans="1:14" x14ac:dyDescent="0.3">
      <c r="A24">
        <v>10255</v>
      </c>
      <c r="B24" s="2">
        <f>_xlfn.XLOOKUP(Table9[[#This Row],[orderID]],orders[orderID],orders[orderDate],,0)</f>
        <v>41467</v>
      </c>
      <c r="C24">
        <f>_xlfn.XLOOKUP(A24,order_details[orderID],order_details[productID],,0)</f>
        <v>2</v>
      </c>
      <c r="D24" t="str">
        <f>_xlfn.XLOOKUP(C24,products[productID],products[productName],,0)</f>
        <v>Chang</v>
      </c>
      <c r="E24" t="str">
        <f>_xlfn.XLOOKUP(_xlfn.XLOOKUP(Table9[[#This Row],[ProductName ]],products[productName],products[categoryID],,0),categories[categoryID],categories[categoryName],,0)</f>
        <v>Beverages</v>
      </c>
      <c r="F24">
        <v>25</v>
      </c>
      <c r="G24">
        <v>152</v>
      </c>
      <c r="H24">
        <v>0</v>
      </c>
      <c r="I24">
        <f>Table9[[#This Row],[quantity]]*Table9[[#This Row],[unitPrice]]*(1-Table9[[#This Row],[discount]]/100)</f>
        <v>3800</v>
      </c>
      <c r="J24" t="str">
        <f>_xlfn.XLOOKUP(_xlfn.XLOOKUP(A24,orders[orderID],orders[customerID],,0),customers__2[customerID],customers__2[companyName],,0)</f>
        <v>Richter Supermarkt</v>
      </c>
      <c r="K24" t="str">
        <f>_xlfn.XLOOKUP(Table9[[#This Row],[Company Name]],customers__2[companyName],customers__2[country],,0)</f>
        <v>Switzerland</v>
      </c>
      <c r="L24">
        <f>MONTH(Table9[[#This Row],[OrderDate ]])</f>
        <v>7</v>
      </c>
      <c r="M24" t="str">
        <f>TEXT(Table9[[#This Row],[OrderDate ]],"mmm")</f>
        <v>Jul</v>
      </c>
      <c r="N24">
        <f>YEAR(Table9[[#This Row],[OrderDate ]])</f>
        <v>2013</v>
      </c>
    </row>
    <row r="25" spans="1:14" x14ac:dyDescent="0.3">
      <c r="A25">
        <v>10255</v>
      </c>
      <c r="B25" s="2">
        <f>_xlfn.XLOOKUP(Table9[[#This Row],[orderID]],orders[orderID],orders[orderDate],,0)</f>
        <v>41467</v>
      </c>
      <c r="C25">
        <f>_xlfn.XLOOKUP(A25,order_details[orderID],order_details[productID],,0)</f>
        <v>2</v>
      </c>
      <c r="D25" t="str">
        <f>_xlfn.XLOOKUP(C25,products[productID],products[productName],,0)</f>
        <v>Chang</v>
      </c>
      <c r="E25" t="str">
        <f>_xlfn.XLOOKUP(_xlfn.XLOOKUP(Table9[[#This Row],[ProductName ]],products[productName],products[categoryID],,0),categories[categoryID],categories[categoryName],,0)</f>
        <v>Beverages</v>
      </c>
      <c r="F25">
        <v>30</v>
      </c>
      <c r="G25">
        <v>44</v>
      </c>
      <c r="H25">
        <v>0</v>
      </c>
      <c r="I25">
        <f>Table9[[#This Row],[quantity]]*Table9[[#This Row],[unitPrice]]*(1-Table9[[#This Row],[discount]]/100)</f>
        <v>1320</v>
      </c>
      <c r="J25" t="str">
        <f>_xlfn.XLOOKUP(_xlfn.XLOOKUP(A25,orders[orderID],orders[customerID],,0),customers__2[customerID],customers__2[companyName],,0)</f>
        <v>Richter Supermarkt</v>
      </c>
      <c r="K25" t="str">
        <f>_xlfn.XLOOKUP(Table9[[#This Row],[Company Name]],customers__2[companyName],customers__2[country],,0)</f>
        <v>Switzerland</v>
      </c>
      <c r="L25">
        <f>MONTH(Table9[[#This Row],[OrderDate ]])</f>
        <v>7</v>
      </c>
      <c r="M25" t="str">
        <f>TEXT(Table9[[#This Row],[OrderDate ]],"mmm")</f>
        <v>Jul</v>
      </c>
      <c r="N25">
        <f>YEAR(Table9[[#This Row],[OrderDate ]])</f>
        <v>2013</v>
      </c>
    </row>
    <row r="26" spans="1:14" x14ac:dyDescent="0.3">
      <c r="A26">
        <v>10256</v>
      </c>
      <c r="B26" s="2">
        <f>_xlfn.XLOOKUP(Table9[[#This Row],[orderID]],orders[orderID],orders[orderDate],,0)</f>
        <v>41470</v>
      </c>
      <c r="C26">
        <f>_xlfn.XLOOKUP(A26,order_details[orderID],order_details[productID],,0)</f>
        <v>53</v>
      </c>
      <c r="D26" t="str">
        <f>_xlfn.XLOOKUP(C26,products[productID],products[productName],,0)</f>
        <v>Perth Pasties</v>
      </c>
      <c r="E26" t="str">
        <f>_xlfn.XLOOKUP(_xlfn.XLOOKUP(Table9[[#This Row],[ProductName ]],products[productName],products[categoryID],,0),categories[categoryID],categories[categoryName],,0)</f>
        <v>Meat &amp; Poultry</v>
      </c>
      <c r="F26">
        <v>15</v>
      </c>
      <c r="G26">
        <v>262</v>
      </c>
      <c r="H26">
        <v>0</v>
      </c>
      <c r="I26">
        <f>Table9[[#This Row],[quantity]]*Table9[[#This Row],[unitPrice]]*(1-Table9[[#This Row],[discount]]/100)</f>
        <v>3930</v>
      </c>
      <c r="J26" t="str">
        <f>_xlfn.XLOOKUP(_xlfn.XLOOKUP(A26,orders[orderID],orders[customerID],,0),customers__2[customerID],customers__2[companyName],,0)</f>
        <v>Wellington Importadora</v>
      </c>
      <c r="K26" t="str">
        <f>_xlfn.XLOOKUP(Table9[[#This Row],[Company Name]],customers__2[companyName],customers__2[country],,0)</f>
        <v>Brazil</v>
      </c>
      <c r="L26">
        <f>MONTH(Table9[[#This Row],[OrderDate ]])</f>
        <v>7</v>
      </c>
      <c r="M26" t="str">
        <f>TEXT(Table9[[#This Row],[OrderDate ]],"mmm")</f>
        <v>Jul</v>
      </c>
      <c r="N26">
        <f>YEAR(Table9[[#This Row],[OrderDate ]])</f>
        <v>2013</v>
      </c>
    </row>
    <row r="27" spans="1:14" x14ac:dyDescent="0.3">
      <c r="A27">
        <v>10256</v>
      </c>
      <c r="B27" s="2">
        <f>_xlfn.XLOOKUP(Table9[[#This Row],[orderID]],orders[orderID],orders[orderDate],,0)</f>
        <v>41470</v>
      </c>
      <c r="C27">
        <f>_xlfn.XLOOKUP(A27,order_details[orderID],order_details[productID],,0)</f>
        <v>53</v>
      </c>
      <c r="D27" t="str">
        <f>_xlfn.XLOOKUP(C27,products[productID],products[productName],,0)</f>
        <v>Perth Pasties</v>
      </c>
      <c r="E27" t="str">
        <f>_xlfn.XLOOKUP(_xlfn.XLOOKUP(Table9[[#This Row],[ProductName ]],products[productName],products[categoryID],,0),categories[categoryID],categories[categoryName],,0)</f>
        <v>Meat &amp; Poultry</v>
      </c>
      <c r="F27">
        <v>12</v>
      </c>
      <c r="G27">
        <v>104</v>
      </c>
      <c r="H27">
        <v>0</v>
      </c>
      <c r="I27">
        <f>Table9[[#This Row],[quantity]]*Table9[[#This Row],[unitPrice]]*(1-Table9[[#This Row],[discount]]/100)</f>
        <v>1248</v>
      </c>
      <c r="J27" t="str">
        <f>_xlfn.XLOOKUP(_xlfn.XLOOKUP(A27,orders[orderID],orders[customerID],,0),customers__2[customerID],customers__2[companyName],,0)</f>
        <v>Wellington Importadora</v>
      </c>
      <c r="K27" t="str">
        <f>_xlfn.XLOOKUP(Table9[[#This Row],[Company Name]],customers__2[companyName],customers__2[country],,0)</f>
        <v>Brazil</v>
      </c>
      <c r="L27">
        <f>MONTH(Table9[[#This Row],[OrderDate ]])</f>
        <v>7</v>
      </c>
      <c r="M27" t="str">
        <f>TEXT(Table9[[#This Row],[OrderDate ]],"mmm")</f>
        <v>Jul</v>
      </c>
      <c r="N27">
        <f>YEAR(Table9[[#This Row],[OrderDate ]])</f>
        <v>2013</v>
      </c>
    </row>
    <row r="28" spans="1:14" x14ac:dyDescent="0.3">
      <c r="A28">
        <v>10257</v>
      </c>
      <c r="B28" s="2">
        <f>_xlfn.XLOOKUP(Table9[[#This Row],[orderID]],orders[orderID],orders[orderDate],,0)</f>
        <v>41471</v>
      </c>
      <c r="C28">
        <f>_xlfn.XLOOKUP(A28,order_details[orderID],order_details[productID],,0)</f>
        <v>27</v>
      </c>
      <c r="D28" t="str">
        <f>_xlfn.XLOOKUP(C28,products[productID],products[productName],,0)</f>
        <v>Schoggi Schokolade</v>
      </c>
      <c r="E28" t="str">
        <f>_xlfn.XLOOKUP(_xlfn.XLOOKUP(Table9[[#This Row],[ProductName ]],products[productName],products[categoryID],,0),categories[categoryID],categories[categoryName],,0)</f>
        <v>Confections</v>
      </c>
      <c r="F28">
        <v>25</v>
      </c>
      <c r="G28">
        <v>351</v>
      </c>
      <c r="H28">
        <v>0</v>
      </c>
      <c r="I28">
        <f>Table9[[#This Row],[quantity]]*Table9[[#This Row],[unitPrice]]*(1-Table9[[#This Row],[discount]]/100)</f>
        <v>8775</v>
      </c>
      <c r="J28" t="str">
        <f>_xlfn.XLOOKUP(_xlfn.XLOOKUP(A28,orders[orderID],orders[customerID],,0),customers__2[customerID],customers__2[companyName],,0)</f>
        <v>HILARION-Abastos</v>
      </c>
      <c r="K28" t="str">
        <f>_xlfn.XLOOKUP(Table9[[#This Row],[Company Name]],customers__2[companyName],customers__2[country],,0)</f>
        <v>Venezuela</v>
      </c>
      <c r="L28">
        <f>MONTH(Table9[[#This Row],[OrderDate ]])</f>
        <v>7</v>
      </c>
      <c r="M28" t="str">
        <f>TEXT(Table9[[#This Row],[OrderDate ]],"mmm")</f>
        <v>Jul</v>
      </c>
      <c r="N28">
        <f>YEAR(Table9[[#This Row],[OrderDate ]])</f>
        <v>2013</v>
      </c>
    </row>
    <row r="29" spans="1:14" x14ac:dyDescent="0.3">
      <c r="A29">
        <v>10257</v>
      </c>
      <c r="B29" s="2">
        <f>_xlfn.XLOOKUP(Table9[[#This Row],[orderID]],orders[orderID],orders[orderDate],,0)</f>
        <v>41471</v>
      </c>
      <c r="C29">
        <f>_xlfn.XLOOKUP(A29,order_details[orderID],order_details[productID],,0)</f>
        <v>27</v>
      </c>
      <c r="D29" t="str">
        <f>_xlfn.XLOOKUP(C29,products[productID],products[productName],,0)</f>
        <v>Schoggi Schokolade</v>
      </c>
      <c r="E29" t="str">
        <f>_xlfn.XLOOKUP(_xlfn.XLOOKUP(Table9[[#This Row],[ProductName ]],products[productName],products[categoryID],,0),categories[categoryID],categories[categoryName],,0)</f>
        <v>Confections</v>
      </c>
      <c r="F29">
        <v>6</v>
      </c>
      <c r="G29">
        <v>144</v>
      </c>
      <c r="H29">
        <v>0</v>
      </c>
      <c r="I29">
        <f>Table9[[#This Row],[quantity]]*Table9[[#This Row],[unitPrice]]*(1-Table9[[#This Row],[discount]]/100)</f>
        <v>864</v>
      </c>
      <c r="J29" t="str">
        <f>_xlfn.XLOOKUP(_xlfn.XLOOKUP(A29,orders[orderID],orders[customerID],,0),customers__2[customerID],customers__2[companyName],,0)</f>
        <v>HILARION-Abastos</v>
      </c>
      <c r="K29" t="str">
        <f>_xlfn.XLOOKUP(Table9[[#This Row],[Company Name]],customers__2[companyName],customers__2[country],,0)</f>
        <v>Venezuela</v>
      </c>
      <c r="L29">
        <f>MONTH(Table9[[#This Row],[OrderDate ]])</f>
        <v>7</v>
      </c>
      <c r="M29" t="str">
        <f>TEXT(Table9[[#This Row],[OrderDate ]],"mmm")</f>
        <v>Jul</v>
      </c>
      <c r="N29">
        <f>YEAR(Table9[[#This Row],[OrderDate ]])</f>
        <v>2013</v>
      </c>
    </row>
    <row r="30" spans="1:14" x14ac:dyDescent="0.3">
      <c r="A30">
        <v>10257</v>
      </c>
      <c r="B30" s="2">
        <f>_xlfn.XLOOKUP(Table9[[#This Row],[orderID]],orders[orderID],orders[orderDate],,0)</f>
        <v>41471</v>
      </c>
      <c r="C30">
        <f>_xlfn.XLOOKUP(A30,order_details[orderID],order_details[productID],,0)</f>
        <v>27</v>
      </c>
      <c r="D30" t="str">
        <f>_xlfn.XLOOKUP(C30,products[productID],products[productName],,0)</f>
        <v>Schoggi Schokolade</v>
      </c>
      <c r="E30" t="str">
        <f>_xlfn.XLOOKUP(_xlfn.XLOOKUP(Table9[[#This Row],[ProductName ]],products[productName],products[categoryID],,0),categories[categoryID],categories[categoryName],,0)</f>
        <v>Confections</v>
      </c>
      <c r="F30">
        <v>15</v>
      </c>
      <c r="G30">
        <v>104</v>
      </c>
      <c r="H30">
        <v>0</v>
      </c>
      <c r="I30">
        <f>Table9[[#This Row],[quantity]]*Table9[[#This Row],[unitPrice]]*(1-Table9[[#This Row],[discount]]/100)</f>
        <v>1560</v>
      </c>
      <c r="J30" t="str">
        <f>_xlfn.XLOOKUP(_xlfn.XLOOKUP(A30,orders[orderID],orders[customerID],,0),customers__2[customerID],customers__2[companyName],,0)</f>
        <v>HILARION-Abastos</v>
      </c>
      <c r="K30" t="str">
        <f>_xlfn.XLOOKUP(Table9[[#This Row],[Company Name]],customers__2[companyName],customers__2[country],,0)</f>
        <v>Venezuela</v>
      </c>
      <c r="L30">
        <f>MONTH(Table9[[#This Row],[OrderDate ]])</f>
        <v>7</v>
      </c>
      <c r="M30" t="str">
        <f>TEXT(Table9[[#This Row],[OrderDate ]],"mmm")</f>
        <v>Jul</v>
      </c>
      <c r="N30">
        <f>YEAR(Table9[[#This Row],[OrderDate ]])</f>
        <v>2013</v>
      </c>
    </row>
    <row r="31" spans="1:14" x14ac:dyDescent="0.3">
      <c r="A31">
        <v>10258</v>
      </c>
      <c r="B31" s="2">
        <f>_xlfn.XLOOKUP(Table9[[#This Row],[orderID]],orders[orderID],orders[orderDate],,0)</f>
        <v>41472</v>
      </c>
      <c r="C31">
        <f>_xlfn.XLOOKUP(A31,order_details[orderID],order_details[productID],,0)</f>
        <v>2</v>
      </c>
      <c r="D31" t="str">
        <f>_xlfn.XLOOKUP(C31,products[productID],products[productName],,0)</f>
        <v>Chang</v>
      </c>
      <c r="E31" t="str">
        <f>_xlfn.XLOOKUP(_xlfn.XLOOKUP(Table9[[#This Row],[ProductName ]],products[productName],products[categoryID],,0),categories[categoryID],categories[categoryName],,0)</f>
        <v>Beverages</v>
      </c>
      <c r="F31">
        <v>50</v>
      </c>
      <c r="G31">
        <v>152</v>
      </c>
      <c r="H31">
        <v>2</v>
      </c>
      <c r="I31">
        <f>Table9[[#This Row],[quantity]]*Table9[[#This Row],[unitPrice]]*(1-Table9[[#This Row],[discount]]/100)</f>
        <v>7448</v>
      </c>
      <c r="J31" t="str">
        <f>_xlfn.XLOOKUP(_xlfn.XLOOKUP(A31,orders[orderID],orders[customerID],,0),customers__2[customerID],customers__2[companyName],,0)</f>
        <v>Ernst Handel</v>
      </c>
      <c r="K31" t="str">
        <f>_xlfn.XLOOKUP(Table9[[#This Row],[Company Name]],customers__2[companyName],customers__2[country],,0)</f>
        <v>Austria</v>
      </c>
      <c r="L31">
        <f>MONTH(Table9[[#This Row],[OrderDate ]])</f>
        <v>7</v>
      </c>
      <c r="M31" t="str">
        <f>TEXT(Table9[[#This Row],[OrderDate ]],"mmm")</f>
        <v>Jul</v>
      </c>
      <c r="N31">
        <f>YEAR(Table9[[#This Row],[OrderDate ]])</f>
        <v>2013</v>
      </c>
    </row>
    <row r="32" spans="1:14" x14ac:dyDescent="0.3">
      <c r="A32">
        <v>10258</v>
      </c>
      <c r="B32" s="2">
        <f>_xlfn.XLOOKUP(Table9[[#This Row],[orderID]],orders[orderID],orders[orderDate],,0)</f>
        <v>41472</v>
      </c>
      <c r="C32">
        <f>_xlfn.XLOOKUP(A32,order_details[orderID],order_details[productID],,0)</f>
        <v>2</v>
      </c>
      <c r="D32" t="str">
        <f>_xlfn.XLOOKUP(C32,products[productID],products[productName],,0)</f>
        <v>Chang</v>
      </c>
      <c r="E32" t="str">
        <f>_xlfn.XLOOKUP(_xlfn.XLOOKUP(Table9[[#This Row],[ProductName ]],products[productName],products[categoryID],,0),categories[categoryID],categories[categoryName],,0)</f>
        <v>Beverages</v>
      </c>
      <c r="F32">
        <v>65</v>
      </c>
      <c r="G32">
        <v>17</v>
      </c>
      <c r="H32">
        <v>2</v>
      </c>
      <c r="I32">
        <f>Table9[[#This Row],[quantity]]*Table9[[#This Row],[unitPrice]]*(1-Table9[[#This Row],[discount]]/100)</f>
        <v>1082.9000000000001</v>
      </c>
      <c r="J32" t="str">
        <f>_xlfn.XLOOKUP(_xlfn.XLOOKUP(A32,orders[orderID],orders[customerID],,0),customers__2[customerID],customers__2[companyName],,0)</f>
        <v>Ernst Handel</v>
      </c>
      <c r="K32" t="str">
        <f>_xlfn.XLOOKUP(Table9[[#This Row],[Company Name]],customers__2[companyName],customers__2[country],,0)</f>
        <v>Austria</v>
      </c>
      <c r="L32">
        <f>MONTH(Table9[[#This Row],[OrderDate ]])</f>
        <v>7</v>
      </c>
      <c r="M32" t="str">
        <f>TEXT(Table9[[#This Row],[OrderDate ]],"mmm")</f>
        <v>Jul</v>
      </c>
      <c r="N32">
        <f>YEAR(Table9[[#This Row],[OrderDate ]])</f>
        <v>2013</v>
      </c>
    </row>
    <row r="33" spans="1:14" x14ac:dyDescent="0.3">
      <c r="A33">
        <v>10258</v>
      </c>
      <c r="B33" s="2">
        <f>_xlfn.XLOOKUP(Table9[[#This Row],[orderID]],orders[orderID],orders[orderDate],,0)</f>
        <v>41472</v>
      </c>
      <c r="C33">
        <f>_xlfn.XLOOKUP(A33,order_details[orderID],order_details[productID],,0)</f>
        <v>2</v>
      </c>
      <c r="D33" t="str">
        <f>_xlfn.XLOOKUP(C33,products[productID],products[productName],,0)</f>
        <v>Chang</v>
      </c>
      <c r="E33" t="str">
        <f>_xlfn.XLOOKUP(_xlfn.XLOOKUP(Table9[[#This Row],[ProductName ]],products[productName],products[categoryID],,0),categories[categoryID],categories[categoryName],,0)</f>
        <v>Beverages</v>
      </c>
      <c r="F33">
        <v>6</v>
      </c>
      <c r="G33">
        <v>256</v>
      </c>
      <c r="H33">
        <v>2</v>
      </c>
      <c r="I33">
        <f>Table9[[#This Row],[quantity]]*Table9[[#This Row],[unitPrice]]*(1-Table9[[#This Row],[discount]]/100)</f>
        <v>1505.28</v>
      </c>
      <c r="J33" t="str">
        <f>_xlfn.XLOOKUP(_xlfn.XLOOKUP(A33,orders[orderID],orders[customerID],,0),customers__2[customerID],customers__2[companyName],,0)</f>
        <v>Ernst Handel</v>
      </c>
      <c r="K33" t="str">
        <f>_xlfn.XLOOKUP(Table9[[#This Row],[Company Name]],customers__2[companyName],customers__2[country],,0)</f>
        <v>Austria</v>
      </c>
      <c r="L33">
        <f>MONTH(Table9[[#This Row],[OrderDate ]])</f>
        <v>7</v>
      </c>
      <c r="M33" t="str">
        <f>TEXT(Table9[[#This Row],[OrderDate ]],"mmm")</f>
        <v>Jul</v>
      </c>
      <c r="N33">
        <f>YEAR(Table9[[#This Row],[OrderDate ]])</f>
        <v>2013</v>
      </c>
    </row>
    <row r="34" spans="1:14" x14ac:dyDescent="0.3">
      <c r="A34">
        <v>10259</v>
      </c>
      <c r="B34" s="2">
        <f>_xlfn.XLOOKUP(Table9[[#This Row],[orderID]],orders[orderID],orders[orderDate],,0)</f>
        <v>41473</v>
      </c>
      <c r="C34">
        <f>_xlfn.XLOOKUP(A34,order_details[orderID],order_details[productID],,0)</f>
        <v>21</v>
      </c>
      <c r="D34" t="str">
        <f>_xlfn.XLOOKUP(C34,products[productID],products[productName],,0)</f>
        <v>Sir Rodney's Scones</v>
      </c>
      <c r="E34" t="str">
        <f>_xlfn.XLOOKUP(_xlfn.XLOOKUP(Table9[[#This Row],[ProductName ]],products[productName],products[categoryID],,0),categories[categoryID],categories[categoryName],,0)</f>
        <v>Confections</v>
      </c>
      <c r="F34">
        <v>10</v>
      </c>
      <c r="G34">
        <v>8</v>
      </c>
      <c r="H34">
        <v>0</v>
      </c>
      <c r="I34">
        <f>Table9[[#This Row],[quantity]]*Table9[[#This Row],[unitPrice]]*(1-Table9[[#This Row],[discount]]/100)</f>
        <v>80</v>
      </c>
      <c r="J34" t="str">
        <f>_xlfn.XLOOKUP(_xlfn.XLOOKUP(A34,orders[orderID],orders[customerID],,0),customers__2[customerID],customers__2[companyName],,0)</f>
        <v>Centro comercial Moctezuma</v>
      </c>
      <c r="K34" t="str">
        <f>_xlfn.XLOOKUP(Table9[[#This Row],[Company Name]],customers__2[companyName],customers__2[country],,0)</f>
        <v>Mexico</v>
      </c>
      <c r="L34">
        <f>MONTH(Table9[[#This Row],[OrderDate ]])</f>
        <v>7</v>
      </c>
      <c r="M34" t="str">
        <f>TEXT(Table9[[#This Row],[OrderDate ]],"mmm")</f>
        <v>Jul</v>
      </c>
      <c r="N34">
        <f>YEAR(Table9[[#This Row],[OrderDate ]])</f>
        <v>2013</v>
      </c>
    </row>
    <row r="35" spans="1:14" x14ac:dyDescent="0.3">
      <c r="A35">
        <v>10259</v>
      </c>
      <c r="B35" s="2">
        <f>_xlfn.XLOOKUP(Table9[[#This Row],[orderID]],orders[orderID],orders[orderDate],,0)</f>
        <v>41473</v>
      </c>
      <c r="C35">
        <f>_xlfn.XLOOKUP(A35,order_details[orderID],order_details[productID],,0)</f>
        <v>21</v>
      </c>
      <c r="D35" t="str">
        <f>_xlfn.XLOOKUP(C35,products[productID],products[productName],,0)</f>
        <v>Sir Rodney's Scones</v>
      </c>
      <c r="E35" t="str">
        <f>_xlfn.XLOOKUP(_xlfn.XLOOKUP(Table9[[#This Row],[ProductName ]],products[productName],products[categoryID],,0),categories[categoryID],categories[categoryName],,0)</f>
        <v>Confections</v>
      </c>
      <c r="F35">
        <v>1</v>
      </c>
      <c r="G35">
        <v>208</v>
      </c>
      <c r="H35">
        <v>0</v>
      </c>
      <c r="I35">
        <f>Table9[[#This Row],[quantity]]*Table9[[#This Row],[unitPrice]]*(1-Table9[[#This Row],[discount]]/100)</f>
        <v>208</v>
      </c>
      <c r="J35" t="str">
        <f>_xlfn.XLOOKUP(_xlfn.XLOOKUP(A35,orders[orderID],orders[customerID],,0),customers__2[customerID],customers__2[companyName],,0)</f>
        <v>Centro comercial Moctezuma</v>
      </c>
      <c r="K35" t="str">
        <f>_xlfn.XLOOKUP(Table9[[#This Row],[Company Name]],customers__2[companyName],customers__2[country],,0)</f>
        <v>Mexico</v>
      </c>
      <c r="L35">
        <f>MONTH(Table9[[#This Row],[OrderDate ]])</f>
        <v>7</v>
      </c>
      <c r="M35" t="str">
        <f>TEXT(Table9[[#This Row],[OrderDate ]],"mmm")</f>
        <v>Jul</v>
      </c>
      <c r="N35">
        <f>YEAR(Table9[[#This Row],[OrderDate ]])</f>
        <v>2013</v>
      </c>
    </row>
    <row r="36" spans="1:14" x14ac:dyDescent="0.3">
      <c r="A36">
        <v>10260</v>
      </c>
      <c r="B36" s="2">
        <f>_xlfn.XLOOKUP(Table9[[#This Row],[orderID]],orders[orderID],orders[orderDate],,0)</f>
        <v>41474</v>
      </c>
      <c r="C36">
        <f>_xlfn.XLOOKUP(A36,order_details[orderID],order_details[productID],,0)</f>
        <v>41</v>
      </c>
      <c r="D36" t="str">
        <f>_xlfn.XLOOKUP(C36,products[productID],products[productName],,0)</f>
        <v>Jack's New England Clam Chowder</v>
      </c>
      <c r="E36" t="str">
        <f>_xlfn.XLOOKUP(_xlfn.XLOOKUP(Table9[[#This Row],[ProductName ]],products[productName],products[categoryID],,0),categories[categoryID],categories[categoryName],,0)</f>
        <v>Seafood</v>
      </c>
      <c r="F36">
        <v>16</v>
      </c>
      <c r="G36">
        <v>77</v>
      </c>
      <c r="H36">
        <v>25</v>
      </c>
      <c r="I36">
        <f>Table9[[#This Row],[quantity]]*Table9[[#This Row],[unitPrice]]*(1-Table9[[#This Row],[discount]]/100)</f>
        <v>924</v>
      </c>
      <c r="J36" t="str">
        <f>_xlfn.XLOOKUP(_xlfn.XLOOKUP(A36,orders[orderID],orders[customerID],,0),customers__2[customerID],customers__2[companyName],,0)</f>
        <v>Ottilies Käseladen</v>
      </c>
      <c r="K36" t="str">
        <f>_xlfn.XLOOKUP(Table9[[#This Row],[Company Name]],customers__2[companyName],customers__2[country],,0)</f>
        <v>Germany</v>
      </c>
      <c r="L36">
        <f>MONTH(Table9[[#This Row],[OrderDate ]])</f>
        <v>7</v>
      </c>
      <c r="M36" t="str">
        <f>TEXT(Table9[[#This Row],[OrderDate ]],"mmm")</f>
        <v>Jul</v>
      </c>
      <c r="N36">
        <f>YEAR(Table9[[#This Row],[OrderDate ]])</f>
        <v>2013</v>
      </c>
    </row>
    <row r="37" spans="1:14" x14ac:dyDescent="0.3">
      <c r="A37">
        <v>10260</v>
      </c>
      <c r="B37" s="2">
        <f>_xlfn.XLOOKUP(Table9[[#This Row],[orderID]],orders[orderID],orders[orderDate],,0)</f>
        <v>41474</v>
      </c>
      <c r="C37">
        <f>_xlfn.XLOOKUP(A37,order_details[orderID],order_details[productID],,0)</f>
        <v>41</v>
      </c>
      <c r="D37" t="str">
        <f>_xlfn.XLOOKUP(C37,products[productID],products[productName],,0)</f>
        <v>Jack's New England Clam Chowder</v>
      </c>
      <c r="E37" t="str">
        <f>_xlfn.XLOOKUP(_xlfn.XLOOKUP(Table9[[#This Row],[ProductName ]],products[productName],products[categoryID],,0),categories[categoryID],categories[categoryName],,0)</f>
        <v>Seafood</v>
      </c>
      <c r="F37">
        <v>50</v>
      </c>
      <c r="G37">
        <v>156</v>
      </c>
      <c r="H37">
        <v>0</v>
      </c>
      <c r="I37">
        <f>Table9[[#This Row],[quantity]]*Table9[[#This Row],[unitPrice]]*(1-Table9[[#This Row],[discount]]/100)</f>
        <v>7800</v>
      </c>
      <c r="J37" t="str">
        <f>_xlfn.XLOOKUP(_xlfn.XLOOKUP(A37,orders[orderID],orders[customerID],,0),customers__2[customerID],customers__2[companyName],,0)</f>
        <v>Ottilies Käseladen</v>
      </c>
      <c r="K37" t="str">
        <f>_xlfn.XLOOKUP(Table9[[#This Row],[Company Name]],customers__2[companyName],customers__2[country],,0)</f>
        <v>Germany</v>
      </c>
      <c r="L37">
        <f>MONTH(Table9[[#This Row],[OrderDate ]])</f>
        <v>7</v>
      </c>
      <c r="M37" t="str">
        <f>TEXT(Table9[[#This Row],[OrderDate ]],"mmm")</f>
        <v>Jul</v>
      </c>
      <c r="N37">
        <f>YEAR(Table9[[#This Row],[OrderDate ]])</f>
        <v>2013</v>
      </c>
    </row>
    <row r="38" spans="1:14" x14ac:dyDescent="0.3">
      <c r="A38">
        <v>10260</v>
      </c>
      <c r="B38" s="2">
        <f>_xlfn.XLOOKUP(Table9[[#This Row],[orderID]],orders[orderID],orders[orderDate],,0)</f>
        <v>41474</v>
      </c>
      <c r="C38">
        <f>_xlfn.XLOOKUP(A38,order_details[orderID],order_details[productID],,0)</f>
        <v>41</v>
      </c>
      <c r="D38" t="str">
        <f>_xlfn.XLOOKUP(C38,products[productID],products[productName],,0)</f>
        <v>Jack's New England Clam Chowder</v>
      </c>
      <c r="E38" t="str">
        <f>_xlfn.XLOOKUP(_xlfn.XLOOKUP(Table9[[#This Row],[ProductName ]],products[productName],products[categoryID],,0),categories[categoryID],categories[categoryName],,0)</f>
        <v>Seafood</v>
      </c>
      <c r="F38">
        <v>15</v>
      </c>
      <c r="G38">
        <v>394</v>
      </c>
      <c r="H38">
        <v>25</v>
      </c>
      <c r="I38">
        <f>Table9[[#This Row],[quantity]]*Table9[[#This Row],[unitPrice]]*(1-Table9[[#This Row],[discount]]/100)</f>
        <v>4432.5</v>
      </c>
      <c r="J38" t="str">
        <f>_xlfn.XLOOKUP(_xlfn.XLOOKUP(A38,orders[orderID],orders[customerID],,0),customers__2[customerID],customers__2[companyName],,0)</f>
        <v>Ottilies Käseladen</v>
      </c>
      <c r="K38" t="str">
        <f>_xlfn.XLOOKUP(Table9[[#This Row],[Company Name]],customers__2[companyName],customers__2[country],,0)</f>
        <v>Germany</v>
      </c>
      <c r="L38">
        <f>MONTH(Table9[[#This Row],[OrderDate ]])</f>
        <v>7</v>
      </c>
      <c r="M38" t="str">
        <f>TEXT(Table9[[#This Row],[OrderDate ]],"mmm")</f>
        <v>Jul</v>
      </c>
      <c r="N38">
        <f>YEAR(Table9[[#This Row],[OrderDate ]])</f>
        <v>2013</v>
      </c>
    </row>
    <row r="39" spans="1:14" x14ac:dyDescent="0.3">
      <c r="A39">
        <v>10260</v>
      </c>
      <c r="B39" s="2">
        <f>_xlfn.XLOOKUP(Table9[[#This Row],[orderID]],orders[orderID],orders[orderDate],,0)</f>
        <v>41474</v>
      </c>
      <c r="C39">
        <f>_xlfn.XLOOKUP(A39,order_details[orderID],order_details[productID],,0)</f>
        <v>41</v>
      </c>
      <c r="D39" t="str">
        <f>_xlfn.XLOOKUP(C39,products[productID],products[productName],,0)</f>
        <v>Jack's New England Clam Chowder</v>
      </c>
      <c r="E39" t="str">
        <f>_xlfn.XLOOKUP(_xlfn.XLOOKUP(Table9[[#This Row],[ProductName ]],products[productName],products[categoryID],,0),categories[categoryID],categories[categoryName],,0)</f>
        <v>Seafood</v>
      </c>
      <c r="F39">
        <v>21</v>
      </c>
      <c r="G39">
        <v>12</v>
      </c>
      <c r="H39">
        <v>25</v>
      </c>
      <c r="I39">
        <f>Table9[[#This Row],[quantity]]*Table9[[#This Row],[unitPrice]]*(1-Table9[[#This Row],[discount]]/100)</f>
        <v>189</v>
      </c>
      <c r="J39" t="str">
        <f>_xlfn.XLOOKUP(_xlfn.XLOOKUP(A39,orders[orderID],orders[customerID],,0),customers__2[customerID],customers__2[companyName],,0)</f>
        <v>Ottilies Käseladen</v>
      </c>
      <c r="K39" t="str">
        <f>_xlfn.XLOOKUP(Table9[[#This Row],[Company Name]],customers__2[companyName],customers__2[country],,0)</f>
        <v>Germany</v>
      </c>
      <c r="L39">
        <f>MONTH(Table9[[#This Row],[OrderDate ]])</f>
        <v>7</v>
      </c>
      <c r="M39" t="str">
        <f>TEXT(Table9[[#This Row],[OrderDate ]],"mmm")</f>
        <v>Jul</v>
      </c>
      <c r="N39">
        <f>YEAR(Table9[[#This Row],[OrderDate ]])</f>
        <v>2013</v>
      </c>
    </row>
    <row r="40" spans="1:14" x14ac:dyDescent="0.3">
      <c r="A40">
        <v>10261</v>
      </c>
      <c r="B40" s="2">
        <f>_xlfn.XLOOKUP(Table9[[#This Row],[orderID]],orders[orderID],orders[orderDate],,0)</f>
        <v>41474</v>
      </c>
      <c r="C40">
        <f>_xlfn.XLOOKUP(A40,order_details[orderID],order_details[productID],,0)</f>
        <v>21</v>
      </c>
      <c r="D40" t="str">
        <f>_xlfn.XLOOKUP(C40,products[productID],products[productName],,0)</f>
        <v>Sir Rodney's Scones</v>
      </c>
      <c r="E40" t="str">
        <f>_xlfn.XLOOKUP(_xlfn.XLOOKUP(Table9[[#This Row],[ProductName ]],products[productName],products[categoryID],,0),categories[categoryID],categories[categoryName],,0)</f>
        <v>Confections</v>
      </c>
      <c r="F40">
        <v>20</v>
      </c>
      <c r="G40">
        <v>8</v>
      </c>
      <c r="H40">
        <v>0</v>
      </c>
      <c r="I40">
        <f>Table9[[#This Row],[quantity]]*Table9[[#This Row],[unitPrice]]*(1-Table9[[#This Row],[discount]]/100)</f>
        <v>160</v>
      </c>
      <c r="J40" t="str">
        <f>_xlfn.XLOOKUP(_xlfn.XLOOKUP(A40,orders[orderID],orders[customerID],,0),customers__2[customerID],customers__2[companyName],,0)</f>
        <v>Que Delícia</v>
      </c>
      <c r="K40" t="str">
        <f>_xlfn.XLOOKUP(Table9[[#This Row],[Company Name]],customers__2[companyName],customers__2[country],,0)</f>
        <v>Brazil</v>
      </c>
      <c r="L40">
        <f>MONTH(Table9[[#This Row],[OrderDate ]])</f>
        <v>7</v>
      </c>
      <c r="M40" t="str">
        <f>TEXT(Table9[[#This Row],[OrderDate ]],"mmm")</f>
        <v>Jul</v>
      </c>
      <c r="N40">
        <f>YEAR(Table9[[#This Row],[OrderDate ]])</f>
        <v>2013</v>
      </c>
    </row>
    <row r="41" spans="1:14" x14ac:dyDescent="0.3">
      <c r="A41">
        <v>10261</v>
      </c>
      <c r="B41" s="2">
        <f>_xlfn.XLOOKUP(Table9[[#This Row],[orderID]],orders[orderID],orders[orderDate],,0)</f>
        <v>41474</v>
      </c>
      <c r="C41">
        <f>_xlfn.XLOOKUP(A41,order_details[orderID],order_details[productID],,0)</f>
        <v>21</v>
      </c>
      <c r="D41" t="str">
        <f>_xlfn.XLOOKUP(C41,products[productID],products[productName],,0)</f>
        <v>Sir Rodney's Scones</v>
      </c>
      <c r="E41" t="str">
        <f>_xlfn.XLOOKUP(_xlfn.XLOOKUP(Table9[[#This Row],[ProductName ]],products[productName],products[categoryID],,0),categories[categoryID],categories[categoryName],,0)</f>
        <v>Confections</v>
      </c>
      <c r="F41">
        <v>20</v>
      </c>
      <c r="G41">
        <v>144</v>
      </c>
      <c r="H41">
        <v>0</v>
      </c>
      <c r="I41">
        <f>Table9[[#This Row],[quantity]]*Table9[[#This Row],[unitPrice]]*(1-Table9[[#This Row],[discount]]/100)</f>
        <v>2880</v>
      </c>
      <c r="J41" t="str">
        <f>_xlfn.XLOOKUP(_xlfn.XLOOKUP(A41,orders[orderID],orders[customerID],,0),customers__2[customerID],customers__2[companyName],,0)</f>
        <v>Que Delícia</v>
      </c>
      <c r="K41" t="str">
        <f>_xlfn.XLOOKUP(Table9[[#This Row],[Company Name]],customers__2[companyName],customers__2[country],,0)</f>
        <v>Brazil</v>
      </c>
      <c r="L41">
        <f>MONTH(Table9[[#This Row],[OrderDate ]])</f>
        <v>7</v>
      </c>
      <c r="M41" t="str">
        <f>TEXT(Table9[[#This Row],[OrderDate ]],"mmm")</f>
        <v>Jul</v>
      </c>
      <c r="N41">
        <f>YEAR(Table9[[#This Row],[OrderDate ]])</f>
        <v>2013</v>
      </c>
    </row>
    <row r="42" spans="1:14" x14ac:dyDescent="0.3">
      <c r="A42">
        <v>10262</v>
      </c>
      <c r="B42" s="2">
        <f>_xlfn.XLOOKUP(Table9[[#This Row],[orderID]],orders[orderID],orders[orderDate],,0)</f>
        <v>41477</v>
      </c>
      <c r="C42">
        <f>_xlfn.XLOOKUP(A42,order_details[orderID],order_details[productID],,0)</f>
        <v>5</v>
      </c>
      <c r="D42" t="str">
        <f>_xlfn.XLOOKUP(C42,products[productID],products[productName],,0)</f>
        <v>Chef Anton's Gumbo Mix</v>
      </c>
      <c r="E42" t="str">
        <f>_xlfn.XLOOKUP(_xlfn.XLOOKUP(Table9[[#This Row],[ProductName ]],products[productName],products[categoryID],,0),categories[categoryID],categories[categoryName],,0)</f>
        <v>Condiments</v>
      </c>
      <c r="F42">
        <v>12</v>
      </c>
      <c r="G42">
        <v>17</v>
      </c>
      <c r="H42">
        <v>2</v>
      </c>
      <c r="I42">
        <f>Table9[[#This Row],[quantity]]*Table9[[#This Row],[unitPrice]]*(1-Table9[[#This Row],[discount]]/100)</f>
        <v>199.92</v>
      </c>
      <c r="J42" t="str">
        <f>_xlfn.XLOOKUP(_xlfn.XLOOKUP(A42,orders[orderID],orders[customerID],,0),customers__2[customerID],customers__2[companyName],,0)</f>
        <v>Rattlesnake Canyon Grocery</v>
      </c>
      <c r="K42" t="str">
        <f>_xlfn.XLOOKUP(Table9[[#This Row],[Company Name]],customers__2[companyName],customers__2[country],,0)</f>
        <v>USA</v>
      </c>
      <c r="L42">
        <f>MONTH(Table9[[#This Row],[OrderDate ]])</f>
        <v>7</v>
      </c>
      <c r="M42" t="str">
        <f>TEXT(Table9[[#This Row],[OrderDate ]],"mmm")</f>
        <v>Jul</v>
      </c>
      <c r="N42">
        <f>YEAR(Table9[[#This Row],[OrderDate ]])</f>
        <v>2013</v>
      </c>
    </row>
    <row r="43" spans="1:14" x14ac:dyDescent="0.3">
      <c r="A43">
        <v>10262</v>
      </c>
      <c r="B43" s="2">
        <f>_xlfn.XLOOKUP(Table9[[#This Row],[orderID]],orders[orderID],orders[orderDate],,0)</f>
        <v>41477</v>
      </c>
      <c r="C43">
        <f>_xlfn.XLOOKUP(A43,order_details[orderID],order_details[productID],,0)</f>
        <v>5</v>
      </c>
      <c r="D43" t="str">
        <f>_xlfn.XLOOKUP(C43,products[productID],products[productName],,0)</f>
        <v>Chef Anton's Gumbo Mix</v>
      </c>
      <c r="E43" t="str">
        <f>_xlfn.XLOOKUP(_xlfn.XLOOKUP(Table9[[#This Row],[ProductName ]],products[productName],products[categoryID],,0),categories[categoryID],categories[categoryName],,0)</f>
        <v>Condiments</v>
      </c>
      <c r="F43">
        <v>15</v>
      </c>
      <c r="G43">
        <v>24</v>
      </c>
      <c r="H43">
        <v>0</v>
      </c>
      <c r="I43">
        <f>Table9[[#This Row],[quantity]]*Table9[[#This Row],[unitPrice]]*(1-Table9[[#This Row],[discount]]/100)</f>
        <v>360</v>
      </c>
      <c r="J43" t="str">
        <f>_xlfn.XLOOKUP(_xlfn.XLOOKUP(A43,orders[orderID],orders[customerID],,0),customers__2[customerID],customers__2[companyName],,0)</f>
        <v>Rattlesnake Canyon Grocery</v>
      </c>
      <c r="K43" t="str">
        <f>_xlfn.XLOOKUP(Table9[[#This Row],[Company Name]],customers__2[companyName],customers__2[country],,0)</f>
        <v>USA</v>
      </c>
      <c r="L43">
        <f>MONTH(Table9[[#This Row],[OrderDate ]])</f>
        <v>7</v>
      </c>
      <c r="M43" t="str">
        <f>TEXT(Table9[[#This Row],[OrderDate ]],"mmm")</f>
        <v>Jul</v>
      </c>
      <c r="N43">
        <f>YEAR(Table9[[#This Row],[OrderDate ]])</f>
        <v>2013</v>
      </c>
    </row>
    <row r="44" spans="1:14" x14ac:dyDescent="0.3">
      <c r="A44">
        <v>10262</v>
      </c>
      <c r="B44" s="2">
        <f>_xlfn.XLOOKUP(Table9[[#This Row],[orderID]],orders[orderID],orders[orderDate],,0)</f>
        <v>41477</v>
      </c>
      <c r="C44">
        <f>_xlfn.XLOOKUP(A44,order_details[orderID],order_details[productID],,0)</f>
        <v>5</v>
      </c>
      <c r="D44" t="str">
        <f>_xlfn.XLOOKUP(C44,products[productID],products[productName],,0)</f>
        <v>Chef Anton's Gumbo Mix</v>
      </c>
      <c r="E44" t="str">
        <f>_xlfn.XLOOKUP(_xlfn.XLOOKUP(Table9[[#This Row],[ProductName ]],products[productName],products[categoryID],,0),categories[categoryID],categories[categoryName],,0)</f>
        <v>Condiments</v>
      </c>
      <c r="F44">
        <v>2</v>
      </c>
      <c r="G44">
        <v>304</v>
      </c>
      <c r="H44">
        <v>0</v>
      </c>
      <c r="I44">
        <f>Table9[[#This Row],[quantity]]*Table9[[#This Row],[unitPrice]]*(1-Table9[[#This Row],[discount]]/100)</f>
        <v>608</v>
      </c>
      <c r="J44" t="str">
        <f>_xlfn.XLOOKUP(_xlfn.XLOOKUP(A44,orders[orderID],orders[customerID],,0),customers__2[customerID],customers__2[companyName],,0)</f>
        <v>Rattlesnake Canyon Grocery</v>
      </c>
      <c r="K44" t="str">
        <f>_xlfn.XLOOKUP(Table9[[#This Row],[Company Name]],customers__2[companyName],customers__2[country],,0)</f>
        <v>USA</v>
      </c>
      <c r="L44">
        <f>MONTH(Table9[[#This Row],[OrderDate ]])</f>
        <v>7</v>
      </c>
      <c r="M44" t="str">
        <f>TEXT(Table9[[#This Row],[OrderDate ]],"mmm")</f>
        <v>Jul</v>
      </c>
      <c r="N44">
        <f>YEAR(Table9[[#This Row],[OrderDate ]])</f>
        <v>2013</v>
      </c>
    </row>
    <row r="45" spans="1:14" x14ac:dyDescent="0.3">
      <c r="A45">
        <v>10263</v>
      </c>
      <c r="B45" s="2">
        <f>_xlfn.XLOOKUP(Table9[[#This Row],[orderID]],orders[orderID],orders[orderDate],,0)</f>
        <v>41478</v>
      </c>
      <c r="C45">
        <f>_xlfn.XLOOKUP(A45,order_details[orderID],order_details[productID],,0)</f>
        <v>16</v>
      </c>
      <c r="D45" t="str">
        <f>_xlfn.XLOOKUP(C45,products[productID],products[productName],,0)</f>
        <v>Pavlova</v>
      </c>
      <c r="E45" t="str">
        <f>_xlfn.XLOOKUP(_xlfn.XLOOKUP(Table9[[#This Row],[ProductName ]],products[productName],products[categoryID],,0),categories[categoryID],categories[categoryName],,0)</f>
        <v>Confections</v>
      </c>
      <c r="F45">
        <v>60</v>
      </c>
      <c r="G45">
        <v>139</v>
      </c>
      <c r="H45">
        <v>25</v>
      </c>
      <c r="I45">
        <f>Table9[[#This Row],[quantity]]*Table9[[#This Row],[unitPrice]]*(1-Table9[[#This Row],[discount]]/100)</f>
        <v>6255</v>
      </c>
      <c r="J45" t="str">
        <f>_xlfn.XLOOKUP(_xlfn.XLOOKUP(A45,orders[orderID],orders[customerID],,0),customers__2[customerID],customers__2[companyName],,0)</f>
        <v>Ernst Handel</v>
      </c>
      <c r="K45" t="str">
        <f>_xlfn.XLOOKUP(Table9[[#This Row],[Company Name]],customers__2[companyName],customers__2[country],,0)</f>
        <v>Austria</v>
      </c>
      <c r="L45">
        <f>MONTH(Table9[[#This Row],[OrderDate ]])</f>
        <v>7</v>
      </c>
      <c r="M45" t="str">
        <f>TEXT(Table9[[#This Row],[OrderDate ]],"mmm")</f>
        <v>Jul</v>
      </c>
      <c r="N45">
        <f>YEAR(Table9[[#This Row],[OrderDate ]])</f>
        <v>2013</v>
      </c>
    </row>
    <row r="46" spans="1:14" x14ac:dyDescent="0.3">
      <c r="A46">
        <v>10263</v>
      </c>
      <c r="B46" s="2">
        <f>_xlfn.XLOOKUP(Table9[[#This Row],[orderID]],orders[orderID],orders[orderDate],,0)</f>
        <v>41478</v>
      </c>
      <c r="C46">
        <f>_xlfn.XLOOKUP(A46,order_details[orderID],order_details[productID],,0)</f>
        <v>16</v>
      </c>
      <c r="D46" t="str">
        <f>_xlfn.XLOOKUP(C46,products[productID],products[productName],,0)</f>
        <v>Pavlova</v>
      </c>
      <c r="E46" t="str">
        <f>_xlfn.XLOOKUP(_xlfn.XLOOKUP(Table9[[#This Row],[ProductName ]],products[productName],products[categoryID],,0),categories[categoryID],categories[categoryName],,0)</f>
        <v>Confections</v>
      </c>
      <c r="F46">
        <v>28</v>
      </c>
      <c r="G46">
        <v>36</v>
      </c>
      <c r="H46">
        <v>0</v>
      </c>
      <c r="I46">
        <f>Table9[[#This Row],[quantity]]*Table9[[#This Row],[unitPrice]]*(1-Table9[[#This Row],[discount]]/100)</f>
        <v>1008</v>
      </c>
      <c r="J46" t="str">
        <f>_xlfn.XLOOKUP(_xlfn.XLOOKUP(A46,orders[orderID],orders[customerID],,0),customers__2[customerID],customers__2[companyName],,0)</f>
        <v>Ernst Handel</v>
      </c>
      <c r="K46" t="str">
        <f>_xlfn.XLOOKUP(Table9[[#This Row],[Company Name]],customers__2[companyName],customers__2[country],,0)</f>
        <v>Austria</v>
      </c>
      <c r="L46">
        <f>MONTH(Table9[[#This Row],[OrderDate ]])</f>
        <v>7</v>
      </c>
      <c r="M46" t="str">
        <f>TEXT(Table9[[#This Row],[OrderDate ]],"mmm")</f>
        <v>Jul</v>
      </c>
      <c r="N46">
        <f>YEAR(Table9[[#This Row],[OrderDate ]])</f>
        <v>2013</v>
      </c>
    </row>
    <row r="47" spans="1:14" x14ac:dyDescent="0.3">
      <c r="A47">
        <v>10263</v>
      </c>
      <c r="B47" s="2">
        <f>_xlfn.XLOOKUP(Table9[[#This Row],[orderID]],orders[orderID],orders[orderDate],,0)</f>
        <v>41478</v>
      </c>
      <c r="C47">
        <f>_xlfn.XLOOKUP(A47,order_details[orderID],order_details[productID],,0)</f>
        <v>16</v>
      </c>
      <c r="D47" t="str">
        <f>_xlfn.XLOOKUP(C47,products[productID],products[productName],,0)</f>
        <v>Pavlova</v>
      </c>
      <c r="E47" t="str">
        <f>_xlfn.XLOOKUP(_xlfn.XLOOKUP(Table9[[#This Row],[ProductName ]],products[productName],products[categoryID],,0),categories[categoryID],categories[categoryName],,0)</f>
        <v>Confections</v>
      </c>
      <c r="F47">
        <v>60</v>
      </c>
      <c r="G47">
        <v>207</v>
      </c>
      <c r="H47">
        <v>25</v>
      </c>
      <c r="I47">
        <f>Table9[[#This Row],[quantity]]*Table9[[#This Row],[unitPrice]]*(1-Table9[[#This Row],[discount]]/100)</f>
        <v>9315</v>
      </c>
      <c r="J47" t="str">
        <f>_xlfn.XLOOKUP(_xlfn.XLOOKUP(A47,orders[orderID],orders[customerID],,0),customers__2[customerID],customers__2[companyName],,0)</f>
        <v>Ernst Handel</v>
      </c>
      <c r="K47" t="str">
        <f>_xlfn.XLOOKUP(Table9[[#This Row],[Company Name]],customers__2[companyName],customers__2[country],,0)</f>
        <v>Austria</v>
      </c>
      <c r="L47">
        <f>MONTH(Table9[[#This Row],[OrderDate ]])</f>
        <v>7</v>
      </c>
      <c r="M47" t="str">
        <f>TEXT(Table9[[#This Row],[OrderDate ]],"mmm")</f>
        <v>Jul</v>
      </c>
      <c r="N47">
        <f>YEAR(Table9[[#This Row],[OrderDate ]])</f>
        <v>2013</v>
      </c>
    </row>
    <row r="48" spans="1:14" x14ac:dyDescent="0.3">
      <c r="A48">
        <v>10263</v>
      </c>
      <c r="B48" s="2">
        <f>_xlfn.XLOOKUP(Table9[[#This Row],[orderID]],orders[orderID],orders[orderDate],,0)</f>
        <v>41478</v>
      </c>
      <c r="C48">
        <f>_xlfn.XLOOKUP(A48,order_details[orderID],order_details[productID],,0)</f>
        <v>16</v>
      </c>
      <c r="D48" t="str">
        <f>_xlfn.XLOOKUP(C48,products[productID],products[productName],,0)</f>
        <v>Pavlova</v>
      </c>
      <c r="E48" t="str">
        <f>_xlfn.XLOOKUP(_xlfn.XLOOKUP(Table9[[#This Row],[ProductName ]],products[productName],products[categoryID],,0),categories[categoryID],categories[categoryName],,0)</f>
        <v>Confections</v>
      </c>
      <c r="F48">
        <v>36</v>
      </c>
      <c r="G48">
        <v>8</v>
      </c>
      <c r="H48">
        <v>25</v>
      </c>
      <c r="I48">
        <f>Table9[[#This Row],[quantity]]*Table9[[#This Row],[unitPrice]]*(1-Table9[[#This Row],[discount]]/100)</f>
        <v>216</v>
      </c>
      <c r="J48" t="str">
        <f>_xlfn.XLOOKUP(_xlfn.XLOOKUP(A48,orders[orderID],orders[customerID],,0),customers__2[customerID],customers__2[companyName],,0)</f>
        <v>Ernst Handel</v>
      </c>
      <c r="K48" t="str">
        <f>_xlfn.XLOOKUP(Table9[[#This Row],[Company Name]],customers__2[companyName],customers__2[country],,0)</f>
        <v>Austria</v>
      </c>
      <c r="L48">
        <f>MONTH(Table9[[#This Row],[OrderDate ]])</f>
        <v>7</v>
      </c>
      <c r="M48" t="str">
        <f>TEXT(Table9[[#This Row],[OrderDate ]],"mmm")</f>
        <v>Jul</v>
      </c>
      <c r="N48">
        <f>YEAR(Table9[[#This Row],[OrderDate ]])</f>
        <v>2013</v>
      </c>
    </row>
    <row r="49" spans="1:14" x14ac:dyDescent="0.3">
      <c r="A49">
        <v>10264</v>
      </c>
      <c r="B49" s="2">
        <f>_xlfn.XLOOKUP(Table9[[#This Row],[orderID]],orders[orderID],orders[orderDate],,0)</f>
        <v>41479</v>
      </c>
      <c r="C49">
        <f>_xlfn.XLOOKUP(A49,order_details[orderID],order_details[productID],,0)</f>
        <v>2</v>
      </c>
      <c r="D49" t="str">
        <f>_xlfn.XLOOKUP(C49,products[productID],products[productName],,0)</f>
        <v>Chang</v>
      </c>
      <c r="E49" t="str">
        <f>_xlfn.XLOOKUP(_xlfn.XLOOKUP(Table9[[#This Row],[ProductName ]],products[productName],products[categoryID],,0),categories[categoryID],categories[categoryName],,0)</f>
        <v>Beverages</v>
      </c>
      <c r="F49">
        <v>35</v>
      </c>
      <c r="G49">
        <v>152</v>
      </c>
      <c r="H49">
        <v>0</v>
      </c>
      <c r="I49">
        <f>Table9[[#This Row],[quantity]]*Table9[[#This Row],[unitPrice]]*(1-Table9[[#This Row],[discount]]/100)</f>
        <v>5320</v>
      </c>
      <c r="J49" t="str">
        <f>_xlfn.XLOOKUP(_xlfn.XLOOKUP(A49,orders[orderID],orders[customerID],,0),customers__2[customerID],customers__2[companyName],,0)</f>
        <v>Folk och fä HB</v>
      </c>
      <c r="K49" t="str">
        <f>_xlfn.XLOOKUP(Table9[[#This Row],[Company Name]],customers__2[companyName],customers__2[country],,0)</f>
        <v>Sweden</v>
      </c>
      <c r="L49">
        <f>MONTH(Table9[[#This Row],[OrderDate ]])</f>
        <v>7</v>
      </c>
      <c r="M49" t="str">
        <f>TEXT(Table9[[#This Row],[OrderDate ]],"mmm")</f>
        <v>Jul</v>
      </c>
      <c r="N49">
        <f>YEAR(Table9[[#This Row],[OrderDate ]])</f>
        <v>2013</v>
      </c>
    </row>
    <row r="50" spans="1:14" x14ac:dyDescent="0.3">
      <c r="A50">
        <v>10264</v>
      </c>
      <c r="B50" s="2">
        <f>_xlfn.XLOOKUP(Table9[[#This Row],[orderID]],orders[orderID],orders[orderDate],,0)</f>
        <v>41479</v>
      </c>
      <c r="C50">
        <f>_xlfn.XLOOKUP(A50,order_details[orderID],order_details[productID],,0)</f>
        <v>2</v>
      </c>
      <c r="D50" t="str">
        <f>_xlfn.XLOOKUP(C50,products[productID],products[productName],,0)</f>
        <v>Chang</v>
      </c>
      <c r="E50" t="str">
        <f>_xlfn.XLOOKUP(_xlfn.XLOOKUP(Table9[[#This Row],[ProductName ]],products[productName],products[categoryID],,0),categories[categoryID],categories[categoryName],,0)</f>
        <v>Beverages</v>
      </c>
      <c r="F50">
        <v>25</v>
      </c>
      <c r="G50">
        <v>77</v>
      </c>
      <c r="H50">
        <v>15</v>
      </c>
      <c r="I50">
        <f>Table9[[#This Row],[quantity]]*Table9[[#This Row],[unitPrice]]*(1-Table9[[#This Row],[discount]]/100)</f>
        <v>1636.25</v>
      </c>
      <c r="J50" t="str">
        <f>_xlfn.XLOOKUP(_xlfn.XLOOKUP(A50,orders[orderID],orders[customerID],,0),customers__2[customerID],customers__2[companyName],,0)</f>
        <v>Folk och fä HB</v>
      </c>
      <c r="K50" t="str">
        <f>_xlfn.XLOOKUP(Table9[[#This Row],[Company Name]],customers__2[companyName],customers__2[country],,0)</f>
        <v>Sweden</v>
      </c>
      <c r="L50">
        <f>MONTH(Table9[[#This Row],[OrderDate ]])</f>
        <v>7</v>
      </c>
      <c r="M50" t="str">
        <f>TEXT(Table9[[#This Row],[OrderDate ]],"mmm")</f>
        <v>Jul</v>
      </c>
      <c r="N50">
        <f>YEAR(Table9[[#This Row],[OrderDate ]])</f>
        <v>2013</v>
      </c>
    </row>
    <row r="51" spans="1:14" x14ac:dyDescent="0.3">
      <c r="A51">
        <v>10265</v>
      </c>
      <c r="B51" s="2">
        <f>_xlfn.XLOOKUP(Table9[[#This Row],[orderID]],orders[orderID],orders[orderDate],,0)</f>
        <v>41480</v>
      </c>
      <c r="C51">
        <f>_xlfn.XLOOKUP(A51,order_details[orderID],order_details[productID],,0)</f>
        <v>17</v>
      </c>
      <c r="D51" t="str">
        <f>_xlfn.XLOOKUP(C51,products[productID],products[productName],,0)</f>
        <v>Alice Mutton</v>
      </c>
      <c r="E51" t="str">
        <f>_xlfn.XLOOKUP(_xlfn.XLOOKUP(Table9[[#This Row],[ProductName ]],products[productName],products[categoryID],,0),categories[categoryID],categories[categoryName],,0)</f>
        <v>Meat &amp; Poultry</v>
      </c>
      <c r="F51">
        <v>30</v>
      </c>
      <c r="G51">
        <v>312</v>
      </c>
      <c r="H51">
        <v>0</v>
      </c>
      <c r="I51">
        <f>Table9[[#This Row],[quantity]]*Table9[[#This Row],[unitPrice]]*(1-Table9[[#This Row],[discount]]/100)</f>
        <v>9360</v>
      </c>
      <c r="J51" t="str">
        <f>_xlfn.XLOOKUP(_xlfn.XLOOKUP(A51,orders[orderID],orders[customerID],,0),customers__2[customerID],customers__2[companyName],,0)</f>
        <v>Blondesddsl père et fils</v>
      </c>
      <c r="K51" t="str">
        <f>_xlfn.XLOOKUP(Table9[[#This Row],[Company Name]],customers__2[companyName],customers__2[country],,0)</f>
        <v>France</v>
      </c>
      <c r="L51">
        <f>MONTH(Table9[[#This Row],[OrderDate ]])</f>
        <v>7</v>
      </c>
      <c r="M51" t="str">
        <f>TEXT(Table9[[#This Row],[OrderDate ]],"mmm")</f>
        <v>Jul</v>
      </c>
      <c r="N51">
        <f>YEAR(Table9[[#This Row],[OrderDate ]])</f>
        <v>2013</v>
      </c>
    </row>
    <row r="52" spans="1:14" x14ac:dyDescent="0.3">
      <c r="A52">
        <v>10265</v>
      </c>
      <c r="B52" s="2">
        <f>_xlfn.XLOOKUP(Table9[[#This Row],[orderID]],orders[orderID],orders[orderDate],,0)</f>
        <v>41480</v>
      </c>
      <c r="C52">
        <f>_xlfn.XLOOKUP(A52,order_details[orderID],order_details[productID],,0)</f>
        <v>17</v>
      </c>
      <c r="D52" t="str">
        <f>_xlfn.XLOOKUP(C52,products[productID],products[productName],,0)</f>
        <v>Alice Mutton</v>
      </c>
      <c r="E52" t="str">
        <f>_xlfn.XLOOKUP(_xlfn.XLOOKUP(Table9[[#This Row],[ProductName ]],products[productName],products[categoryID],,0),categories[categoryID],categories[categoryName],,0)</f>
        <v>Meat &amp; Poultry</v>
      </c>
      <c r="F52">
        <v>20</v>
      </c>
      <c r="G52">
        <v>12</v>
      </c>
      <c r="H52">
        <v>0</v>
      </c>
      <c r="I52">
        <f>Table9[[#This Row],[quantity]]*Table9[[#This Row],[unitPrice]]*(1-Table9[[#This Row],[discount]]/100)</f>
        <v>240</v>
      </c>
      <c r="J52" t="str">
        <f>_xlfn.XLOOKUP(_xlfn.XLOOKUP(A52,orders[orderID],orders[customerID],,0),customers__2[customerID],customers__2[companyName],,0)</f>
        <v>Blondesddsl père et fils</v>
      </c>
      <c r="K52" t="str">
        <f>_xlfn.XLOOKUP(Table9[[#This Row],[Company Name]],customers__2[companyName],customers__2[country],,0)</f>
        <v>France</v>
      </c>
      <c r="L52">
        <f>MONTH(Table9[[#This Row],[OrderDate ]])</f>
        <v>7</v>
      </c>
      <c r="M52" t="str">
        <f>TEXT(Table9[[#This Row],[OrderDate ]],"mmm")</f>
        <v>Jul</v>
      </c>
      <c r="N52">
        <f>YEAR(Table9[[#This Row],[OrderDate ]])</f>
        <v>2013</v>
      </c>
    </row>
    <row r="53" spans="1:14" x14ac:dyDescent="0.3">
      <c r="A53">
        <v>10266</v>
      </c>
      <c r="B53" s="2">
        <f>_xlfn.XLOOKUP(Table9[[#This Row],[orderID]],orders[orderID],orders[orderDate],,0)</f>
        <v>41481</v>
      </c>
      <c r="C53">
        <f>_xlfn.XLOOKUP(A53,order_details[orderID],order_details[productID],,0)</f>
        <v>12</v>
      </c>
      <c r="D53" t="str">
        <f>_xlfn.XLOOKUP(C53,products[productID],products[productName],,0)</f>
        <v>Queso Manchego La Pastora</v>
      </c>
      <c r="E53" t="str">
        <f>_xlfn.XLOOKUP(_xlfn.XLOOKUP(Table9[[#This Row],[ProductName ]],products[productName],products[categoryID],,0),categories[categoryID],categories[categoryName],,0)</f>
        <v>Dairy Products</v>
      </c>
      <c r="F53">
        <v>12</v>
      </c>
      <c r="G53">
        <v>304</v>
      </c>
      <c r="H53">
        <v>5</v>
      </c>
      <c r="I53">
        <f>Table9[[#This Row],[quantity]]*Table9[[#This Row],[unitPrice]]*(1-Table9[[#This Row],[discount]]/100)</f>
        <v>3465.6</v>
      </c>
      <c r="J53" t="str">
        <f>_xlfn.XLOOKUP(_xlfn.XLOOKUP(A53,orders[orderID],orders[customerID],,0),customers__2[customerID],customers__2[companyName],,0)</f>
        <v>Wartian Herkku</v>
      </c>
      <c r="K53" t="str">
        <f>_xlfn.XLOOKUP(Table9[[#This Row],[Company Name]],customers__2[companyName],customers__2[country],,0)</f>
        <v>Finland</v>
      </c>
      <c r="L53">
        <f>MONTH(Table9[[#This Row],[OrderDate ]])</f>
        <v>7</v>
      </c>
      <c r="M53" t="str">
        <f>TEXT(Table9[[#This Row],[OrderDate ]],"mmm")</f>
        <v>Jul</v>
      </c>
      <c r="N53">
        <f>YEAR(Table9[[#This Row],[OrderDate ]])</f>
        <v>2013</v>
      </c>
    </row>
    <row r="54" spans="1:14" x14ac:dyDescent="0.3">
      <c r="A54">
        <v>10267</v>
      </c>
      <c r="B54" s="2">
        <f>_xlfn.XLOOKUP(Table9[[#This Row],[orderID]],orders[orderID],orders[orderDate],,0)</f>
        <v>41484</v>
      </c>
      <c r="C54">
        <f>_xlfn.XLOOKUP(A54,order_details[orderID],order_details[productID],,0)</f>
        <v>40</v>
      </c>
      <c r="D54" t="str">
        <f>_xlfn.XLOOKUP(C54,products[productID],products[productName],,0)</f>
        <v>Boston Crab Meat</v>
      </c>
      <c r="E54" t="str">
        <f>_xlfn.XLOOKUP(_xlfn.XLOOKUP(Table9[[#This Row],[ProductName ]],products[productName],products[categoryID],,0),categories[categoryID],categories[categoryName],,0)</f>
        <v>Seafood</v>
      </c>
      <c r="F54">
        <v>50</v>
      </c>
      <c r="G54">
        <v>147</v>
      </c>
      <c r="H54">
        <v>0</v>
      </c>
      <c r="I54">
        <f>Table9[[#This Row],[quantity]]*Table9[[#This Row],[unitPrice]]*(1-Table9[[#This Row],[discount]]/100)</f>
        <v>7350</v>
      </c>
      <c r="J54" t="str">
        <f>_xlfn.XLOOKUP(_xlfn.XLOOKUP(A54,orders[orderID],orders[customerID],,0),customers__2[customerID],customers__2[companyName],,0)</f>
        <v>Frankenversand</v>
      </c>
      <c r="K54" t="str">
        <f>_xlfn.XLOOKUP(Table9[[#This Row],[Company Name]],customers__2[companyName],customers__2[country],,0)</f>
        <v>Germany</v>
      </c>
      <c r="L54">
        <f>MONTH(Table9[[#This Row],[OrderDate ]])</f>
        <v>7</v>
      </c>
      <c r="M54" t="str">
        <f>TEXT(Table9[[#This Row],[OrderDate ]],"mmm")</f>
        <v>Jul</v>
      </c>
      <c r="N54">
        <f>YEAR(Table9[[#This Row],[OrderDate ]])</f>
        <v>2013</v>
      </c>
    </row>
    <row r="55" spans="1:14" x14ac:dyDescent="0.3">
      <c r="A55">
        <v>10267</v>
      </c>
      <c r="B55" s="2">
        <f>_xlfn.XLOOKUP(Table9[[#This Row],[orderID]],orders[orderID],orders[orderDate],,0)</f>
        <v>41484</v>
      </c>
      <c r="C55">
        <f>_xlfn.XLOOKUP(A55,order_details[orderID],order_details[productID],,0)</f>
        <v>40</v>
      </c>
      <c r="D55" t="str">
        <f>_xlfn.XLOOKUP(C55,products[productID],products[productName],,0)</f>
        <v>Boston Crab Meat</v>
      </c>
      <c r="E55" t="str">
        <f>_xlfn.XLOOKUP(_xlfn.XLOOKUP(Table9[[#This Row],[ProductName ]],products[productName],products[categoryID],,0),categories[categoryID],categories[categoryName],,0)</f>
        <v>Seafood</v>
      </c>
      <c r="F55">
        <v>70</v>
      </c>
      <c r="G55">
        <v>44</v>
      </c>
      <c r="H55">
        <v>15</v>
      </c>
      <c r="I55">
        <f>Table9[[#This Row],[quantity]]*Table9[[#This Row],[unitPrice]]*(1-Table9[[#This Row],[discount]]/100)</f>
        <v>2618</v>
      </c>
      <c r="J55" t="str">
        <f>_xlfn.XLOOKUP(_xlfn.XLOOKUP(A55,orders[orderID],orders[customerID],,0),customers__2[customerID],customers__2[companyName],,0)</f>
        <v>Frankenversand</v>
      </c>
      <c r="K55" t="str">
        <f>_xlfn.XLOOKUP(Table9[[#This Row],[Company Name]],customers__2[companyName],customers__2[country],,0)</f>
        <v>Germany</v>
      </c>
      <c r="L55">
        <f>MONTH(Table9[[#This Row],[OrderDate ]])</f>
        <v>7</v>
      </c>
      <c r="M55" t="str">
        <f>TEXT(Table9[[#This Row],[OrderDate ]],"mmm")</f>
        <v>Jul</v>
      </c>
      <c r="N55">
        <f>YEAR(Table9[[#This Row],[OrderDate ]])</f>
        <v>2013</v>
      </c>
    </row>
    <row r="56" spans="1:14" x14ac:dyDescent="0.3">
      <c r="A56">
        <v>10267</v>
      </c>
      <c r="B56" s="2">
        <f>_xlfn.XLOOKUP(Table9[[#This Row],[orderID]],orders[orderID],orders[orderDate],,0)</f>
        <v>41484</v>
      </c>
      <c r="C56">
        <f>_xlfn.XLOOKUP(A56,order_details[orderID],order_details[productID],,0)</f>
        <v>40</v>
      </c>
      <c r="D56" t="str">
        <f>_xlfn.XLOOKUP(C56,products[productID],products[productName],,0)</f>
        <v>Boston Crab Meat</v>
      </c>
      <c r="E56" t="str">
        <f>_xlfn.XLOOKUP(_xlfn.XLOOKUP(Table9[[#This Row],[ProductName ]],products[productName],products[categoryID],,0),categories[categoryID],categories[categoryName],,0)</f>
        <v>Seafood</v>
      </c>
      <c r="F56">
        <v>15</v>
      </c>
      <c r="G56">
        <v>144</v>
      </c>
      <c r="H56">
        <v>15</v>
      </c>
      <c r="I56">
        <f>Table9[[#This Row],[quantity]]*Table9[[#This Row],[unitPrice]]*(1-Table9[[#This Row],[discount]]/100)</f>
        <v>1836</v>
      </c>
      <c r="J56" t="str">
        <f>_xlfn.XLOOKUP(_xlfn.XLOOKUP(A56,orders[orderID],orders[customerID],,0),customers__2[customerID],customers__2[companyName],,0)</f>
        <v>Frankenversand</v>
      </c>
      <c r="K56" t="str">
        <f>_xlfn.XLOOKUP(Table9[[#This Row],[Company Name]],customers__2[companyName],customers__2[country],,0)</f>
        <v>Germany</v>
      </c>
      <c r="L56">
        <f>MONTH(Table9[[#This Row],[OrderDate ]])</f>
        <v>7</v>
      </c>
      <c r="M56" t="str">
        <f>TEXT(Table9[[#This Row],[OrderDate ]],"mmm")</f>
        <v>Jul</v>
      </c>
      <c r="N56">
        <f>YEAR(Table9[[#This Row],[OrderDate ]])</f>
        <v>2013</v>
      </c>
    </row>
    <row r="57" spans="1:14" x14ac:dyDescent="0.3">
      <c r="A57">
        <v>10268</v>
      </c>
      <c r="B57" s="2">
        <f>_xlfn.XLOOKUP(Table9[[#This Row],[orderID]],orders[orderID],orders[orderDate],,0)</f>
        <v>41485</v>
      </c>
      <c r="C57">
        <f>_xlfn.XLOOKUP(A57,order_details[orderID],order_details[productID],,0)</f>
        <v>29</v>
      </c>
      <c r="D57" t="str">
        <f>_xlfn.XLOOKUP(C57,products[productID],products[productName],,0)</f>
        <v>Thüringer Rostbratwurst</v>
      </c>
      <c r="E57" t="str">
        <f>_xlfn.XLOOKUP(_xlfn.XLOOKUP(Table9[[#This Row],[ProductName ]],products[productName],products[categoryID],,0),categories[categoryID],categories[categoryName],,0)</f>
        <v>Meat &amp; Poultry</v>
      </c>
      <c r="F57">
        <v>10</v>
      </c>
      <c r="G57">
        <v>99</v>
      </c>
      <c r="H57">
        <v>0</v>
      </c>
      <c r="I57">
        <f>Table9[[#This Row],[quantity]]*Table9[[#This Row],[unitPrice]]*(1-Table9[[#This Row],[discount]]/100)</f>
        <v>990</v>
      </c>
      <c r="J57" t="str">
        <f>_xlfn.XLOOKUP(_xlfn.XLOOKUP(A57,orders[orderID],orders[customerID],,0),customers__2[customerID],customers__2[companyName],,0)</f>
        <v>GROSELLA-Restaurante</v>
      </c>
      <c r="K57" t="str">
        <f>_xlfn.XLOOKUP(Table9[[#This Row],[Company Name]],customers__2[companyName],customers__2[country],,0)</f>
        <v>Venezuela</v>
      </c>
      <c r="L57">
        <f>MONTH(Table9[[#This Row],[OrderDate ]])</f>
        <v>7</v>
      </c>
      <c r="M57" t="str">
        <f>TEXT(Table9[[#This Row],[OrderDate ]],"mmm")</f>
        <v>Jul</v>
      </c>
      <c r="N57">
        <f>YEAR(Table9[[#This Row],[OrderDate ]])</f>
        <v>2013</v>
      </c>
    </row>
    <row r="58" spans="1:14" x14ac:dyDescent="0.3">
      <c r="A58">
        <v>10268</v>
      </c>
      <c r="B58" s="2">
        <f>_xlfn.XLOOKUP(Table9[[#This Row],[orderID]],orders[orderID],orders[orderDate],,0)</f>
        <v>41485</v>
      </c>
      <c r="C58">
        <f>_xlfn.XLOOKUP(A58,order_details[orderID],order_details[productID],,0)</f>
        <v>29</v>
      </c>
      <c r="D58" t="str">
        <f>_xlfn.XLOOKUP(C58,products[productID],products[productName],,0)</f>
        <v>Thüringer Rostbratwurst</v>
      </c>
      <c r="E58" t="str">
        <f>_xlfn.XLOOKUP(_xlfn.XLOOKUP(Table9[[#This Row],[ProductName ]],products[productName],products[categoryID],,0),categories[categoryID],categories[categoryName],,0)</f>
        <v>Meat &amp; Poultry</v>
      </c>
      <c r="F58">
        <v>4</v>
      </c>
      <c r="G58">
        <v>278</v>
      </c>
      <c r="H58">
        <v>0</v>
      </c>
      <c r="I58">
        <f>Table9[[#This Row],[quantity]]*Table9[[#This Row],[unitPrice]]*(1-Table9[[#This Row],[discount]]/100)</f>
        <v>1112</v>
      </c>
      <c r="J58" t="str">
        <f>_xlfn.XLOOKUP(_xlfn.XLOOKUP(A58,orders[orderID],orders[customerID],,0),customers__2[customerID],customers__2[companyName],,0)</f>
        <v>GROSELLA-Restaurante</v>
      </c>
      <c r="K58" t="str">
        <f>_xlfn.XLOOKUP(Table9[[#This Row],[Company Name]],customers__2[companyName],customers__2[country],,0)</f>
        <v>Venezuela</v>
      </c>
      <c r="L58">
        <f>MONTH(Table9[[#This Row],[OrderDate ]])</f>
        <v>7</v>
      </c>
      <c r="M58" t="str">
        <f>TEXT(Table9[[#This Row],[OrderDate ]],"mmm")</f>
        <v>Jul</v>
      </c>
      <c r="N58">
        <f>YEAR(Table9[[#This Row],[OrderDate ]])</f>
        <v>2013</v>
      </c>
    </row>
    <row r="59" spans="1:14" x14ac:dyDescent="0.3">
      <c r="A59">
        <v>10269</v>
      </c>
      <c r="B59" s="2">
        <f>_xlfn.XLOOKUP(Table9[[#This Row],[orderID]],orders[orderID],orders[orderDate],,0)</f>
        <v>41486</v>
      </c>
      <c r="C59">
        <f>_xlfn.XLOOKUP(A59,order_details[orderID],order_details[productID],,0)</f>
        <v>33</v>
      </c>
      <c r="D59" t="str">
        <f>_xlfn.XLOOKUP(C59,products[productID],products[productName],,0)</f>
        <v>Geitost</v>
      </c>
      <c r="E59" t="str">
        <f>_xlfn.XLOOKUP(_xlfn.XLOOKUP(Table9[[#This Row],[ProductName ]],products[productName],products[categoryID],,0),categories[categoryID],categories[categoryName],,0)</f>
        <v>Dairy Products</v>
      </c>
      <c r="F59">
        <v>60</v>
      </c>
      <c r="G59">
        <v>2</v>
      </c>
      <c r="H59">
        <v>5</v>
      </c>
      <c r="I59">
        <f>Table9[[#This Row],[quantity]]*Table9[[#This Row],[unitPrice]]*(1-Table9[[#This Row],[discount]]/100)</f>
        <v>114</v>
      </c>
      <c r="J59" t="str">
        <f>_xlfn.XLOOKUP(_xlfn.XLOOKUP(A59,orders[orderID],orders[customerID],,0),customers__2[customerID],customers__2[companyName],,0)</f>
        <v>White Clover Markets</v>
      </c>
      <c r="K59" t="str">
        <f>_xlfn.XLOOKUP(Table9[[#This Row],[Company Name]],customers__2[companyName],customers__2[country],,0)</f>
        <v>USA</v>
      </c>
      <c r="L59">
        <f>MONTH(Table9[[#This Row],[OrderDate ]])</f>
        <v>7</v>
      </c>
      <c r="M59" t="str">
        <f>TEXT(Table9[[#This Row],[OrderDate ]],"mmm")</f>
        <v>Jul</v>
      </c>
      <c r="N59">
        <f>YEAR(Table9[[#This Row],[OrderDate ]])</f>
        <v>2013</v>
      </c>
    </row>
    <row r="60" spans="1:14" x14ac:dyDescent="0.3">
      <c r="A60">
        <v>10269</v>
      </c>
      <c r="B60" s="2">
        <f>_xlfn.XLOOKUP(Table9[[#This Row],[orderID]],orders[orderID],orders[orderDate],,0)</f>
        <v>41486</v>
      </c>
      <c r="C60">
        <f>_xlfn.XLOOKUP(A60,order_details[orderID],order_details[productID],,0)</f>
        <v>33</v>
      </c>
      <c r="D60" t="str">
        <f>_xlfn.XLOOKUP(C60,products[productID],products[productName],,0)</f>
        <v>Geitost</v>
      </c>
      <c r="E60" t="str">
        <f>_xlfn.XLOOKUP(_xlfn.XLOOKUP(Table9[[#This Row],[ProductName ]],products[productName],products[categoryID],,0),categories[categoryID],categories[categoryName],,0)</f>
        <v>Dairy Products</v>
      </c>
      <c r="F60">
        <v>20</v>
      </c>
      <c r="G60">
        <v>278</v>
      </c>
      <c r="H60">
        <v>5</v>
      </c>
      <c r="I60">
        <f>Table9[[#This Row],[quantity]]*Table9[[#This Row],[unitPrice]]*(1-Table9[[#This Row],[discount]]/100)</f>
        <v>5282</v>
      </c>
      <c r="J60" t="str">
        <f>_xlfn.XLOOKUP(_xlfn.XLOOKUP(A60,orders[orderID],orders[customerID],,0),customers__2[customerID],customers__2[companyName],,0)</f>
        <v>White Clover Markets</v>
      </c>
      <c r="K60" t="str">
        <f>_xlfn.XLOOKUP(Table9[[#This Row],[Company Name]],customers__2[companyName],customers__2[country],,0)</f>
        <v>USA</v>
      </c>
      <c r="L60">
        <f>MONTH(Table9[[#This Row],[OrderDate ]])</f>
        <v>7</v>
      </c>
      <c r="M60" t="str">
        <f>TEXT(Table9[[#This Row],[OrderDate ]],"mmm")</f>
        <v>Jul</v>
      </c>
      <c r="N60">
        <f>YEAR(Table9[[#This Row],[OrderDate ]])</f>
        <v>2013</v>
      </c>
    </row>
    <row r="61" spans="1:14" x14ac:dyDescent="0.3">
      <c r="A61">
        <v>10270</v>
      </c>
      <c r="B61" s="2">
        <f>_xlfn.XLOOKUP(Table9[[#This Row],[orderID]],orders[orderID],orders[orderDate],,0)</f>
        <v>41487</v>
      </c>
      <c r="C61">
        <f>_xlfn.XLOOKUP(A61,order_details[orderID],order_details[productID],,0)</f>
        <v>36</v>
      </c>
      <c r="D61" t="str">
        <f>_xlfn.XLOOKUP(C61,products[productID],products[productName],,0)</f>
        <v>Inlagd Sill</v>
      </c>
      <c r="E61" t="str">
        <f>_xlfn.XLOOKUP(_xlfn.XLOOKUP(Table9[[#This Row],[ProductName ]],products[productName],products[categoryID],,0),categories[categoryID],categories[categoryName],,0)</f>
        <v>Seafood</v>
      </c>
      <c r="F61">
        <v>30</v>
      </c>
      <c r="G61">
        <v>152</v>
      </c>
      <c r="H61">
        <v>0</v>
      </c>
      <c r="I61">
        <f>Table9[[#This Row],[quantity]]*Table9[[#This Row],[unitPrice]]*(1-Table9[[#This Row],[discount]]/100)</f>
        <v>4560</v>
      </c>
      <c r="J61" t="str">
        <f>_xlfn.XLOOKUP(_xlfn.XLOOKUP(A61,orders[orderID],orders[customerID],,0),customers__2[customerID],customers__2[companyName],,0)</f>
        <v>Wartian Herkku</v>
      </c>
      <c r="K61" t="str">
        <f>_xlfn.XLOOKUP(Table9[[#This Row],[Company Name]],customers__2[companyName],customers__2[country],,0)</f>
        <v>Finland</v>
      </c>
      <c r="L61">
        <f>MONTH(Table9[[#This Row],[OrderDate ]])</f>
        <v>8</v>
      </c>
      <c r="M61" t="str">
        <f>TEXT(Table9[[#This Row],[OrderDate ]],"mmm")</f>
        <v>Aug</v>
      </c>
      <c r="N61">
        <f>YEAR(Table9[[#This Row],[OrderDate ]])</f>
        <v>2013</v>
      </c>
    </row>
    <row r="62" spans="1:14" x14ac:dyDescent="0.3">
      <c r="A62">
        <v>10270</v>
      </c>
      <c r="B62" s="2">
        <f>_xlfn.XLOOKUP(Table9[[#This Row],[orderID]],orders[orderID],orders[orderDate],,0)</f>
        <v>41487</v>
      </c>
      <c r="C62">
        <f>_xlfn.XLOOKUP(A62,order_details[orderID],order_details[productID],,0)</f>
        <v>36</v>
      </c>
      <c r="D62" t="str">
        <f>_xlfn.XLOOKUP(C62,products[productID],products[productName],,0)</f>
        <v>Inlagd Sill</v>
      </c>
      <c r="E62" t="str">
        <f>_xlfn.XLOOKUP(_xlfn.XLOOKUP(Table9[[#This Row],[ProductName ]],products[productName],products[categoryID],,0),categories[categoryID],categories[categoryName],,0)</f>
        <v>Seafood</v>
      </c>
      <c r="F62">
        <v>25</v>
      </c>
      <c r="G62">
        <v>368</v>
      </c>
      <c r="H62">
        <v>0</v>
      </c>
      <c r="I62">
        <f>Table9[[#This Row],[quantity]]*Table9[[#This Row],[unitPrice]]*(1-Table9[[#This Row],[discount]]/100)</f>
        <v>9200</v>
      </c>
      <c r="J62" t="str">
        <f>_xlfn.XLOOKUP(_xlfn.XLOOKUP(A62,orders[orderID],orders[customerID],,0),customers__2[customerID],customers__2[companyName],,0)</f>
        <v>Wartian Herkku</v>
      </c>
      <c r="K62" t="str">
        <f>_xlfn.XLOOKUP(Table9[[#This Row],[Company Name]],customers__2[companyName],customers__2[country],,0)</f>
        <v>Finland</v>
      </c>
      <c r="L62">
        <f>MONTH(Table9[[#This Row],[OrderDate ]])</f>
        <v>8</v>
      </c>
      <c r="M62" t="str">
        <f>TEXT(Table9[[#This Row],[OrderDate ]],"mmm")</f>
        <v>Aug</v>
      </c>
      <c r="N62">
        <f>YEAR(Table9[[#This Row],[OrderDate ]])</f>
        <v>2013</v>
      </c>
    </row>
    <row r="63" spans="1:14" x14ac:dyDescent="0.3">
      <c r="A63">
        <v>10271</v>
      </c>
      <c r="B63" s="2">
        <f>_xlfn.XLOOKUP(Table9[[#This Row],[orderID]],orders[orderID],orders[orderDate],,0)</f>
        <v>41487</v>
      </c>
      <c r="C63">
        <f>_xlfn.XLOOKUP(A63,order_details[orderID],order_details[productID],,0)</f>
        <v>33</v>
      </c>
      <c r="D63" t="str">
        <f>_xlfn.XLOOKUP(C63,products[productID],products[productName],,0)</f>
        <v>Geitost</v>
      </c>
      <c r="E63" t="str">
        <f>_xlfn.XLOOKUP(_xlfn.XLOOKUP(Table9[[#This Row],[ProductName ]],products[productName],products[categoryID],,0),categories[categoryID],categories[categoryName],,0)</f>
        <v>Dairy Products</v>
      </c>
      <c r="F63">
        <v>24</v>
      </c>
      <c r="G63">
        <v>2</v>
      </c>
      <c r="H63">
        <v>0</v>
      </c>
      <c r="I63">
        <f>Table9[[#This Row],[quantity]]*Table9[[#This Row],[unitPrice]]*(1-Table9[[#This Row],[discount]]/100)</f>
        <v>48</v>
      </c>
      <c r="J63" t="str">
        <f>_xlfn.XLOOKUP(_xlfn.XLOOKUP(A63,orders[orderID],orders[customerID],,0),customers__2[customerID],customers__2[companyName],,0)</f>
        <v>Split Rail Beer &amp; Ale</v>
      </c>
      <c r="K63" t="str">
        <f>_xlfn.XLOOKUP(Table9[[#This Row],[Company Name]],customers__2[companyName],customers__2[country],,0)</f>
        <v>USA</v>
      </c>
      <c r="L63">
        <f>MONTH(Table9[[#This Row],[OrderDate ]])</f>
        <v>8</v>
      </c>
      <c r="M63" t="str">
        <f>TEXT(Table9[[#This Row],[OrderDate ]],"mmm")</f>
        <v>Aug</v>
      </c>
      <c r="N63">
        <f>YEAR(Table9[[#This Row],[OrderDate ]])</f>
        <v>2013</v>
      </c>
    </row>
    <row r="64" spans="1:14" x14ac:dyDescent="0.3">
      <c r="A64">
        <v>10272</v>
      </c>
      <c r="B64" s="2">
        <f>_xlfn.XLOOKUP(Table9[[#This Row],[orderID]],orders[orderID],orders[orderDate],,0)</f>
        <v>41488</v>
      </c>
      <c r="C64">
        <f>_xlfn.XLOOKUP(A64,order_details[orderID],order_details[productID],,0)</f>
        <v>20</v>
      </c>
      <c r="D64" t="str">
        <f>_xlfn.XLOOKUP(C64,products[productID],products[productName],,0)</f>
        <v>Sir Rodney's Marmalade</v>
      </c>
      <c r="E64" t="str">
        <f>_xlfn.XLOOKUP(_xlfn.XLOOKUP(Table9[[#This Row],[ProductName ]],products[productName],products[categoryID],,0),categories[categoryID],categories[categoryName],,0)</f>
        <v>Confections</v>
      </c>
      <c r="F64">
        <v>6</v>
      </c>
      <c r="G64">
        <v>648</v>
      </c>
      <c r="H64">
        <v>0</v>
      </c>
      <c r="I64">
        <f>Table9[[#This Row],[quantity]]*Table9[[#This Row],[unitPrice]]*(1-Table9[[#This Row],[discount]]/100)</f>
        <v>3888</v>
      </c>
      <c r="J64" t="str">
        <f>_xlfn.XLOOKUP(_xlfn.XLOOKUP(A64,orders[orderID],orders[customerID],,0),customers__2[customerID],customers__2[companyName],,0)</f>
        <v>Rattlesnake Canyon Grocery</v>
      </c>
      <c r="K64" t="str">
        <f>_xlfn.XLOOKUP(Table9[[#This Row],[Company Name]],customers__2[companyName],customers__2[country],,0)</f>
        <v>USA</v>
      </c>
      <c r="L64">
        <f>MONTH(Table9[[#This Row],[OrderDate ]])</f>
        <v>8</v>
      </c>
      <c r="M64" t="str">
        <f>TEXT(Table9[[#This Row],[OrderDate ]],"mmm")</f>
        <v>Aug</v>
      </c>
      <c r="N64">
        <f>YEAR(Table9[[#This Row],[OrderDate ]])</f>
        <v>2013</v>
      </c>
    </row>
    <row r="65" spans="1:14" x14ac:dyDescent="0.3">
      <c r="A65">
        <v>10272</v>
      </c>
      <c r="B65" s="2">
        <f>_xlfn.XLOOKUP(Table9[[#This Row],[orderID]],orders[orderID],orders[orderDate],,0)</f>
        <v>41488</v>
      </c>
      <c r="C65">
        <f>_xlfn.XLOOKUP(A65,order_details[orderID],order_details[productID],,0)</f>
        <v>20</v>
      </c>
      <c r="D65" t="str">
        <f>_xlfn.XLOOKUP(C65,products[productID],products[productName],,0)</f>
        <v>Sir Rodney's Marmalade</v>
      </c>
      <c r="E65" t="str">
        <f>_xlfn.XLOOKUP(_xlfn.XLOOKUP(Table9[[#This Row],[ProductName ]],products[productName],products[categoryID],,0),categories[categoryID],categories[categoryName],,0)</f>
        <v>Confections</v>
      </c>
      <c r="F65">
        <v>40</v>
      </c>
      <c r="G65">
        <v>10</v>
      </c>
      <c r="H65">
        <v>0</v>
      </c>
      <c r="I65">
        <f>Table9[[#This Row],[quantity]]*Table9[[#This Row],[unitPrice]]*(1-Table9[[#This Row],[discount]]/100)</f>
        <v>400</v>
      </c>
      <c r="J65" t="str">
        <f>_xlfn.XLOOKUP(_xlfn.XLOOKUP(A65,orders[orderID],orders[customerID],,0),customers__2[customerID],customers__2[companyName],,0)</f>
        <v>Rattlesnake Canyon Grocery</v>
      </c>
      <c r="K65" t="str">
        <f>_xlfn.XLOOKUP(Table9[[#This Row],[Company Name]],customers__2[companyName],customers__2[country],,0)</f>
        <v>USA</v>
      </c>
      <c r="L65">
        <f>MONTH(Table9[[#This Row],[OrderDate ]])</f>
        <v>8</v>
      </c>
      <c r="M65" t="str">
        <f>TEXT(Table9[[#This Row],[OrderDate ]],"mmm")</f>
        <v>Aug</v>
      </c>
      <c r="N65">
        <f>YEAR(Table9[[#This Row],[OrderDate ]])</f>
        <v>2013</v>
      </c>
    </row>
    <row r="66" spans="1:14" x14ac:dyDescent="0.3">
      <c r="A66">
        <v>10272</v>
      </c>
      <c r="B66" s="2">
        <f>_xlfn.XLOOKUP(Table9[[#This Row],[orderID]],orders[orderID],orders[orderDate],,0)</f>
        <v>41488</v>
      </c>
      <c r="C66">
        <f>_xlfn.XLOOKUP(A66,order_details[orderID],order_details[productID],,0)</f>
        <v>20</v>
      </c>
      <c r="D66" t="str">
        <f>_xlfn.XLOOKUP(C66,products[productID],products[productName],,0)</f>
        <v>Sir Rodney's Marmalade</v>
      </c>
      <c r="E66" t="str">
        <f>_xlfn.XLOOKUP(_xlfn.XLOOKUP(Table9[[#This Row],[ProductName ]],products[productName],products[categoryID],,0),categories[categoryID],categories[categoryName],,0)</f>
        <v>Confections</v>
      </c>
      <c r="F66">
        <v>24</v>
      </c>
      <c r="G66">
        <v>278</v>
      </c>
      <c r="H66">
        <v>0</v>
      </c>
      <c r="I66">
        <f>Table9[[#This Row],[quantity]]*Table9[[#This Row],[unitPrice]]*(1-Table9[[#This Row],[discount]]/100)</f>
        <v>6672</v>
      </c>
      <c r="J66" t="str">
        <f>_xlfn.XLOOKUP(_xlfn.XLOOKUP(A66,orders[orderID],orders[customerID],,0),customers__2[customerID],customers__2[companyName],,0)</f>
        <v>Rattlesnake Canyon Grocery</v>
      </c>
      <c r="K66" t="str">
        <f>_xlfn.XLOOKUP(Table9[[#This Row],[Company Name]],customers__2[companyName],customers__2[country],,0)</f>
        <v>USA</v>
      </c>
      <c r="L66">
        <f>MONTH(Table9[[#This Row],[OrderDate ]])</f>
        <v>8</v>
      </c>
      <c r="M66" t="str">
        <f>TEXT(Table9[[#This Row],[OrderDate ]],"mmm")</f>
        <v>Aug</v>
      </c>
      <c r="N66">
        <f>YEAR(Table9[[#This Row],[OrderDate ]])</f>
        <v>2013</v>
      </c>
    </row>
    <row r="67" spans="1:14" x14ac:dyDescent="0.3">
      <c r="A67">
        <v>10273</v>
      </c>
      <c r="B67" s="2">
        <f>_xlfn.XLOOKUP(Table9[[#This Row],[orderID]],orders[orderID],orders[orderDate],,0)</f>
        <v>41491</v>
      </c>
      <c r="C67">
        <f>_xlfn.XLOOKUP(A67,order_details[orderID],order_details[productID],,0)</f>
        <v>10</v>
      </c>
      <c r="D67" t="str">
        <f>_xlfn.XLOOKUP(C67,products[productID],products[productName],,0)</f>
        <v>Ikura</v>
      </c>
      <c r="E67" t="str">
        <f>_xlfn.XLOOKUP(_xlfn.XLOOKUP(Table9[[#This Row],[ProductName ]],products[productName],products[categoryID],,0),categories[categoryID],categories[categoryName],,0)</f>
        <v>Seafood</v>
      </c>
      <c r="F67">
        <v>24</v>
      </c>
      <c r="G67">
        <v>248</v>
      </c>
      <c r="H67">
        <v>5</v>
      </c>
      <c r="I67">
        <f>Table9[[#This Row],[quantity]]*Table9[[#This Row],[unitPrice]]*(1-Table9[[#This Row],[discount]]/100)</f>
        <v>5654.4</v>
      </c>
      <c r="J67" t="str">
        <f>_xlfn.XLOOKUP(_xlfn.XLOOKUP(A67,orders[orderID],orders[customerID],,0),customers__2[customerID],customers__2[companyName],,0)</f>
        <v>QUICK-Stop</v>
      </c>
      <c r="K67" t="str">
        <f>_xlfn.XLOOKUP(Table9[[#This Row],[Company Name]],customers__2[companyName],customers__2[country],,0)</f>
        <v>Germany</v>
      </c>
      <c r="L67">
        <f>MONTH(Table9[[#This Row],[OrderDate ]])</f>
        <v>8</v>
      </c>
      <c r="M67" t="str">
        <f>TEXT(Table9[[#This Row],[OrderDate ]],"mmm")</f>
        <v>Aug</v>
      </c>
      <c r="N67">
        <f>YEAR(Table9[[#This Row],[OrderDate ]])</f>
        <v>2013</v>
      </c>
    </row>
    <row r="68" spans="1:14" x14ac:dyDescent="0.3">
      <c r="A68">
        <v>10273</v>
      </c>
      <c r="B68" s="2">
        <f>_xlfn.XLOOKUP(Table9[[#This Row],[orderID]],orders[orderID],orders[orderDate],,0)</f>
        <v>41491</v>
      </c>
      <c r="C68">
        <f>_xlfn.XLOOKUP(A68,order_details[orderID],order_details[productID],,0)</f>
        <v>10</v>
      </c>
      <c r="D68" t="str">
        <f>_xlfn.XLOOKUP(C68,products[productID],products[productName],,0)</f>
        <v>Ikura</v>
      </c>
      <c r="E68" t="str">
        <f>_xlfn.XLOOKUP(_xlfn.XLOOKUP(Table9[[#This Row],[ProductName ]],products[productName],products[categoryID],,0),categories[categoryID],categories[categoryName],,0)</f>
        <v>Seafood</v>
      </c>
      <c r="F68">
        <v>15</v>
      </c>
      <c r="G68">
        <v>10</v>
      </c>
      <c r="H68">
        <v>5</v>
      </c>
      <c r="I68">
        <f>Table9[[#This Row],[quantity]]*Table9[[#This Row],[unitPrice]]*(1-Table9[[#This Row],[discount]]/100)</f>
        <v>142.5</v>
      </c>
      <c r="J68" t="str">
        <f>_xlfn.XLOOKUP(_xlfn.XLOOKUP(A68,orders[orderID],orders[customerID],,0),customers__2[customerID],customers__2[companyName],,0)</f>
        <v>QUICK-Stop</v>
      </c>
      <c r="K68" t="str">
        <f>_xlfn.XLOOKUP(Table9[[#This Row],[Company Name]],customers__2[companyName],customers__2[country],,0)</f>
        <v>Germany</v>
      </c>
      <c r="L68">
        <f>MONTH(Table9[[#This Row],[OrderDate ]])</f>
        <v>8</v>
      </c>
      <c r="M68" t="str">
        <f>TEXT(Table9[[#This Row],[OrderDate ]],"mmm")</f>
        <v>Aug</v>
      </c>
      <c r="N68">
        <f>YEAR(Table9[[#This Row],[OrderDate ]])</f>
        <v>2013</v>
      </c>
    </row>
    <row r="69" spans="1:14" x14ac:dyDescent="0.3">
      <c r="A69">
        <v>10273</v>
      </c>
      <c r="B69" s="2">
        <f>_xlfn.XLOOKUP(Table9[[#This Row],[orderID]],orders[orderID],orders[orderDate],,0)</f>
        <v>41491</v>
      </c>
      <c r="C69">
        <f>_xlfn.XLOOKUP(A69,order_details[orderID],order_details[productID],,0)</f>
        <v>10</v>
      </c>
      <c r="D69" t="str">
        <f>_xlfn.XLOOKUP(C69,products[productID],products[productName],,0)</f>
        <v>Ikura</v>
      </c>
      <c r="E69" t="str">
        <f>_xlfn.XLOOKUP(_xlfn.XLOOKUP(Table9[[#This Row],[ProductName ]],products[productName],products[categoryID],,0),categories[categoryID],categories[categoryName],,0)</f>
        <v>Seafood</v>
      </c>
      <c r="F69">
        <v>20</v>
      </c>
      <c r="G69">
        <v>2</v>
      </c>
      <c r="H69">
        <v>0</v>
      </c>
      <c r="I69">
        <f>Table9[[#This Row],[quantity]]*Table9[[#This Row],[unitPrice]]*(1-Table9[[#This Row],[discount]]/100)</f>
        <v>40</v>
      </c>
      <c r="J69" t="str">
        <f>_xlfn.XLOOKUP(_xlfn.XLOOKUP(A69,orders[orderID],orders[customerID],,0),customers__2[customerID],customers__2[companyName],,0)</f>
        <v>QUICK-Stop</v>
      </c>
      <c r="K69" t="str">
        <f>_xlfn.XLOOKUP(Table9[[#This Row],[Company Name]],customers__2[companyName],customers__2[country],,0)</f>
        <v>Germany</v>
      </c>
      <c r="L69">
        <f>MONTH(Table9[[#This Row],[OrderDate ]])</f>
        <v>8</v>
      </c>
      <c r="M69" t="str">
        <f>TEXT(Table9[[#This Row],[OrderDate ]],"mmm")</f>
        <v>Aug</v>
      </c>
      <c r="N69">
        <f>YEAR(Table9[[#This Row],[OrderDate ]])</f>
        <v>2013</v>
      </c>
    </row>
    <row r="70" spans="1:14" x14ac:dyDescent="0.3">
      <c r="A70">
        <v>10273</v>
      </c>
      <c r="B70" s="2">
        <f>_xlfn.XLOOKUP(Table9[[#This Row],[orderID]],orders[orderID],orders[orderDate],,0)</f>
        <v>41491</v>
      </c>
      <c r="C70">
        <f>_xlfn.XLOOKUP(A70,order_details[orderID],order_details[productID],,0)</f>
        <v>10</v>
      </c>
      <c r="D70" t="str">
        <f>_xlfn.XLOOKUP(C70,products[productID],products[productName],,0)</f>
        <v>Ikura</v>
      </c>
      <c r="E70" t="str">
        <f>_xlfn.XLOOKUP(_xlfn.XLOOKUP(Table9[[#This Row],[ProductName ]],products[productName],products[categoryID],,0),categories[categoryID],categories[categoryName],,0)</f>
        <v>Seafood</v>
      </c>
      <c r="F70">
        <v>60</v>
      </c>
      <c r="G70">
        <v>147</v>
      </c>
      <c r="H70">
        <v>5</v>
      </c>
      <c r="I70">
        <f>Table9[[#This Row],[quantity]]*Table9[[#This Row],[unitPrice]]*(1-Table9[[#This Row],[discount]]/100)</f>
        <v>8379</v>
      </c>
      <c r="J70" t="str">
        <f>_xlfn.XLOOKUP(_xlfn.XLOOKUP(A70,orders[orderID],orders[customerID],,0),customers__2[customerID],customers__2[companyName],,0)</f>
        <v>QUICK-Stop</v>
      </c>
      <c r="K70" t="str">
        <f>_xlfn.XLOOKUP(Table9[[#This Row],[Company Name]],customers__2[companyName],customers__2[country],,0)</f>
        <v>Germany</v>
      </c>
      <c r="L70">
        <f>MONTH(Table9[[#This Row],[OrderDate ]])</f>
        <v>8</v>
      </c>
      <c r="M70" t="str">
        <f>TEXT(Table9[[#This Row],[OrderDate ]],"mmm")</f>
        <v>Aug</v>
      </c>
      <c r="N70">
        <f>YEAR(Table9[[#This Row],[OrderDate ]])</f>
        <v>2013</v>
      </c>
    </row>
    <row r="71" spans="1:14" x14ac:dyDescent="0.3">
      <c r="A71">
        <v>10273</v>
      </c>
      <c r="B71" s="2">
        <f>_xlfn.XLOOKUP(Table9[[#This Row],[orderID]],orders[orderID],orders[orderDate],,0)</f>
        <v>41491</v>
      </c>
      <c r="C71">
        <f>_xlfn.XLOOKUP(A71,order_details[orderID],order_details[productID],,0)</f>
        <v>10</v>
      </c>
      <c r="D71" t="str">
        <f>_xlfn.XLOOKUP(C71,products[productID],products[productName],,0)</f>
        <v>Ikura</v>
      </c>
      <c r="E71" t="str">
        <f>_xlfn.XLOOKUP(_xlfn.XLOOKUP(Table9[[#This Row],[ProductName ]],products[productName],products[categoryID],,0),categories[categoryID],categories[categoryName],,0)</f>
        <v>Seafood</v>
      </c>
      <c r="F71">
        <v>33</v>
      </c>
      <c r="G71">
        <v>144</v>
      </c>
      <c r="H71">
        <v>5</v>
      </c>
      <c r="I71">
        <f>Table9[[#This Row],[quantity]]*Table9[[#This Row],[unitPrice]]*(1-Table9[[#This Row],[discount]]/100)</f>
        <v>4514.3999999999996</v>
      </c>
      <c r="J71" t="str">
        <f>_xlfn.XLOOKUP(_xlfn.XLOOKUP(A71,orders[orderID],orders[customerID],,0),customers__2[customerID],customers__2[companyName],,0)</f>
        <v>QUICK-Stop</v>
      </c>
      <c r="K71" t="str">
        <f>_xlfn.XLOOKUP(Table9[[#This Row],[Company Name]],customers__2[companyName],customers__2[country],,0)</f>
        <v>Germany</v>
      </c>
      <c r="L71">
        <f>MONTH(Table9[[#This Row],[OrderDate ]])</f>
        <v>8</v>
      </c>
      <c r="M71" t="str">
        <f>TEXT(Table9[[#This Row],[OrderDate ]],"mmm")</f>
        <v>Aug</v>
      </c>
      <c r="N71">
        <f>YEAR(Table9[[#This Row],[OrderDate ]])</f>
        <v>2013</v>
      </c>
    </row>
    <row r="72" spans="1:14" x14ac:dyDescent="0.3">
      <c r="A72">
        <v>10274</v>
      </c>
      <c r="B72" s="2">
        <f>_xlfn.XLOOKUP(Table9[[#This Row],[orderID]],orders[orderID],orders[orderDate],,0)</f>
        <v>41492</v>
      </c>
      <c r="C72">
        <f>_xlfn.XLOOKUP(A72,order_details[orderID],order_details[productID],,0)</f>
        <v>71</v>
      </c>
      <c r="D72" t="str">
        <f>_xlfn.XLOOKUP(C72,products[productID],products[productName],,0)</f>
        <v>Flotemysost</v>
      </c>
      <c r="E72" t="str">
        <f>_xlfn.XLOOKUP(_xlfn.XLOOKUP(Table9[[#This Row],[ProductName ]],products[productName],products[categoryID],,0),categories[categoryID],categories[categoryName],,0)</f>
        <v>Dairy Products</v>
      </c>
      <c r="F72">
        <v>20</v>
      </c>
      <c r="G72">
        <v>172</v>
      </c>
      <c r="H72">
        <v>0</v>
      </c>
      <c r="I72">
        <f>Table9[[#This Row],[quantity]]*Table9[[#This Row],[unitPrice]]*(1-Table9[[#This Row],[discount]]/100)</f>
        <v>3440</v>
      </c>
      <c r="J72" t="str">
        <f>_xlfn.XLOOKUP(_xlfn.XLOOKUP(A72,orders[orderID],orders[customerID],,0),customers__2[customerID],customers__2[companyName],,0)</f>
        <v>Vins et alcools Chevalier</v>
      </c>
      <c r="K72" t="str">
        <f>_xlfn.XLOOKUP(Table9[[#This Row],[Company Name]],customers__2[companyName],customers__2[country],,0)</f>
        <v>France</v>
      </c>
      <c r="L72">
        <f>MONTH(Table9[[#This Row],[OrderDate ]])</f>
        <v>8</v>
      </c>
      <c r="M72" t="str">
        <f>TEXT(Table9[[#This Row],[OrderDate ]],"mmm")</f>
        <v>Aug</v>
      </c>
      <c r="N72">
        <f>YEAR(Table9[[#This Row],[OrderDate ]])</f>
        <v>2013</v>
      </c>
    </row>
    <row r="73" spans="1:14" x14ac:dyDescent="0.3">
      <c r="A73">
        <v>10274</v>
      </c>
      <c r="B73" s="2">
        <f>_xlfn.XLOOKUP(Table9[[#This Row],[orderID]],orders[orderID],orders[orderDate],,0)</f>
        <v>41492</v>
      </c>
      <c r="C73">
        <f>_xlfn.XLOOKUP(A73,order_details[orderID],order_details[productID],,0)</f>
        <v>71</v>
      </c>
      <c r="D73" t="str">
        <f>_xlfn.XLOOKUP(C73,products[productID],products[productName],,0)</f>
        <v>Flotemysost</v>
      </c>
      <c r="E73" t="str">
        <f>_xlfn.XLOOKUP(_xlfn.XLOOKUP(Table9[[#This Row],[ProductName ]],products[productName],products[categoryID],,0),categories[categoryID],categories[categoryName],,0)</f>
        <v>Dairy Products</v>
      </c>
      <c r="F73">
        <v>7</v>
      </c>
      <c r="G73">
        <v>278</v>
      </c>
      <c r="H73">
        <v>0</v>
      </c>
      <c r="I73">
        <f>Table9[[#This Row],[quantity]]*Table9[[#This Row],[unitPrice]]*(1-Table9[[#This Row],[discount]]/100)</f>
        <v>1946</v>
      </c>
      <c r="J73" t="str">
        <f>_xlfn.XLOOKUP(_xlfn.XLOOKUP(A73,orders[orderID],orders[customerID],,0),customers__2[customerID],customers__2[companyName],,0)</f>
        <v>Vins et alcools Chevalier</v>
      </c>
      <c r="K73" t="str">
        <f>_xlfn.XLOOKUP(Table9[[#This Row],[Company Name]],customers__2[companyName],customers__2[country],,0)</f>
        <v>France</v>
      </c>
      <c r="L73">
        <f>MONTH(Table9[[#This Row],[OrderDate ]])</f>
        <v>8</v>
      </c>
      <c r="M73" t="str">
        <f>TEXT(Table9[[#This Row],[OrderDate ]],"mmm")</f>
        <v>Aug</v>
      </c>
      <c r="N73">
        <f>YEAR(Table9[[#This Row],[OrderDate ]])</f>
        <v>2013</v>
      </c>
    </row>
    <row r="74" spans="1:14" x14ac:dyDescent="0.3">
      <c r="A74">
        <v>10275</v>
      </c>
      <c r="B74" s="2">
        <f>_xlfn.XLOOKUP(Table9[[#This Row],[orderID]],orders[orderID],orders[orderDate],,0)</f>
        <v>41493</v>
      </c>
      <c r="C74">
        <f>_xlfn.XLOOKUP(A74,order_details[orderID],order_details[productID],,0)</f>
        <v>24</v>
      </c>
      <c r="D74" t="str">
        <f>_xlfn.XLOOKUP(C74,products[productID],products[productName],,0)</f>
        <v>Guarana Fantastica</v>
      </c>
      <c r="E74" t="str">
        <f>_xlfn.XLOOKUP(_xlfn.XLOOKUP(Table9[[#This Row],[ProductName ]],products[productName],products[categoryID],,0),categories[categoryID],categories[categoryName],,0)</f>
        <v>Beverages</v>
      </c>
      <c r="F74">
        <v>12</v>
      </c>
      <c r="G74">
        <v>36</v>
      </c>
      <c r="H74">
        <v>5</v>
      </c>
      <c r="I74">
        <f>Table9[[#This Row],[quantity]]*Table9[[#This Row],[unitPrice]]*(1-Table9[[#This Row],[discount]]/100)</f>
        <v>410.4</v>
      </c>
      <c r="J74" t="str">
        <f>_xlfn.XLOOKUP(_xlfn.XLOOKUP(A74,orders[orderID],orders[customerID],,0),customers__2[customerID],customers__2[companyName],,0)</f>
        <v>Magazzini Alimentari Riuniti</v>
      </c>
      <c r="K74" t="str">
        <f>_xlfn.XLOOKUP(Table9[[#This Row],[Company Name]],customers__2[companyName],customers__2[country],,0)</f>
        <v>Italy</v>
      </c>
      <c r="L74">
        <f>MONTH(Table9[[#This Row],[OrderDate ]])</f>
        <v>8</v>
      </c>
      <c r="M74" t="str">
        <f>TEXT(Table9[[#This Row],[OrderDate ]],"mmm")</f>
        <v>Aug</v>
      </c>
      <c r="N74">
        <f>YEAR(Table9[[#This Row],[OrderDate ]])</f>
        <v>2013</v>
      </c>
    </row>
    <row r="75" spans="1:14" x14ac:dyDescent="0.3">
      <c r="A75">
        <v>10275</v>
      </c>
      <c r="B75" s="2">
        <f>_xlfn.XLOOKUP(Table9[[#This Row],[orderID]],orders[orderID],orders[orderDate],,0)</f>
        <v>41493</v>
      </c>
      <c r="C75">
        <f>_xlfn.XLOOKUP(A75,order_details[orderID],order_details[productID],,0)</f>
        <v>24</v>
      </c>
      <c r="D75" t="str">
        <f>_xlfn.XLOOKUP(C75,products[productID],products[productName],,0)</f>
        <v>Guarana Fantastica</v>
      </c>
      <c r="E75" t="str">
        <f>_xlfn.XLOOKUP(_xlfn.XLOOKUP(Table9[[#This Row],[ProductName ]],products[productName],products[categoryID],,0),categories[categoryID],categories[categoryName],,0)</f>
        <v>Beverages</v>
      </c>
      <c r="F75">
        <v>6</v>
      </c>
      <c r="G75">
        <v>44</v>
      </c>
      <c r="H75">
        <v>5</v>
      </c>
      <c r="I75">
        <f>Table9[[#This Row],[quantity]]*Table9[[#This Row],[unitPrice]]*(1-Table9[[#This Row],[discount]]/100)</f>
        <v>250.79999999999998</v>
      </c>
      <c r="J75" t="str">
        <f>_xlfn.XLOOKUP(_xlfn.XLOOKUP(A75,orders[orderID],orders[customerID],,0),customers__2[customerID],customers__2[companyName],,0)</f>
        <v>Magazzini Alimentari Riuniti</v>
      </c>
      <c r="K75" t="str">
        <f>_xlfn.XLOOKUP(Table9[[#This Row],[Company Name]],customers__2[companyName],customers__2[country],,0)</f>
        <v>Italy</v>
      </c>
      <c r="L75">
        <f>MONTH(Table9[[#This Row],[OrderDate ]])</f>
        <v>8</v>
      </c>
      <c r="M75" t="str">
        <f>TEXT(Table9[[#This Row],[OrderDate ]],"mmm")</f>
        <v>Aug</v>
      </c>
      <c r="N75">
        <f>YEAR(Table9[[#This Row],[OrderDate ]])</f>
        <v>2013</v>
      </c>
    </row>
    <row r="76" spans="1:14" x14ac:dyDescent="0.3">
      <c r="A76">
        <v>10276</v>
      </c>
      <c r="B76" s="2">
        <f>_xlfn.XLOOKUP(Table9[[#This Row],[orderID]],orders[orderID],orders[orderDate],,0)</f>
        <v>41494</v>
      </c>
      <c r="C76">
        <f>_xlfn.XLOOKUP(A76,order_details[orderID],order_details[productID],,0)</f>
        <v>10</v>
      </c>
      <c r="D76" t="str">
        <f>_xlfn.XLOOKUP(C76,products[productID],products[productName],,0)</f>
        <v>Ikura</v>
      </c>
      <c r="E76" t="str">
        <f>_xlfn.XLOOKUP(_xlfn.XLOOKUP(Table9[[#This Row],[ProductName ]],products[productName],products[categoryID],,0),categories[categoryID],categories[categoryName],,0)</f>
        <v>Seafood</v>
      </c>
      <c r="F76">
        <v>15</v>
      </c>
      <c r="G76">
        <v>248</v>
      </c>
      <c r="H76">
        <v>0</v>
      </c>
      <c r="I76">
        <f>Table9[[#This Row],[quantity]]*Table9[[#This Row],[unitPrice]]*(1-Table9[[#This Row],[discount]]/100)</f>
        <v>3720</v>
      </c>
      <c r="J76" t="str">
        <f>_xlfn.XLOOKUP(_xlfn.XLOOKUP(A76,orders[orderID],orders[customerID],,0),customers__2[customerID],customers__2[companyName],,0)</f>
        <v>Tortuga Restaurante</v>
      </c>
      <c r="K76" t="str">
        <f>_xlfn.XLOOKUP(Table9[[#This Row],[Company Name]],customers__2[companyName],customers__2[country],,0)</f>
        <v>Mexico</v>
      </c>
      <c r="L76">
        <f>MONTH(Table9[[#This Row],[OrderDate ]])</f>
        <v>8</v>
      </c>
      <c r="M76" t="str">
        <f>TEXT(Table9[[#This Row],[OrderDate ]],"mmm")</f>
        <v>Aug</v>
      </c>
      <c r="N76">
        <f>YEAR(Table9[[#This Row],[OrderDate ]])</f>
        <v>2013</v>
      </c>
    </row>
    <row r="77" spans="1:14" x14ac:dyDescent="0.3">
      <c r="A77">
        <v>10276</v>
      </c>
      <c r="B77" s="2">
        <f>_xlfn.XLOOKUP(Table9[[#This Row],[orderID]],orders[orderID],orders[orderDate],,0)</f>
        <v>41494</v>
      </c>
      <c r="C77">
        <f>_xlfn.XLOOKUP(A77,order_details[orderID],order_details[productID],,0)</f>
        <v>10</v>
      </c>
      <c r="D77" t="str">
        <f>_xlfn.XLOOKUP(C77,products[productID],products[productName],,0)</f>
        <v>Ikura</v>
      </c>
      <c r="E77" t="str">
        <f>_xlfn.XLOOKUP(_xlfn.XLOOKUP(Table9[[#This Row],[ProductName ]],products[productName],products[categoryID],,0),categories[categoryID],categories[categoryName],,0)</f>
        <v>Seafood</v>
      </c>
      <c r="F77">
        <v>10</v>
      </c>
      <c r="G77">
        <v>48</v>
      </c>
      <c r="H77">
        <v>0</v>
      </c>
      <c r="I77">
        <f>Table9[[#This Row],[quantity]]*Table9[[#This Row],[unitPrice]]*(1-Table9[[#This Row],[discount]]/100)</f>
        <v>480</v>
      </c>
      <c r="J77" t="str">
        <f>_xlfn.XLOOKUP(_xlfn.XLOOKUP(A77,orders[orderID],orders[customerID],,0),customers__2[customerID],customers__2[companyName],,0)</f>
        <v>Tortuga Restaurante</v>
      </c>
      <c r="K77" t="str">
        <f>_xlfn.XLOOKUP(Table9[[#This Row],[Company Name]],customers__2[companyName],customers__2[country],,0)</f>
        <v>Mexico</v>
      </c>
      <c r="L77">
        <f>MONTH(Table9[[#This Row],[OrderDate ]])</f>
        <v>8</v>
      </c>
      <c r="M77" t="str">
        <f>TEXT(Table9[[#This Row],[OrderDate ]],"mmm")</f>
        <v>Aug</v>
      </c>
      <c r="N77">
        <f>YEAR(Table9[[#This Row],[OrderDate ]])</f>
        <v>2013</v>
      </c>
    </row>
    <row r="78" spans="1:14" x14ac:dyDescent="0.3">
      <c r="A78">
        <v>10277</v>
      </c>
      <c r="B78" s="2">
        <f>_xlfn.XLOOKUP(Table9[[#This Row],[orderID]],orders[orderID],orders[orderDate],,0)</f>
        <v>41495</v>
      </c>
      <c r="C78">
        <f>_xlfn.XLOOKUP(A78,order_details[orderID],order_details[productID],,0)</f>
        <v>28</v>
      </c>
      <c r="D78" t="str">
        <f>_xlfn.XLOOKUP(C78,products[productID],products[productName],,0)</f>
        <v>Rössle Sauerkraut</v>
      </c>
      <c r="E78" t="str">
        <f>_xlfn.XLOOKUP(_xlfn.XLOOKUP(Table9[[#This Row],[ProductName ]],products[productName],products[categoryID],,0),categories[categoryID],categories[categoryName],,0)</f>
        <v>Produce</v>
      </c>
      <c r="F78">
        <v>20</v>
      </c>
      <c r="G78">
        <v>364</v>
      </c>
      <c r="H78">
        <v>0</v>
      </c>
      <c r="I78">
        <f>Table9[[#This Row],[quantity]]*Table9[[#This Row],[unitPrice]]*(1-Table9[[#This Row],[discount]]/100)</f>
        <v>7280</v>
      </c>
      <c r="J78" t="str">
        <f>_xlfn.XLOOKUP(_xlfn.XLOOKUP(A78,orders[orderID],orders[customerID],,0),customers__2[customerID],customers__2[companyName],,0)</f>
        <v>Morgenstern Gesundkost</v>
      </c>
      <c r="K78" t="str">
        <f>_xlfn.XLOOKUP(Table9[[#This Row],[Company Name]],customers__2[companyName],customers__2[country],,0)</f>
        <v>Germany</v>
      </c>
      <c r="L78">
        <f>MONTH(Table9[[#This Row],[OrderDate ]])</f>
        <v>8</v>
      </c>
      <c r="M78" t="str">
        <f>TEXT(Table9[[#This Row],[OrderDate ]],"mmm")</f>
        <v>Aug</v>
      </c>
      <c r="N78">
        <f>YEAR(Table9[[#This Row],[OrderDate ]])</f>
        <v>2013</v>
      </c>
    </row>
    <row r="79" spans="1:14" x14ac:dyDescent="0.3">
      <c r="A79">
        <v>10277</v>
      </c>
      <c r="B79" s="2">
        <f>_xlfn.XLOOKUP(Table9[[#This Row],[orderID]],orders[orderID],orders[orderDate],,0)</f>
        <v>41495</v>
      </c>
      <c r="C79">
        <f>_xlfn.XLOOKUP(A79,order_details[orderID],order_details[productID],,0)</f>
        <v>28</v>
      </c>
      <c r="D79" t="str">
        <f>_xlfn.XLOOKUP(C79,products[productID],products[productName],,0)</f>
        <v>Rössle Sauerkraut</v>
      </c>
      <c r="E79" t="str">
        <f>_xlfn.XLOOKUP(_xlfn.XLOOKUP(Table9[[#This Row],[ProductName ]],products[productName],products[categoryID],,0),categories[categoryID],categories[categoryName],,0)</f>
        <v>Produce</v>
      </c>
      <c r="F79">
        <v>12</v>
      </c>
      <c r="G79">
        <v>394</v>
      </c>
      <c r="H79">
        <v>0</v>
      </c>
      <c r="I79">
        <f>Table9[[#This Row],[quantity]]*Table9[[#This Row],[unitPrice]]*(1-Table9[[#This Row],[discount]]/100)</f>
        <v>4728</v>
      </c>
      <c r="J79" t="str">
        <f>_xlfn.XLOOKUP(_xlfn.XLOOKUP(A79,orders[orderID],orders[customerID],,0),customers__2[customerID],customers__2[companyName],,0)</f>
        <v>Morgenstern Gesundkost</v>
      </c>
      <c r="K79" t="str">
        <f>_xlfn.XLOOKUP(Table9[[#This Row],[Company Name]],customers__2[companyName],customers__2[country],,0)</f>
        <v>Germany</v>
      </c>
      <c r="L79">
        <f>MONTH(Table9[[#This Row],[OrderDate ]])</f>
        <v>8</v>
      </c>
      <c r="M79" t="str">
        <f>TEXT(Table9[[#This Row],[OrderDate ]],"mmm")</f>
        <v>Aug</v>
      </c>
      <c r="N79">
        <f>YEAR(Table9[[#This Row],[OrderDate ]])</f>
        <v>2013</v>
      </c>
    </row>
    <row r="80" spans="1:14" x14ac:dyDescent="0.3">
      <c r="A80">
        <v>10278</v>
      </c>
      <c r="B80" s="2">
        <f>_xlfn.XLOOKUP(Table9[[#This Row],[orderID]],orders[orderID],orders[orderDate],,0)</f>
        <v>41498</v>
      </c>
      <c r="C80">
        <f>_xlfn.XLOOKUP(A80,order_details[orderID],order_details[productID],,0)</f>
        <v>44</v>
      </c>
      <c r="D80" t="str">
        <f>_xlfn.XLOOKUP(C80,products[productID],products[productName],,0)</f>
        <v>Gula Malacca</v>
      </c>
      <c r="E80" t="str">
        <f>_xlfn.XLOOKUP(_xlfn.XLOOKUP(Table9[[#This Row],[ProductName ]],products[productName],products[categoryID],,0),categories[categoryID],categories[categoryName],,0)</f>
        <v>Condiments</v>
      </c>
      <c r="F80">
        <v>16</v>
      </c>
      <c r="G80">
        <v>155</v>
      </c>
      <c r="H80">
        <v>0</v>
      </c>
      <c r="I80">
        <f>Table9[[#This Row],[quantity]]*Table9[[#This Row],[unitPrice]]*(1-Table9[[#This Row],[discount]]/100)</f>
        <v>2480</v>
      </c>
      <c r="J80" t="str">
        <f>_xlfn.XLOOKUP(_xlfn.XLOOKUP(A80,orders[orderID],orders[customerID],,0),customers__2[customerID],customers__2[companyName],,0)</f>
        <v>Berglunds snabbköp</v>
      </c>
      <c r="K80" t="str">
        <f>_xlfn.XLOOKUP(Table9[[#This Row],[Company Name]],customers__2[companyName],customers__2[country],,0)</f>
        <v>Sweden</v>
      </c>
      <c r="L80">
        <f>MONTH(Table9[[#This Row],[OrderDate ]])</f>
        <v>8</v>
      </c>
      <c r="M80" t="str">
        <f>TEXT(Table9[[#This Row],[OrderDate ]],"mmm")</f>
        <v>Aug</v>
      </c>
      <c r="N80">
        <f>YEAR(Table9[[#This Row],[OrderDate ]])</f>
        <v>2013</v>
      </c>
    </row>
    <row r="81" spans="1:14" x14ac:dyDescent="0.3">
      <c r="A81">
        <v>10278</v>
      </c>
      <c r="B81" s="2">
        <f>_xlfn.XLOOKUP(Table9[[#This Row],[orderID]],orders[orderID],orders[orderDate],,0)</f>
        <v>41498</v>
      </c>
      <c r="C81">
        <f>_xlfn.XLOOKUP(A81,order_details[orderID],order_details[productID],,0)</f>
        <v>44</v>
      </c>
      <c r="D81" t="str">
        <f>_xlfn.XLOOKUP(C81,products[productID],products[productName],,0)</f>
        <v>Gula Malacca</v>
      </c>
      <c r="E81" t="str">
        <f>_xlfn.XLOOKUP(_xlfn.XLOOKUP(Table9[[#This Row],[ProductName ]],products[productName],products[categoryID],,0),categories[categoryID],categories[categoryName],,0)</f>
        <v>Condiments</v>
      </c>
      <c r="F81">
        <v>15</v>
      </c>
      <c r="G81">
        <v>44</v>
      </c>
      <c r="H81">
        <v>0</v>
      </c>
      <c r="I81">
        <f>Table9[[#This Row],[quantity]]*Table9[[#This Row],[unitPrice]]*(1-Table9[[#This Row],[discount]]/100)</f>
        <v>660</v>
      </c>
      <c r="J81" t="str">
        <f>_xlfn.XLOOKUP(_xlfn.XLOOKUP(A81,orders[orderID],orders[customerID],,0),customers__2[customerID],customers__2[companyName],,0)</f>
        <v>Berglunds snabbköp</v>
      </c>
      <c r="K81" t="str">
        <f>_xlfn.XLOOKUP(Table9[[#This Row],[Company Name]],customers__2[companyName],customers__2[country],,0)</f>
        <v>Sweden</v>
      </c>
      <c r="L81">
        <f>MONTH(Table9[[#This Row],[OrderDate ]])</f>
        <v>8</v>
      </c>
      <c r="M81" t="str">
        <f>TEXT(Table9[[#This Row],[OrderDate ]],"mmm")</f>
        <v>Aug</v>
      </c>
      <c r="N81">
        <f>YEAR(Table9[[#This Row],[OrderDate ]])</f>
        <v>2013</v>
      </c>
    </row>
    <row r="82" spans="1:14" x14ac:dyDescent="0.3">
      <c r="A82">
        <v>10278</v>
      </c>
      <c r="B82" s="2">
        <f>_xlfn.XLOOKUP(Table9[[#This Row],[orderID]],orders[orderID],orders[orderDate],,0)</f>
        <v>41498</v>
      </c>
      <c r="C82">
        <f>_xlfn.XLOOKUP(A82,order_details[orderID],order_details[productID],,0)</f>
        <v>44</v>
      </c>
      <c r="D82" t="str">
        <f>_xlfn.XLOOKUP(C82,products[productID],products[productName],,0)</f>
        <v>Gula Malacca</v>
      </c>
      <c r="E82" t="str">
        <f>_xlfn.XLOOKUP(_xlfn.XLOOKUP(Table9[[#This Row],[ProductName ]],products[productName],products[categoryID],,0),categories[categoryID],categories[categoryName],,0)</f>
        <v>Condiments</v>
      </c>
      <c r="F82">
        <v>8</v>
      </c>
      <c r="G82">
        <v>351</v>
      </c>
      <c r="H82">
        <v>0</v>
      </c>
      <c r="I82">
        <f>Table9[[#This Row],[quantity]]*Table9[[#This Row],[unitPrice]]*(1-Table9[[#This Row],[discount]]/100)</f>
        <v>2808</v>
      </c>
      <c r="J82" t="str">
        <f>_xlfn.XLOOKUP(_xlfn.XLOOKUP(A82,orders[orderID],orders[customerID],,0),customers__2[customerID],customers__2[companyName],,0)</f>
        <v>Berglunds snabbköp</v>
      </c>
      <c r="K82" t="str">
        <f>_xlfn.XLOOKUP(Table9[[#This Row],[Company Name]],customers__2[companyName],customers__2[country],,0)</f>
        <v>Sweden</v>
      </c>
      <c r="L82">
        <f>MONTH(Table9[[#This Row],[OrderDate ]])</f>
        <v>8</v>
      </c>
      <c r="M82" t="str">
        <f>TEXT(Table9[[#This Row],[OrderDate ]],"mmm")</f>
        <v>Aug</v>
      </c>
      <c r="N82">
        <f>YEAR(Table9[[#This Row],[OrderDate ]])</f>
        <v>2013</v>
      </c>
    </row>
    <row r="83" spans="1:14" x14ac:dyDescent="0.3">
      <c r="A83">
        <v>10278</v>
      </c>
      <c r="B83" s="2">
        <f>_xlfn.XLOOKUP(Table9[[#This Row],[orderID]],orders[orderID],orders[orderDate],,0)</f>
        <v>41498</v>
      </c>
      <c r="C83">
        <f>_xlfn.XLOOKUP(A83,order_details[orderID],order_details[productID],,0)</f>
        <v>44</v>
      </c>
      <c r="D83" t="str">
        <f>_xlfn.XLOOKUP(C83,products[productID],products[productName],,0)</f>
        <v>Gula Malacca</v>
      </c>
      <c r="E83" t="str">
        <f>_xlfn.XLOOKUP(_xlfn.XLOOKUP(Table9[[#This Row],[ProductName ]],products[productName],products[categoryID],,0),categories[categoryID],categories[categoryName],,0)</f>
        <v>Condiments</v>
      </c>
      <c r="F83">
        <v>25</v>
      </c>
      <c r="G83">
        <v>12</v>
      </c>
      <c r="H83">
        <v>0</v>
      </c>
      <c r="I83">
        <f>Table9[[#This Row],[quantity]]*Table9[[#This Row],[unitPrice]]*(1-Table9[[#This Row],[discount]]/100)</f>
        <v>300</v>
      </c>
      <c r="J83" t="str">
        <f>_xlfn.XLOOKUP(_xlfn.XLOOKUP(A83,orders[orderID],orders[customerID],,0),customers__2[customerID],customers__2[companyName],,0)</f>
        <v>Berglunds snabbköp</v>
      </c>
      <c r="K83" t="str">
        <f>_xlfn.XLOOKUP(Table9[[#This Row],[Company Name]],customers__2[companyName],customers__2[country],,0)</f>
        <v>Sweden</v>
      </c>
      <c r="L83">
        <f>MONTH(Table9[[#This Row],[OrderDate ]])</f>
        <v>8</v>
      </c>
      <c r="M83" t="str">
        <f>TEXT(Table9[[#This Row],[OrderDate ]],"mmm")</f>
        <v>Aug</v>
      </c>
      <c r="N83">
        <f>YEAR(Table9[[#This Row],[OrderDate ]])</f>
        <v>2013</v>
      </c>
    </row>
    <row r="84" spans="1:14" x14ac:dyDescent="0.3">
      <c r="A84">
        <v>10279</v>
      </c>
      <c r="B84" s="2">
        <f>_xlfn.XLOOKUP(Table9[[#This Row],[orderID]],orders[orderID],orders[orderDate],,0)</f>
        <v>41499</v>
      </c>
      <c r="C84">
        <f>_xlfn.XLOOKUP(A84,order_details[orderID],order_details[productID],,0)</f>
        <v>17</v>
      </c>
      <c r="D84" t="str">
        <f>_xlfn.XLOOKUP(C84,products[productID],products[productName],,0)</f>
        <v>Alice Mutton</v>
      </c>
      <c r="E84" t="str">
        <f>_xlfn.XLOOKUP(_xlfn.XLOOKUP(Table9[[#This Row],[ProductName ]],products[productName],products[categoryID],,0),categories[categoryID],categories[categoryName],,0)</f>
        <v>Meat &amp; Poultry</v>
      </c>
      <c r="F84">
        <v>15</v>
      </c>
      <c r="G84">
        <v>312</v>
      </c>
      <c r="H84">
        <v>25</v>
      </c>
      <c r="I84">
        <f>Table9[[#This Row],[quantity]]*Table9[[#This Row],[unitPrice]]*(1-Table9[[#This Row],[discount]]/100)</f>
        <v>3510</v>
      </c>
      <c r="J84" t="str">
        <f>_xlfn.XLOOKUP(_xlfn.XLOOKUP(A84,orders[orderID],orders[customerID],,0),customers__2[customerID],customers__2[companyName],,0)</f>
        <v>Lehmanns Marktstand</v>
      </c>
      <c r="K84" t="str">
        <f>_xlfn.XLOOKUP(Table9[[#This Row],[Company Name]],customers__2[companyName],customers__2[country],,0)</f>
        <v>Germany</v>
      </c>
      <c r="L84">
        <f>MONTH(Table9[[#This Row],[OrderDate ]])</f>
        <v>8</v>
      </c>
      <c r="M84" t="str">
        <f>TEXT(Table9[[#This Row],[OrderDate ]],"mmm")</f>
        <v>Aug</v>
      </c>
      <c r="N84">
        <f>YEAR(Table9[[#This Row],[OrderDate ]])</f>
        <v>2013</v>
      </c>
    </row>
    <row r="85" spans="1:14" x14ac:dyDescent="0.3">
      <c r="A85">
        <v>10280</v>
      </c>
      <c r="B85" s="2">
        <f>_xlfn.XLOOKUP(Table9[[#This Row],[orderID]],orders[orderID],orders[orderDate],,0)</f>
        <v>41500</v>
      </c>
      <c r="C85">
        <f>_xlfn.XLOOKUP(A85,order_details[orderID],order_details[productID],,0)</f>
        <v>24</v>
      </c>
      <c r="D85" t="str">
        <f>_xlfn.XLOOKUP(C85,products[productID],products[productName],,0)</f>
        <v>Guarana Fantastica</v>
      </c>
      <c r="E85" t="str">
        <f>_xlfn.XLOOKUP(_xlfn.XLOOKUP(Table9[[#This Row],[ProductName ]],products[productName],products[categoryID],,0),categories[categoryID],categories[categoryName],,0)</f>
        <v>Beverages</v>
      </c>
      <c r="F85">
        <v>12</v>
      </c>
      <c r="G85">
        <v>36</v>
      </c>
      <c r="H85">
        <v>0</v>
      </c>
      <c r="I85">
        <f>Table9[[#This Row],[quantity]]*Table9[[#This Row],[unitPrice]]*(1-Table9[[#This Row],[discount]]/100)</f>
        <v>432</v>
      </c>
      <c r="J85" t="str">
        <f>_xlfn.XLOOKUP(_xlfn.XLOOKUP(A85,orders[orderID],orders[customerID],,0),customers__2[customerID],customers__2[companyName],,0)</f>
        <v>Berglunds snabbköp</v>
      </c>
      <c r="K85" t="str">
        <f>_xlfn.XLOOKUP(Table9[[#This Row],[Company Name]],customers__2[companyName],customers__2[country],,0)</f>
        <v>Sweden</v>
      </c>
      <c r="L85">
        <f>MONTH(Table9[[#This Row],[OrderDate ]])</f>
        <v>8</v>
      </c>
      <c r="M85" t="str">
        <f>TEXT(Table9[[#This Row],[OrderDate ]],"mmm")</f>
        <v>Aug</v>
      </c>
      <c r="N85">
        <f>YEAR(Table9[[#This Row],[OrderDate ]])</f>
        <v>2013</v>
      </c>
    </row>
    <row r="86" spans="1:14" x14ac:dyDescent="0.3">
      <c r="A86">
        <v>10280</v>
      </c>
      <c r="B86" s="2">
        <f>_xlfn.XLOOKUP(Table9[[#This Row],[orderID]],orders[orderID],orders[orderDate],,0)</f>
        <v>41500</v>
      </c>
      <c r="C86">
        <f>_xlfn.XLOOKUP(A86,order_details[orderID],order_details[productID],,0)</f>
        <v>24</v>
      </c>
      <c r="D86" t="str">
        <f>_xlfn.XLOOKUP(C86,products[productID],products[productName],,0)</f>
        <v>Guarana Fantastica</v>
      </c>
      <c r="E86" t="str">
        <f>_xlfn.XLOOKUP(_xlfn.XLOOKUP(Table9[[#This Row],[ProductName ]],products[productName],products[categoryID],,0),categories[categoryID],categories[categoryName],,0)</f>
        <v>Beverages</v>
      </c>
      <c r="F86">
        <v>20</v>
      </c>
      <c r="G86">
        <v>192</v>
      </c>
      <c r="H86">
        <v>0</v>
      </c>
      <c r="I86">
        <f>Table9[[#This Row],[quantity]]*Table9[[#This Row],[unitPrice]]*(1-Table9[[#This Row],[discount]]/100)</f>
        <v>3840</v>
      </c>
      <c r="J86" t="str">
        <f>_xlfn.XLOOKUP(_xlfn.XLOOKUP(A86,orders[orderID],orders[customerID],,0),customers__2[customerID],customers__2[companyName],,0)</f>
        <v>Berglunds snabbköp</v>
      </c>
      <c r="K86" t="str">
        <f>_xlfn.XLOOKUP(Table9[[#This Row],[Company Name]],customers__2[companyName],customers__2[country],,0)</f>
        <v>Sweden</v>
      </c>
      <c r="L86">
        <f>MONTH(Table9[[#This Row],[OrderDate ]])</f>
        <v>8</v>
      </c>
      <c r="M86" t="str">
        <f>TEXT(Table9[[#This Row],[OrderDate ]],"mmm")</f>
        <v>Aug</v>
      </c>
      <c r="N86">
        <f>YEAR(Table9[[#This Row],[OrderDate ]])</f>
        <v>2013</v>
      </c>
    </row>
    <row r="87" spans="1:14" x14ac:dyDescent="0.3">
      <c r="A87">
        <v>10280</v>
      </c>
      <c r="B87" s="2">
        <f>_xlfn.XLOOKUP(Table9[[#This Row],[orderID]],orders[orderID],orders[orderDate],,0)</f>
        <v>41500</v>
      </c>
      <c r="C87">
        <f>_xlfn.XLOOKUP(A87,order_details[orderID],order_details[productID],,0)</f>
        <v>24</v>
      </c>
      <c r="D87" t="str">
        <f>_xlfn.XLOOKUP(C87,products[productID],products[productName],,0)</f>
        <v>Guarana Fantastica</v>
      </c>
      <c r="E87" t="str">
        <f>_xlfn.XLOOKUP(_xlfn.XLOOKUP(Table9[[#This Row],[ProductName ]],products[productName],products[categoryID],,0),categories[categoryID],categories[categoryName],,0)</f>
        <v>Beverages</v>
      </c>
      <c r="F87">
        <v>30</v>
      </c>
      <c r="G87">
        <v>62</v>
      </c>
      <c r="H87">
        <v>0</v>
      </c>
      <c r="I87">
        <f>Table9[[#This Row],[quantity]]*Table9[[#This Row],[unitPrice]]*(1-Table9[[#This Row],[discount]]/100)</f>
        <v>1860</v>
      </c>
      <c r="J87" t="str">
        <f>_xlfn.XLOOKUP(_xlfn.XLOOKUP(A87,orders[orderID],orders[customerID],,0),customers__2[customerID],customers__2[companyName],,0)</f>
        <v>Berglunds snabbköp</v>
      </c>
      <c r="K87" t="str">
        <f>_xlfn.XLOOKUP(Table9[[#This Row],[Company Name]],customers__2[companyName],customers__2[country],,0)</f>
        <v>Sweden</v>
      </c>
      <c r="L87">
        <f>MONTH(Table9[[#This Row],[OrderDate ]])</f>
        <v>8</v>
      </c>
      <c r="M87" t="str">
        <f>TEXT(Table9[[#This Row],[OrderDate ]],"mmm")</f>
        <v>Aug</v>
      </c>
      <c r="N87">
        <f>YEAR(Table9[[#This Row],[OrderDate ]])</f>
        <v>2013</v>
      </c>
    </row>
    <row r="88" spans="1:14" x14ac:dyDescent="0.3">
      <c r="A88">
        <v>10281</v>
      </c>
      <c r="B88" s="2">
        <f>_xlfn.XLOOKUP(Table9[[#This Row],[orderID]],orders[orderID],orders[orderDate],,0)</f>
        <v>41500</v>
      </c>
      <c r="C88">
        <f>_xlfn.XLOOKUP(A88,order_details[orderID],order_details[productID],,0)</f>
        <v>19</v>
      </c>
      <c r="D88" t="str">
        <f>_xlfn.XLOOKUP(C88,products[productID],products[productName],,0)</f>
        <v>Teatime Chocolate Biscuits</v>
      </c>
      <c r="E88" t="str">
        <f>_xlfn.XLOOKUP(_xlfn.XLOOKUP(Table9[[#This Row],[ProductName ]],products[productName],products[categoryID],,0),categories[categoryID],categories[categoryName],,0)</f>
        <v>Confections</v>
      </c>
      <c r="F88">
        <v>1</v>
      </c>
      <c r="G88">
        <v>73</v>
      </c>
      <c r="H88">
        <v>0</v>
      </c>
      <c r="I88">
        <f>Table9[[#This Row],[quantity]]*Table9[[#This Row],[unitPrice]]*(1-Table9[[#This Row],[discount]]/100)</f>
        <v>73</v>
      </c>
      <c r="J88" t="str">
        <f>_xlfn.XLOOKUP(_xlfn.XLOOKUP(A88,orders[orderID],orders[customerID],,0),customers__2[customerID],customers__2[companyName],,0)</f>
        <v>Romero y tomillo</v>
      </c>
      <c r="K88" t="str">
        <f>_xlfn.XLOOKUP(Table9[[#This Row],[Company Name]],customers__2[companyName],customers__2[country],,0)</f>
        <v>Spain</v>
      </c>
      <c r="L88">
        <f>MONTH(Table9[[#This Row],[OrderDate ]])</f>
        <v>8</v>
      </c>
      <c r="M88" t="str">
        <f>TEXT(Table9[[#This Row],[OrderDate ]],"mmm")</f>
        <v>Aug</v>
      </c>
      <c r="N88">
        <f>YEAR(Table9[[#This Row],[OrderDate ]])</f>
        <v>2013</v>
      </c>
    </row>
    <row r="89" spans="1:14" x14ac:dyDescent="0.3">
      <c r="A89">
        <v>10281</v>
      </c>
      <c r="B89" s="2">
        <f>_xlfn.XLOOKUP(Table9[[#This Row],[orderID]],orders[orderID],orders[orderDate],,0)</f>
        <v>41500</v>
      </c>
      <c r="C89">
        <f>_xlfn.XLOOKUP(A89,order_details[orderID],order_details[productID],,0)</f>
        <v>19</v>
      </c>
      <c r="D89" t="str">
        <f>_xlfn.XLOOKUP(C89,products[productID],products[productName],,0)</f>
        <v>Teatime Chocolate Biscuits</v>
      </c>
      <c r="E89" t="str">
        <f>_xlfn.XLOOKUP(_xlfn.XLOOKUP(Table9[[#This Row],[ProductName ]],products[productName],products[categoryID],,0),categories[categoryID],categories[categoryName],,0)</f>
        <v>Confections</v>
      </c>
      <c r="F89">
        <v>6</v>
      </c>
      <c r="G89">
        <v>36</v>
      </c>
      <c r="H89">
        <v>0</v>
      </c>
      <c r="I89">
        <f>Table9[[#This Row],[quantity]]*Table9[[#This Row],[unitPrice]]*(1-Table9[[#This Row],[discount]]/100)</f>
        <v>216</v>
      </c>
      <c r="J89" t="str">
        <f>_xlfn.XLOOKUP(_xlfn.XLOOKUP(A89,orders[orderID],orders[customerID],,0),customers__2[customerID],customers__2[companyName],,0)</f>
        <v>Romero y tomillo</v>
      </c>
      <c r="K89" t="str">
        <f>_xlfn.XLOOKUP(Table9[[#This Row],[Company Name]],customers__2[companyName],customers__2[country],,0)</f>
        <v>Spain</v>
      </c>
      <c r="L89">
        <f>MONTH(Table9[[#This Row],[OrderDate ]])</f>
        <v>8</v>
      </c>
      <c r="M89" t="str">
        <f>TEXT(Table9[[#This Row],[OrderDate ]],"mmm")</f>
        <v>Aug</v>
      </c>
      <c r="N89">
        <f>YEAR(Table9[[#This Row],[OrderDate ]])</f>
        <v>2013</v>
      </c>
    </row>
    <row r="90" spans="1:14" x14ac:dyDescent="0.3">
      <c r="A90">
        <v>10281</v>
      </c>
      <c r="B90" s="2">
        <f>_xlfn.XLOOKUP(Table9[[#This Row],[orderID]],orders[orderID],orders[orderDate],,0)</f>
        <v>41500</v>
      </c>
      <c r="C90">
        <f>_xlfn.XLOOKUP(A90,order_details[orderID],order_details[productID],,0)</f>
        <v>19</v>
      </c>
      <c r="D90" t="str">
        <f>_xlfn.XLOOKUP(C90,products[productID],products[productName],,0)</f>
        <v>Teatime Chocolate Biscuits</v>
      </c>
      <c r="E90" t="str">
        <f>_xlfn.XLOOKUP(_xlfn.XLOOKUP(Table9[[#This Row],[ProductName ]],products[productName],products[categoryID],,0),categories[categoryID],categories[categoryName],,0)</f>
        <v>Confections</v>
      </c>
      <c r="F90">
        <v>4</v>
      </c>
      <c r="G90">
        <v>144</v>
      </c>
      <c r="H90">
        <v>0</v>
      </c>
      <c r="I90">
        <f>Table9[[#This Row],[quantity]]*Table9[[#This Row],[unitPrice]]*(1-Table9[[#This Row],[discount]]/100)</f>
        <v>576</v>
      </c>
      <c r="J90" t="str">
        <f>_xlfn.XLOOKUP(_xlfn.XLOOKUP(A90,orders[orderID],orders[customerID],,0),customers__2[customerID],customers__2[companyName],,0)</f>
        <v>Romero y tomillo</v>
      </c>
      <c r="K90" t="str">
        <f>_xlfn.XLOOKUP(Table9[[#This Row],[Company Name]],customers__2[companyName],customers__2[country],,0)</f>
        <v>Spain</v>
      </c>
      <c r="L90">
        <f>MONTH(Table9[[#This Row],[OrderDate ]])</f>
        <v>8</v>
      </c>
      <c r="M90" t="str">
        <f>TEXT(Table9[[#This Row],[OrderDate ]],"mmm")</f>
        <v>Aug</v>
      </c>
      <c r="N90">
        <f>YEAR(Table9[[#This Row],[OrderDate ]])</f>
        <v>2013</v>
      </c>
    </row>
    <row r="91" spans="1:14" x14ac:dyDescent="0.3">
      <c r="A91">
        <v>10282</v>
      </c>
      <c r="B91" s="2">
        <f>_xlfn.XLOOKUP(Table9[[#This Row],[orderID]],orders[orderID],orders[orderDate],,0)</f>
        <v>41501</v>
      </c>
      <c r="C91">
        <f>_xlfn.XLOOKUP(A91,order_details[orderID],order_details[productID],,0)</f>
        <v>30</v>
      </c>
      <c r="D91" t="str">
        <f>_xlfn.XLOOKUP(C91,products[productID],products[productName],,0)</f>
        <v>Nord-Ost Matjeshering</v>
      </c>
      <c r="E91" t="str">
        <f>_xlfn.XLOOKUP(_xlfn.XLOOKUP(Table9[[#This Row],[ProductName ]],products[productName],products[categoryID],,0),categories[categoryID],categories[categoryName],,0)</f>
        <v>Seafood</v>
      </c>
      <c r="F91">
        <v>6</v>
      </c>
      <c r="G91">
        <v>207</v>
      </c>
      <c r="H91">
        <v>0</v>
      </c>
      <c r="I91">
        <f>Table9[[#This Row],[quantity]]*Table9[[#This Row],[unitPrice]]*(1-Table9[[#This Row],[discount]]/100)</f>
        <v>1242</v>
      </c>
      <c r="J91" t="str">
        <f>_xlfn.XLOOKUP(_xlfn.XLOOKUP(A91,orders[orderID],orders[customerID],,0),customers__2[customerID],customers__2[companyName],,0)</f>
        <v>Romero y tomillo</v>
      </c>
      <c r="K91" t="str">
        <f>_xlfn.XLOOKUP(Table9[[#This Row],[Company Name]],customers__2[companyName],customers__2[country],,0)</f>
        <v>Spain</v>
      </c>
      <c r="L91">
        <f>MONTH(Table9[[#This Row],[OrderDate ]])</f>
        <v>8</v>
      </c>
      <c r="M91" t="str">
        <f>TEXT(Table9[[#This Row],[OrderDate ]],"mmm")</f>
        <v>Aug</v>
      </c>
      <c r="N91">
        <f>YEAR(Table9[[#This Row],[OrderDate ]])</f>
        <v>2013</v>
      </c>
    </row>
    <row r="92" spans="1:14" x14ac:dyDescent="0.3">
      <c r="A92">
        <v>10282</v>
      </c>
      <c r="B92" s="2">
        <f>_xlfn.XLOOKUP(Table9[[#This Row],[orderID]],orders[orderID],orders[orderDate],,0)</f>
        <v>41501</v>
      </c>
      <c r="C92">
        <f>_xlfn.XLOOKUP(A92,order_details[orderID],order_details[productID],,0)</f>
        <v>30</v>
      </c>
      <c r="D92" t="str">
        <f>_xlfn.XLOOKUP(C92,products[productID],products[productName],,0)</f>
        <v>Nord-Ost Matjeshering</v>
      </c>
      <c r="E92" t="str">
        <f>_xlfn.XLOOKUP(_xlfn.XLOOKUP(Table9[[#This Row],[ProductName ]],products[productName],products[categoryID],,0),categories[categoryID],categories[categoryName],,0)</f>
        <v>Seafood</v>
      </c>
      <c r="F92">
        <v>2</v>
      </c>
      <c r="G92">
        <v>156</v>
      </c>
      <c r="H92">
        <v>0</v>
      </c>
      <c r="I92">
        <f>Table9[[#This Row],[quantity]]*Table9[[#This Row],[unitPrice]]*(1-Table9[[#This Row],[discount]]/100)</f>
        <v>312</v>
      </c>
      <c r="J92" t="str">
        <f>_xlfn.XLOOKUP(_xlfn.XLOOKUP(A92,orders[orderID],orders[customerID],,0),customers__2[customerID],customers__2[companyName],,0)</f>
        <v>Romero y tomillo</v>
      </c>
      <c r="K92" t="str">
        <f>_xlfn.XLOOKUP(Table9[[#This Row],[Company Name]],customers__2[companyName],customers__2[country],,0)</f>
        <v>Spain</v>
      </c>
      <c r="L92">
        <f>MONTH(Table9[[#This Row],[OrderDate ]])</f>
        <v>8</v>
      </c>
      <c r="M92" t="str">
        <f>TEXT(Table9[[#This Row],[OrderDate ]],"mmm")</f>
        <v>Aug</v>
      </c>
      <c r="N92">
        <f>YEAR(Table9[[#This Row],[OrderDate ]])</f>
        <v>2013</v>
      </c>
    </row>
    <row r="93" spans="1:14" x14ac:dyDescent="0.3">
      <c r="A93">
        <v>10283</v>
      </c>
      <c r="B93" s="2">
        <f>_xlfn.XLOOKUP(Table9[[#This Row],[orderID]],orders[orderID],orders[orderDate],,0)</f>
        <v>41502</v>
      </c>
      <c r="C93">
        <f>_xlfn.XLOOKUP(A93,order_details[orderID],order_details[productID],,0)</f>
        <v>15</v>
      </c>
      <c r="D93" t="str">
        <f>_xlfn.XLOOKUP(C93,products[productID],products[productName],,0)</f>
        <v>Genen Shouyu</v>
      </c>
      <c r="E93" t="str">
        <f>_xlfn.XLOOKUP(_xlfn.XLOOKUP(Table9[[#This Row],[ProductName ]],products[productName],products[categoryID],,0),categories[categoryID],categories[categoryName],,0)</f>
        <v>Condiments</v>
      </c>
      <c r="F93">
        <v>20</v>
      </c>
      <c r="G93">
        <v>124</v>
      </c>
      <c r="H93">
        <v>0</v>
      </c>
      <c r="I93">
        <f>Table9[[#This Row],[quantity]]*Table9[[#This Row],[unitPrice]]*(1-Table9[[#This Row],[discount]]/100)</f>
        <v>2480</v>
      </c>
      <c r="J93" t="str">
        <f>_xlfn.XLOOKUP(_xlfn.XLOOKUP(A93,orders[orderID],orders[customerID],,0),customers__2[customerID],customers__2[companyName],,0)</f>
        <v>LILA-Supermercado</v>
      </c>
      <c r="K93" t="str">
        <f>_xlfn.XLOOKUP(Table9[[#This Row],[Company Name]],customers__2[companyName],customers__2[country],,0)</f>
        <v>Venezuela</v>
      </c>
      <c r="L93">
        <f>MONTH(Table9[[#This Row],[OrderDate ]])</f>
        <v>8</v>
      </c>
      <c r="M93" t="str">
        <f>TEXT(Table9[[#This Row],[OrderDate ]],"mmm")</f>
        <v>Aug</v>
      </c>
      <c r="N93">
        <f>YEAR(Table9[[#This Row],[OrderDate ]])</f>
        <v>2013</v>
      </c>
    </row>
    <row r="94" spans="1:14" x14ac:dyDescent="0.3">
      <c r="A94">
        <v>10283</v>
      </c>
      <c r="B94" s="2">
        <f>_xlfn.XLOOKUP(Table9[[#This Row],[orderID]],orders[orderID],orders[orderDate],,0)</f>
        <v>41502</v>
      </c>
      <c r="C94">
        <f>_xlfn.XLOOKUP(A94,order_details[orderID],order_details[productID],,0)</f>
        <v>15</v>
      </c>
      <c r="D94" t="str">
        <f>_xlfn.XLOOKUP(C94,products[productID],products[productName],,0)</f>
        <v>Genen Shouyu</v>
      </c>
      <c r="E94" t="str">
        <f>_xlfn.XLOOKUP(_xlfn.XLOOKUP(Table9[[#This Row],[ProductName ]],products[productName],products[categoryID],,0),categories[categoryID],categories[categoryName],,0)</f>
        <v>Condiments</v>
      </c>
      <c r="F94">
        <v>18</v>
      </c>
      <c r="G94">
        <v>73</v>
      </c>
      <c r="H94">
        <v>0</v>
      </c>
      <c r="I94">
        <f>Table9[[#This Row],[quantity]]*Table9[[#This Row],[unitPrice]]*(1-Table9[[#This Row],[discount]]/100)</f>
        <v>1314</v>
      </c>
      <c r="J94" t="str">
        <f>_xlfn.XLOOKUP(_xlfn.XLOOKUP(A94,orders[orderID],orders[customerID],,0),customers__2[customerID],customers__2[companyName],,0)</f>
        <v>LILA-Supermercado</v>
      </c>
      <c r="K94" t="str">
        <f>_xlfn.XLOOKUP(Table9[[#This Row],[Company Name]],customers__2[companyName],customers__2[country],,0)</f>
        <v>Venezuela</v>
      </c>
      <c r="L94">
        <f>MONTH(Table9[[#This Row],[OrderDate ]])</f>
        <v>8</v>
      </c>
      <c r="M94" t="str">
        <f>TEXT(Table9[[#This Row],[OrderDate ]],"mmm")</f>
        <v>Aug</v>
      </c>
      <c r="N94">
        <f>YEAR(Table9[[#This Row],[OrderDate ]])</f>
        <v>2013</v>
      </c>
    </row>
    <row r="95" spans="1:14" x14ac:dyDescent="0.3">
      <c r="A95">
        <v>10283</v>
      </c>
      <c r="B95" s="2">
        <f>_xlfn.XLOOKUP(Table9[[#This Row],[orderID]],orders[orderID],orders[orderDate],,0)</f>
        <v>41502</v>
      </c>
      <c r="C95">
        <f>_xlfn.XLOOKUP(A95,order_details[orderID],order_details[productID],,0)</f>
        <v>15</v>
      </c>
      <c r="D95" t="str">
        <f>_xlfn.XLOOKUP(C95,products[productID],products[productName],,0)</f>
        <v>Genen Shouyu</v>
      </c>
      <c r="E95" t="str">
        <f>_xlfn.XLOOKUP(_xlfn.XLOOKUP(Table9[[#This Row],[ProductName ]],products[productName],products[categoryID],,0),categories[categoryID],categories[categoryName],,0)</f>
        <v>Condiments</v>
      </c>
      <c r="F95">
        <v>35</v>
      </c>
      <c r="G95">
        <v>272</v>
      </c>
      <c r="H95">
        <v>0</v>
      </c>
      <c r="I95">
        <f>Table9[[#This Row],[quantity]]*Table9[[#This Row],[unitPrice]]*(1-Table9[[#This Row],[discount]]/100)</f>
        <v>9520</v>
      </c>
      <c r="J95" t="str">
        <f>_xlfn.XLOOKUP(_xlfn.XLOOKUP(A95,orders[orderID],orders[customerID],,0),customers__2[customerID],customers__2[companyName],,0)</f>
        <v>LILA-Supermercado</v>
      </c>
      <c r="K95" t="str">
        <f>_xlfn.XLOOKUP(Table9[[#This Row],[Company Name]],customers__2[companyName],customers__2[country],,0)</f>
        <v>Venezuela</v>
      </c>
      <c r="L95">
        <f>MONTH(Table9[[#This Row],[OrderDate ]])</f>
        <v>8</v>
      </c>
      <c r="M95" t="str">
        <f>TEXT(Table9[[#This Row],[OrderDate ]],"mmm")</f>
        <v>Aug</v>
      </c>
      <c r="N95">
        <f>YEAR(Table9[[#This Row],[OrderDate ]])</f>
        <v>2013</v>
      </c>
    </row>
    <row r="96" spans="1:14" x14ac:dyDescent="0.3">
      <c r="A96">
        <v>10283</v>
      </c>
      <c r="B96" s="2">
        <f>_xlfn.XLOOKUP(Table9[[#This Row],[orderID]],orders[orderID],orders[orderDate],,0)</f>
        <v>41502</v>
      </c>
      <c r="C96">
        <f>_xlfn.XLOOKUP(A96,order_details[orderID],order_details[productID],,0)</f>
        <v>15</v>
      </c>
      <c r="D96" t="str">
        <f>_xlfn.XLOOKUP(C96,products[productID],products[productName],,0)</f>
        <v>Genen Shouyu</v>
      </c>
      <c r="E96" t="str">
        <f>_xlfn.XLOOKUP(_xlfn.XLOOKUP(Table9[[#This Row],[ProductName ]],products[productName],products[categoryID],,0),categories[categoryID],categories[categoryName],,0)</f>
        <v>Condiments</v>
      </c>
      <c r="F96">
        <v>3</v>
      </c>
      <c r="G96">
        <v>278</v>
      </c>
      <c r="H96">
        <v>0</v>
      </c>
      <c r="I96">
        <f>Table9[[#This Row],[quantity]]*Table9[[#This Row],[unitPrice]]*(1-Table9[[#This Row],[discount]]/100)</f>
        <v>834</v>
      </c>
      <c r="J96" t="str">
        <f>_xlfn.XLOOKUP(_xlfn.XLOOKUP(A96,orders[orderID],orders[customerID],,0),customers__2[customerID],customers__2[companyName],,0)</f>
        <v>LILA-Supermercado</v>
      </c>
      <c r="K96" t="str">
        <f>_xlfn.XLOOKUP(Table9[[#This Row],[Company Name]],customers__2[companyName],customers__2[country],,0)</f>
        <v>Venezuela</v>
      </c>
      <c r="L96">
        <f>MONTH(Table9[[#This Row],[OrderDate ]])</f>
        <v>8</v>
      </c>
      <c r="M96" t="str">
        <f>TEXT(Table9[[#This Row],[OrderDate ]],"mmm")</f>
        <v>Aug</v>
      </c>
      <c r="N96">
        <f>YEAR(Table9[[#This Row],[OrderDate ]])</f>
        <v>2013</v>
      </c>
    </row>
    <row r="97" spans="1:14" x14ac:dyDescent="0.3">
      <c r="A97">
        <v>10284</v>
      </c>
      <c r="B97" s="2">
        <f>_xlfn.XLOOKUP(Table9[[#This Row],[orderID]],orders[orderID],orders[orderDate],,0)</f>
        <v>41505</v>
      </c>
      <c r="C97">
        <f>_xlfn.XLOOKUP(A97,order_details[orderID],order_details[productID],,0)</f>
        <v>27</v>
      </c>
      <c r="D97" t="str">
        <f>_xlfn.XLOOKUP(C97,products[productID],products[productName],,0)</f>
        <v>Schoggi Schokolade</v>
      </c>
      <c r="E97" t="str">
        <f>_xlfn.XLOOKUP(_xlfn.XLOOKUP(Table9[[#This Row],[ProductName ]],products[productName],products[categoryID],,0),categories[categoryID],categories[categoryName],,0)</f>
        <v>Confections</v>
      </c>
      <c r="F97">
        <v>15</v>
      </c>
      <c r="G97">
        <v>351</v>
      </c>
      <c r="H97">
        <v>25</v>
      </c>
      <c r="I97">
        <f>Table9[[#This Row],[quantity]]*Table9[[#This Row],[unitPrice]]*(1-Table9[[#This Row],[discount]]/100)</f>
        <v>3948.75</v>
      </c>
      <c r="J97" t="str">
        <f>_xlfn.XLOOKUP(_xlfn.XLOOKUP(A97,orders[orderID],orders[customerID],,0),customers__2[customerID],customers__2[companyName],,0)</f>
        <v>Lehmanns Marktstand</v>
      </c>
      <c r="K97" t="str">
        <f>_xlfn.XLOOKUP(Table9[[#This Row],[Company Name]],customers__2[companyName],customers__2[country],,0)</f>
        <v>Germany</v>
      </c>
      <c r="L97">
        <f>MONTH(Table9[[#This Row],[OrderDate ]])</f>
        <v>8</v>
      </c>
      <c r="M97" t="str">
        <f>TEXT(Table9[[#This Row],[OrderDate ]],"mmm")</f>
        <v>Aug</v>
      </c>
      <c r="N97">
        <f>YEAR(Table9[[#This Row],[OrderDate ]])</f>
        <v>2013</v>
      </c>
    </row>
    <row r="98" spans="1:14" x14ac:dyDescent="0.3">
      <c r="A98">
        <v>10284</v>
      </c>
      <c r="B98" s="2">
        <f>_xlfn.XLOOKUP(Table9[[#This Row],[orderID]],orders[orderID],orders[orderDate],,0)</f>
        <v>41505</v>
      </c>
      <c r="C98">
        <f>_xlfn.XLOOKUP(A98,order_details[orderID],order_details[productID],,0)</f>
        <v>27</v>
      </c>
      <c r="D98" t="str">
        <f>_xlfn.XLOOKUP(C98,products[productID],products[productName],,0)</f>
        <v>Schoggi Schokolade</v>
      </c>
      <c r="E98" t="str">
        <f>_xlfn.XLOOKUP(_xlfn.XLOOKUP(Table9[[#This Row],[ProductName ]],products[productName],products[categoryID],,0),categories[categoryID],categories[categoryName],,0)</f>
        <v>Confections</v>
      </c>
      <c r="F98">
        <v>21</v>
      </c>
      <c r="G98">
        <v>155</v>
      </c>
      <c r="H98">
        <v>0</v>
      </c>
      <c r="I98">
        <f>Table9[[#This Row],[quantity]]*Table9[[#This Row],[unitPrice]]*(1-Table9[[#This Row],[discount]]/100)</f>
        <v>3255</v>
      </c>
      <c r="J98" t="str">
        <f>_xlfn.XLOOKUP(_xlfn.XLOOKUP(A98,orders[orderID],orders[customerID],,0),customers__2[customerID],customers__2[companyName],,0)</f>
        <v>Lehmanns Marktstand</v>
      </c>
      <c r="K98" t="str">
        <f>_xlfn.XLOOKUP(Table9[[#This Row],[Company Name]],customers__2[companyName],customers__2[country],,0)</f>
        <v>Germany</v>
      </c>
      <c r="L98">
        <f>MONTH(Table9[[#This Row],[OrderDate ]])</f>
        <v>8</v>
      </c>
      <c r="M98" t="str">
        <f>TEXT(Table9[[#This Row],[OrderDate ]],"mmm")</f>
        <v>Aug</v>
      </c>
      <c r="N98">
        <f>YEAR(Table9[[#This Row],[OrderDate ]])</f>
        <v>2013</v>
      </c>
    </row>
    <row r="99" spans="1:14" x14ac:dyDescent="0.3">
      <c r="A99">
        <v>10284</v>
      </c>
      <c r="B99" s="2">
        <f>_xlfn.XLOOKUP(Table9[[#This Row],[orderID]],orders[orderID],orders[orderDate],,0)</f>
        <v>41505</v>
      </c>
      <c r="C99">
        <f>_xlfn.XLOOKUP(A99,order_details[orderID],order_details[productID],,0)</f>
        <v>27</v>
      </c>
      <c r="D99" t="str">
        <f>_xlfn.XLOOKUP(C99,products[productID],products[productName],,0)</f>
        <v>Schoggi Schokolade</v>
      </c>
      <c r="E99" t="str">
        <f>_xlfn.XLOOKUP(_xlfn.XLOOKUP(Table9[[#This Row],[ProductName ]],products[productName],products[categoryID],,0),categories[categoryID],categories[categoryName],,0)</f>
        <v>Confections</v>
      </c>
      <c r="F99">
        <v>20</v>
      </c>
      <c r="G99">
        <v>272</v>
      </c>
      <c r="H99">
        <v>25</v>
      </c>
      <c r="I99">
        <f>Table9[[#This Row],[quantity]]*Table9[[#This Row],[unitPrice]]*(1-Table9[[#This Row],[discount]]/100)</f>
        <v>4080</v>
      </c>
      <c r="J99" t="str">
        <f>_xlfn.XLOOKUP(_xlfn.XLOOKUP(A99,orders[orderID],orders[customerID],,0),customers__2[customerID],customers__2[companyName],,0)</f>
        <v>Lehmanns Marktstand</v>
      </c>
      <c r="K99" t="str">
        <f>_xlfn.XLOOKUP(Table9[[#This Row],[Company Name]],customers__2[companyName],customers__2[country],,0)</f>
        <v>Germany</v>
      </c>
      <c r="L99">
        <f>MONTH(Table9[[#This Row],[OrderDate ]])</f>
        <v>8</v>
      </c>
      <c r="M99" t="str">
        <f>TEXT(Table9[[#This Row],[OrderDate ]],"mmm")</f>
        <v>Aug</v>
      </c>
      <c r="N99">
        <f>YEAR(Table9[[#This Row],[OrderDate ]])</f>
        <v>2013</v>
      </c>
    </row>
    <row r="100" spans="1:14" x14ac:dyDescent="0.3">
      <c r="A100">
        <v>10284</v>
      </c>
      <c r="B100" s="2">
        <f>_xlfn.XLOOKUP(Table9[[#This Row],[orderID]],orders[orderID],orders[orderDate],,0)</f>
        <v>41505</v>
      </c>
      <c r="C100">
        <f>_xlfn.XLOOKUP(A100,order_details[orderID],order_details[productID],,0)</f>
        <v>27</v>
      </c>
      <c r="D100" t="str">
        <f>_xlfn.XLOOKUP(C100,products[productID],products[productName],,0)</f>
        <v>Schoggi Schokolade</v>
      </c>
      <c r="E100" t="str">
        <f>_xlfn.XLOOKUP(_xlfn.XLOOKUP(Table9[[#This Row],[ProductName ]],products[productName],products[categoryID],,0),categories[categoryID],categories[categoryName],,0)</f>
        <v>Confections</v>
      </c>
      <c r="F100">
        <v>5</v>
      </c>
      <c r="G100">
        <v>112</v>
      </c>
      <c r="H100">
        <v>25</v>
      </c>
      <c r="I100">
        <f>Table9[[#This Row],[quantity]]*Table9[[#This Row],[unitPrice]]*(1-Table9[[#This Row],[discount]]/100)</f>
        <v>420</v>
      </c>
      <c r="J100" t="str">
        <f>_xlfn.XLOOKUP(_xlfn.XLOOKUP(A100,orders[orderID],orders[customerID],,0),customers__2[customerID],customers__2[companyName],,0)</f>
        <v>Lehmanns Marktstand</v>
      </c>
      <c r="K100" t="str">
        <f>_xlfn.XLOOKUP(Table9[[#This Row],[Company Name]],customers__2[companyName],customers__2[country],,0)</f>
        <v>Germany</v>
      </c>
      <c r="L100">
        <f>MONTH(Table9[[#This Row],[OrderDate ]])</f>
        <v>8</v>
      </c>
      <c r="M100" t="str">
        <f>TEXT(Table9[[#This Row],[OrderDate ]],"mmm")</f>
        <v>Aug</v>
      </c>
      <c r="N100">
        <f>YEAR(Table9[[#This Row],[OrderDate ]])</f>
        <v>2013</v>
      </c>
    </row>
    <row r="101" spans="1:14" x14ac:dyDescent="0.3">
      <c r="A101">
        <v>10285</v>
      </c>
      <c r="B101" s="2">
        <f>_xlfn.XLOOKUP(Table9[[#This Row],[orderID]],orders[orderID],orders[orderDate],,0)</f>
        <v>41506</v>
      </c>
      <c r="C101">
        <f>_xlfn.XLOOKUP(A101,order_details[orderID],order_details[productID],,0)</f>
        <v>1</v>
      </c>
      <c r="D101" t="str">
        <f>_xlfn.XLOOKUP(C101,products[productID],products[productName],,0)</f>
        <v>Chai</v>
      </c>
      <c r="E101" t="str">
        <f>_xlfn.XLOOKUP(_xlfn.XLOOKUP(Table9[[#This Row],[ProductName ]],products[productName],products[categoryID],,0),categories[categoryID],categories[categoryName],,0)</f>
        <v>Beverages</v>
      </c>
      <c r="F101">
        <v>45</v>
      </c>
      <c r="G101">
        <v>144</v>
      </c>
      <c r="H101">
        <v>2</v>
      </c>
      <c r="I101">
        <f>Table9[[#This Row],[quantity]]*Table9[[#This Row],[unitPrice]]*(1-Table9[[#This Row],[discount]]/100)</f>
        <v>6350.4</v>
      </c>
      <c r="J101" t="str">
        <f>_xlfn.XLOOKUP(_xlfn.XLOOKUP(A101,orders[orderID],orders[customerID],,0),customers__2[customerID],customers__2[companyName],,0)</f>
        <v>QUICK-Stop</v>
      </c>
      <c r="K101" t="str">
        <f>_xlfn.XLOOKUP(Table9[[#This Row],[Company Name]],customers__2[companyName],customers__2[country],,0)</f>
        <v>Germany</v>
      </c>
      <c r="L101">
        <f>MONTH(Table9[[#This Row],[OrderDate ]])</f>
        <v>8</v>
      </c>
      <c r="M101" t="str">
        <f>TEXT(Table9[[#This Row],[OrderDate ]],"mmm")</f>
        <v>Aug</v>
      </c>
      <c r="N101">
        <f>YEAR(Table9[[#This Row],[OrderDate ]])</f>
        <v>2013</v>
      </c>
    </row>
    <row r="102" spans="1:14" x14ac:dyDescent="0.3">
      <c r="A102">
        <v>10285</v>
      </c>
      <c r="B102" s="2">
        <f>_xlfn.XLOOKUP(Table9[[#This Row],[orderID]],orders[orderID],orders[orderDate],,0)</f>
        <v>41506</v>
      </c>
      <c r="C102">
        <f>_xlfn.XLOOKUP(A102,order_details[orderID],order_details[productID],,0)</f>
        <v>1</v>
      </c>
      <c r="D102" t="str">
        <f>_xlfn.XLOOKUP(C102,products[productID],products[productName],,0)</f>
        <v>Chai</v>
      </c>
      <c r="E102" t="str">
        <f>_xlfn.XLOOKUP(_xlfn.XLOOKUP(Table9[[#This Row],[ProductName ]],products[productName],products[categoryID],,0),categories[categoryID],categories[categoryName],,0)</f>
        <v>Beverages</v>
      </c>
      <c r="F102">
        <v>40</v>
      </c>
      <c r="G102">
        <v>147</v>
      </c>
      <c r="H102">
        <v>2</v>
      </c>
      <c r="I102">
        <f>Table9[[#This Row],[quantity]]*Table9[[#This Row],[unitPrice]]*(1-Table9[[#This Row],[discount]]/100)</f>
        <v>5762.4</v>
      </c>
      <c r="J102" t="str">
        <f>_xlfn.XLOOKUP(_xlfn.XLOOKUP(A102,orders[orderID],orders[customerID],,0),customers__2[customerID],customers__2[companyName],,0)</f>
        <v>QUICK-Stop</v>
      </c>
      <c r="K102" t="str">
        <f>_xlfn.XLOOKUP(Table9[[#This Row],[Company Name]],customers__2[companyName],customers__2[country],,0)</f>
        <v>Germany</v>
      </c>
      <c r="L102">
        <f>MONTH(Table9[[#This Row],[OrderDate ]])</f>
        <v>8</v>
      </c>
      <c r="M102" t="str">
        <f>TEXT(Table9[[#This Row],[OrderDate ]],"mmm")</f>
        <v>Aug</v>
      </c>
      <c r="N102">
        <f>YEAR(Table9[[#This Row],[OrderDate ]])</f>
        <v>2013</v>
      </c>
    </row>
    <row r="103" spans="1:14" x14ac:dyDescent="0.3">
      <c r="A103">
        <v>10285</v>
      </c>
      <c r="B103" s="2">
        <f>_xlfn.XLOOKUP(Table9[[#This Row],[orderID]],orders[orderID],orders[orderDate],,0)</f>
        <v>41506</v>
      </c>
      <c r="C103">
        <f>_xlfn.XLOOKUP(A103,order_details[orderID],order_details[productID],,0)</f>
        <v>1</v>
      </c>
      <c r="D103" t="str">
        <f>_xlfn.XLOOKUP(C103,products[productID],products[productName],,0)</f>
        <v>Chai</v>
      </c>
      <c r="E103" t="str">
        <f>_xlfn.XLOOKUP(_xlfn.XLOOKUP(Table9[[#This Row],[ProductName ]],products[productName],products[categoryID],,0),categories[categoryID],categories[categoryName],,0)</f>
        <v>Beverages</v>
      </c>
      <c r="F103">
        <v>36</v>
      </c>
      <c r="G103">
        <v>262</v>
      </c>
      <c r="H103">
        <v>2</v>
      </c>
      <c r="I103">
        <f>Table9[[#This Row],[quantity]]*Table9[[#This Row],[unitPrice]]*(1-Table9[[#This Row],[discount]]/100)</f>
        <v>9243.36</v>
      </c>
      <c r="J103" t="str">
        <f>_xlfn.XLOOKUP(_xlfn.XLOOKUP(A103,orders[orderID],orders[customerID],,0),customers__2[customerID],customers__2[companyName],,0)</f>
        <v>QUICK-Stop</v>
      </c>
      <c r="K103" t="str">
        <f>_xlfn.XLOOKUP(Table9[[#This Row],[Company Name]],customers__2[companyName],customers__2[country],,0)</f>
        <v>Germany</v>
      </c>
      <c r="L103">
        <f>MONTH(Table9[[#This Row],[OrderDate ]])</f>
        <v>8</v>
      </c>
      <c r="M103" t="str">
        <f>TEXT(Table9[[#This Row],[OrderDate ]],"mmm")</f>
        <v>Aug</v>
      </c>
      <c r="N103">
        <f>YEAR(Table9[[#This Row],[OrderDate ]])</f>
        <v>2013</v>
      </c>
    </row>
    <row r="104" spans="1:14" x14ac:dyDescent="0.3">
      <c r="A104">
        <v>10286</v>
      </c>
      <c r="B104" s="2">
        <f>_xlfn.XLOOKUP(Table9[[#This Row],[orderID]],orders[orderID],orders[orderDate],,0)</f>
        <v>41507</v>
      </c>
      <c r="C104">
        <f>_xlfn.XLOOKUP(A104,order_details[orderID],order_details[productID],,0)</f>
        <v>35</v>
      </c>
      <c r="D104" t="str">
        <f>_xlfn.XLOOKUP(C104,products[productID],products[productName],,0)</f>
        <v>Steeleye Stout</v>
      </c>
      <c r="E104" t="str">
        <f>_xlfn.XLOOKUP(_xlfn.XLOOKUP(Table9[[#This Row],[ProductName ]],products[productName],products[categoryID],,0),categories[categoryID],categories[categoryName],,0)</f>
        <v>Beverages</v>
      </c>
      <c r="F104">
        <v>100</v>
      </c>
      <c r="G104">
        <v>144</v>
      </c>
      <c r="H104">
        <v>0</v>
      </c>
      <c r="I104">
        <f>Table9[[#This Row],[quantity]]*Table9[[#This Row],[unitPrice]]*(1-Table9[[#This Row],[discount]]/100)</f>
        <v>14400</v>
      </c>
      <c r="J104" t="str">
        <f>_xlfn.XLOOKUP(_xlfn.XLOOKUP(A104,orders[orderID],orders[customerID],,0),customers__2[customerID],customers__2[companyName],,0)</f>
        <v>QUICK-Stop</v>
      </c>
      <c r="K104" t="str">
        <f>_xlfn.XLOOKUP(Table9[[#This Row],[Company Name]],customers__2[companyName],customers__2[country],,0)</f>
        <v>Germany</v>
      </c>
      <c r="L104">
        <f>MONTH(Table9[[#This Row],[OrderDate ]])</f>
        <v>8</v>
      </c>
      <c r="M104" t="str">
        <f>TEXT(Table9[[#This Row],[OrderDate ]],"mmm")</f>
        <v>Aug</v>
      </c>
      <c r="N104">
        <f>YEAR(Table9[[#This Row],[OrderDate ]])</f>
        <v>2013</v>
      </c>
    </row>
    <row r="105" spans="1:14" x14ac:dyDescent="0.3">
      <c r="A105">
        <v>10286</v>
      </c>
      <c r="B105" s="2">
        <f>_xlfn.XLOOKUP(Table9[[#This Row],[orderID]],orders[orderID],orders[orderDate],,0)</f>
        <v>41507</v>
      </c>
      <c r="C105">
        <f>_xlfn.XLOOKUP(A105,order_details[orderID],order_details[productID],,0)</f>
        <v>35</v>
      </c>
      <c r="D105" t="str">
        <f>_xlfn.XLOOKUP(C105,products[productID],products[productName],,0)</f>
        <v>Steeleye Stout</v>
      </c>
      <c r="E105" t="str">
        <f>_xlfn.XLOOKUP(_xlfn.XLOOKUP(Table9[[#This Row],[ProductName ]],products[productName],products[categoryID],,0),categories[categoryID],categories[categoryName],,0)</f>
        <v>Beverages</v>
      </c>
      <c r="F105">
        <v>40</v>
      </c>
      <c r="G105">
        <v>394</v>
      </c>
      <c r="H105">
        <v>0</v>
      </c>
      <c r="I105">
        <f>Table9[[#This Row],[quantity]]*Table9[[#This Row],[unitPrice]]*(1-Table9[[#This Row],[discount]]/100)</f>
        <v>15760</v>
      </c>
      <c r="J105" t="str">
        <f>_xlfn.XLOOKUP(_xlfn.XLOOKUP(A105,orders[orderID],orders[customerID],,0),customers__2[customerID],customers__2[companyName],,0)</f>
        <v>QUICK-Stop</v>
      </c>
      <c r="K105" t="str">
        <f>_xlfn.XLOOKUP(Table9[[#This Row],[Company Name]],customers__2[companyName],customers__2[country],,0)</f>
        <v>Germany</v>
      </c>
      <c r="L105">
        <f>MONTH(Table9[[#This Row],[OrderDate ]])</f>
        <v>8</v>
      </c>
      <c r="M105" t="str">
        <f>TEXT(Table9[[#This Row],[OrderDate ]],"mmm")</f>
        <v>Aug</v>
      </c>
      <c r="N105">
        <f>YEAR(Table9[[#This Row],[OrderDate ]])</f>
        <v>2013</v>
      </c>
    </row>
    <row r="106" spans="1:14" x14ac:dyDescent="0.3">
      <c r="A106">
        <v>10287</v>
      </c>
      <c r="B106" s="2">
        <f>_xlfn.XLOOKUP(Table9[[#This Row],[orderID]],orders[orderID],orders[orderDate],,0)</f>
        <v>41508</v>
      </c>
      <c r="C106">
        <f>_xlfn.XLOOKUP(A106,order_details[orderID],order_details[productID],,0)</f>
        <v>16</v>
      </c>
      <c r="D106" t="str">
        <f>_xlfn.XLOOKUP(C106,products[productID],products[productName],,0)</f>
        <v>Pavlova</v>
      </c>
      <c r="E106" t="str">
        <f>_xlfn.XLOOKUP(_xlfn.XLOOKUP(Table9[[#This Row],[ProductName ]],products[productName],products[categoryID],,0),categories[categoryID],categories[categoryName],,0)</f>
        <v>Confections</v>
      </c>
      <c r="F106">
        <v>40</v>
      </c>
      <c r="G106">
        <v>139</v>
      </c>
      <c r="H106">
        <v>15</v>
      </c>
      <c r="I106">
        <f>Table9[[#This Row],[quantity]]*Table9[[#This Row],[unitPrice]]*(1-Table9[[#This Row],[discount]]/100)</f>
        <v>4726</v>
      </c>
      <c r="J106" t="str">
        <f>_xlfn.XLOOKUP(_xlfn.XLOOKUP(A106,orders[orderID],orders[customerID],,0),customers__2[customerID],customers__2[companyName],,0)</f>
        <v>Ricardo Adocicados</v>
      </c>
      <c r="K106" t="str">
        <f>_xlfn.XLOOKUP(Table9[[#This Row],[Company Name]],customers__2[companyName],customers__2[country],,0)</f>
        <v>Brazil</v>
      </c>
      <c r="L106">
        <f>MONTH(Table9[[#This Row],[OrderDate ]])</f>
        <v>8</v>
      </c>
      <c r="M106" t="str">
        <f>TEXT(Table9[[#This Row],[OrderDate ]],"mmm")</f>
        <v>Aug</v>
      </c>
      <c r="N106">
        <f>YEAR(Table9[[#This Row],[OrderDate ]])</f>
        <v>2013</v>
      </c>
    </row>
    <row r="107" spans="1:14" x14ac:dyDescent="0.3">
      <c r="A107">
        <v>10287</v>
      </c>
      <c r="B107" s="2">
        <f>_xlfn.XLOOKUP(Table9[[#This Row],[orderID]],orders[orderID],orders[orderDate],,0)</f>
        <v>41508</v>
      </c>
      <c r="C107">
        <f>_xlfn.XLOOKUP(A107,order_details[orderID],order_details[productID],,0)</f>
        <v>16</v>
      </c>
      <c r="D107" t="str">
        <f>_xlfn.XLOOKUP(C107,products[productID],products[productName],,0)</f>
        <v>Pavlova</v>
      </c>
      <c r="E107" t="str">
        <f>_xlfn.XLOOKUP(_xlfn.XLOOKUP(Table9[[#This Row],[ProductName ]],products[productName],products[categoryID],,0),categories[categoryID],categories[categoryName],,0)</f>
        <v>Confections</v>
      </c>
      <c r="F107">
        <v>20</v>
      </c>
      <c r="G107">
        <v>112</v>
      </c>
      <c r="H107">
        <v>0</v>
      </c>
      <c r="I107">
        <f>Table9[[#This Row],[quantity]]*Table9[[#This Row],[unitPrice]]*(1-Table9[[#This Row],[discount]]/100)</f>
        <v>2240</v>
      </c>
      <c r="J107" t="str">
        <f>_xlfn.XLOOKUP(_xlfn.XLOOKUP(A107,orders[orderID],orders[customerID],,0),customers__2[customerID],customers__2[companyName],,0)</f>
        <v>Ricardo Adocicados</v>
      </c>
      <c r="K107" t="str">
        <f>_xlfn.XLOOKUP(Table9[[#This Row],[Company Name]],customers__2[companyName],customers__2[country],,0)</f>
        <v>Brazil</v>
      </c>
      <c r="L107">
        <f>MONTH(Table9[[#This Row],[OrderDate ]])</f>
        <v>8</v>
      </c>
      <c r="M107" t="str">
        <f>TEXT(Table9[[#This Row],[OrderDate ]],"mmm")</f>
        <v>Aug</v>
      </c>
      <c r="N107">
        <f>YEAR(Table9[[#This Row],[OrderDate ]])</f>
        <v>2013</v>
      </c>
    </row>
    <row r="108" spans="1:14" x14ac:dyDescent="0.3">
      <c r="A108">
        <v>10287</v>
      </c>
      <c r="B108" s="2">
        <f>_xlfn.XLOOKUP(Table9[[#This Row],[orderID]],orders[orderID],orders[orderDate],,0)</f>
        <v>41508</v>
      </c>
      <c r="C108">
        <f>_xlfn.XLOOKUP(A108,order_details[orderID],order_details[productID],,0)</f>
        <v>16</v>
      </c>
      <c r="D108" t="str">
        <f>_xlfn.XLOOKUP(C108,products[productID],products[productName],,0)</f>
        <v>Pavlova</v>
      </c>
      <c r="E108" t="str">
        <f>_xlfn.XLOOKUP(_xlfn.XLOOKUP(Table9[[#This Row],[ProductName ]],products[productName],products[categoryID],,0),categories[categoryID],categories[categoryName],,0)</f>
        <v>Confections</v>
      </c>
      <c r="F108">
        <v>15</v>
      </c>
      <c r="G108">
        <v>96</v>
      </c>
      <c r="H108">
        <v>15</v>
      </c>
      <c r="I108">
        <f>Table9[[#This Row],[quantity]]*Table9[[#This Row],[unitPrice]]*(1-Table9[[#This Row],[discount]]/100)</f>
        <v>1224</v>
      </c>
      <c r="J108" t="str">
        <f>_xlfn.XLOOKUP(_xlfn.XLOOKUP(A108,orders[orderID],orders[customerID],,0),customers__2[customerID],customers__2[companyName],,0)</f>
        <v>Ricardo Adocicados</v>
      </c>
      <c r="K108" t="str">
        <f>_xlfn.XLOOKUP(Table9[[#This Row],[Company Name]],customers__2[companyName],customers__2[country],,0)</f>
        <v>Brazil</v>
      </c>
      <c r="L108">
        <f>MONTH(Table9[[#This Row],[OrderDate ]])</f>
        <v>8</v>
      </c>
      <c r="M108" t="str">
        <f>TEXT(Table9[[#This Row],[OrderDate ]],"mmm")</f>
        <v>Aug</v>
      </c>
      <c r="N108">
        <f>YEAR(Table9[[#This Row],[OrderDate ]])</f>
        <v>2013</v>
      </c>
    </row>
    <row r="109" spans="1:14" x14ac:dyDescent="0.3">
      <c r="A109">
        <v>10288</v>
      </c>
      <c r="B109" s="2">
        <f>_xlfn.XLOOKUP(Table9[[#This Row],[orderID]],orders[orderID],orders[orderDate],,0)</f>
        <v>41509</v>
      </c>
      <c r="C109">
        <f>_xlfn.XLOOKUP(A109,order_details[orderID],order_details[productID],,0)</f>
        <v>54</v>
      </c>
      <c r="D109" t="str">
        <f>_xlfn.XLOOKUP(C109,products[productID],products[productName],,0)</f>
        <v>Tourtière</v>
      </c>
      <c r="E109" t="str">
        <f>_xlfn.XLOOKUP(_xlfn.XLOOKUP(Table9[[#This Row],[ProductName ]],products[productName],products[categoryID],,0),categories[categoryID],categories[categoryName],,0)</f>
        <v>Meat &amp; Poultry</v>
      </c>
      <c r="F109">
        <v>10</v>
      </c>
      <c r="G109">
        <v>59</v>
      </c>
      <c r="H109">
        <v>1</v>
      </c>
      <c r="I109">
        <f>Table9[[#This Row],[quantity]]*Table9[[#This Row],[unitPrice]]*(1-Table9[[#This Row],[discount]]/100)</f>
        <v>584.1</v>
      </c>
      <c r="J109" t="str">
        <f>_xlfn.XLOOKUP(_xlfn.XLOOKUP(A109,orders[orderID],orders[customerID],,0),customers__2[customerID],customers__2[companyName],,0)</f>
        <v>Reggiani Caseifici</v>
      </c>
      <c r="K109" t="str">
        <f>_xlfn.XLOOKUP(Table9[[#This Row],[Company Name]],customers__2[companyName],customers__2[country],,0)</f>
        <v>Italy</v>
      </c>
      <c r="L109">
        <f>MONTH(Table9[[#This Row],[OrderDate ]])</f>
        <v>8</v>
      </c>
      <c r="M109" t="str">
        <f>TEXT(Table9[[#This Row],[OrderDate ]],"mmm")</f>
        <v>Aug</v>
      </c>
      <c r="N109">
        <f>YEAR(Table9[[#This Row],[OrderDate ]])</f>
        <v>2013</v>
      </c>
    </row>
    <row r="110" spans="1:14" x14ac:dyDescent="0.3">
      <c r="A110">
        <v>10288</v>
      </c>
      <c r="B110" s="2">
        <f>_xlfn.XLOOKUP(Table9[[#This Row],[orderID]],orders[orderID],orders[orderDate],,0)</f>
        <v>41509</v>
      </c>
      <c r="C110">
        <f>_xlfn.XLOOKUP(A110,order_details[orderID],order_details[productID],,0)</f>
        <v>54</v>
      </c>
      <c r="D110" t="str">
        <f>_xlfn.XLOOKUP(C110,products[productID],products[productName],,0)</f>
        <v>Tourtière</v>
      </c>
      <c r="E110" t="str">
        <f>_xlfn.XLOOKUP(_xlfn.XLOOKUP(Table9[[#This Row],[ProductName ]],products[productName],products[categoryID],,0),categories[categoryID],categories[categoryName],,0)</f>
        <v>Meat &amp; Poultry</v>
      </c>
      <c r="F110">
        <v>3</v>
      </c>
      <c r="G110">
        <v>10</v>
      </c>
      <c r="H110">
        <v>1</v>
      </c>
      <c r="I110">
        <f>Table9[[#This Row],[quantity]]*Table9[[#This Row],[unitPrice]]*(1-Table9[[#This Row],[discount]]/100)</f>
        <v>29.7</v>
      </c>
      <c r="J110" t="str">
        <f>_xlfn.XLOOKUP(_xlfn.XLOOKUP(A110,orders[orderID],orders[customerID],,0),customers__2[customerID],customers__2[companyName],,0)</f>
        <v>Reggiani Caseifici</v>
      </c>
      <c r="K110" t="str">
        <f>_xlfn.XLOOKUP(Table9[[#This Row],[Company Name]],customers__2[companyName],customers__2[country],,0)</f>
        <v>Italy</v>
      </c>
      <c r="L110">
        <f>MONTH(Table9[[#This Row],[OrderDate ]])</f>
        <v>8</v>
      </c>
      <c r="M110" t="str">
        <f>TEXT(Table9[[#This Row],[OrderDate ]],"mmm")</f>
        <v>Aug</v>
      </c>
      <c r="N110">
        <f>YEAR(Table9[[#This Row],[OrderDate ]])</f>
        <v>2013</v>
      </c>
    </row>
    <row r="111" spans="1:14" x14ac:dyDescent="0.3">
      <c r="A111">
        <v>10289</v>
      </c>
      <c r="B111" s="2">
        <f>_xlfn.XLOOKUP(Table9[[#This Row],[orderID]],orders[orderID],orders[orderDate],,0)</f>
        <v>41512</v>
      </c>
      <c r="C111">
        <f>_xlfn.XLOOKUP(A111,order_details[orderID],order_details[productID],,0)</f>
        <v>3</v>
      </c>
      <c r="D111" t="str">
        <f>_xlfn.XLOOKUP(C111,products[productID],products[productName],,0)</f>
        <v>Aniseed Syrup</v>
      </c>
      <c r="E111" t="str">
        <f>_xlfn.XLOOKUP(_xlfn.XLOOKUP(Table9[[#This Row],[ProductName ]],products[productName],products[categoryID],,0),categories[categoryID],categories[categoryName],,0)</f>
        <v>Condiments</v>
      </c>
      <c r="F111">
        <v>30</v>
      </c>
      <c r="G111">
        <v>8</v>
      </c>
      <c r="H111">
        <v>0</v>
      </c>
      <c r="I111">
        <f>Table9[[#This Row],[quantity]]*Table9[[#This Row],[unitPrice]]*(1-Table9[[#This Row],[discount]]/100)</f>
        <v>240</v>
      </c>
      <c r="J111" t="str">
        <f>_xlfn.XLOOKUP(_xlfn.XLOOKUP(A111,orders[orderID],orders[customerID],,0),customers__2[customerID],customers__2[companyName],,0)</f>
        <v>B's Beverages</v>
      </c>
      <c r="K111" t="str">
        <f>_xlfn.XLOOKUP(Table9[[#This Row],[Company Name]],customers__2[companyName],customers__2[country],,0)</f>
        <v>UK</v>
      </c>
      <c r="L111">
        <f>MONTH(Table9[[#This Row],[OrderDate ]])</f>
        <v>8</v>
      </c>
      <c r="M111" t="str">
        <f>TEXT(Table9[[#This Row],[OrderDate ]],"mmm")</f>
        <v>Aug</v>
      </c>
      <c r="N111">
        <f>YEAR(Table9[[#This Row],[OrderDate ]])</f>
        <v>2013</v>
      </c>
    </row>
    <row r="112" spans="1:14" x14ac:dyDescent="0.3">
      <c r="A112">
        <v>10289</v>
      </c>
      <c r="B112" s="2">
        <f>_xlfn.XLOOKUP(Table9[[#This Row],[orderID]],orders[orderID],orders[orderDate],,0)</f>
        <v>41512</v>
      </c>
      <c r="C112">
        <f>_xlfn.XLOOKUP(A112,order_details[orderID],order_details[productID],,0)</f>
        <v>3</v>
      </c>
      <c r="D112" t="str">
        <f>_xlfn.XLOOKUP(C112,products[productID],products[productName],,0)</f>
        <v>Aniseed Syrup</v>
      </c>
      <c r="E112" t="str">
        <f>_xlfn.XLOOKUP(_xlfn.XLOOKUP(Table9[[#This Row],[ProductName ]],products[productName],products[categoryID],,0),categories[categoryID],categories[categoryName],,0)</f>
        <v>Condiments</v>
      </c>
      <c r="F112">
        <v>9</v>
      </c>
      <c r="G112">
        <v>266</v>
      </c>
      <c r="H112">
        <v>0</v>
      </c>
      <c r="I112">
        <f>Table9[[#This Row],[quantity]]*Table9[[#This Row],[unitPrice]]*(1-Table9[[#This Row],[discount]]/100)</f>
        <v>2394</v>
      </c>
      <c r="J112" t="str">
        <f>_xlfn.XLOOKUP(_xlfn.XLOOKUP(A112,orders[orderID],orders[customerID],,0),customers__2[customerID],customers__2[companyName],,0)</f>
        <v>B's Beverages</v>
      </c>
      <c r="K112" t="str">
        <f>_xlfn.XLOOKUP(Table9[[#This Row],[Company Name]],customers__2[companyName],customers__2[country],,0)</f>
        <v>UK</v>
      </c>
      <c r="L112">
        <f>MONTH(Table9[[#This Row],[OrderDate ]])</f>
        <v>8</v>
      </c>
      <c r="M112" t="str">
        <f>TEXT(Table9[[#This Row],[OrderDate ]],"mmm")</f>
        <v>Aug</v>
      </c>
      <c r="N112">
        <f>YEAR(Table9[[#This Row],[OrderDate ]])</f>
        <v>2013</v>
      </c>
    </row>
    <row r="113" spans="1:14" x14ac:dyDescent="0.3">
      <c r="A113">
        <v>10290</v>
      </c>
      <c r="B113" s="2">
        <f>_xlfn.XLOOKUP(Table9[[#This Row],[orderID]],orders[orderID],orders[orderDate],,0)</f>
        <v>41513</v>
      </c>
      <c r="C113">
        <f>_xlfn.XLOOKUP(A113,order_details[orderID],order_details[productID],,0)</f>
        <v>5</v>
      </c>
      <c r="D113" t="str">
        <f>_xlfn.XLOOKUP(C113,products[productID],products[productName],,0)</f>
        <v>Chef Anton's Gumbo Mix</v>
      </c>
      <c r="E113" t="str">
        <f>_xlfn.XLOOKUP(_xlfn.XLOOKUP(Table9[[#This Row],[ProductName ]],products[productName],products[categoryID],,0),categories[categoryID],categories[categoryName],,0)</f>
        <v>Condiments</v>
      </c>
      <c r="F113">
        <v>20</v>
      </c>
      <c r="G113">
        <v>17</v>
      </c>
      <c r="H113">
        <v>0</v>
      </c>
      <c r="I113">
        <f>Table9[[#This Row],[quantity]]*Table9[[#This Row],[unitPrice]]*(1-Table9[[#This Row],[discount]]/100)</f>
        <v>340</v>
      </c>
      <c r="J113" t="str">
        <f>_xlfn.XLOOKUP(_xlfn.XLOOKUP(A113,orders[orderID],orders[customerID],,0),customers__2[customerID],customers__2[companyName],,0)</f>
        <v>Comércio Mineiro</v>
      </c>
      <c r="K113" t="str">
        <f>_xlfn.XLOOKUP(Table9[[#This Row],[Company Name]],customers__2[companyName],customers__2[country],,0)</f>
        <v>Brazil</v>
      </c>
      <c r="L113">
        <f>MONTH(Table9[[#This Row],[OrderDate ]])</f>
        <v>8</v>
      </c>
      <c r="M113" t="str">
        <f>TEXT(Table9[[#This Row],[OrderDate ]],"mmm")</f>
        <v>Aug</v>
      </c>
      <c r="N113">
        <f>YEAR(Table9[[#This Row],[OrderDate ]])</f>
        <v>2013</v>
      </c>
    </row>
    <row r="114" spans="1:14" x14ac:dyDescent="0.3">
      <c r="A114">
        <v>10290</v>
      </c>
      <c r="B114" s="2">
        <f>_xlfn.XLOOKUP(Table9[[#This Row],[orderID]],orders[orderID],orders[orderDate],,0)</f>
        <v>41513</v>
      </c>
      <c r="C114">
        <f>_xlfn.XLOOKUP(A114,order_details[orderID],order_details[productID],,0)</f>
        <v>5</v>
      </c>
      <c r="D114" t="str">
        <f>_xlfn.XLOOKUP(C114,products[productID],products[productName],,0)</f>
        <v>Chef Anton's Gumbo Mix</v>
      </c>
      <c r="E114" t="str">
        <f>_xlfn.XLOOKUP(_xlfn.XLOOKUP(Table9[[#This Row],[ProductName ]],products[productName],products[categoryID],,0),categories[categoryID],categories[categoryName],,0)</f>
        <v>Condiments</v>
      </c>
      <c r="F114">
        <v>15</v>
      </c>
      <c r="G114">
        <v>99</v>
      </c>
      <c r="H114">
        <v>0</v>
      </c>
      <c r="I114">
        <f>Table9[[#This Row],[quantity]]*Table9[[#This Row],[unitPrice]]*(1-Table9[[#This Row],[discount]]/100)</f>
        <v>1485</v>
      </c>
      <c r="J114" t="str">
        <f>_xlfn.XLOOKUP(_xlfn.XLOOKUP(A114,orders[orderID],orders[customerID],,0),customers__2[customerID],customers__2[companyName],,0)</f>
        <v>Comércio Mineiro</v>
      </c>
      <c r="K114" t="str">
        <f>_xlfn.XLOOKUP(Table9[[#This Row],[Company Name]],customers__2[companyName],customers__2[country],,0)</f>
        <v>Brazil</v>
      </c>
      <c r="L114">
        <f>MONTH(Table9[[#This Row],[OrderDate ]])</f>
        <v>8</v>
      </c>
      <c r="M114" t="str">
        <f>TEXT(Table9[[#This Row],[OrderDate ]],"mmm")</f>
        <v>Aug</v>
      </c>
      <c r="N114">
        <f>YEAR(Table9[[#This Row],[OrderDate ]])</f>
        <v>2013</v>
      </c>
    </row>
    <row r="115" spans="1:14" x14ac:dyDescent="0.3">
      <c r="A115">
        <v>10290</v>
      </c>
      <c r="B115" s="2">
        <f>_xlfn.XLOOKUP(Table9[[#This Row],[orderID]],orders[orderID],orders[orderDate],,0)</f>
        <v>41513</v>
      </c>
      <c r="C115">
        <f>_xlfn.XLOOKUP(A115,order_details[orderID],order_details[productID],,0)</f>
        <v>5</v>
      </c>
      <c r="D115" t="str">
        <f>_xlfn.XLOOKUP(C115,products[productID],products[productName],,0)</f>
        <v>Chef Anton's Gumbo Mix</v>
      </c>
      <c r="E115" t="str">
        <f>_xlfn.XLOOKUP(_xlfn.XLOOKUP(Table9[[#This Row],[ProductName ]],products[productName],products[categoryID],,0),categories[categoryID],categories[categoryName],,0)</f>
        <v>Condiments</v>
      </c>
      <c r="F115">
        <v>15</v>
      </c>
      <c r="G115">
        <v>16</v>
      </c>
      <c r="H115">
        <v>0</v>
      </c>
      <c r="I115">
        <f>Table9[[#This Row],[quantity]]*Table9[[#This Row],[unitPrice]]*(1-Table9[[#This Row],[discount]]/100)</f>
        <v>240</v>
      </c>
      <c r="J115" t="str">
        <f>_xlfn.XLOOKUP(_xlfn.XLOOKUP(A115,orders[orderID],orders[customerID],,0),customers__2[customerID],customers__2[companyName],,0)</f>
        <v>Comércio Mineiro</v>
      </c>
      <c r="K115" t="str">
        <f>_xlfn.XLOOKUP(Table9[[#This Row],[Company Name]],customers__2[companyName],customers__2[country],,0)</f>
        <v>Brazil</v>
      </c>
      <c r="L115">
        <f>MONTH(Table9[[#This Row],[OrderDate ]])</f>
        <v>8</v>
      </c>
      <c r="M115" t="str">
        <f>TEXT(Table9[[#This Row],[OrderDate ]],"mmm")</f>
        <v>Aug</v>
      </c>
      <c r="N115">
        <f>YEAR(Table9[[#This Row],[OrderDate ]])</f>
        <v>2013</v>
      </c>
    </row>
    <row r="116" spans="1:14" x14ac:dyDescent="0.3">
      <c r="A116">
        <v>10290</v>
      </c>
      <c r="B116" s="2">
        <f>_xlfn.XLOOKUP(Table9[[#This Row],[orderID]],orders[orderID],orders[orderDate],,0)</f>
        <v>41513</v>
      </c>
      <c r="C116">
        <f>_xlfn.XLOOKUP(A116,order_details[orderID],order_details[productID],,0)</f>
        <v>5</v>
      </c>
      <c r="D116" t="str">
        <f>_xlfn.XLOOKUP(C116,products[productID],products[productName],,0)</f>
        <v>Chef Anton's Gumbo Mix</v>
      </c>
      <c r="E116" t="str">
        <f>_xlfn.XLOOKUP(_xlfn.XLOOKUP(Table9[[#This Row],[ProductName ]],products[productName],products[categoryID],,0),categories[categoryID],categories[categoryName],,0)</f>
        <v>Condiments</v>
      </c>
      <c r="F116">
        <v>10</v>
      </c>
      <c r="G116">
        <v>104</v>
      </c>
      <c r="H116">
        <v>0</v>
      </c>
      <c r="I116">
        <f>Table9[[#This Row],[quantity]]*Table9[[#This Row],[unitPrice]]*(1-Table9[[#This Row],[discount]]/100)</f>
        <v>1040</v>
      </c>
      <c r="J116" t="str">
        <f>_xlfn.XLOOKUP(_xlfn.XLOOKUP(A116,orders[orderID],orders[customerID],,0),customers__2[customerID],customers__2[companyName],,0)</f>
        <v>Comércio Mineiro</v>
      </c>
      <c r="K116" t="str">
        <f>_xlfn.XLOOKUP(Table9[[#This Row],[Company Name]],customers__2[companyName],customers__2[country],,0)</f>
        <v>Brazil</v>
      </c>
      <c r="L116">
        <f>MONTH(Table9[[#This Row],[OrderDate ]])</f>
        <v>8</v>
      </c>
      <c r="M116" t="str">
        <f>TEXT(Table9[[#This Row],[OrderDate ]],"mmm")</f>
        <v>Aug</v>
      </c>
      <c r="N116">
        <f>YEAR(Table9[[#This Row],[OrderDate ]])</f>
        <v>2013</v>
      </c>
    </row>
    <row r="117" spans="1:14" x14ac:dyDescent="0.3">
      <c r="A117">
        <v>10291</v>
      </c>
      <c r="B117" s="2">
        <f>_xlfn.XLOOKUP(Table9[[#This Row],[orderID]],orders[orderID],orders[orderDate],,0)</f>
        <v>41513</v>
      </c>
      <c r="C117">
        <f>_xlfn.XLOOKUP(A117,order_details[orderID],order_details[productID],,0)</f>
        <v>13</v>
      </c>
      <c r="D117" t="str">
        <f>_xlfn.XLOOKUP(C117,products[productID],products[productName],,0)</f>
        <v>Konbu</v>
      </c>
      <c r="E117" t="str">
        <f>_xlfn.XLOOKUP(_xlfn.XLOOKUP(Table9[[#This Row],[ProductName ]],products[productName],products[categoryID],,0),categories[categoryID],categories[categoryName],,0)</f>
        <v>Seafood</v>
      </c>
      <c r="F117">
        <v>20</v>
      </c>
      <c r="G117">
        <v>48</v>
      </c>
      <c r="H117">
        <v>1</v>
      </c>
      <c r="I117">
        <f>Table9[[#This Row],[quantity]]*Table9[[#This Row],[unitPrice]]*(1-Table9[[#This Row],[discount]]/100)</f>
        <v>950.4</v>
      </c>
      <c r="J117" t="str">
        <f>_xlfn.XLOOKUP(_xlfn.XLOOKUP(A117,orders[orderID],orders[customerID],,0),customers__2[customerID],customers__2[companyName],,0)</f>
        <v>Que Delícia</v>
      </c>
      <c r="K117" t="str">
        <f>_xlfn.XLOOKUP(Table9[[#This Row],[Company Name]],customers__2[companyName],customers__2[country],,0)</f>
        <v>Brazil</v>
      </c>
      <c r="L117">
        <f>MONTH(Table9[[#This Row],[OrderDate ]])</f>
        <v>8</v>
      </c>
      <c r="M117" t="str">
        <f>TEXT(Table9[[#This Row],[OrderDate ]],"mmm")</f>
        <v>Aug</v>
      </c>
      <c r="N117">
        <f>YEAR(Table9[[#This Row],[OrderDate ]])</f>
        <v>2013</v>
      </c>
    </row>
    <row r="118" spans="1:14" x14ac:dyDescent="0.3">
      <c r="A118">
        <v>10291</v>
      </c>
      <c r="B118" s="2">
        <f>_xlfn.XLOOKUP(Table9[[#This Row],[orderID]],orders[orderID],orders[orderDate],,0)</f>
        <v>41513</v>
      </c>
      <c r="C118">
        <f>_xlfn.XLOOKUP(A118,order_details[orderID],order_details[productID],,0)</f>
        <v>13</v>
      </c>
      <c r="D118" t="str">
        <f>_xlfn.XLOOKUP(C118,products[productID],products[productName],,0)</f>
        <v>Konbu</v>
      </c>
      <c r="E118" t="str">
        <f>_xlfn.XLOOKUP(_xlfn.XLOOKUP(Table9[[#This Row],[ProductName ]],products[productName],products[categoryID],,0),categories[categoryID],categories[categoryName],,0)</f>
        <v>Seafood</v>
      </c>
      <c r="F118">
        <v>24</v>
      </c>
      <c r="G118">
        <v>155</v>
      </c>
      <c r="H118">
        <v>1</v>
      </c>
      <c r="I118">
        <f>Table9[[#This Row],[quantity]]*Table9[[#This Row],[unitPrice]]*(1-Table9[[#This Row],[discount]]/100)</f>
        <v>3682.8</v>
      </c>
      <c r="J118" t="str">
        <f>_xlfn.XLOOKUP(_xlfn.XLOOKUP(A118,orders[orderID],orders[customerID],,0),customers__2[customerID],customers__2[companyName],,0)</f>
        <v>Que Delícia</v>
      </c>
      <c r="K118" t="str">
        <f>_xlfn.XLOOKUP(Table9[[#This Row],[Company Name]],customers__2[companyName],customers__2[country],,0)</f>
        <v>Brazil</v>
      </c>
      <c r="L118">
        <f>MONTH(Table9[[#This Row],[OrderDate ]])</f>
        <v>8</v>
      </c>
      <c r="M118" t="str">
        <f>TEXT(Table9[[#This Row],[OrderDate ]],"mmm")</f>
        <v>Aug</v>
      </c>
      <c r="N118">
        <f>YEAR(Table9[[#This Row],[OrderDate ]])</f>
        <v>2013</v>
      </c>
    </row>
    <row r="119" spans="1:14" x14ac:dyDescent="0.3">
      <c r="A119">
        <v>10291</v>
      </c>
      <c r="B119" s="2">
        <f>_xlfn.XLOOKUP(Table9[[#This Row],[orderID]],orders[orderID],orders[orderDate],,0)</f>
        <v>41513</v>
      </c>
      <c r="C119">
        <f>_xlfn.XLOOKUP(A119,order_details[orderID],order_details[productID],,0)</f>
        <v>13</v>
      </c>
      <c r="D119" t="str">
        <f>_xlfn.XLOOKUP(C119,products[productID],products[productName],,0)</f>
        <v>Konbu</v>
      </c>
      <c r="E119" t="str">
        <f>_xlfn.XLOOKUP(_xlfn.XLOOKUP(Table9[[#This Row],[ProductName ]],products[productName],products[categoryID],,0),categories[categoryID],categories[categoryName],,0)</f>
        <v>Seafood</v>
      </c>
      <c r="F119">
        <v>2</v>
      </c>
      <c r="G119">
        <v>424</v>
      </c>
      <c r="H119">
        <v>1</v>
      </c>
      <c r="I119">
        <f>Table9[[#This Row],[quantity]]*Table9[[#This Row],[unitPrice]]*(1-Table9[[#This Row],[discount]]/100)</f>
        <v>839.52</v>
      </c>
      <c r="J119" t="str">
        <f>_xlfn.XLOOKUP(_xlfn.XLOOKUP(A119,orders[orderID],orders[customerID],,0),customers__2[customerID],customers__2[companyName],,0)</f>
        <v>Que Delícia</v>
      </c>
      <c r="K119" t="str">
        <f>_xlfn.XLOOKUP(Table9[[#This Row],[Company Name]],customers__2[companyName],customers__2[country],,0)</f>
        <v>Brazil</v>
      </c>
      <c r="L119">
        <f>MONTH(Table9[[#This Row],[OrderDate ]])</f>
        <v>8</v>
      </c>
      <c r="M119" t="str">
        <f>TEXT(Table9[[#This Row],[OrderDate ]],"mmm")</f>
        <v>Aug</v>
      </c>
      <c r="N119">
        <f>YEAR(Table9[[#This Row],[OrderDate ]])</f>
        <v>2013</v>
      </c>
    </row>
    <row r="120" spans="1:14" x14ac:dyDescent="0.3">
      <c r="A120">
        <v>10292</v>
      </c>
      <c r="B120" s="2">
        <f>_xlfn.XLOOKUP(Table9[[#This Row],[orderID]],orders[orderID],orders[orderDate],,0)</f>
        <v>41514</v>
      </c>
      <c r="C120">
        <f>_xlfn.XLOOKUP(A120,order_details[orderID],order_details[productID],,0)</f>
        <v>20</v>
      </c>
      <c r="D120" t="str">
        <f>_xlfn.XLOOKUP(C120,products[productID],products[productName],,0)</f>
        <v>Sir Rodney's Marmalade</v>
      </c>
      <c r="E120" t="str">
        <f>_xlfn.XLOOKUP(_xlfn.XLOOKUP(Table9[[#This Row],[ProductName ]],products[productName],products[categoryID],,0),categories[categoryID],categories[categoryName],,0)</f>
        <v>Confections</v>
      </c>
      <c r="F120">
        <v>20</v>
      </c>
      <c r="G120">
        <v>648</v>
      </c>
      <c r="H120">
        <v>0</v>
      </c>
      <c r="I120">
        <f>Table9[[#This Row],[quantity]]*Table9[[#This Row],[unitPrice]]*(1-Table9[[#This Row],[discount]]/100)</f>
        <v>12960</v>
      </c>
      <c r="J120" t="str">
        <f>_xlfn.XLOOKUP(_xlfn.XLOOKUP(A120,orders[orderID],orders[customerID],,0),customers__2[customerID],customers__2[companyName],,0)</f>
        <v>Tradição Hipermercados</v>
      </c>
      <c r="K120" t="str">
        <f>_xlfn.XLOOKUP(Table9[[#This Row],[Company Name]],customers__2[companyName],customers__2[country],,0)</f>
        <v>Brazil</v>
      </c>
      <c r="L120">
        <f>MONTH(Table9[[#This Row],[OrderDate ]])</f>
        <v>8</v>
      </c>
      <c r="M120" t="str">
        <f>TEXT(Table9[[#This Row],[OrderDate ]],"mmm")</f>
        <v>Aug</v>
      </c>
      <c r="N120">
        <f>YEAR(Table9[[#This Row],[OrderDate ]])</f>
        <v>2013</v>
      </c>
    </row>
    <row r="121" spans="1:14" x14ac:dyDescent="0.3">
      <c r="A121">
        <v>10293</v>
      </c>
      <c r="B121" s="2">
        <f>_xlfn.XLOOKUP(Table9[[#This Row],[orderID]],orders[orderID],orders[orderDate],,0)</f>
        <v>41515</v>
      </c>
      <c r="C121">
        <f>_xlfn.XLOOKUP(A121,order_details[orderID],order_details[productID],,0)</f>
        <v>18</v>
      </c>
      <c r="D121" t="str">
        <f>_xlfn.XLOOKUP(C121,products[productID],products[productName],,0)</f>
        <v>Carnarvon Tigers</v>
      </c>
      <c r="E121" t="str">
        <f>_xlfn.XLOOKUP(_xlfn.XLOOKUP(Table9[[#This Row],[ProductName ]],products[productName],products[categoryID],,0),categories[categoryID],categories[categoryName],,0)</f>
        <v>Seafood</v>
      </c>
      <c r="F121">
        <v>12</v>
      </c>
      <c r="G121">
        <v>50</v>
      </c>
      <c r="H121">
        <v>0</v>
      </c>
      <c r="I121">
        <f>Table9[[#This Row],[quantity]]*Table9[[#This Row],[unitPrice]]*(1-Table9[[#This Row],[discount]]/100)</f>
        <v>600</v>
      </c>
      <c r="J121" t="str">
        <f>_xlfn.XLOOKUP(_xlfn.XLOOKUP(A121,orders[orderID],orders[customerID],,0),customers__2[customerID],customers__2[companyName],,0)</f>
        <v>Tortuga Restaurante</v>
      </c>
      <c r="K121" t="str">
        <f>_xlfn.XLOOKUP(Table9[[#This Row],[Company Name]],customers__2[companyName],customers__2[country],,0)</f>
        <v>Mexico</v>
      </c>
      <c r="L121">
        <f>MONTH(Table9[[#This Row],[OrderDate ]])</f>
        <v>8</v>
      </c>
      <c r="M121" t="str">
        <f>TEXT(Table9[[#This Row],[OrderDate ]],"mmm")</f>
        <v>Aug</v>
      </c>
      <c r="N121">
        <f>YEAR(Table9[[#This Row],[OrderDate ]])</f>
        <v>2013</v>
      </c>
    </row>
    <row r="122" spans="1:14" x14ac:dyDescent="0.3">
      <c r="A122">
        <v>10293</v>
      </c>
      <c r="B122" s="2">
        <f>_xlfn.XLOOKUP(Table9[[#This Row],[orderID]],orders[orderID],orders[orderDate],,0)</f>
        <v>41515</v>
      </c>
      <c r="C122">
        <f>_xlfn.XLOOKUP(A122,order_details[orderID],order_details[productID],,0)</f>
        <v>18</v>
      </c>
      <c r="D122" t="str">
        <f>_xlfn.XLOOKUP(C122,products[productID],products[productName],,0)</f>
        <v>Carnarvon Tigers</v>
      </c>
      <c r="E122" t="str">
        <f>_xlfn.XLOOKUP(_xlfn.XLOOKUP(Table9[[#This Row],[ProductName ]],products[productName],products[categoryID],,0),categories[categoryID],categories[categoryName],,0)</f>
        <v>Seafood</v>
      </c>
      <c r="F122">
        <v>10</v>
      </c>
      <c r="G122">
        <v>36</v>
      </c>
      <c r="H122">
        <v>0</v>
      </c>
      <c r="I122">
        <f>Table9[[#This Row],[quantity]]*Table9[[#This Row],[unitPrice]]*(1-Table9[[#This Row],[discount]]/100)</f>
        <v>360</v>
      </c>
      <c r="J122" t="str">
        <f>_xlfn.XLOOKUP(_xlfn.XLOOKUP(A122,orders[orderID],orders[customerID],,0),customers__2[customerID],customers__2[companyName],,0)</f>
        <v>Tortuga Restaurante</v>
      </c>
      <c r="K122" t="str">
        <f>_xlfn.XLOOKUP(Table9[[#This Row],[Company Name]],customers__2[companyName],customers__2[country],,0)</f>
        <v>Mexico</v>
      </c>
      <c r="L122">
        <f>MONTH(Table9[[#This Row],[OrderDate ]])</f>
        <v>8</v>
      </c>
      <c r="M122" t="str">
        <f>TEXT(Table9[[#This Row],[OrderDate ]],"mmm")</f>
        <v>Aug</v>
      </c>
      <c r="N122">
        <f>YEAR(Table9[[#This Row],[OrderDate ]])</f>
        <v>2013</v>
      </c>
    </row>
    <row r="123" spans="1:14" x14ac:dyDescent="0.3">
      <c r="A123">
        <v>10293</v>
      </c>
      <c r="B123" s="2">
        <f>_xlfn.XLOOKUP(Table9[[#This Row],[orderID]],orders[orderID],orders[orderDate],,0)</f>
        <v>41515</v>
      </c>
      <c r="C123">
        <f>_xlfn.XLOOKUP(A123,order_details[orderID],order_details[productID],,0)</f>
        <v>18</v>
      </c>
      <c r="D123" t="str">
        <f>_xlfn.XLOOKUP(C123,products[productID],products[productName],,0)</f>
        <v>Carnarvon Tigers</v>
      </c>
      <c r="E123" t="str">
        <f>_xlfn.XLOOKUP(_xlfn.XLOOKUP(Table9[[#This Row],[ProductName ]],products[productName],products[categoryID],,0),categories[categoryID],categories[categoryName],,0)</f>
        <v>Seafood</v>
      </c>
      <c r="F123">
        <v>5</v>
      </c>
      <c r="G123">
        <v>351</v>
      </c>
      <c r="H123">
        <v>0</v>
      </c>
      <c r="I123">
        <f>Table9[[#This Row],[quantity]]*Table9[[#This Row],[unitPrice]]*(1-Table9[[#This Row],[discount]]/100)</f>
        <v>1755</v>
      </c>
      <c r="J123" t="str">
        <f>_xlfn.XLOOKUP(_xlfn.XLOOKUP(A123,orders[orderID],orders[customerID],,0),customers__2[customerID],customers__2[companyName],,0)</f>
        <v>Tortuga Restaurante</v>
      </c>
      <c r="K123" t="str">
        <f>_xlfn.XLOOKUP(Table9[[#This Row],[Company Name]],customers__2[companyName],customers__2[country],,0)</f>
        <v>Mexico</v>
      </c>
      <c r="L123">
        <f>MONTH(Table9[[#This Row],[OrderDate ]])</f>
        <v>8</v>
      </c>
      <c r="M123" t="str">
        <f>TEXT(Table9[[#This Row],[OrderDate ]],"mmm")</f>
        <v>Aug</v>
      </c>
      <c r="N123">
        <f>YEAR(Table9[[#This Row],[OrderDate ]])</f>
        <v>2013</v>
      </c>
    </row>
    <row r="124" spans="1:14" x14ac:dyDescent="0.3">
      <c r="A124">
        <v>10293</v>
      </c>
      <c r="B124" s="2">
        <f>_xlfn.XLOOKUP(Table9[[#This Row],[orderID]],orders[orderID],orders[orderDate],,0)</f>
        <v>41515</v>
      </c>
      <c r="C124">
        <f>_xlfn.XLOOKUP(A124,order_details[orderID],order_details[productID],,0)</f>
        <v>18</v>
      </c>
      <c r="D124" t="str">
        <f>_xlfn.XLOOKUP(C124,products[productID],products[productName],,0)</f>
        <v>Carnarvon Tigers</v>
      </c>
      <c r="E124" t="str">
        <f>_xlfn.XLOOKUP(_xlfn.XLOOKUP(Table9[[#This Row],[ProductName ]],products[productName],products[categoryID],,0),categories[categoryID],categories[categoryName],,0)</f>
        <v>Seafood</v>
      </c>
      <c r="F124">
        <v>6</v>
      </c>
      <c r="G124">
        <v>62</v>
      </c>
      <c r="H124">
        <v>0</v>
      </c>
      <c r="I124">
        <f>Table9[[#This Row],[quantity]]*Table9[[#This Row],[unitPrice]]*(1-Table9[[#This Row],[discount]]/100)</f>
        <v>372</v>
      </c>
      <c r="J124" t="str">
        <f>_xlfn.XLOOKUP(_xlfn.XLOOKUP(A124,orders[orderID],orders[customerID],,0),customers__2[customerID],customers__2[companyName],,0)</f>
        <v>Tortuga Restaurante</v>
      </c>
      <c r="K124" t="str">
        <f>_xlfn.XLOOKUP(Table9[[#This Row],[Company Name]],customers__2[companyName],customers__2[country],,0)</f>
        <v>Mexico</v>
      </c>
      <c r="L124">
        <f>MONTH(Table9[[#This Row],[OrderDate ]])</f>
        <v>8</v>
      </c>
      <c r="M124" t="str">
        <f>TEXT(Table9[[#This Row],[OrderDate ]],"mmm")</f>
        <v>Aug</v>
      </c>
      <c r="N124">
        <f>YEAR(Table9[[#This Row],[OrderDate ]])</f>
        <v>2013</v>
      </c>
    </row>
    <row r="125" spans="1:14" x14ac:dyDescent="0.3">
      <c r="A125">
        <v>10294</v>
      </c>
      <c r="B125" s="2">
        <f>_xlfn.XLOOKUP(Table9[[#This Row],[orderID]],orders[orderID],orders[orderDate],,0)</f>
        <v>41516</v>
      </c>
      <c r="C125">
        <f>_xlfn.XLOOKUP(A125,order_details[orderID],order_details[productID],,0)</f>
        <v>1</v>
      </c>
      <c r="D125" t="str">
        <f>_xlfn.XLOOKUP(C125,products[productID],products[productName],,0)</f>
        <v>Chai</v>
      </c>
      <c r="E125" t="str">
        <f>_xlfn.XLOOKUP(_xlfn.XLOOKUP(Table9[[#This Row],[ProductName ]],products[productName],products[categoryID],,0),categories[categoryID],categories[categoryName],,0)</f>
        <v>Beverages</v>
      </c>
      <c r="F125">
        <v>18</v>
      </c>
      <c r="G125">
        <v>144</v>
      </c>
      <c r="H125">
        <v>0</v>
      </c>
      <c r="I125">
        <f>Table9[[#This Row],[quantity]]*Table9[[#This Row],[unitPrice]]*(1-Table9[[#This Row],[discount]]/100)</f>
        <v>2592</v>
      </c>
      <c r="J125" t="str">
        <f>_xlfn.XLOOKUP(_xlfn.XLOOKUP(A125,orders[orderID],orders[customerID],,0),customers__2[customerID],customers__2[companyName],,0)</f>
        <v>Rattlesnake Canyon Grocery</v>
      </c>
      <c r="K125" t="str">
        <f>_xlfn.XLOOKUP(Table9[[#This Row],[Company Name]],customers__2[companyName],customers__2[country],,0)</f>
        <v>USA</v>
      </c>
      <c r="L125">
        <f>MONTH(Table9[[#This Row],[OrderDate ]])</f>
        <v>8</v>
      </c>
      <c r="M125" t="str">
        <f>TEXT(Table9[[#This Row],[OrderDate ]],"mmm")</f>
        <v>Aug</v>
      </c>
      <c r="N125">
        <f>YEAR(Table9[[#This Row],[OrderDate ]])</f>
        <v>2013</v>
      </c>
    </row>
    <row r="126" spans="1:14" x14ac:dyDescent="0.3">
      <c r="A126">
        <v>10294</v>
      </c>
      <c r="B126" s="2">
        <f>_xlfn.XLOOKUP(Table9[[#This Row],[orderID]],orders[orderID],orders[orderDate],,0)</f>
        <v>41516</v>
      </c>
      <c r="C126">
        <f>_xlfn.XLOOKUP(A126,order_details[orderID],order_details[productID],,0)</f>
        <v>1</v>
      </c>
      <c r="D126" t="str">
        <f>_xlfn.XLOOKUP(C126,products[productID],products[productName],,0)</f>
        <v>Chai</v>
      </c>
      <c r="E126" t="str">
        <f>_xlfn.XLOOKUP(_xlfn.XLOOKUP(Table9[[#This Row],[ProductName ]],products[productName],products[categoryID],,0),categories[categoryID],categories[categoryName],,0)</f>
        <v>Beverages</v>
      </c>
      <c r="F126">
        <v>15</v>
      </c>
      <c r="G126">
        <v>312</v>
      </c>
      <c r="H126">
        <v>0</v>
      </c>
      <c r="I126">
        <f>Table9[[#This Row],[quantity]]*Table9[[#This Row],[unitPrice]]*(1-Table9[[#This Row],[discount]]/100)</f>
        <v>4680</v>
      </c>
      <c r="J126" t="str">
        <f>_xlfn.XLOOKUP(_xlfn.XLOOKUP(A126,orders[orderID],orders[customerID],,0),customers__2[customerID],customers__2[companyName],,0)</f>
        <v>Rattlesnake Canyon Grocery</v>
      </c>
      <c r="K126" t="str">
        <f>_xlfn.XLOOKUP(Table9[[#This Row],[Company Name]],customers__2[companyName],customers__2[country],,0)</f>
        <v>USA</v>
      </c>
      <c r="L126">
        <f>MONTH(Table9[[#This Row],[OrderDate ]])</f>
        <v>8</v>
      </c>
      <c r="M126" t="str">
        <f>TEXT(Table9[[#This Row],[OrderDate ]],"mmm")</f>
        <v>Aug</v>
      </c>
      <c r="N126">
        <f>YEAR(Table9[[#This Row],[OrderDate ]])</f>
        <v>2013</v>
      </c>
    </row>
    <row r="127" spans="1:14" x14ac:dyDescent="0.3">
      <c r="A127">
        <v>10294</v>
      </c>
      <c r="B127" s="2">
        <f>_xlfn.XLOOKUP(Table9[[#This Row],[orderID]],orders[orderID],orders[orderDate],,0)</f>
        <v>41516</v>
      </c>
      <c r="C127">
        <f>_xlfn.XLOOKUP(A127,order_details[orderID],order_details[productID],,0)</f>
        <v>1</v>
      </c>
      <c r="D127" t="str">
        <f>_xlfn.XLOOKUP(C127,products[productID],products[productName],,0)</f>
        <v>Chai</v>
      </c>
      <c r="E127" t="str">
        <f>_xlfn.XLOOKUP(_xlfn.XLOOKUP(Table9[[#This Row],[ProductName ]],products[productName],products[categoryID],,0),categories[categoryID],categories[categoryName],,0)</f>
        <v>Beverages</v>
      </c>
      <c r="F127">
        <v>15</v>
      </c>
      <c r="G127">
        <v>368</v>
      </c>
      <c r="H127">
        <v>0</v>
      </c>
      <c r="I127">
        <f>Table9[[#This Row],[quantity]]*Table9[[#This Row],[unitPrice]]*(1-Table9[[#This Row],[discount]]/100)</f>
        <v>5520</v>
      </c>
      <c r="J127" t="str">
        <f>_xlfn.XLOOKUP(_xlfn.XLOOKUP(A127,orders[orderID],orders[customerID],,0),customers__2[customerID],customers__2[companyName],,0)</f>
        <v>Rattlesnake Canyon Grocery</v>
      </c>
      <c r="K127" t="str">
        <f>_xlfn.XLOOKUP(Table9[[#This Row],[Company Name]],customers__2[companyName],customers__2[country],,0)</f>
        <v>USA</v>
      </c>
      <c r="L127">
        <f>MONTH(Table9[[#This Row],[OrderDate ]])</f>
        <v>8</v>
      </c>
      <c r="M127" t="str">
        <f>TEXT(Table9[[#This Row],[OrderDate ]],"mmm")</f>
        <v>Aug</v>
      </c>
      <c r="N127">
        <f>YEAR(Table9[[#This Row],[OrderDate ]])</f>
        <v>2013</v>
      </c>
    </row>
    <row r="128" spans="1:14" x14ac:dyDescent="0.3">
      <c r="A128">
        <v>10294</v>
      </c>
      <c r="B128" s="2">
        <f>_xlfn.XLOOKUP(Table9[[#This Row],[orderID]],orders[orderID],orders[orderDate],,0)</f>
        <v>41516</v>
      </c>
      <c r="C128">
        <f>_xlfn.XLOOKUP(A128,order_details[orderID],order_details[productID],,0)</f>
        <v>1</v>
      </c>
      <c r="D128" t="str">
        <f>_xlfn.XLOOKUP(C128,products[productID],products[productName],,0)</f>
        <v>Chai</v>
      </c>
      <c r="E128" t="str">
        <f>_xlfn.XLOOKUP(_xlfn.XLOOKUP(Table9[[#This Row],[ProductName ]],products[productName],products[categoryID],,0),categories[categoryID],categories[categoryName],,0)</f>
        <v>Beverages</v>
      </c>
      <c r="F128">
        <v>21</v>
      </c>
      <c r="G128">
        <v>272</v>
      </c>
      <c r="H128">
        <v>0</v>
      </c>
      <c r="I128">
        <f>Table9[[#This Row],[quantity]]*Table9[[#This Row],[unitPrice]]*(1-Table9[[#This Row],[discount]]/100)</f>
        <v>5712</v>
      </c>
      <c r="J128" t="str">
        <f>_xlfn.XLOOKUP(_xlfn.XLOOKUP(A128,orders[orderID],orders[customerID],,0),customers__2[customerID],customers__2[companyName],,0)</f>
        <v>Rattlesnake Canyon Grocery</v>
      </c>
      <c r="K128" t="str">
        <f>_xlfn.XLOOKUP(Table9[[#This Row],[Company Name]],customers__2[companyName],customers__2[country],,0)</f>
        <v>USA</v>
      </c>
      <c r="L128">
        <f>MONTH(Table9[[#This Row],[OrderDate ]])</f>
        <v>8</v>
      </c>
      <c r="M128" t="str">
        <f>TEXT(Table9[[#This Row],[OrderDate ]],"mmm")</f>
        <v>Aug</v>
      </c>
      <c r="N128">
        <f>YEAR(Table9[[#This Row],[OrderDate ]])</f>
        <v>2013</v>
      </c>
    </row>
    <row r="129" spans="1:14" x14ac:dyDescent="0.3">
      <c r="A129">
        <v>10294</v>
      </c>
      <c r="B129" s="2">
        <f>_xlfn.XLOOKUP(Table9[[#This Row],[orderID]],orders[orderID],orders[orderDate],,0)</f>
        <v>41516</v>
      </c>
      <c r="C129">
        <f>_xlfn.XLOOKUP(A129,order_details[orderID],order_details[productID],,0)</f>
        <v>1</v>
      </c>
      <c r="D129" t="str">
        <f>_xlfn.XLOOKUP(C129,products[productID],products[productName],,0)</f>
        <v>Chai</v>
      </c>
      <c r="E129" t="str">
        <f>_xlfn.XLOOKUP(_xlfn.XLOOKUP(Table9[[#This Row],[ProductName ]],products[productName],products[categoryID],,0),categories[categoryID],categories[categoryName],,0)</f>
        <v>Beverages</v>
      </c>
      <c r="F129">
        <v>6</v>
      </c>
      <c r="G129">
        <v>62</v>
      </c>
      <c r="H129">
        <v>0</v>
      </c>
      <c r="I129">
        <f>Table9[[#This Row],[quantity]]*Table9[[#This Row],[unitPrice]]*(1-Table9[[#This Row],[discount]]/100)</f>
        <v>372</v>
      </c>
      <c r="J129" t="str">
        <f>_xlfn.XLOOKUP(_xlfn.XLOOKUP(A129,orders[orderID],orders[customerID],,0),customers__2[customerID],customers__2[companyName],,0)</f>
        <v>Rattlesnake Canyon Grocery</v>
      </c>
      <c r="K129" t="str">
        <f>_xlfn.XLOOKUP(Table9[[#This Row],[Company Name]],customers__2[companyName],customers__2[country],,0)</f>
        <v>USA</v>
      </c>
      <c r="L129">
        <f>MONTH(Table9[[#This Row],[OrderDate ]])</f>
        <v>8</v>
      </c>
      <c r="M129" t="str">
        <f>TEXT(Table9[[#This Row],[OrderDate ]],"mmm")</f>
        <v>Aug</v>
      </c>
      <c r="N129">
        <f>YEAR(Table9[[#This Row],[OrderDate ]])</f>
        <v>2013</v>
      </c>
    </row>
    <row r="130" spans="1:14" x14ac:dyDescent="0.3">
      <c r="A130">
        <v>10295</v>
      </c>
      <c r="B130" s="2">
        <f>_xlfn.XLOOKUP(Table9[[#This Row],[orderID]],orders[orderID],orders[orderDate],,0)</f>
        <v>41519</v>
      </c>
      <c r="C130">
        <f>_xlfn.XLOOKUP(A130,order_details[orderID],order_details[productID],,0)</f>
        <v>56</v>
      </c>
      <c r="D130" t="str">
        <f>_xlfn.XLOOKUP(C130,products[productID],products[productName],,0)</f>
        <v>Gnocchi di nonna Alice</v>
      </c>
      <c r="E130" t="str">
        <f>_xlfn.XLOOKUP(_xlfn.XLOOKUP(Table9[[#This Row],[ProductName ]],products[productName],products[categoryID],,0),categories[categoryID],categories[categoryName],,0)</f>
        <v>Grains &amp; Cereals</v>
      </c>
      <c r="F130">
        <v>4</v>
      </c>
      <c r="G130">
        <v>304</v>
      </c>
      <c r="H130">
        <v>0</v>
      </c>
      <c r="I130">
        <f>Table9[[#This Row],[quantity]]*Table9[[#This Row],[unitPrice]]*(1-Table9[[#This Row],[discount]]/100)</f>
        <v>1216</v>
      </c>
      <c r="J130" t="str">
        <f>_xlfn.XLOOKUP(_xlfn.XLOOKUP(A130,orders[orderID],orders[customerID],,0),customers__2[customerID],customers__2[companyName],,0)</f>
        <v>Vins et alcools Chevalier</v>
      </c>
      <c r="K130" t="str">
        <f>_xlfn.XLOOKUP(Table9[[#This Row],[Company Name]],customers__2[companyName],customers__2[country],,0)</f>
        <v>France</v>
      </c>
      <c r="L130">
        <f>MONTH(Table9[[#This Row],[OrderDate ]])</f>
        <v>9</v>
      </c>
      <c r="M130" t="str">
        <f>TEXT(Table9[[#This Row],[OrderDate ]],"mmm")</f>
        <v>Sep</v>
      </c>
      <c r="N130">
        <f>YEAR(Table9[[#This Row],[OrderDate ]])</f>
        <v>2013</v>
      </c>
    </row>
    <row r="131" spans="1:14" x14ac:dyDescent="0.3">
      <c r="A131">
        <v>10296</v>
      </c>
      <c r="B131" s="2">
        <f>_xlfn.XLOOKUP(Table9[[#This Row],[orderID]],orders[orderID],orders[orderDate],,0)</f>
        <v>41520</v>
      </c>
      <c r="C131">
        <f>_xlfn.XLOOKUP(A131,order_details[orderID],order_details[productID],,0)</f>
        <v>11</v>
      </c>
      <c r="D131" t="str">
        <f>_xlfn.XLOOKUP(C131,products[productID],products[productName],,0)</f>
        <v>Queso Cabrales</v>
      </c>
      <c r="E131" t="str">
        <f>_xlfn.XLOOKUP(_xlfn.XLOOKUP(Table9[[#This Row],[ProductName ]],products[productName],products[categoryID],,0),categories[categoryID],categories[categoryName],,0)</f>
        <v>Dairy Products</v>
      </c>
      <c r="F131">
        <v>12</v>
      </c>
      <c r="G131">
        <v>168</v>
      </c>
      <c r="H131">
        <v>0</v>
      </c>
      <c r="I131">
        <f>Table9[[#This Row],[quantity]]*Table9[[#This Row],[unitPrice]]*(1-Table9[[#This Row],[discount]]/100)</f>
        <v>2016</v>
      </c>
      <c r="J131" t="str">
        <f>_xlfn.XLOOKUP(_xlfn.XLOOKUP(A131,orders[orderID],orders[customerID],,0),customers__2[customerID],customers__2[companyName],,0)</f>
        <v>LILA-Supermercado</v>
      </c>
      <c r="K131" t="str">
        <f>_xlfn.XLOOKUP(Table9[[#This Row],[Company Name]],customers__2[companyName],customers__2[country],,0)</f>
        <v>Venezuela</v>
      </c>
      <c r="L131">
        <f>MONTH(Table9[[#This Row],[OrderDate ]])</f>
        <v>9</v>
      </c>
      <c r="M131" t="str">
        <f>TEXT(Table9[[#This Row],[OrderDate ]],"mmm")</f>
        <v>Sep</v>
      </c>
      <c r="N131">
        <f>YEAR(Table9[[#This Row],[OrderDate ]])</f>
        <v>2013</v>
      </c>
    </row>
    <row r="132" spans="1:14" x14ac:dyDescent="0.3">
      <c r="A132">
        <v>10296</v>
      </c>
      <c r="B132" s="2">
        <f>_xlfn.XLOOKUP(Table9[[#This Row],[orderID]],orders[orderID],orders[orderDate],,0)</f>
        <v>41520</v>
      </c>
      <c r="C132">
        <f>_xlfn.XLOOKUP(A132,order_details[orderID],order_details[productID],,0)</f>
        <v>11</v>
      </c>
      <c r="D132" t="str">
        <f>_xlfn.XLOOKUP(C132,products[productID],products[productName],,0)</f>
        <v>Queso Cabrales</v>
      </c>
      <c r="E132" t="str">
        <f>_xlfn.XLOOKUP(_xlfn.XLOOKUP(Table9[[#This Row],[ProductName ]],products[productName],products[categoryID],,0),categories[categoryID],categories[categoryName],,0)</f>
        <v>Dairy Products</v>
      </c>
      <c r="F132">
        <v>30</v>
      </c>
      <c r="G132">
        <v>139</v>
      </c>
      <c r="H132">
        <v>0</v>
      </c>
      <c r="I132">
        <f>Table9[[#This Row],[quantity]]*Table9[[#This Row],[unitPrice]]*(1-Table9[[#This Row],[discount]]/100)</f>
        <v>4170</v>
      </c>
      <c r="J132" t="str">
        <f>_xlfn.XLOOKUP(_xlfn.XLOOKUP(A132,orders[orderID],orders[customerID],,0),customers__2[customerID],customers__2[companyName],,0)</f>
        <v>LILA-Supermercado</v>
      </c>
      <c r="K132" t="str">
        <f>_xlfn.XLOOKUP(Table9[[#This Row],[Company Name]],customers__2[companyName],customers__2[country],,0)</f>
        <v>Venezuela</v>
      </c>
      <c r="L132">
        <f>MONTH(Table9[[#This Row],[OrderDate ]])</f>
        <v>9</v>
      </c>
      <c r="M132" t="str">
        <f>TEXT(Table9[[#This Row],[OrderDate ]],"mmm")</f>
        <v>Sep</v>
      </c>
      <c r="N132">
        <f>YEAR(Table9[[#This Row],[OrderDate ]])</f>
        <v>2013</v>
      </c>
    </row>
    <row r="133" spans="1:14" x14ac:dyDescent="0.3">
      <c r="A133">
        <v>10296</v>
      </c>
      <c r="B133" s="2">
        <f>_xlfn.XLOOKUP(Table9[[#This Row],[orderID]],orders[orderID],orders[orderDate],,0)</f>
        <v>41520</v>
      </c>
      <c r="C133">
        <f>_xlfn.XLOOKUP(A133,order_details[orderID],order_details[productID],,0)</f>
        <v>11</v>
      </c>
      <c r="D133" t="str">
        <f>_xlfn.XLOOKUP(C133,products[productID],products[productName],,0)</f>
        <v>Queso Cabrales</v>
      </c>
      <c r="E133" t="str">
        <f>_xlfn.XLOOKUP(_xlfn.XLOOKUP(Table9[[#This Row],[ProductName ]],products[productName],products[categoryID],,0),categories[categoryID],categories[categoryName],,0)</f>
        <v>Dairy Products</v>
      </c>
      <c r="F133">
        <v>15</v>
      </c>
      <c r="G133">
        <v>288</v>
      </c>
      <c r="H133">
        <v>0</v>
      </c>
      <c r="I133">
        <f>Table9[[#This Row],[quantity]]*Table9[[#This Row],[unitPrice]]*(1-Table9[[#This Row],[discount]]/100)</f>
        <v>4320</v>
      </c>
      <c r="J133" t="str">
        <f>_xlfn.XLOOKUP(_xlfn.XLOOKUP(A133,orders[orderID],orders[customerID],,0),customers__2[customerID],customers__2[companyName],,0)</f>
        <v>LILA-Supermercado</v>
      </c>
      <c r="K133" t="str">
        <f>_xlfn.XLOOKUP(Table9[[#This Row],[Company Name]],customers__2[companyName],customers__2[country],,0)</f>
        <v>Venezuela</v>
      </c>
      <c r="L133">
        <f>MONTH(Table9[[#This Row],[OrderDate ]])</f>
        <v>9</v>
      </c>
      <c r="M133" t="str">
        <f>TEXT(Table9[[#This Row],[OrderDate ]],"mmm")</f>
        <v>Sep</v>
      </c>
      <c r="N133">
        <f>YEAR(Table9[[#This Row],[OrderDate ]])</f>
        <v>2013</v>
      </c>
    </row>
    <row r="134" spans="1:14" x14ac:dyDescent="0.3">
      <c r="A134">
        <v>10297</v>
      </c>
      <c r="B134" s="2">
        <f>_xlfn.XLOOKUP(Table9[[#This Row],[orderID]],orders[orderID],orders[orderDate],,0)</f>
        <v>41521</v>
      </c>
      <c r="C134">
        <f>_xlfn.XLOOKUP(A134,order_details[orderID],order_details[productID],,0)</f>
        <v>39</v>
      </c>
      <c r="D134" t="str">
        <f>_xlfn.XLOOKUP(C134,products[productID],products[productName],,0)</f>
        <v>Chartreuse verte</v>
      </c>
      <c r="E134" t="str">
        <f>_xlfn.XLOOKUP(_xlfn.XLOOKUP(Table9[[#This Row],[ProductName ]],products[productName],products[categoryID],,0),categories[categoryID],categories[categoryName],,0)</f>
        <v>Beverages</v>
      </c>
      <c r="F134">
        <v>60</v>
      </c>
      <c r="G134">
        <v>144</v>
      </c>
      <c r="H134">
        <v>0</v>
      </c>
      <c r="I134">
        <f>Table9[[#This Row],[quantity]]*Table9[[#This Row],[unitPrice]]*(1-Table9[[#This Row],[discount]]/100)</f>
        <v>8640</v>
      </c>
      <c r="J134" t="str">
        <f>_xlfn.XLOOKUP(_xlfn.XLOOKUP(A134,orders[orderID],orders[customerID],,0),customers__2[customerID],customers__2[companyName],,0)</f>
        <v>Blondesddsl père et fils</v>
      </c>
      <c r="K134" t="str">
        <f>_xlfn.XLOOKUP(Table9[[#This Row],[Company Name]],customers__2[companyName],customers__2[country],,0)</f>
        <v>France</v>
      </c>
      <c r="L134">
        <f>MONTH(Table9[[#This Row],[OrderDate ]])</f>
        <v>9</v>
      </c>
      <c r="M134" t="str">
        <f>TEXT(Table9[[#This Row],[OrderDate ]],"mmm")</f>
        <v>Sep</v>
      </c>
      <c r="N134">
        <f>YEAR(Table9[[#This Row],[OrderDate ]])</f>
        <v>2013</v>
      </c>
    </row>
    <row r="135" spans="1:14" x14ac:dyDescent="0.3">
      <c r="A135">
        <v>10297</v>
      </c>
      <c r="B135" s="2">
        <f>_xlfn.XLOOKUP(Table9[[#This Row],[orderID]],orders[orderID],orders[orderDate],,0)</f>
        <v>41521</v>
      </c>
      <c r="C135">
        <f>_xlfn.XLOOKUP(A135,order_details[orderID],order_details[productID],,0)</f>
        <v>39</v>
      </c>
      <c r="D135" t="str">
        <f>_xlfn.XLOOKUP(C135,products[productID],products[productName],,0)</f>
        <v>Chartreuse verte</v>
      </c>
      <c r="E135" t="str">
        <f>_xlfn.XLOOKUP(_xlfn.XLOOKUP(Table9[[#This Row],[ProductName ]],products[productName],products[categoryID],,0),categories[categoryID],categories[categoryName],,0)</f>
        <v>Beverages</v>
      </c>
      <c r="F135">
        <v>20</v>
      </c>
      <c r="G135">
        <v>278</v>
      </c>
      <c r="H135">
        <v>0</v>
      </c>
      <c r="I135">
        <f>Table9[[#This Row],[quantity]]*Table9[[#This Row],[unitPrice]]*(1-Table9[[#This Row],[discount]]/100)</f>
        <v>5560</v>
      </c>
      <c r="J135" t="str">
        <f>_xlfn.XLOOKUP(_xlfn.XLOOKUP(A135,orders[orderID],orders[customerID],,0),customers__2[customerID],customers__2[companyName],,0)</f>
        <v>Blondesddsl père et fils</v>
      </c>
      <c r="K135" t="str">
        <f>_xlfn.XLOOKUP(Table9[[#This Row],[Company Name]],customers__2[companyName],customers__2[country],,0)</f>
        <v>France</v>
      </c>
      <c r="L135">
        <f>MONTH(Table9[[#This Row],[OrderDate ]])</f>
        <v>9</v>
      </c>
      <c r="M135" t="str">
        <f>TEXT(Table9[[#This Row],[OrderDate ]],"mmm")</f>
        <v>Sep</v>
      </c>
      <c r="N135">
        <f>YEAR(Table9[[#This Row],[OrderDate ]])</f>
        <v>2013</v>
      </c>
    </row>
    <row r="136" spans="1:14" x14ac:dyDescent="0.3">
      <c r="A136">
        <v>10298</v>
      </c>
      <c r="B136" s="2">
        <f>_xlfn.XLOOKUP(Table9[[#This Row],[orderID]],orders[orderID],orders[orderDate],,0)</f>
        <v>41522</v>
      </c>
      <c r="C136">
        <f>_xlfn.XLOOKUP(A136,order_details[orderID],order_details[productID],,0)</f>
        <v>2</v>
      </c>
      <c r="D136" t="str">
        <f>_xlfn.XLOOKUP(C136,products[productID],products[productName],,0)</f>
        <v>Chang</v>
      </c>
      <c r="E136" t="str">
        <f>_xlfn.XLOOKUP(_xlfn.XLOOKUP(Table9[[#This Row],[ProductName ]],products[productName],products[categoryID],,0),categories[categoryID],categories[categoryName],,0)</f>
        <v>Beverages</v>
      </c>
      <c r="F136">
        <v>40</v>
      </c>
      <c r="G136">
        <v>152</v>
      </c>
      <c r="H136">
        <v>0</v>
      </c>
      <c r="I136">
        <f>Table9[[#This Row],[quantity]]*Table9[[#This Row],[unitPrice]]*(1-Table9[[#This Row],[discount]]/100)</f>
        <v>6080</v>
      </c>
      <c r="J136" t="str">
        <f>_xlfn.XLOOKUP(_xlfn.XLOOKUP(A136,orders[orderID],orders[customerID],,0),customers__2[customerID],customers__2[companyName],,0)</f>
        <v>Hungry Owl All-Night Grocers</v>
      </c>
      <c r="K136" t="str">
        <f>_xlfn.XLOOKUP(Table9[[#This Row],[Company Name]],customers__2[companyName],customers__2[country],,0)</f>
        <v>Ireland</v>
      </c>
      <c r="L136">
        <f>MONTH(Table9[[#This Row],[OrderDate ]])</f>
        <v>9</v>
      </c>
      <c r="M136" t="str">
        <f>TEXT(Table9[[#This Row],[OrderDate ]],"mmm")</f>
        <v>Sep</v>
      </c>
      <c r="N136">
        <f>YEAR(Table9[[#This Row],[OrderDate ]])</f>
        <v>2013</v>
      </c>
    </row>
    <row r="137" spans="1:14" x14ac:dyDescent="0.3">
      <c r="A137">
        <v>10298</v>
      </c>
      <c r="B137" s="2">
        <f>_xlfn.XLOOKUP(Table9[[#This Row],[orderID]],orders[orderID],orders[orderDate],,0)</f>
        <v>41522</v>
      </c>
      <c r="C137">
        <f>_xlfn.XLOOKUP(A137,order_details[orderID],order_details[productID],,0)</f>
        <v>2</v>
      </c>
      <c r="D137" t="str">
        <f>_xlfn.XLOOKUP(C137,products[productID],products[productName],,0)</f>
        <v>Chang</v>
      </c>
      <c r="E137" t="str">
        <f>_xlfn.XLOOKUP(_xlfn.XLOOKUP(Table9[[#This Row],[ProductName ]],products[productName],products[categoryID],,0),categories[categoryID],categories[categoryName],,0)</f>
        <v>Beverages</v>
      </c>
      <c r="F137">
        <v>40</v>
      </c>
      <c r="G137">
        <v>152</v>
      </c>
      <c r="H137">
        <v>25</v>
      </c>
      <c r="I137">
        <f>Table9[[#This Row],[quantity]]*Table9[[#This Row],[unitPrice]]*(1-Table9[[#This Row],[discount]]/100)</f>
        <v>4560</v>
      </c>
      <c r="J137" t="str">
        <f>_xlfn.XLOOKUP(_xlfn.XLOOKUP(A137,orders[orderID],orders[customerID],,0),customers__2[customerID],customers__2[companyName],,0)</f>
        <v>Hungry Owl All-Night Grocers</v>
      </c>
      <c r="K137" t="str">
        <f>_xlfn.XLOOKUP(Table9[[#This Row],[Company Name]],customers__2[companyName],customers__2[country],,0)</f>
        <v>Ireland</v>
      </c>
      <c r="L137">
        <f>MONTH(Table9[[#This Row],[OrderDate ]])</f>
        <v>9</v>
      </c>
      <c r="M137" t="str">
        <f>TEXT(Table9[[#This Row],[OrderDate ]],"mmm")</f>
        <v>Sep</v>
      </c>
      <c r="N137">
        <f>YEAR(Table9[[#This Row],[OrderDate ]])</f>
        <v>2013</v>
      </c>
    </row>
    <row r="138" spans="1:14" x14ac:dyDescent="0.3">
      <c r="A138">
        <v>10298</v>
      </c>
      <c r="B138" s="2">
        <f>_xlfn.XLOOKUP(Table9[[#This Row],[orderID]],orders[orderID],orders[orderDate],,0)</f>
        <v>41522</v>
      </c>
      <c r="C138">
        <f>_xlfn.XLOOKUP(A138,order_details[orderID],order_details[productID],,0)</f>
        <v>2</v>
      </c>
      <c r="D138" t="str">
        <f>_xlfn.XLOOKUP(C138,products[productID],products[productName],,0)</f>
        <v>Chang</v>
      </c>
      <c r="E138" t="str">
        <f>_xlfn.XLOOKUP(_xlfn.XLOOKUP(Table9[[#This Row],[ProductName ]],products[productName],products[categoryID],,0),categories[categoryID],categories[categoryName],,0)</f>
        <v>Beverages</v>
      </c>
      <c r="F138">
        <v>30</v>
      </c>
      <c r="G138">
        <v>44</v>
      </c>
      <c r="H138">
        <v>25</v>
      </c>
      <c r="I138">
        <f>Table9[[#This Row],[quantity]]*Table9[[#This Row],[unitPrice]]*(1-Table9[[#This Row],[discount]]/100)</f>
        <v>990</v>
      </c>
      <c r="J138" t="str">
        <f>_xlfn.XLOOKUP(_xlfn.XLOOKUP(A138,orders[orderID],orders[customerID],,0),customers__2[customerID],customers__2[companyName],,0)</f>
        <v>Hungry Owl All-Night Grocers</v>
      </c>
      <c r="K138" t="str">
        <f>_xlfn.XLOOKUP(Table9[[#This Row],[Company Name]],customers__2[companyName],customers__2[country],,0)</f>
        <v>Ireland</v>
      </c>
      <c r="L138">
        <f>MONTH(Table9[[#This Row],[OrderDate ]])</f>
        <v>9</v>
      </c>
      <c r="M138" t="str">
        <f>TEXT(Table9[[#This Row],[OrderDate ]],"mmm")</f>
        <v>Sep</v>
      </c>
      <c r="N138">
        <f>YEAR(Table9[[#This Row],[OrderDate ]])</f>
        <v>2013</v>
      </c>
    </row>
    <row r="139" spans="1:14" x14ac:dyDescent="0.3">
      <c r="A139">
        <v>10298</v>
      </c>
      <c r="B139" s="2">
        <f>_xlfn.XLOOKUP(Table9[[#This Row],[orderID]],orders[orderID],orders[orderDate],,0)</f>
        <v>41522</v>
      </c>
      <c r="C139">
        <f>_xlfn.XLOOKUP(A139,order_details[orderID],order_details[productID],,0)</f>
        <v>2</v>
      </c>
      <c r="D139" t="str">
        <f>_xlfn.XLOOKUP(C139,products[productID],products[productName],,0)</f>
        <v>Chang</v>
      </c>
      <c r="E139" t="str">
        <f>_xlfn.XLOOKUP(_xlfn.XLOOKUP(Table9[[#This Row],[ProductName ]],products[productName],products[categoryID],,0),categories[categoryID],categories[categoryName],,0)</f>
        <v>Beverages</v>
      </c>
      <c r="F139">
        <v>15</v>
      </c>
      <c r="G139">
        <v>394</v>
      </c>
      <c r="H139">
        <v>0</v>
      </c>
      <c r="I139">
        <f>Table9[[#This Row],[quantity]]*Table9[[#This Row],[unitPrice]]*(1-Table9[[#This Row],[discount]]/100)</f>
        <v>5910</v>
      </c>
      <c r="J139" t="str">
        <f>_xlfn.XLOOKUP(_xlfn.XLOOKUP(A139,orders[orderID],orders[customerID],,0),customers__2[customerID],customers__2[companyName],,0)</f>
        <v>Hungry Owl All-Night Grocers</v>
      </c>
      <c r="K139" t="str">
        <f>_xlfn.XLOOKUP(Table9[[#This Row],[Company Name]],customers__2[companyName],customers__2[country],,0)</f>
        <v>Ireland</v>
      </c>
      <c r="L139">
        <f>MONTH(Table9[[#This Row],[OrderDate ]])</f>
        <v>9</v>
      </c>
      <c r="M139" t="str">
        <f>TEXT(Table9[[#This Row],[OrderDate ]],"mmm")</f>
        <v>Sep</v>
      </c>
      <c r="N139">
        <f>YEAR(Table9[[#This Row],[OrderDate ]])</f>
        <v>2013</v>
      </c>
    </row>
    <row r="140" spans="1:14" x14ac:dyDescent="0.3">
      <c r="A140">
        <v>10299</v>
      </c>
      <c r="B140" s="2">
        <f>_xlfn.XLOOKUP(Table9[[#This Row],[orderID]],orders[orderID],orders[orderDate],,0)</f>
        <v>41523</v>
      </c>
      <c r="C140">
        <f>_xlfn.XLOOKUP(A140,order_details[orderID],order_details[productID],,0)</f>
        <v>19</v>
      </c>
      <c r="D140" t="str">
        <f>_xlfn.XLOOKUP(C140,products[productID],products[productName],,0)</f>
        <v>Teatime Chocolate Biscuits</v>
      </c>
      <c r="E140" t="str">
        <f>_xlfn.XLOOKUP(_xlfn.XLOOKUP(Table9[[#This Row],[ProductName ]],products[productName],products[categoryID],,0),categories[categoryID],categories[categoryName],,0)</f>
        <v>Confections</v>
      </c>
      <c r="F140">
        <v>15</v>
      </c>
      <c r="G140">
        <v>73</v>
      </c>
      <c r="H140">
        <v>0</v>
      </c>
      <c r="I140">
        <f>Table9[[#This Row],[quantity]]*Table9[[#This Row],[unitPrice]]*(1-Table9[[#This Row],[discount]]/100)</f>
        <v>1095</v>
      </c>
      <c r="J140" t="str">
        <f>_xlfn.XLOOKUP(_xlfn.XLOOKUP(A140,orders[orderID],orders[customerID],,0),customers__2[customerID],customers__2[companyName],,0)</f>
        <v>Ricardo Adocicados</v>
      </c>
      <c r="K140" t="str">
        <f>_xlfn.XLOOKUP(Table9[[#This Row],[Company Name]],customers__2[companyName],customers__2[country],,0)</f>
        <v>Brazil</v>
      </c>
      <c r="L140">
        <f>MONTH(Table9[[#This Row],[OrderDate ]])</f>
        <v>9</v>
      </c>
      <c r="M140" t="str">
        <f>TEXT(Table9[[#This Row],[OrderDate ]],"mmm")</f>
        <v>Sep</v>
      </c>
      <c r="N140">
        <f>YEAR(Table9[[#This Row],[OrderDate ]])</f>
        <v>2013</v>
      </c>
    </row>
    <row r="141" spans="1:14" x14ac:dyDescent="0.3">
      <c r="A141">
        <v>10299</v>
      </c>
      <c r="B141" s="2">
        <f>_xlfn.XLOOKUP(Table9[[#This Row],[orderID]],orders[orderID],orders[orderDate],,0)</f>
        <v>41523</v>
      </c>
      <c r="C141">
        <f>_xlfn.XLOOKUP(A141,order_details[orderID],order_details[productID],,0)</f>
        <v>19</v>
      </c>
      <c r="D141" t="str">
        <f>_xlfn.XLOOKUP(C141,products[productID],products[productName],,0)</f>
        <v>Teatime Chocolate Biscuits</v>
      </c>
      <c r="E141" t="str">
        <f>_xlfn.XLOOKUP(_xlfn.XLOOKUP(Table9[[#This Row],[ProductName ]],products[productName],products[categoryID],,0),categories[categoryID],categories[categoryName],,0)</f>
        <v>Confections</v>
      </c>
      <c r="F141">
        <v>20</v>
      </c>
      <c r="G141">
        <v>12</v>
      </c>
      <c r="H141">
        <v>0</v>
      </c>
      <c r="I141">
        <f>Table9[[#This Row],[quantity]]*Table9[[#This Row],[unitPrice]]*(1-Table9[[#This Row],[discount]]/100)</f>
        <v>240</v>
      </c>
      <c r="J141" t="str">
        <f>_xlfn.XLOOKUP(_xlfn.XLOOKUP(A141,orders[orderID],orders[customerID],,0),customers__2[customerID],customers__2[companyName],,0)</f>
        <v>Ricardo Adocicados</v>
      </c>
      <c r="K141" t="str">
        <f>_xlfn.XLOOKUP(Table9[[#This Row],[Company Name]],customers__2[companyName],customers__2[country],,0)</f>
        <v>Brazil</v>
      </c>
      <c r="L141">
        <f>MONTH(Table9[[#This Row],[OrderDate ]])</f>
        <v>9</v>
      </c>
      <c r="M141" t="str">
        <f>TEXT(Table9[[#This Row],[OrderDate ]],"mmm")</f>
        <v>Sep</v>
      </c>
      <c r="N141">
        <f>YEAR(Table9[[#This Row],[OrderDate ]])</f>
        <v>2013</v>
      </c>
    </row>
    <row r="142" spans="1:14" x14ac:dyDescent="0.3">
      <c r="A142">
        <v>10300</v>
      </c>
      <c r="B142" s="2">
        <f>_xlfn.XLOOKUP(Table9[[#This Row],[orderID]],orders[orderID],orders[orderDate],,0)</f>
        <v>41526</v>
      </c>
      <c r="C142">
        <f>_xlfn.XLOOKUP(A142,order_details[orderID],order_details[productID],,0)</f>
        <v>66</v>
      </c>
      <c r="D142" t="str">
        <f>_xlfn.XLOOKUP(C142,products[productID],products[productName],,0)</f>
        <v>Louisiana Hot Spiced Okra</v>
      </c>
      <c r="E142" t="str">
        <f>_xlfn.XLOOKUP(_xlfn.XLOOKUP(Table9[[#This Row],[ProductName ]],products[productName],products[categoryID],,0),categories[categoryID],categories[categoryName],,0)</f>
        <v>Condiments</v>
      </c>
      <c r="F142">
        <v>30</v>
      </c>
      <c r="G142">
        <v>136</v>
      </c>
      <c r="H142">
        <v>0</v>
      </c>
      <c r="I142">
        <f>Table9[[#This Row],[quantity]]*Table9[[#This Row],[unitPrice]]*(1-Table9[[#This Row],[discount]]/100)</f>
        <v>4080</v>
      </c>
      <c r="J142" t="str">
        <f>_xlfn.XLOOKUP(_xlfn.XLOOKUP(A142,orders[orderID],orders[customerID],,0),customers__2[customerID],customers__2[companyName],,0)</f>
        <v>Magazzini Alimentari Riuniti</v>
      </c>
      <c r="K142" t="str">
        <f>_xlfn.XLOOKUP(Table9[[#This Row],[Company Name]],customers__2[companyName],customers__2[country],,0)</f>
        <v>Italy</v>
      </c>
      <c r="L142">
        <f>MONTH(Table9[[#This Row],[OrderDate ]])</f>
        <v>9</v>
      </c>
      <c r="M142" t="str">
        <f>TEXT(Table9[[#This Row],[OrderDate ]],"mmm")</f>
        <v>Sep</v>
      </c>
      <c r="N142">
        <f>YEAR(Table9[[#This Row],[OrderDate ]])</f>
        <v>2013</v>
      </c>
    </row>
    <row r="143" spans="1:14" x14ac:dyDescent="0.3">
      <c r="A143">
        <v>10300</v>
      </c>
      <c r="B143" s="2">
        <f>_xlfn.XLOOKUP(Table9[[#This Row],[orderID]],orders[orderID],orders[orderDate],,0)</f>
        <v>41526</v>
      </c>
      <c r="C143">
        <f>_xlfn.XLOOKUP(A143,order_details[orderID],order_details[productID],,0)</f>
        <v>66</v>
      </c>
      <c r="D143" t="str">
        <f>_xlfn.XLOOKUP(C143,products[productID],products[productName],,0)</f>
        <v>Louisiana Hot Spiced Okra</v>
      </c>
      <c r="E143" t="str">
        <f>_xlfn.XLOOKUP(_xlfn.XLOOKUP(Table9[[#This Row],[ProductName ]],products[productName],products[categoryID],,0),categories[categoryID],categories[categoryName],,0)</f>
        <v>Condiments</v>
      </c>
      <c r="F143">
        <v>20</v>
      </c>
      <c r="G143">
        <v>10</v>
      </c>
      <c r="H143">
        <v>0</v>
      </c>
      <c r="I143">
        <f>Table9[[#This Row],[quantity]]*Table9[[#This Row],[unitPrice]]*(1-Table9[[#This Row],[discount]]/100)</f>
        <v>200</v>
      </c>
      <c r="J143" t="str">
        <f>_xlfn.XLOOKUP(_xlfn.XLOOKUP(A143,orders[orderID],orders[customerID],,0),customers__2[customerID],customers__2[companyName],,0)</f>
        <v>Magazzini Alimentari Riuniti</v>
      </c>
      <c r="K143" t="str">
        <f>_xlfn.XLOOKUP(Table9[[#This Row],[Company Name]],customers__2[companyName],customers__2[country],,0)</f>
        <v>Italy</v>
      </c>
      <c r="L143">
        <f>MONTH(Table9[[#This Row],[OrderDate ]])</f>
        <v>9</v>
      </c>
      <c r="M143" t="str">
        <f>TEXT(Table9[[#This Row],[OrderDate ]],"mmm")</f>
        <v>Sep</v>
      </c>
      <c r="N143">
        <f>YEAR(Table9[[#This Row],[OrderDate ]])</f>
        <v>2013</v>
      </c>
    </row>
    <row r="144" spans="1:14" x14ac:dyDescent="0.3">
      <c r="A144">
        <v>10301</v>
      </c>
      <c r="B144" s="2">
        <f>_xlfn.XLOOKUP(Table9[[#This Row],[orderID]],orders[orderID],orders[orderDate],,0)</f>
        <v>41526</v>
      </c>
      <c r="C144">
        <f>_xlfn.XLOOKUP(A144,order_details[orderID],order_details[productID],,0)</f>
        <v>40</v>
      </c>
      <c r="D144" t="str">
        <f>_xlfn.XLOOKUP(C144,products[productID],products[productName],,0)</f>
        <v>Boston Crab Meat</v>
      </c>
      <c r="E144" t="str">
        <f>_xlfn.XLOOKUP(_xlfn.XLOOKUP(Table9[[#This Row],[ProductName ]],products[productName],products[categoryID],,0),categories[categoryID],categories[categoryName],,0)</f>
        <v>Seafood</v>
      </c>
      <c r="F144">
        <v>10</v>
      </c>
      <c r="G144">
        <v>147</v>
      </c>
      <c r="H144">
        <v>0</v>
      </c>
      <c r="I144">
        <f>Table9[[#This Row],[quantity]]*Table9[[#This Row],[unitPrice]]*(1-Table9[[#This Row],[discount]]/100)</f>
        <v>1470</v>
      </c>
      <c r="J144" t="str">
        <f>_xlfn.XLOOKUP(_xlfn.XLOOKUP(A144,orders[orderID],orders[customerID],,0),customers__2[customerID],customers__2[companyName],,0)</f>
        <v>Die Wandernde Kuh</v>
      </c>
      <c r="K144" t="str">
        <f>_xlfn.XLOOKUP(Table9[[#This Row],[Company Name]],customers__2[companyName],customers__2[country],,0)</f>
        <v>Germany</v>
      </c>
      <c r="L144">
        <f>MONTH(Table9[[#This Row],[OrderDate ]])</f>
        <v>9</v>
      </c>
      <c r="M144" t="str">
        <f>TEXT(Table9[[#This Row],[OrderDate ]],"mmm")</f>
        <v>Sep</v>
      </c>
      <c r="N144">
        <f>YEAR(Table9[[#This Row],[OrderDate ]])</f>
        <v>2013</v>
      </c>
    </row>
    <row r="145" spans="1:14" x14ac:dyDescent="0.3">
      <c r="A145">
        <v>10301</v>
      </c>
      <c r="B145" s="2">
        <f>_xlfn.XLOOKUP(Table9[[#This Row],[orderID]],orders[orderID],orders[orderDate],,0)</f>
        <v>41526</v>
      </c>
      <c r="C145">
        <f>_xlfn.XLOOKUP(A145,order_details[orderID],order_details[productID],,0)</f>
        <v>40</v>
      </c>
      <c r="D145" t="str">
        <f>_xlfn.XLOOKUP(C145,products[productID],products[productName],,0)</f>
        <v>Boston Crab Meat</v>
      </c>
      <c r="E145" t="str">
        <f>_xlfn.XLOOKUP(_xlfn.XLOOKUP(Table9[[#This Row],[ProductName ]],products[productName],products[categoryID],,0),categories[categoryID],categories[categoryName],,0)</f>
        <v>Seafood</v>
      </c>
      <c r="F145">
        <v>20</v>
      </c>
      <c r="G145">
        <v>304</v>
      </c>
      <c r="H145">
        <v>0</v>
      </c>
      <c r="I145">
        <f>Table9[[#This Row],[quantity]]*Table9[[#This Row],[unitPrice]]*(1-Table9[[#This Row],[discount]]/100)</f>
        <v>6080</v>
      </c>
      <c r="J145" t="str">
        <f>_xlfn.XLOOKUP(_xlfn.XLOOKUP(A145,orders[orderID],orders[customerID],,0),customers__2[customerID],customers__2[companyName],,0)</f>
        <v>Die Wandernde Kuh</v>
      </c>
      <c r="K145" t="str">
        <f>_xlfn.XLOOKUP(Table9[[#This Row],[Company Name]],customers__2[companyName],customers__2[country],,0)</f>
        <v>Germany</v>
      </c>
      <c r="L145">
        <f>MONTH(Table9[[#This Row],[OrderDate ]])</f>
        <v>9</v>
      </c>
      <c r="M145" t="str">
        <f>TEXT(Table9[[#This Row],[OrderDate ]],"mmm")</f>
        <v>Sep</v>
      </c>
      <c r="N145">
        <f>YEAR(Table9[[#This Row],[OrderDate ]])</f>
        <v>2013</v>
      </c>
    </row>
    <row r="146" spans="1:14" x14ac:dyDescent="0.3">
      <c r="A146">
        <v>10302</v>
      </c>
      <c r="B146" s="2">
        <f>_xlfn.XLOOKUP(Table9[[#This Row],[orderID]],orders[orderID],orders[orderDate],,0)</f>
        <v>41527</v>
      </c>
      <c r="C146">
        <f>_xlfn.XLOOKUP(A146,order_details[orderID],order_details[productID],,0)</f>
        <v>17</v>
      </c>
      <c r="D146" t="str">
        <f>_xlfn.XLOOKUP(C146,products[productID],products[productName],,0)</f>
        <v>Alice Mutton</v>
      </c>
      <c r="E146" t="str">
        <f>_xlfn.XLOOKUP(_xlfn.XLOOKUP(Table9[[#This Row],[ProductName ]],products[productName],products[categoryID],,0),categories[categoryID],categories[categoryName],,0)</f>
        <v>Meat &amp; Poultry</v>
      </c>
      <c r="F146">
        <v>40</v>
      </c>
      <c r="G146">
        <v>312</v>
      </c>
      <c r="H146">
        <v>0</v>
      </c>
      <c r="I146">
        <f>Table9[[#This Row],[quantity]]*Table9[[#This Row],[unitPrice]]*(1-Table9[[#This Row],[discount]]/100)</f>
        <v>12480</v>
      </c>
      <c r="J146" t="str">
        <f>_xlfn.XLOOKUP(_xlfn.XLOOKUP(A146,orders[orderID],orders[customerID],,0),customers__2[customerID],customers__2[companyName],,0)</f>
        <v>Suprêmes délices</v>
      </c>
      <c r="K146" t="str">
        <f>_xlfn.XLOOKUP(Table9[[#This Row],[Company Name]],customers__2[companyName],customers__2[country],,0)</f>
        <v>Belgium</v>
      </c>
      <c r="L146">
        <f>MONTH(Table9[[#This Row],[OrderDate ]])</f>
        <v>9</v>
      </c>
      <c r="M146" t="str">
        <f>TEXT(Table9[[#This Row],[OrderDate ]],"mmm")</f>
        <v>Sep</v>
      </c>
      <c r="N146">
        <f>YEAR(Table9[[#This Row],[OrderDate ]])</f>
        <v>2013</v>
      </c>
    </row>
    <row r="147" spans="1:14" x14ac:dyDescent="0.3">
      <c r="A147">
        <v>10302</v>
      </c>
      <c r="B147" s="2">
        <f>_xlfn.XLOOKUP(Table9[[#This Row],[orderID]],orders[orderID],orders[orderDate],,0)</f>
        <v>41527</v>
      </c>
      <c r="C147">
        <f>_xlfn.XLOOKUP(A147,order_details[orderID],order_details[productID],,0)</f>
        <v>17</v>
      </c>
      <c r="D147" t="str">
        <f>_xlfn.XLOOKUP(C147,products[productID],products[productName],,0)</f>
        <v>Alice Mutton</v>
      </c>
      <c r="E147" t="str">
        <f>_xlfn.XLOOKUP(_xlfn.XLOOKUP(Table9[[#This Row],[ProductName ]],products[productName],products[categoryID],,0),categories[categoryID],categories[categoryName],,0)</f>
        <v>Meat &amp; Poultry</v>
      </c>
      <c r="F147">
        <v>28</v>
      </c>
      <c r="G147">
        <v>364</v>
      </c>
      <c r="H147">
        <v>0</v>
      </c>
      <c r="I147">
        <f>Table9[[#This Row],[quantity]]*Table9[[#This Row],[unitPrice]]*(1-Table9[[#This Row],[discount]]/100)</f>
        <v>10192</v>
      </c>
      <c r="J147" t="str">
        <f>_xlfn.XLOOKUP(_xlfn.XLOOKUP(A147,orders[orderID],orders[customerID],,0),customers__2[customerID],customers__2[companyName],,0)</f>
        <v>Suprêmes délices</v>
      </c>
      <c r="K147" t="str">
        <f>_xlfn.XLOOKUP(Table9[[#This Row],[Company Name]],customers__2[companyName],customers__2[country],,0)</f>
        <v>Belgium</v>
      </c>
      <c r="L147">
        <f>MONTH(Table9[[#This Row],[OrderDate ]])</f>
        <v>9</v>
      </c>
      <c r="M147" t="str">
        <f>TEXT(Table9[[#This Row],[OrderDate ]],"mmm")</f>
        <v>Sep</v>
      </c>
      <c r="N147">
        <f>YEAR(Table9[[#This Row],[OrderDate ]])</f>
        <v>2013</v>
      </c>
    </row>
    <row r="148" spans="1:14" x14ac:dyDescent="0.3">
      <c r="A148">
        <v>10302</v>
      </c>
      <c r="B148" s="2">
        <f>_xlfn.XLOOKUP(Table9[[#This Row],[orderID]],orders[orderID],orders[orderDate],,0)</f>
        <v>41527</v>
      </c>
      <c r="C148">
        <f>_xlfn.XLOOKUP(A148,order_details[orderID],order_details[productID],,0)</f>
        <v>17</v>
      </c>
      <c r="D148" t="str">
        <f>_xlfn.XLOOKUP(C148,products[productID],products[productName],,0)</f>
        <v>Alice Mutton</v>
      </c>
      <c r="E148" t="str">
        <f>_xlfn.XLOOKUP(_xlfn.XLOOKUP(Table9[[#This Row],[ProductName ]],products[productName],products[categoryID],,0),categories[categoryID],categories[categoryName],,0)</f>
        <v>Meat &amp; Poultry</v>
      </c>
      <c r="F148">
        <v>12</v>
      </c>
      <c r="G148">
        <v>368</v>
      </c>
      <c r="H148">
        <v>0</v>
      </c>
      <c r="I148">
        <f>Table9[[#This Row],[quantity]]*Table9[[#This Row],[unitPrice]]*(1-Table9[[#This Row],[discount]]/100)</f>
        <v>4416</v>
      </c>
      <c r="J148" t="str">
        <f>_xlfn.XLOOKUP(_xlfn.XLOOKUP(A148,orders[orderID],orders[customerID],,0),customers__2[customerID],customers__2[companyName],,0)</f>
        <v>Suprêmes délices</v>
      </c>
      <c r="K148" t="str">
        <f>_xlfn.XLOOKUP(Table9[[#This Row],[Company Name]],customers__2[companyName],customers__2[country],,0)</f>
        <v>Belgium</v>
      </c>
      <c r="L148">
        <f>MONTH(Table9[[#This Row],[OrderDate ]])</f>
        <v>9</v>
      </c>
      <c r="M148" t="str">
        <f>TEXT(Table9[[#This Row],[OrderDate ]],"mmm")</f>
        <v>Sep</v>
      </c>
      <c r="N148">
        <f>YEAR(Table9[[#This Row],[OrderDate ]])</f>
        <v>2013</v>
      </c>
    </row>
    <row r="149" spans="1:14" x14ac:dyDescent="0.3">
      <c r="A149">
        <v>10303</v>
      </c>
      <c r="B149" s="2">
        <f>_xlfn.XLOOKUP(Table9[[#This Row],[orderID]],orders[orderID],orders[orderDate],,0)</f>
        <v>41528</v>
      </c>
      <c r="C149">
        <f>_xlfn.XLOOKUP(A149,order_details[orderID],order_details[productID],,0)</f>
        <v>40</v>
      </c>
      <c r="D149" t="str">
        <f>_xlfn.XLOOKUP(C149,products[productID],products[productName],,0)</f>
        <v>Boston Crab Meat</v>
      </c>
      <c r="E149" t="str">
        <f>_xlfn.XLOOKUP(_xlfn.XLOOKUP(Table9[[#This Row],[ProductName ]],products[productName],products[categoryID],,0),categories[categoryID],categories[categoryName],,0)</f>
        <v>Seafood</v>
      </c>
      <c r="F149">
        <v>40</v>
      </c>
      <c r="G149">
        <v>147</v>
      </c>
      <c r="H149">
        <v>1</v>
      </c>
      <c r="I149">
        <f>Table9[[#This Row],[quantity]]*Table9[[#This Row],[unitPrice]]*(1-Table9[[#This Row],[discount]]/100)</f>
        <v>5821.2</v>
      </c>
      <c r="J149" t="str">
        <f>_xlfn.XLOOKUP(_xlfn.XLOOKUP(A149,orders[orderID],orders[customerID],,0),customers__2[customerID],customers__2[companyName],,0)</f>
        <v>Godos Cocina Típica</v>
      </c>
      <c r="K149" t="str">
        <f>_xlfn.XLOOKUP(Table9[[#This Row],[Company Name]],customers__2[companyName],customers__2[country],,0)</f>
        <v>Spain</v>
      </c>
      <c r="L149">
        <f>MONTH(Table9[[#This Row],[OrderDate ]])</f>
        <v>9</v>
      </c>
      <c r="M149" t="str">
        <f>TEXT(Table9[[#This Row],[OrderDate ]],"mmm")</f>
        <v>Sep</v>
      </c>
      <c r="N149">
        <f>YEAR(Table9[[#This Row],[OrderDate ]])</f>
        <v>2013</v>
      </c>
    </row>
    <row r="150" spans="1:14" x14ac:dyDescent="0.3">
      <c r="A150">
        <v>10303</v>
      </c>
      <c r="B150" s="2">
        <f>_xlfn.XLOOKUP(Table9[[#This Row],[orderID]],orders[orderID],orders[orderDate],,0)</f>
        <v>41528</v>
      </c>
      <c r="C150">
        <f>_xlfn.XLOOKUP(A150,order_details[orderID],order_details[productID],,0)</f>
        <v>40</v>
      </c>
      <c r="D150" t="str">
        <f>_xlfn.XLOOKUP(C150,products[productID],products[productName],,0)</f>
        <v>Boston Crab Meat</v>
      </c>
      <c r="E150" t="str">
        <f>_xlfn.XLOOKUP(_xlfn.XLOOKUP(Table9[[#This Row],[ProductName ]],products[productName],products[categoryID],,0),categories[categoryID],categories[categoryName],,0)</f>
        <v>Seafood</v>
      </c>
      <c r="F150">
        <v>30</v>
      </c>
      <c r="G150">
        <v>168</v>
      </c>
      <c r="H150">
        <v>1</v>
      </c>
      <c r="I150">
        <f>Table9[[#This Row],[quantity]]*Table9[[#This Row],[unitPrice]]*(1-Table9[[#This Row],[discount]]/100)</f>
        <v>4989.6000000000004</v>
      </c>
      <c r="J150" t="str">
        <f>_xlfn.XLOOKUP(_xlfn.XLOOKUP(A150,orders[orderID],orders[customerID],,0),customers__2[customerID],customers__2[companyName],,0)</f>
        <v>Godos Cocina Típica</v>
      </c>
      <c r="K150" t="str">
        <f>_xlfn.XLOOKUP(Table9[[#This Row],[Company Name]],customers__2[companyName],customers__2[country],,0)</f>
        <v>Spain</v>
      </c>
      <c r="L150">
        <f>MONTH(Table9[[#This Row],[OrderDate ]])</f>
        <v>9</v>
      </c>
      <c r="M150" t="str">
        <f>TEXT(Table9[[#This Row],[OrderDate ]],"mmm")</f>
        <v>Sep</v>
      </c>
      <c r="N150">
        <f>YEAR(Table9[[#This Row],[OrderDate ]])</f>
        <v>2013</v>
      </c>
    </row>
    <row r="151" spans="1:14" x14ac:dyDescent="0.3">
      <c r="A151">
        <v>10303</v>
      </c>
      <c r="B151" s="2">
        <f>_xlfn.XLOOKUP(Table9[[#This Row],[orderID]],orders[orderID],orders[orderDate],,0)</f>
        <v>41528</v>
      </c>
      <c r="C151">
        <f>_xlfn.XLOOKUP(A151,order_details[orderID],order_details[productID],,0)</f>
        <v>40</v>
      </c>
      <c r="D151" t="str">
        <f>_xlfn.XLOOKUP(C151,products[productID],products[productName],,0)</f>
        <v>Boston Crab Meat</v>
      </c>
      <c r="E151" t="str">
        <f>_xlfn.XLOOKUP(_xlfn.XLOOKUP(Table9[[#This Row],[ProductName ]],products[productName],products[categoryID],,0),categories[categoryID],categories[categoryName],,0)</f>
        <v>Seafood</v>
      </c>
      <c r="F151">
        <v>15</v>
      </c>
      <c r="G151">
        <v>10</v>
      </c>
      <c r="H151">
        <v>1</v>
      </c>
      <c r="I151">
        <f>Table9[[#This Row],[quantity]]*Table9[[#This Row],[unitPrice]]*(1-Table9[[#This Row],[discount]]/100)</f>
        <v>148.5</v>
      </c>
      <c r="J151" t="str">
        <f>_xlfn.XLOOKUP(_xlfn.XLOOKUP(A151,orders[orderID],orders[customerID],,0),customers__2[customerID],customers__2[companyName],,0)</f>
        <v>Godos Cocina Típica</v>
      </c>
      <c r="K151" t="str">
        <f>_xlfn.XLOOKUP(Table9[[#This Row],[Company Name]],customers__2[companyName],customers__2[country],,0)</f>
        <v>Spain</v>
      </c>
      <c r="L151">
        <f>MONTH(Table9[[#This Row],[OrderDate ]])</f>
        <v>9</v>
      </c>
      <c r="M151" t="str">
        <f>TEXT(Table9[[#This Row],[OrderDate ]],"mmm")</f>
        <v>Sep</v>
      </c>
      <c r="N151">
        <f>YEAR(Table9[[#This Row],[OrderDate ]])</f>
        <v>2013</v>
      </c>
    </row>
    <row r="152" spans="1:14" x14ac:dyDescent="0.3">
      <c r="A152">
        <v>10304</v>
      </c>
      <c r="B152" s="2">
        <f>_xlfn.XLOOKUP(Table9[[#This Row],[orderID]],orders[orderID],orders[orderDate],,0)</f>
        <v>41529</v>
      </c>
      <c r="C152">
        <f>_xlfn.XLOOKUP(A152,order_details[orderID],order_details[productID],,0)</f>
        <v>49</v>
      </c>
      <c r="D152" t="str">
        <f>_xlfn.XLOOKUP(C152,products[productID],products[productName],,0)</f>
        <v>Maxilaku</v>
      </c>
      <c r="E152" t="str">
        <f>_xlfn.XLOOKUP(_xlfn.XLOOKUP(Table9[[#This Row],[ProductName ]],products[productName],products[categoryID],,0),categories[categoryID],categories[categoryName],,0)</f>
        <v>Confections</v>
      </c>
      <c r="F152">
        <v>30</v>
      </c>
      <c r="G152">
        <v>16</v>
      </c>
      <c r="H152">
        <v>0</v>
      </c>
      <c r="I152">
        <f>Table9[[#This Row],[quantity]]*Table9[[#This Row],[unitPrice]]*(1-Table9[[#This Row],[discount]]/100)</f>
        <v>480</v>
      </c>
      <c r="J152" t="str">
        <f>_xlfn.XLOOKUP(_xlfn.XLOOKUP(A152,orders[orderID],orders[customerID],,0),customers__2[customerID],customers__2[companyName],,0)</f>
        <v>Tortuga Restaurante</v>
      </c>
      <c r="K152" t="str">
        <f>_xlfn.XLOOKUP(Table9[[#This Row],[Company Name]],customers__2[companyName],customers__2[country],,0)</f>
        <v>Mexico</v>
      </c>
      <c r="L152">
        <f>MONTH(Table9[[#This Row],[OrderDate ]])</f>
        <v>9</v>
      </c>
      <c r="M152" t="str">
        <f>TEXT(Table9[[#This Row],[OrderDate ]],"mmm")</f>
        <v>Sep</v>
      </c>
      <c r="N152">
        <f>YEAR(Table9[[#This Row],[OrderDate ]])</f>
        <v>2013</v>
      </c>
    </row>
    <row r="153" spans="1:14" x14ac:dyDescent="0.3">
      <c r="A153">
        <v>10304</v>
      </c>
      <c r="B153" s="2">
        <f>_xlfn.XLOOKUP(Table9[[#This Row],[orderID]],orders[orderID],orders[orderDate],,0)</f>
        <v>41529</v>
      </c>
      <c r="C153">
        <f>_xlfn.XLOOKUP(A153,order_details[orderID],order_details[productID],,0)</f>
        <v>49</v>
      </c>
      <c r="D153" t="str">
        <f>_xlfn.XLOOKUP(C153,products[productID],products[productName],,0)</f>
        <v>Maxilaku</v>
      </c>
      <c r="E153" t="str">
        <f>_xlfn.XLOOKUP(_xlfn.XLOOKUP(Table9[[#This Row],[ProductName ]],products[productName],products[categoryID],,0),categories[categoryID],categories[categoryName],,0)</f>
        <v>Confections</v>
      </c>
      <c r="F153">
        <v>10</v>
      </c>
      <c r="G153">
        <v>44</v>
      </c>
      <c r="H153">
        <v>0</v>
      </c>
      <c r="I153">
        <f>Table9[[#This Row],[quantity]]*Table9[[#This Row],[unitPrice]]*(1-Table9[[#This Row],[discount]]/100)</f>
        <v>440</v>
      </c>
      <c r="J153" t="str">
        <f>_xlfn.XLOOKUP(_xlfn.XLOOKUP(A153,orders[orderID],orders[customerID],,0),customers__2[customerID],customers__2[companyName],,0)</f>
        <v>Tortuga Restaurante</v>
      </c>
      <c r="K153" t="str">
        <f>_xlfn.XLOOKUP(Table9[[#This Row],[Company Name]],customers__2[companyName],customers__2[country],,0)</f>
        <v>Mexico</v>
      </c>
      <c r="L153">
        <f>MONTH(Table9[[#This Row],[OrderDate ]])</f>
        <v>9</v>
      </c>
      <c r="M153" t="str">
        <f>TEXT(Table9[[#This Row],[OrderDate ]],"mmm")</f>
        <v>Sep</v>
      </c>
      <c r="N153">
        <f>YEAR(Table9[[#This Row],[OrderDate ]])</f>
        <v>2013</v>
      </c>
    </row>
    <row r="154" spans="1:14" x14ac:dyDescent="0.3">
      <c r="A154">
        <v>10304</v>
      </c>
      <c r="B154" s="2">
        <f>_xlfn.XLOOKUP(Table9[[#This Row],[orderID]],orders[orderID],orders[orderDate],,0)</f>
        <v>41529</v>
      </c>
      <c r="C154">
        <f>_xlfn.XLOOKUP(A154,order_details[orderID],order_details[productID],,0)</f>
        <v>49</v>
      </c>
      <c r="D154" t="str">
        <f>_xlfn.XLOOKUP(C154,products[productID],products[productName],,0)</f>
        <v>Maxilaku</v>
      </c>
      <c r="E154" t="str">
        <f>_xlfn.XLOOKUP(_xlfn.XLOOKUP(Table9[[#This Row],[ProductName ]],products[productName],products[categoryID],,0),categories[categoryID],categories[categoryName],,0)</f>
        <v>Confections</v>
      </c>
      <c r="F154">
        <v>2</v>
      </c>
      <c r="G154">
        <v>172</v>
      </c>
      <c r="H154">
        <v>0</v>
      </c>
      <c r="I154">
        <f>Table9[[#This Row],[quantity]]*Table9[[#This Row],[unitPrice]]*(1-Table9[[#This Row],[discount]]/100)</f>
        <v>344</v>
      </c>
      <c r="J154" t="str">
        <f>_xlfn.XLOOKUP(_xlfn.XLOOKUP(A154,orders[orderID],orders[customerID],,0),customers__2[customerID],customers__2[companyName],,0)</f>
        <v>Tortuga Restaurante</v>
      </c>
      <c r="K154" t="str">
        <f>_xlfn.XLOOKUP(Table9[[#This Row],[Company Name]],customers__2[companyName],customers__2[country],,0)</f>
        <v>Mexico</v>
      </c>
      <c r="L154">
        <f>MONTH(Table9[[#This Row],[OrderDate ]])</f>
        <v>9</v>
      </c>
      <c r="M154" t="str">
        <f>TEXT(Table9[[#This Row],[OrderDate ]],"mmm")</f>
        <v>Sep</v>
      </c>
      <c r="N154">
        <f>YEAR(Table9[[#This Row],[OrderDate ]])</f>
        <v>2013</v>
      </c>
    </row>
    <row r="155" spans="1:14" x14ac:dyDescent="0.3">
      <c r="A155">
        <v>10305</v>
      </c>
      <c r="B155" s="2">
        <f>_xlfn.XLOOKUP(Table9[[#This Row],[orderID]],orders[orderID],orders[orderDate],,0)</f>
        <v>41530</v>
      </c>
      <c r="C155">
        <f>_xlfn.XLOOKUP(A155,order_details[orderID],order_details[productID],,0)</f>
        <v>18</v>
      </c>
      <c r="D155" t="str">
        <f>_xlfn.XLOOKUP(C155,products[productID],products[productName],,0)</f>
        <v>Carnarvon Tigers</v>
      </c>
      <c r="E155" t="str">
        <f>_xlfn.XLOOKUP(_xlfn.XLOOKUP(Table9[[#This Row],[ProductName ]],products[productName],products[categoryID],,0),categories[categoryID],categories[categoryName],,0)</f>
        <v>Seafood</v>
      </c>
      <c r="F155">
        <v>25</v>
      </c>
      <c r="G155">
        <v>50</v>
      </c>
      <c r="H155">
        <v>1</v>
      </c>
      <c r="I155">
        <f>Table9[[#This Row],[quantity]]*Table9[[#This Row],[unitPrice]]*(1-Table9[[#This Row],[discount]]/100)</f>
        <v>1237.5</v>
      </c>
      <c r="J155" t="str">
        <f>_xlfn.XLOOKUP(_xlfn.XLOOKUP(A155,orders[orderID],orders[customerID],,0),customers__2[customerID],customers__2[companyName],,0)</f>
        <v>Old World Delicatessen</v>
      </c>
      <c r="K155" t="str">
        <f>_xlfn.XLOOKUP(Table9[[#This Row],[Company Name]],customers__2[companyName],customers__2[country],,0)</f>
        <v>USA</v>
      </c>
      <c r="L155">
        <f>MONTH(Table9[[#This Row],[OrderDate ]])</f>
        <v>9</v>
      </c>
      <c r="M155" t="str">
        <f>TEXT(Table9[[#This Row],[OrderDate ]],"mmm")</f>
        <v>Sep</v>
      </c>
      <c r="N155">
        <f>YEAR(Table9[[#This Row],[OrderDate ]])</f>
        <v>2013</v>
      </c>
    </row>
    <row r="156" spans="1:14" x14ac:dyDescent="0.3">
      <c r="A156">
        <v>10305</v>
      </c>
      <c r="B156" s="2">
        <f>_xlfn.XLOOKUP(Table9[[#This Row],[orderID]],orders[orderID],orders[orderDate],,0)</f>
        <v>41530</v>
      </c>
      <c r="C156">
        <f>_xlfn.XLOOKUP(A156,order_details[orderID],order_details[productID],,0)</f>
        <v>18</v>
      </c>
      <c r="D156" t="str">
        <f>_xlfn.XLOOKUP(C156,products[productID],products[productName],,0)</f>
        <v>Carnarvon Tigers</v>
      </c>
      <c r="E156" t="str">
        <f>_xlfn.XLOOKUP(_xlfn.XLOOKUP(Table9[[#This Row],[ProductName ]],products[productName],products[categoryID],,0),categories[categoryID],categories[categoryName],,0)</f>
        <v>Seafood</v>
      </c>
      <c r="F156">
        <v>25</v>
      </c>
      <c r="G156">
        <v>99</v>
      </c>
      <c r="H156">
        <v>1</v>
      </c>
      <c r="I156">
        <f>Table9[[#This Row],[quantity]]*Table9[[#This Row],[unitPrice]]*(1-Table9[[#This Row],[discount]]/100)</f>
        <v>2450.25</v>
      </c>
      <c r="J156" t="str">
        <f>_xlfn.XLOOKUP(_xlfn.XLOOKUP(A156,orders[orderID],orders[customerID],,0),customers__2[customerID],customers__2[companyName],,0)</f>
        <v>Old World Delicatessen</v>
      </c>
      <c r="K156" t="str">
        <f>_xlfn.XLOOKUP(Table9[[#This Row],[Company Name]],customers__2[companyName],customers__2[country],,0)</f>
        <v>USA</v>
      </c>
      <c r="L156">
        <f>MONTH(Table9[[#This Row],[OrderDate ]])</f>
        <v>9</v>
      </c>
      <c r="M156" t="str">
        <f>TEXT(Table9[[#This Row],[OrderDate ]],"mmm")</f>
        <v>Sep</v>
      </c>
      <c r="N156">
        <f>YEAR(Table9[[#This Row],[OrderDate ]])</f>
        <v>2013</v>
      </c>
    </row>
    <row r="157" spans="1:14" x14ac:dyDescent="0.3">
      <c r="A157">
        <v>10305</v>
      </c>
      <c r="B157" s="2">
        <f>_xlfn.XLOOKUP(Table9[[#This Row],[orderID]],orders[orderID],orders[orderDate],,0)</f>
        <v>41530</v>
      </c>
      <c r="C157">
        <f>_xlfn.XLOOKUP(A157,order_details[orderID],order_details[productID],,0)</f>
        <v>18</v>
      </c>
      <c r="D157" t="str">
        <f>_xlfn.XLOOKUP(C157,products[productID],products[productName],,0)</f>
        <v>Carnarvon Tigers</v>
      </c>
      <c r="E157" t="str">
        <f>_xlfn.XLOOKUP(_xlfn.XLOOKUP(Table9[[#This Row],[ProductName ]],products[productName],products[categoryID],,0),categories[categoryID],categories[categoryName],,0)</f>
        <v>Seafood</v>
      </c>
      <c r="F157">
        <v>30</v>
      </c>
      <c r="G157">
        <v>144</v>
      </c>
      <c r="H157">
        <v>1</v>
      </c>
      <c r="I157">
        <f>Table9[[#This Row],[quantity]]*Table9[[#This Row],[unitPrice]]*(1-Table9[[#This Row],[discount]]/100)</f>
        <v>4276.8</v>
      </c>
      <c r="J157" t="str">
        <f>_xlfn.XLOOKUP(_xlfn.XLOOKUP(A157,orders[orderID],orders[customerID],,0),customers__2[customerID],customers__2[companyName],,0)</f>
        <v>Old World Delicatessen</v>
      </c>
      <c r="K157" t="str">
        <f>_xlfn.XLOOKUP(Table9[[#This Row],[Company Name]],customers__2[companyName],customers__2[country],,0)</f>
        <v>USA</v>
      </c>
      <c r="L157">
        <f>MONTH(Table9[[#This Row],[OrderDate ]])</f>
        <v>9</v>
      </c>
      <c r="M157" t="str">
        <f>TEXT(Table9[[#This Row],[OrderDate ]],"mmm")</f>
        <v>Sep</v>
      </c>
      <c r="N157">
        <f>YEAR(Table9[[#This Row],[OrderDate ]])</f>
        <v>2013</v>
      </c>
    </row>
    <row r="158" spans="1:14" x14ac:dyDescent="0.3">
      <c r="A158">
        <v>10306</v>
      </c>
      <c r="B158" s="2">
        <f>_xlfn.XLOOKUP(Table9[[#This Row],[orderID]],orders[orderID],orders[orderDate],,0)</f>
        <v>41533</v>
      </c>
      <c r="C158">
        <f>_xlfn.XLOOKUP(A158,order_details[orderID],order_details[productID],,0)</f>
        <v>30</v>
      </c>
      <c r="D158" t="str">
        <f>_xlfn.XLOOKUP(C158,products[productID],products[productName],,0)</f>
        <v>Nord-Ost Matjeshering</v>
      </c>
      <c r="E158" t="str">
        <f>_xlfn.XLOOKUP(_xlfn.XLOOKUP(Table9[[#This Row],[ProductName ]],products[productName],products[categoryID],,0),categories[categoryID],categories[categoryName],,0)</f>
        <v>Seafood</v>
      </c>
      <c r="F158">
        <v>10</v>
      </c>
      <c r="G158">
        <v>207</v>
      </c>
      <c r="H158">
        <v>0</v>
      </c>
      <c r="I158">
        <f>Table9[[#This Row],[quantity]]*Table9[[#This Row],[unitPrice]]*(1-Table9[[#This Row],[discount]]/100)</f>
        <v>2070</v>
      </c>
      <c r="J158" t="str">
        <f>_xlfn.XLOOKUP(_xlfn.XLOOKUP(A158,orders[orderID],orders[customerID],,0),customers__2[customerID],customers__2[companyName],,0)</f>
        <v>Romero y tomillo</v>
      </c>
      <c r="K158" t="str">
        <f>_xlfn.XLOOKUP(Table9[[#This Row],[Company Name]],customers__2[companyName],customers__2[country],,0)</f>
        <v>Spain</v>
      </c>
      <c r="L158">
        <f>MONTH(Table9[[#This Row],[OrderDate ]])</f>
        <v>9</v>
      </c>
      <c r="M158" t="str">
        <f>TEXT(Table9[[#This Row],[OrderDate ]],"mmm")</f>
        <v>Sep</v>
      </c>
      <c r="N158">
        <f>YEAR(Table9[[#This Row],[OrderDate ]])</f>
        <v>2013</v>
      </c>
    </row>
    <row r="159" spans="1:14" x14ac:dyDescent="0.3">
      <c r="A159">
        <v>10306</v>
      </c>
      <c r="B159" s="2">
        <f>_xlfn.XLOOKUP(Table9[[#This Row],[orderID]],orders[orderID],orders[orderDate],,0)</f>
        <v>41533</v>
      </c>
      <c r="C159">
        <f>_xlfn.XLOOKUP(A159,order_details[orderID],order_details[productID],,0)</f>
        <v>30</v>
      </c>
      <c r="D159" t="str">
        <f>_xlfn.XLOOKUP(C159,products[productID],products[productName],,0)</f>
        <v>Nord-Ost Matjeshering</v>
      </c>
      <c r="E159" t="str">
        <f>_xlfn.XLOOKUP(_xlfn.XLOOKUP(Table9[[#This Row],[ProductName ]],products[productName],products[categoryID],,0),categories[categoryID],categories[categoryName],,0)</f>
        <v>Seafood</v>
      </c>
      <c r="F159">
        <v>10</v>
      </c>
      <c r="G159">
        <v>262</v>
      </c>
      <c r="H159">
        <v>0</v>
      </c>
      <c r="I159">
        <f>Table9[[#This Row],[quantity]]*Table9[[#This Row],[unitPrice]]*(1-Table9[[#This Row],[discount]]/100)</f>
        <v>2620</v>
      </c>
      <c r="J159" t="str">
        <f>_xlfn.XLOOKUP(_xlfn.XLOOKUP(A159,orders[orderID],orders[customerID],,0),customers__2[customerID],customers__2[companyName],,0)</f>
        <v>Romero y tomillo</v>
      </c>
      <c r="K159" t="str">
        <f>_xlfn.XLOOKUP(Table9[[#This Row],[Company Name]],customers__2[companyName],customers__2[country],,0)</f>
        <v>Spain</v>
      </c>
      <c r="L159">
        <f>MONTH(Table9[[#This Row],[OrderDate ]])</f>
        <v>9</v>
      </c>
      <c r="M159" t="str">
        <f>TEXT(Table9[[#This Row],[OrderDate ]],"mmm")</f>
        <v>Sep</v>
      </c>
      <c r="N159">
        <f>YEAR(Table9[[#This Row],[OrderDate ]])</f>
        <v>2013</v>
      </c>
    </row>
    <row r="160" spans="1:14" x14ac:dyDescent="0.3">
      <c r="A160">
        <v>10306</v>
      </c>
      <c r="B160" s="2">
        <f>_xlfn.XLOOKUP(Table9[[#This Row],[orderID]],orders[orderID],orders[orderDate],,0)</f>
        <v>41533</v>
      </c>
      <c r="C160">
        <f>_xlfn.XLOOKUP(A160,order_details[orderID],order_details[productID],,0)</f>
        <v>30</v>
      </c>
      <c r="D160" t="str">
        <f>_xlfn.XLOOKUP(C160,products[productID],products[productName],,0)</f>
        <v>Nord-Ost Matjeshering</v>
      </c>
      <c r="E160" t="str">
        <f>_xlfn.XLOOKUP(_xlfn.XLOOKUP(Table9[[#This Row],[ProductName ]],products[productName],products[categoryID],,0),categories[categoryID],categories[categoryName],,0)</f>
        <v>Seafood</v>
      </c>
      <c r="F160">
        <v>5</v>
      </c>
      <c r="G160">
        <v>59</v>
      </c>
      <c r="H160">
        <v>0</v>
      </c>
      <c r="I160">
        <f>Table9[[#This Row],[quantity]]*Table9[[#This Row],[unitPrice]]*(1-Table9[[#This Row],[discount]]/100)</f>
        <v>295</v>
      </c>
      <c r="J160" t="str">
        <f>_xlfn.XLOOKUP(_xlfn.XLOOKUP(A160,orders[orderID],orders[customerID],,0),customers__2[customerID],customers__2[companyName],,0)</f>
        <v>Romero y tomillo</v>
      </c>
      <c r="K160" t="str">
        <f>_xlfn.XLOOKUP(Table9[[#This Row],[Company Name]],customers__2[companyName],customers__2[country],,0)</f>
        <v>Spain</v>
      </c>
      <c r="L160">
        <f>MONTH(Table9[[#This Row],[OrderDate ]])</f>
        <v>9</v>
      </c>
      <c r="M160" t="str">
        <f>TEXT(Table9[[#This Row],[OrderDate ]],"mmm")</f>
        <v>Sep</v>
      </c>
      <c r="N160">
        <f>YEAR(Table9[[#This Row],[OrderDate ]])</f>
        <v>2013</v>
      </c>
    </row>
    <row r="161" spans="1:14" x14ac:dyDescent="0.3">
      <c r="A161">
        <v>10307</v>
      </c>
      <c r="B161" s="2">
        <f>_xlfn.XLOOKUP(Table9[[#This Row],[orderID]],orders[orderID],orders[orderDate],,0)</f>
        <v>41534</v>
      </c>
      <c r="C161">
        <f>_xlfn.XLOOKUP(A161,order_details[orderID],order_details[productID],,0)</f>
        <v>62</v>
      </c>
      <c r="D161" t="str">
        <f>_xlfn.XLOOKUP(C161,products[productID],products[productName],,0)</f>
        <v>Tarte au sucre</v>
      </c>
      <c r="E161" t="str">
        <f>_xlfn.XLOOKUP(_xlfn.XLOOKUP(Table9[[#This Row],[ProductName ]],products[productName],products[categoryID],,0),categories[categoryID],categories[categoryName],,0)</f>
        <v>Confections</v>
      </c>
      <c r="F161">
        <v>10</v>
      </c>
      <c r="G161">
        <v>394</v>
      </c>
      <c r="H161">
        <v>0</v>
      </c>
      <c r="I161">
        <f>Table9[[#This Row],[quantity]]*Table9[[#This Row],[unitPrice]]*(1-Table9[[#This Row],[discount]]/100)</f>
        <v>3940</v>
      </c>
      <c r="J161" t="str">
        <f>_xlfn.XLOOKUP(_xlfn.XLOOKUP(A161,orders[orderID],orders[customerID],,0),customers__2[customerID],customers__2[companyName],,0)</f>
        <v>Lonesome Pine Restaurant</v>
      </c>
      <c r="K161" t="str">
        <f>_xlfn.XLOOKUP(Table9[[#This Row],[Company Name]],customers__2[companyName],customers__2[country],,0)</f>
        <v>USA</v>
      </c>
      <c r="L161">
        <f>MONTH(Table9[[#This Row],[OrderDate ]])</f>
        <v>9</v>
      </c>
      <c r="M161" t="str">
        <f>TEXT(Table9[[#This Row],[OrderDate ]],"mmm")</f>
        <v>Sep</v>
      </c>
      <c r="N161">
        <f>YEAR(Table9[[#This Row],[OrderDate ]])</f>
        <v>2013</v>
      </c>
    </row>
    <row r="162" spans="1:14" x14ac:dyDescent="0.3">
      <c r="A162">
        <v>10307</v>
      </c>
      <c r="B162" s="2">
        <f>_xlfn.XLOOKUP(Table9[[#This Row],[orderID]],orders[orderID],orders[orderDate],,0)</f>
        <v>41534</v>
      </c>
      <c r="C162">
        <f>_xlfn.XLOOKUP(A162,order_details[orderID],order_details[productID],,0)</f>
        <v>62</v>
      </c>
      <c r="D162" t="str">
        <f>_xlfn.XLOOKUP(C162,products[productID],products[productName],,0)</f>
        <v>Tarte au sucre</v>
      </c>
      <c r="E162" t="str">
        <f>_xlfn.XLOOKUP(_xlfn.XLOOKUP(Table9[[#This Row],[ProductName ]],products[productName],products[categoryID],,0),categories[categoryID],categories[categoryName],,0)</f>
        <v>Confections</v>
      </c>
      <c r="F162">
        <v>3</v>
      </c>
      <c r="G162">
        <v>10</v>
      </c>
      <c r="H162">
        <v>0</v>
      </c>
      <c r="I162">
        <f>Table9[[#This Row],[quantity]]*Table9[[#This Row],[unitPrice]]*(1-Table9[[#This Row],[discount]]/100)</f>
        <v>30</v>
      </c>
      <c r="J162" t="str">
        <f>_xlfn.XLOOKUP(_xlfn.XLOOKUP(A162,orders[orderID],orders[customerID],,0),customers__2[customerID],customers__2[companyName],,0)</f>
        <v>Lonesome Pine Restaurant</v>
      </c>
      <c r="K162" t="str">
        <f>_xlfn.XLOOKUP(Table9[[#This Row],[Company Name]],customers__2[companyName],customers__2[country],,0)</f>
        <v>USA</v>
      </c>
      <c r="L162">
        <f>MONTH(Table9[[#This Row],[OrderDate ]])</f>
        <v>9</v>
      </c>
      <c r="M162" t="str">
        <f>TEXT(Table9[[#This Row],[OrderDate ]],"mmm")</f>
        <v>Sep</v>
      </c>
      <c r="N162">
        <f>YEAR(Table9[[#This Row],[OrderDate ]])</f>
        <v>2013</v>
      </c>
    </row>
    <row r="163" spans="1:14" x14ac:dyDescent="0.3">
      <c r="A163">
        <v>10308</v>
      </c>
      <c r="B163" s="2">
        <f>_xlfn.XLOOKUP(Table9[[#This Row],[orderID]],orders[orderID],orders[orderDate],,0)</f>
        <v>41535</v>
      </c>
      <c r="C163">
        <f>_xlfn.XLOOKUP(A163,order_details[orderID],order_details[productID],,0)</f>
        <v>69</v>
      </c>
      <c r="D163" t="str">
        <f>_xlfn.XLOOKUP(C163,products[productID],products[productName],,0)</f>
        <v>Gudbrandsdalsost</v>
      </c>
      <c r="E163" t="str">
        <f>_xlfn.XLOOKUP(_xlfn.XLOOKUP(Table9[[#This Row],[ProductName ]],products[productName],products[categoryID],,0),categories[categoryID],categories[categoryName],,0)</f>
        <v>Dairy Products</v>
      </c>
      <c r="F163">
        <v>1</v>
      </c>
      <c r="G163">
        <v>288</v>
      </c>
      <c r="H163">
        <v>0</v>
      </c>
      <c r="I163">
        <f>Table9[[#This Row],[quantity]]*Table9[[#This Row],[unitPrice]]*(1-Table9[[#This Row],[discount]]/100)</f>
        <v>288</v>
      </c>
      <c r="J163" t="str">
        <f>_xlfn.XLOOKUP(_xlfn.XLOOKUP(A163,orders[orderID],orders[customerID],,0),customers__2[customerID],customers__2[companyName],,0)</f>
        <v>Ana Trujillo Emparedados y helados</v>
      </c>
      <c r="K163" t="str">
        <f>_xlfn.XLOOKUP(Table9[[#This Row],[Company Name]],customers__2[companyName],customers__2[country],,0)</f>
        <v>Mexico</v>
      </c>
      <c r="L163">
        <f>MONTH(Table9[[#This Row],[OrderDate ]])</f>
        <v>9</v>
      </c>
      <c r="M163" t="str">
        <f>TEXT(Table9[[#This Row],[OrderDate ]],"mmm")</f>
        <v>Sep</v>
      </c>
      <c r="N163">
        <f>YEAR(Table9[[#This Row],[OrderDate ]])</f>
        <v>2013</v>
      </c>
    </row>
    <row r="164" spans="1:14" x14ac:dyDescent="0.3">
      <c r="A164">
        <v>10308</v>
      </c>
      <c r="B164" s="2">
        <f>_xlfn.XLOOKUP(Table9[[#This Row],[orderID]],orders[orderID],orders[orderDate],,0)</f>
        <v>41535</v>
      </c>
      <c r="C164">
        <f>_xlfn.XLOOKUP(A164,order_details[orderID],order_details[productID],,0)</f>
        <v>69</v>
      </c>
      <c r="D164" t="str">
        <f>_xlfn.XLOOKUP(C164,products[productID],products[productName],,0)</f>
        <v>Gudbrandsdalsost</v>
      </c>
      <c r="E164" t="str">
        <f>_xlfn.XLOOKUP(_xlfn.XLOOKUP(Table9[[#This Row],[ProductName ]],products[productName],products[categoryID],,0),categories[categoryID],categories[categoryName],,0)</f>
        <v>Dairy Products</v>
      </c>
      <c r="F164">
        <v>5</v>
      </c>
      <c r="G164">
        <v>12</v>
      </c>
      <c r="H164">
        <v>0</v>
      </c>
      <c r="I164">
        <f>Table9[[#This Row],[quantity]]*Table9[[#This Row],[unitPrice]]*(1-Table9[[#This Row],[discount]]/100)</f>
        <v>60</v>
      </c>
      <c r="J164" t="str">
        <f>_xlfn.XLOOKUP(_xlfn.XLOOKUP(A164,orders[orderID],orders[customerID],,0),customers__2[customerID],customers__2[companyName],,0)</f>
        <v>Ana Trujillo Emparedados y helados</v>
      </c>
      <c r="K164" t="str">
        <f>_xlfn.XLOOKUP(Table9[[#This Row],[Company Name]],customers__2[companyName],customers__2[country],,0)</f>
        <v>Mexico</v>
      </c>
      <c r="L164">
        <f>MONTH(Table9[[#This Row],[OrderDate ]])</f>
        <v>9</v>
      </c>
      <c r="M164" t="str">
        <f>TEXT(Table9[[#This Row],[OrderDate ]],"mmm")</f>
        <v>Sep</v>
      </c>
      <c r="N164">
        <f>YEAR(Table9[[#This Row],[OrderDate ]])</f>
        <v>2013</v>
      </c>
    </row>
    <row r="165" spans="1:14" x14ac:dyDescent="0.3">
      <c r="A165">
        <v>10309</v>
      </c>
      <c r="B165" s="2">
        <f>_xlfn.XLOOKUP(Table9[[#This Row],[orderID]],orders[orderID],orders[orderDate],,0)</f>
        <v>41536</v>
      </c>
      <c r="C165">
        <f>_xlfn.XLOOKUP(A165,order_details[orderID],order_details[productID],,0)</f>
        <v>4</v>
      </c>
      <c r="D165" t="str">
        <f>_xlfn.XLOOKUP(C165,products[productID],products[productName],,0)</f>
        <v>Chef Anton's Cajun Seasoning</v>
      </c>
      <c r="E165" t="str">
        <f>_xlfn.XLOOKUP(_xlfn.XLOOKUP(Table9[[#This Row],[ProductName ]],products[productName],products[categoryID],,0),categories[categoryID],categories[categoryName],,0)</f>
        <v>Condiments</v>
      </c>
      <c r="F165">
        <v>20</v>
      </c>
      <c r="G165">
        <v>176</v>
      </c>
      <c r="H165">
        <v>0</v>
      </c>
      <c r="I165">
        <f>Table9[[#This Row],[quantity]]*Table9[[#This Row],[unitPrice]]*(1-Table9[[#This Row],[discount]]/100)</f>
        <v>3520</v>
      </c>
      <c r="J165" t="str">
        <f>_xlfn.XLOOKUP(_xlfn.XLOOKUP(A165,orders[orderID],orders[customerID],,0),customers__2[customerID],customers__2[companyName],,0)</f>
        <v>Hungry Owl All-Night Grocers</v>
      </c>
      <c r="K165" t="str">
        <f>_xlfn.XLOOKUP(Table9[[#This Row],[Company Name]],customers__2[companyName],customers__2[country],,0)</f>
        <v>Ireland</v>
      </c>
      <c r="L165">
        <f>MONTH(Table9[[#This Row],[OrderDate ]])</f>
        <v>9</v>
      </c>
      <c r="M165" t="str">
        <f>TEXT(Table9[[#This Row],[OrderDate ]],"mmm")</f>
        <v>Sep</v>
      </c>
      <c r="N165">
        <f>YEAR(Table9[[#This Row],[OrderDate ]])</f>
        <v>2013</v>
      </c>
    </row>
    <row r="166" spans="1:14" x14ac:dyDescent="0.3">
      <c r="A166">
        <v>10309</v>
      </c>
      <c r="B166" s="2">
        <f>_xlfn.XLOOKUP(Table9[[#This Row],[orderID]],orders[orderID],orders[orderDate],,0)</f>
        <v>41536</v>
      </c>
      <c r="C166">
        <f>_xlfn.XLOOKUP(A166,order_details[orderID],order_details[productID],,0)</f>
        <v>4</v>
      </c>
      <c r="D166" t="str">
        <f>_xlfn.XLOOKUP(C166,products[productID],products[productName],,0)</f>
        <v>Chef Anton's Cajun Seasoning</v>
      </c>
      <c r="E166" t="str">
        <f>_xlfn.XLOOKUP(_xlfn.XLOOKUP(Table9[[#This Row],[ProductName ]],products[productName],products[categoryID],,0),categories[categoryID],categories[categoryName],,0)</f>
        <v>Condiments</v>
      </c>
      <c r="F166">
        <v>30</v>
      </c>
      <c r="G166">
        <v>20</v>
      </c>
      <c r="H166">
        <v>0</v>
      </c>
      <c r="I166">
        <f>Table9[[#This Row],[quantity]]*Table9[[#This Row],[unitPrice]]*(1-Table9[[#This Row],[discount]]/100)</f>
        <v>600</v>
      </c>
      <c r="J166" t="str">
        <f>_xlfn.XLOOKUP(_xlfn.XLOOKUP(A166,orders[orderID],orders[customerID],,0),customers__2[customerID],customers__2[companyName],,0)</f>
        <v>Hungry Owl All-Night Grocers</v>
      </c>
      <c r="K166" t="str">
        <f>_xlfn.XLOOKUP(Table9[[#This Row],[Company Name]],customers__2[companyName],customers__2[country],,0)</f>
        <v>Ireland</v>
      </c>
      <c r="L166">
        <f>MONTH(Table9[[#This Row],[OrderDate ]])</f>
        <v>9</v>
      </c>
      <c r="M166" t="str">
        <f>TEXT(Table9[[#This Row],[OrderDate ]],"mmm")</f>
        <v>Sep</v>
      </c>
      <c r="N166">
        <f>YEAR(Table9[[#This Row],[OrderDate ]])</f>
        <v>2013</v>
      </c>
    </row>
    <row r="167" spans="1:14" x14ac:dyDescent="0.3">
      <c r="A167">
        <v>10309</v>
      </c>
      <c r="B167" s="2">
        <f>_xlfn.XLOOKUP(Table9[[#This Row],[orderID]],orders[orderID],orders[orderDate],,0)</f>
        <v>41536</v>
      </c>
      <c r="C167">
        <f>_xlfn.XLOOKUP(A167,order_details[orderID],order_details[productID],,0)</f>
        <v>4</v>
      </c>
      <c r="D167" t="str">
        <f>_xlfn.XLOOKUP(C167,products[productID],products[productName],,0)</f>
        <v>Chef Anton's Cajun Seasoning</v>
      </c>
      <c r="E167" t="str">
        <f>_xlfn.XLOOKUP(_xlfn.XLOOKUP(Table9[[#This Row],[ProductName ]],products[productName],products[categoryID],,0),categories[categoryID],categories[categoryName],,0)</f>
        <v>Condiments</v>
      </c>
      <c r="F167">
        <v>2</v>
      </c>
      <c r="G167">
        <v>112</v>
      </c>
      <c r="H167">
        <v>0</v>
      </c>
      <c r="I167">
        <f>Table9[[#This Row],[quantity]]*Table9[[#This Row],[unitPrice]]*(1-Table9[[#This Row],[discount]]/100)</f>
        <v>224</v>
      </c>
      <c r="J167" t="str">
        <f>_xlfn.XLOOKUP(_xlfn.XLOOKUP(A167,orders[orderID],orders[customerID],,0),customers__2[customerID],customers__2[companyName],,0)</f>
        <v>Hungry Owl All-Night Grocers</v>
      </c>
      <c r="K167" t="str">
        <f>_xlfn.XLOOKUP(Table9[[#This Row],[Company Name]],customers__2[companyName],customers__2[country],,0)</f>
        <v>Ireland</v>
      </c>
      <c r="L167">
        <f>MONTH(Table9[[#This Row],[OrderDate ]])</f>
        <v>9</v>
      </c>
      <c r="M167" t="str">
        <f>TEXT(Table9[[#This Row],[OrderDate ]],"mmm")</f>
        <v>Sep</v>
      </c>
      <c r="N167">
        <f>YEAR(Table9[[#This Row],[OrderDate ]])</f>
        <v>2013</v>
      </c>
    </row>
    <row r="168" spans="1:14" x14ac:dyDescent="0.3">
      <c r="A168">
        <v>10309</v>
      </c>
      <c r="B168" s="2">
        <f>_xlfn.XLOOKUP(Table9[[#This Row],[orderID]],orders[orderID],orders[orderDate],,0)</f>
        <v>41536</v>
      </c>
      <c r="C168">
        <f>_xlfn.XLOOKUP(A168,order_details[orderID],order_details[productID],,0)</f>
        <v>4</v>
      </c>
      <c r="D168" t="str">
        <f>_xlfn.XLOOKUP(C168,products[productID],products[productName],,0)</f>
        <v>Chef Anton's Cajun Seasoning</v>
      </c>
      <c r="E168" t="str">
        <f>_xlfn.XLOOKUP(_xlfn.XLOOKUP(Table9[[#This Row],[ProductName ]],products[productName],products[categoryID],,0),categories[categoryID],categories[categoryName],,0)</f>
        <v>Condiments</v>
      </c>
      <c r="F168">
        <v>20</v>
      </c>
      <c r="G168">
        <v>368</v>
      </c>
      <c r="H168">
        <v>0</v>
      </c>
      <c r="I168">
        <f>Table9[[#This Row],[quantity]]*Table9[[#This Row],[unitPrice]]*(1-Table9[[#This Row],[discount]]/100)</f>
        <v>7360</v>
      </c>
      <c r="J168" t="str">
        <f>_xlfn.XLOOKUP(_xlfn.XLOOKUP(A168,orders[orderID],orders[customerID],,0),customers__2[customerID],customers__2[companyName],,0)</f>
        <v>Hungry Owl All-Night Grocers</v>
      </c>
      <c r="K168" t="str">
        <f>_xlfn.XLOOKUP(Table9[[#This Row],[Company Name]],customers__2[companyName],customers__2[country],,0)</f>
        <v>Ireland</v>
      </c>
      <c r="L168">
        <f>MONTH(Table9[[#This Row],[OrderDate ]])</f>
        <v>9</v>
      </c>
      <c r="M168" t="str">
        <f>TEXT(Table9[[#This Row],[OrderDate ]],"mmm")</f>
        <v>Sep</v>
      </c>
      <c r="N168">
        <f>YEAR(Table9[[#This Row],[OrderDate ]])</f>
        <v>2013</v>
      </c>
    </row>
    <row r="169" spans="1:14" x14ac:dyDescent="0.3">
      <c r="A169">
        <v>10309</v>
      </c>
      <c r="B169" s="2">
        <f>_xlfn.XLOOKUP(Table9[[#This Row],[orderID]],orders[orderID],orders[orderDate],,0)</f>
        <v>41536</v>
      </c>
      <c r="C169">
        <f>_xlfn.XLOOKUP(A169,order_details[orderID],order_details[productID],,0)</f>
        <v>4</v>
      </c>
      <c r="D169" t="str">
        <f>_xlfn.XLOOKUP(C169,products[productID],products[productName],,0)</f>
        <v>Chef Anton's Cajun Seasoning</v>
      </c>
      <c r="E169" t="str">
        <f>_xlfn.XLOOKUP(_xlfn.XLOOKUP(Table9[[#This Row],[ProductName ]],products[productName],products[categoryID],,0),categories[categoryID],categories[categoryName],,0)</f>
        <v>Condiments</v>
      </c>
      <c r="F169">
        <v>3</v>
      </c>
      <c r="G169">
        <v>172</v>
      </c>
      <c r="H169">
        <v>0</v>
      </c>
      <c r="I169">
        <f>Table9[[#This Row],[quantity]]*Table9[[#This Row],[unitPrice]]*(1-Table9[[#This Row],[discount]]/100)</f>
        <v>516</v>
      </c>
      <c r="J169" t="str">
        <f>_xlfn.XLOOKUP(_xlfn.XLOOKUP(A169,orders[orderID],orders[customerID],,0),customers__2[customerID],customers__2[companyName],,0)</f>
        <v>Hungry Owl All-Night Grocers</v>
      </c>
      <c r="K169" t="str">
        <f>_xlfn.XLOOKUP(Table9[[#This Row],[Company Name]],customers__2[companyName],customers__2[country],,0)</f>
        <v>Ireland</v>
      </c>
      <c r="L169">
        <f>MONTH(Table9[[#This Row],[OrderDate ]])</f>
        <v>9</v>
      </c>
      <c r="M169" t="str">
        <f>TEXT(Table9[[#This Row],[OrderDate ]],"mmm")</f>
        <v>Sep</v>
      </c>
      <c r="N169">
        <f>YEAR(Table9[[#This Row],[OrderDate ]])</f>
        <v>2013</v>
      </c>
    </row>
    <row r="170" spans="1:14" x14ac:dyDescent="0.3">
      <c r="A170">
        <v>10310</v>
      </c>
      <c r="B170" s="2">
        <f>_xlfn.XLOOKUP(Table9[[#This Row],[orderID]],orders[orderID],orders[orderDate],,0)</f>
        <v>41537</v>
      </c>
      <c r="C170">
        <f>_xlfn.XLOOKUP(A170,order_details[orderID],order_details[productID],,0)</f>
        <v>16</v>
      </c>
      <c r="D170" t="str">
        <f>_xlfn.XLOOKUP(C170,products[productID],products[productName],,0)</f>
        <v>Pavlova</v>
      </c>
      <c r="E170" t="str">
        <f>_xlfn.XLOOKUP(_xlfn.XLOOKUP(Table9[[#This Row],[ProductName ]],products[productName],products[categoryID],,0),categories[categoryID],categories[categoryName],,0)</f>
        <v>Confections</v>
      </c>
      <c r="F170">
        <v>10</v>
      </c>
      <c r="G170">
        <v>139</v>
      </c>
      <c r="H170">
        <v>0</v>
      </c>
      <c r="I170">
        <f>Table9[[#This Row],[quantity]]*Table9[[#This Row],[unitPrice]]*(1-Table9[[#This Row],[discount]]/100)</f>
        <v>1390</v>
      </c>
      <c r="J170" t="str">
        <f>_xlfn.XLOOKUP(_xlfn.XLOOKUP(A170,orders[orderID],orders[customerID],,0),customers__2[customerID],customers__2[companyName],,0)</f>
        <v>The Big Cheese</v>
      </c>
      <c r="K170" t="str">
        <f>_xlfn.XLOOKUP(Table9[[#This Row],[Company Name]],customers__2[companyName],customers__2[country],,0)</f>
        <v>USA</v>
      </c>
      <c r="L170">
        <f>MONTH(Table9[[#This Row],[OrderDate ]])</f>
        <v>9</v>
      </c>
      <c r="M170" t="str">
        <f>TEXT(Table9[[#This Row],[OrderDate ]],"mmm")</f>
        <v>Sep</v>
      </c>
      <c r="N170">
        <f>YEAR(Table9[[#This Row],[OrderDate ]])</f>
        <v>2013</v>
      </c>
    </row>
    <row r="171" spans="1:14" x14ac:dyDescent="0.3">
      <c r="A171">
        <v>10310</v>
      </c>
      <c r="B171" s="2">
        <f>_xlfn.XLOOKUP(Table9[[#This Row],[orderID]],orders[orderID],orders[orderDate],,0)</f>
        <v>41537</v>
      </c>
      <c r="C171">
        <f>_xlfn.XLOOKUP(A171,order_details[orderID],order_details[productID],,0)</f>
        <v>16</v>
      </c>
      <c r="D171" t="str">
        <f>_xlfn.XLOOKUP(C171,products[productID],products[productName],,0)</f>
        <v>Pavlova</v>
      </c>
      <c r="E171" t="str">
        <f>_xlfn.XLOOKUP(_xlfn.XLOOKUP(Table9[[#This Row],[ProductName ]],products[productName],products[categoryID],,0),categories[categoryID],categories[categoryName],,0)</f>
        <v>Confections</v>
      </c>
      <c r="F171">
        <v>5</v>
      </c>
      <c r="G171">
        <v>394</v>
      </c>
      <c r="H171">
        <v>0</v>
      </c>
      <c r="I171">
        <f>Table9[[#This Row],[quantity]]*Table9[[#This Row],[unitPrice]]*(1-Table9[[#This Row],[discount]]/100)</f>
        <v>1970</v>
      </c>
      <c r="J171" t="str">
        <f>_xlfn.XLOOKUP(_xlfn.XLOOKUP(A171,orders[orderID],orders[customerID],,0),customers__2[customerID],customers__2[companyName],,0)</f>
        <v>The Big Cheese</v>
      </c>
      <c r="K171" t="str">
        <f>_xlfn.XLOOKUP(Table9[[#This Row],[Company Name]],customers__2[companyName],customers__2[country],,0)</f>
        <v>USA</v>
      </c>
      <c r="L171">
        <f>MONTH(Table9[[#This Row],[OrderDate ]])</f>
        <v>9</v>
      </c>
      <c r="M171" t="str">
        <f>TEXT(Table9[[#This Row],[OrderDate ]],"mmm")</f>
        <v>Sep</v>
      </c>
      <c r="N171">
        <f>YEAR(Table9[[#This Row],[OrderDate ]])</f>
        <v>2013</v>
      </c>
    </row>
    <row r="172" spans="1:14" x14ac:dyDescent="0.3">
      <c r="A172">
        <v>10311</v>
      </c>
      <c r="B172" s="2">
        <f>_xlfn.XLOOKUP(Table9[[#This Row],[orderID]],orders[orderID],orders[orderDate],,0)</f>
        <v>41537</v>
      </c>
      <c r="C172">
        <f>_xlfn.XLOOKUP(A172,order_details[orderID],order_details[productID],,0)</f>
        <v>42</v>
      </c>
      <c r="D172" t="str">
        <f>_xlfn.XLOOKUP(C172,products[productID],products[productName],,0)</f>
        <v>Singaporean Hokkien Fried Mee</v>
      </c>
      <c r="E172" t="str">
        <f>_xlfn.XLOOKUP(_xlfn.XLOOKUP(Table9[[#This Row],[ProductName ]],products[productName],products[categoryID],,0),categories[categoryID],categories[categoryName],,0)</f>
        <v>Grains &amp; Cereals</v>
      </c>
      <c r="F172">
        <v>6</v>
      </c>
      <c r="G172">
        <v>112</v>
      </c>
      <c r="H172">
        <v>0</v>
      </c>
      <c r="I172">
        <f>Table9[[#This Row],[quantity]]*Table9[[#This Row],[unitPrice]]*(1-Table9[[#This Row],[discount]]/100)</f>
        <v>672</v>
      </c>
      <c r="J172" t="str">
        <f>_xlfn.XLOOKUP(_xlfn.XLOOKUP(A172,orders[orderID],orders[customerID],,0),customers__2[customerID],customers__2[companyName],,0)</f>
        <v>Du monde entier</v>
      </c>
      <c r="K172" t="str">
        <f>_xlfn.XLOOKUP(Table9[[#This Row],[Company Name]],customers__2[companyName],customers__2[country],,0)</f>
        <v>France</v>
      </c>
      <c r="L172">
        <f>MONTH(Table9[[#This Row],[OrderDate ]])</f>
        <v>9</v>
      </c>
      <c r="M172" t="str">
        <f>TEXT(Table9[[#This Row],[OrderDate ]],"mmm")</f>
        <v>Sep</v>
      </c>
      <c r="N172">
        <f>YEAR(Table9[[#This Row],[OrderDate ]])</f>
        <v>2013</v>
      </c>
    </row>
    <row r="173" spans="1:14" x14ac:dyDescent="0.3">
      <c r="A173">
        <v>10311</v>
      </c>
      <c r="B173" s="2">
        <f>_xlfn.XLOOKUP(Table9[[#This Row],[orderID]],orders[orderID],orders[orderDate],,0)</f>
        <v>41537</v>
      </c>
      <c r="C173">
        <f>_xlfn.XLOOKUP(A173,order_details[orderID],order_details[productID],,0)</f>
        <v>42</v>
      </c>
      <c r="D173" t="str">
        <f>_xlfn.XLOOKUP(C173,products[productID],products[productName],,0)</f>
        <v>Singaporean Hokkien Fried Mee</v>
      </c>
      <c r="E173" t="str">
        <f>_xlfn.XLOOKUP(_xlfn.XLOOKUP(Table9[[#This Row],[ProductName ]],products[productName],products[categoryID],,0),categories[categoryID],categories[categoryName],,0)</f>
        <v>Grains &amp; Cereals</v>
      </c>
      <c r="F173">
        <v>7</v>
      </c>
      <c r="G173">
        <v>288</v>
      </c>
      <c r="H173">
        <v>0</v>
      </c>
      <c r="I173">
        <f>Table9[[#This Row],[quantity]]*Table9[[#This Row],[unitPrice]]*(1-Table9[[#This Row],[discount]]/100)</f>
        <v>2016</v>
      </c>
      <c r="J173" t="str">
        <f>_xlfn.XLOOKUP(_xlfn.XLOOKUP(A173,orders[orderID],orders[customerID],,0),customers__2[customerID],customers__2[companyName],,0)</f>
        <v>Du monde entier</v>
      </c>
      <c r="K173" t="str">
        <f>_xlfn.XLOOKUP(Table9[[#This Row],[Company Name]],customers__2[companyName],customers__2[country],,0)</f>
        <v>France</v>
      </c>
      <c r="L173">
        <f>MONTH(Table9[[#This Row],[OrderDate ]])</f>
        <v>9</v>
      </c>
      <c r="M173" t="str">
        <f>TEXT(Table9[[#This Row],[OrderDate ]],"mmm")</f>
        <v>Sep</v>
      </c>
      <c r="N173">
        <f>YEAR(Table9[[#This Row],[OrderDate ]])</f>
        <v>2013</v>
      </c>
    </row>
    <row r="174" spans="1:14" x14ac:dyDescent="0.3">
      <c r="A174">
        <v>10312</v>
      </c>
      <c r="B174" s="2">
        <f>_xlfn.XLOOKUP(Table9[[#This Row],[orderID]],orders[orderID],orders[orderDate],,0)</f>
        <v>41540</v>
      </c>
      <c r="C174">
        <f>_xlfn.XLOOKUP(A174,order_details[orderID],order_details[productID],,0)</f>
        <v>28</v>
      </c>
      <c r="D174" t="str">
        <f>_xlfn.XLOOKUP(C174,products[productID],products[productName],,0)</f>
        <v>Rössle Sauerkraut</v>
      </c>
      <c r="E174" t="str">
        <f>_xlfn.XLOOKUP(_xlfn.XLOOKUP(Table9[[#This Row],[ProductName ]],products[productName],products[categoryID],,0),categories[categoryID],categories[categoryName],,0)</f>
        <v>Produce</v>
      </c>
      <c r="F174">
        <v>4</v>
      </c>
      <c r="G174">
        <v>364</v>
      </c>
      <c r="H174">
        <v>0</v>
      </c>
      <c r="I174">
        <f>Table9[[#This Row],[quantity]]*Table9[[#This Row],[unitPrice]]*(1-Table9[[#This Row],[discount]]/100)</f>
        <v>1456</v>
      </c>
      <c r="J174" t="str">
        <f>_xlfn.XLOOKUP(_xlfn.XLOOKUP(A174,orders[orderID],orders[customerID],,0),customers__2[customerID],customers__2[companyName],,0)</f>
        <v>Die Wandernde Kuh</v>
      </c>
      <c r="K174" t="str">
        <f>_xlfn.XLOOKUP(Table9[[#This Row],[Company Name]],customers__2[companyName],customers__2[country],,0)</f>
        <v>Germany</v>
      </c>
      <c r="L174">
        <f>MONTH(Table9[[#This Row],[OrderDate ]])</f>
        <v>9</v>
      </c>
      <c r="M174" t="str">
        <f>TEXT(Table9[[#This Row],[OrderDate ]],"mmm")</f>
        <v>Sep</v>
      </c>
      <c r="N174">
        <f>YEAR(Table9[[#This Row],[OrderDate ]])</f>
        <v>2013</v>
      </c>
    </row>
    <row r="175" spans="1:14" x14ac:dyDescent="0.3">
      <c r="A175">
        <v>10312</v>
      </c>
      <c r="B175" s="2">
        <f>_xlfn.XLOOKUP(Table9[[#This Row],[orderID]],orders[orderID],orders[orderDate],,0)</f>
        <v>41540</v>
      </c>
      <c r="C175">
        <f>_xlfn.XLOOKUP(A175,order_details[orderID],order_details[productID],,0)</f>
        <v>28</v>
      </c>
      <c r="D175" t="str">
        <f>_xlfn.XLOOKUP(C175,products[productID],products[productName],,0)</f>
        <v>Rössle Sauerkraut</v>
      </c>
      <c r="E175" t="str">
        <f>_xlfn.XLOOKUP(_xlfn.XLOOKUP(Table9[[#This Row],[ProductName ]],products[productName],products[categoryID],,0),categories[categoryID],categories[categoryName],,0)</f>
        <v>Produce</v>
      </c>
      <c r="F175">
        <v>24</v>
      </c>
      <c r="G175">
        <v>368</v>
      </c>
      <c r="H175">
        <v>0</v>
      </c>
      <c r="I175">
        <f>Table9[[#This Row],[quantity]]*Table9[[#This Row],[unitPrice]]*(1-Table9[[#This Row],[discount]]/100)</f>
        <v>8832</v>
      </c>
      <c r="J175" t="str">
        <f>_xlfn.XLOOKUP(_xlfn.XLOOKUP(A175,orders[orderID],orders[customerID],,0),customers__2[customerID],customers__2[companyName],,0)</f>
        <v>Die Wandernde Kuh</v>
      </c>
      <c r="K175" t="str">
        <f>_xlfn.XLOOKUP(Table9[[#This Row],[Company Name]],customers__2[companyName],customers__2[country],,0)</f>
        <v>Germany</v>
      </c>
      <c r="L175">
        <f>MONTH(Table9[[#This Row],[OrderDate ]])</f>
        <v>9</v>
      </c>
      <c r="M175" t="str">
        <f>TEXT(Table9[[#This Row],[OrderDate ]],"mmm")</f>
        <v>Sep</v>
      </c>
      <c r="N175">
        <f>YEAR(Table9[[#This Row],[OrderDate ]])</f>
        <v>2013</v>
      </c>
    </row>
    <row r="176" spans="1:14" x14ac:dyDescent="0.3">
      <c r="A176">
        <v>10312</v>
      </c>
      <c r="B176" s="2">
        <f>_xlfn.XLOOKUP(Table9[[#This Row],[orderID]],orders[orderID],orders[orderDate],,0)</f>
        <v>41540</v>
      </c>
      <c r="C176">
        <f>_xlfn.XLOOKUP(A176,order_details[orderID],order_details[productID],,0)</f>
        <v>28</v>
      </c>
      <c r="D176" t="str">
        <f>_xlfn.XLOOKUP(C176,products[productID],products[productName],,0)</f>
        <v>Rössle Sauerkraut</v>
      </c>
      <c r="E176" t="str">
        <f>_xlfn.XLOOKUP(_xlfn.XLOOKUP(Table9[[#This Row],[ProductName ]],products[productName],products[categoryID],,0),categories[categoryID],categories[categoryName],,0)</f>
        <v>Produce</v>
      </c>
      <c r="F176">
        <v>20</v>
      </c>
      <c r="G176">
        <v>262</v>
      </c>
      <c r="H176">
        <v>0</v>
      </c>
      <c r="I176">
        <f>Table9[[#This Row],[quantity]]*Table9[[#This Row],[unitPrice]]*(1-Table9[[#This Row],[discount]]/100)</f>
        <v>5240</v>
      </c>
      <c r="J176" t="str">
        <f>_xlfn.XLOOKUP(_xlfn.XLOOKUP(A176,orders[orderID],orders[customerID],,0),customers__2[customerID],customers__2[companyName],,0)</f>
        <v>Die Wandernde Kuh</v>
      </c>
      <c r="K176" t="str">
        <f>_xlfn.XLOOKUP(Table9[[#This Row],[Company Name]],customers__2[companyName],customers__2[country],,0)</f>
        <v>Germany</v>
      </c>
      <c r="L176">
        <f>MONTH(Table9[[#This Row],[OrderDate ]])</f>
        <v>9</v>
      </c>
      <c r="M176" t="str">
        <f>TEXT(Table9[[#This Row],[OrderDate ]],"mmm")</f>
        <v>Sep</v>
      </c>
      <c r="N176">
        <f>YEAR(Table9[[#This Row],[OrderDate ]])</f>
        <v>2013</v>
      </c>
    </row>
    <row r="177" spans="1:14" x14ac:dyDescent="0.3">
      <c r="A177">
        <v>10312</v>
      </c>
      <c r="B177" s="2">
        <f>_xlfn.XLOOKUP(Table9[[#This Row],[orderID]],orders[orderID],orders[orderDate],,0)</f>
        <v>41540</v>
      </c>
      <c r="C177">
        <f>_xlfn.XLOOKUP(A177,order_details[orderID],order_details[productID],,0)</f>
        <v>28</v>
      </c>
      <c r="D177" t="str">
        <f>_xlfn.XLOOKUP(C177,products[productID],products[productName],,0)</f>
        <v>Rössle Sauerkraut</v>
      </c>
      <c r="E177" t="str">
        <f>_xlfn.XLOOKUP(_xlfn.XLOOKUP(Table9[[#This Row],[ProductName ]],products[productName],products[categoryID],,0),categories[categoryID],categories[categoryName],,0)</f>
        <v>Produce</v>
      </c>
      <c r="F177">
        <v>10</v>
      </c>
      <c r="G177">
        <v>62</v>
      </c>
      <c r="H177">
        <v>0</v>
      </c>
      <c r="I177">
        <f>Table9[[#This Row],[quantity]]*Table9[[#This Row],[unitPrice]]*(1-Table9[[#This Row],[discount]]/100)</f>
        <v>620</v>
      </c>
      <c r="J177" t="str">
        <f>_xlfn.XLOOKUP(_xlfn.XLOOKUP(A177,orders[orderID],orders[customerID],,0),customers__2[customerID],customers__2[companyName],,0)</f>
        <v>Die Wandernde Kuh</v>
      </c>
      <c r="K177" t="str">
        <f>_xlfn.XLOOKUP(Table9[[#This Row],[Company Name]],customers__2[companyName],customers__2[country],,0)</f>
        <v>Germany</v>
      </c>
      <c r="L177">
        <f>MONTH(Table9[[#This Row],[OrderDate ]])</f>
        <v>9</v>
      </c>
      <c r="M177" t="str">
        <f>TEXT(Table9[[#This Row],[OrderDate ]],"mmm")</f>
        <v>Sep</v>
      </c>
      <c r="N177">
        <f>YEAR(Table9[[#This Row],[OrderDate ]])</f>
        <v>2013</v>
      </c>
    </row>
    <row r="178" spans="1:14" x14ac:dyDescent="0.3">
      <c r="A178">
        <v>10313</v>
      </c>
      <c r="B178" s="2">
        <f>_xlfn.XLOOKUP(Table9[[#This Row],[orderID]],orders[orderID],orders[orderDate],,0)</f>
        <v>41541</v>
      </c>
      <c r="C178">
        <f>_xlfn.XLOOKUP(A178,order_details[orderID],order_details[productID],,0)</f>
        <v>36</v>
      </c>
      <c r="D178" t="str">
        <f>_xlfn.XLOOKUP(C178,products[productID],products[productName],,0)</f>
        <v>Inlagd Sill</v>
      </c>
      <c r="E178" t="str">
        <f>_xlfn.XLOOKUP(_xlfn.XLOOKUP(Table9[[#This Row],[ProductName ]],products[productName],products[categoryID],,0),categories[categoryID],categories[categoryName],,0)</f>
        <v>Seafood</v>
      </c>
      <c r="F178">
        <v>12</v>
      </c>
      <c r="G178">
        <v>152</v>
      </c>
      <c r="H178">
        <v>0</v>
      </c>
      <c r="I178">
        <f>Table9[[#This Row],[quantity]]*Table9[[#This Row],[unitPrice]]*(1-Table9[[#This Row],[discount]]/100)</f>
        <v>1824</v>
      </c>
      <c r="J178" t="str">
        <f>_xlfn.XLOOKUP(_xlfn.XLOOKUP(A178,orders[orderID],orders[customerID],,0),customers__2[customerID],customers__2[companyName],,0)</f>
        <v>QUICK-Stop</v>
      </c>
      <c r="K178" t="str">
        <f>_xlfn.XLOOKUP(Table9[[#This Row],[Company Name]],customers__2[companyName],customers__2[country],,0)</f>
        <v>Germany</v>
      </c>
      <c r="L178">
        <f>MONTH(Table9[[#This Row],[OrderDate ]])</f>
        <v>9</v>
      </c>
      <c r="M178" t="str">
        <f>TEXT(Table9[[#This Row],[OrderDate ]],"mmm")</f>
        <v>Sep</v>
      </c>
      <c r="N178">
        <f>YEAR(Table9[[#This Row],[OrderDate ]])</f>
        <v>2013</v>
      </c>
    </row>
    <row r="179" spans="1:14" x14ac:dyDescent="0.3">
      <c r="A179">
        <v>10314</v>
      </c>
      <c r="B179" s="2">
        <f>_xlfn.XLOOKUP(Table9[[#This Row],[orderID]],orders[orderID],orders[orderDate],,0)</f>
        <v>41542</v>
      </c>
      <c r="C179">
        <f>_xlfn.XLOOKUP(A179,order_details[orderID],order_details[productID],,0)</f>
        <v>32</v>
      </c>
      <c r="D179" t="str">
        <f>_xlfn.XLOOKUP(C179,products[productID],products[productName],,0)</f>
        <v>Mascarpone Fabioli</v>
      </c>
      <c r="E179" t="str">
        <f>_xlfn.XLOOKUP(_xlfn.XLOOKUP(Table9[[#This Row],[ProductName ]],products[productName],products[categoryID],,0),categories[categoryID],categories[categoryName],,0)</f>
        <v>Dairy Products</v>
      </c>
      <c r="F179">
        <v>40</v>
      </c>
      <c r="G179">
        <v>256</v>
      </c>
      <c r="H179">
        <v>1</v>
      </c>
      <c r="I179">
        <f>Table9[[#This Row],[quantity]]*Table9[[#This Row],[unitPrice]]*(1-Table9[[#This Row],[discount]]/100)</f>
        <v>10137.6</v>
      </c>
      <c r="J179" t="str">
        <f>_xlfn.XLOOKUP(_xlfn.XLOOKUP(A179,orders[orderID],orders[customerID],,0),customers__2[customerID],customers__2[companyName],,0)</f>
        <v>Rattlesnake Canyon Grocery</v>
      </c>
      <c r="K179" t="str">
        <f>_xlfn.XLOOKUP(Table9[[#This Row],[Company Name]],customers__2[companyName],customers__2[country],,0)</f>
        <v>USA</v>
      </c>
      <c r="L179">
        <f>MONTH(Table9[[#This Row],[OrderDate ]])</f>
        <v>9</v>
      </c>
      <c r="M179" t="str">
        <f>TEXT(Table9[[#This Row],[OrderDate ]],"mmm")</f>
        <v>Sep</v>
      </c>
      <c r="N179">
        <f>YEAR(Table9[[#This Row],[OrderDate ]])</f>
        <v>2013</v>
      </c>
    </row>
    <row r="180" spans="1:14" x14ac:dyDescent="0.3">
      <c r="A180">
        <v>10314</v>
      </c>
      <c r="B180" s="2">
        <f>_xlfn.XLOOKUP(Table9[[#This Row],[orderID]],orders[orderID],orders[orderDate],,0)</f>
        <v>41542</v>
      </c>
      <c r="C180">
        <f>_xlfn.XLOOKUP(A180,order_details[orderID],order_details[productID],,0)</f>
        <v>32</v>
      </c>
      <c r="D180" t="str">
        <f>_xlfn.XLOOKUP(C180,products[productID],products[productName],,0)</f>
        <v>Mascarpone Fabioli</v>
      </c>
      <c r="E180" t="str">
        <f>_xlfn.XLOOKUP(_xlfn.XLOOKUP(Table9[[#This Row],[ProductName ]],products[productName],products[categoryID],,0),categories[categoryID],categories[categoryName],,0)</f>
        <v>Dairy Products</v>
      </c>
      <c r="F180">
        <v>30</v>
      </c>
      <c r="G180">
        <v>106</v>
      </c>
      <c r="H180">
        <v>1</v>
      </c>
      <c r="I180">
        <f>Table9[[#This Row],[quantity]]*Table9[[#This Row],[unitPrice]]*(1-Table9[[#This Row],[discount]]/100)</f>
        <v>3148.2</v>
      </c>
      <c r="J180" t="str">
        <f>_xlfn.XLOOKUP(_xlfn.XLOOKUP(A180,orders[orderID],orders[customerID],,0),customers__2[customerID],customers__2[companyName],,0)</f>
        <v>Rattlesnake Canyon Grocery</v>
      </c>
      <c r="K180" t="str">
        <f>_xlfn.XLOOKUP(Table9[[#This Row],[Company Name]],customers__2[companyName],customers__2[country],,0)</f>
        <v>USA</v>
      </c>
      <c r="L180">
        <f>MONTH(Table9[[#This Row],[OrderDate ]])</f>
        <v>9</v>
      </c>
      <c r="M180" t="str">
        <f>TEXT(Table9[[#This Row],[OrderDate ]],"mmm")</f>
        <v>Sep</v>
      </c>
      <c r="N180">
        <f>YEAR(Table9[[#This Row],[OrderDate ]])</f>
        <v>2013</v>
      </c>
    </row>
    <row r="181" spans="1:14" x14ac:dyDescent="0.3">
      <c r="A181">
        <v>10314</v>
      </c>
      <c r="B181" s="2">
        <f>_xlfn.XLOOKUP(Table9[[#This Row],[orderID]],orders[orderID],orders[orderDate],,0)</f>
        <v>41542</v>
      </c>
      <c r="C181">
        <f>_xlfn.XLOOKUP(A181,order_details[orderID],order_details[productID],,0)</f>
        <v>32</v>
      </c>
      <c r="D181" t="str">
        <f>_xlfn.XLOOKUP(C181,products[productID],products[productName],,0)</f>
        <v>Mascarpone Fabioli</v>
      </c>
      <c r="E181" t="str">
        <f>_xlfn.XLOOKUP(_xlfn.XLOOKUP(Table9[[#This Row],[ProductName ]],products[productName],products[categoryID],,0),categories[categoryID],categories[categoryName],,0)</f>
        <v>Dairy Products</v>
      </c>
      <c r="F181">
        <v>25</v>
      </c>
      <c r="G181">
        <v>394</v>
      </c>
      <c r="H181">
        <v>1</v>
      </c>
      <c r="I181">
        <f>Table9[[#This Row],[quantity]]*Table9[[#This Row],[unitPrice]]*(1-Table9[[#This Row],[discount]]/100)</f>
        <v>9751.5</v>
      </c>
      <c r="J181" t="str">
        <f>_xlfn.XLOOKUP(_xlfn.XLOOKUP(A181,orders[orderID],orders[customerID],,0),customers__2[customerID],customers__2[companyName],,0)</f>
        <v>Rattlesnake Canyon Grocery</v>
      </c>
      <c r="K181" t="str">
        <f>_xlfn.XLOOKUP(Table9[[#This Row],[Company Name]],customers__2[companyName],customers__2[country],,0)</f>
        <v>USA</v>
      </c>
      <c r="L181">
        <f>MONTH(Table9[[#This Row],[OrderDate ]])</f>
        <v>9</v>
      </c>
      <c r="M181" t="str">
        <f>TEXT(Table9[[#This Row],[OrderDate ]],"mmm")</f>
        <v>Sep</v>
      </c>
      <c r="N181">
        <f>YEAR(Table9[[#This Row],[OrderDate ]])</f>
        <v>2013</v>
      </c>
    </row>
    <row r="182" spans="1:14" x14ac:dyDescent="0.3">
      <c r="A182">
        <v>10315</v>
      </c>
      <c r="B182" s="2">
        <f>_xlfn.XLOOKUP(Table9[[#This Row],[orderID]],orders[orderID],orders[orderDate],,0)</f>
        <v>41543</v>
      </c>
      <c r="C182">
        <f>_xlfn.XLOOKUP(A182,order_details[orderID],order_details[productID],,0)</f>
        <v>34</v>
      </c>
      <c r="D182" t="str">
        <f>_xlfn.XLOOKUP(C182,products[productID],products[productName],,0)</f>
        <v>Sasquatch Ale</v>
      </c>
      <c r="E182" t="str">
        <f>_xlfn.XLOOKUP(_xlfn.XLOOKUP(Table9[[#This Row],[ProductName ]],products[productName],products[categoryID],,0),categories[categoryID],categories[categoryName],,0)</f>
        <v>Beverages</v>
      </c>
      <c r="F182">
        <v>14</v>
      </c>
      <c r="G182">
        <v>112</v>
      </c>
      <c r="H182">
        <v>0</v>
      </c>
      <c r="I182">
        <f>Table9[[#This Row],[quantity]]*Table9[[#This Row],[unitPrice]]*(1-Table9[[#This Row],[discount]]/100)</f>
        <v>1568</v>
      </c>
      <c r="J182" t="str">
        <f>_xlfn.XLOOKUP(_xlfn.XLOOKUP(A182,orders[orderID],orders[customerID],,0),customers__2[customerID],customers__2[companyName],,0)</f>
        <v>Island Trading</v>
      </c>
      <c r="K182" t="str">
        <f>_xlfn.XLOOKUP(Table9[[#This Row],[Company Name]],customers__2[companyName],customers__2[country],,0)</f>
        <v>UK</v>
      </c>
      <c r="L182">
        <f>MONTH(Table9[[#This Row],[OrderDate ]])</f>
        <v>9</v>
      </c>
      <c r="M182" t="str">
        <f>TEXT(Table9[[#This Row],[OrderDate ]],"mmm")</f>
        <v>Sep</v>
      </c>
      <c r="N182">
        <f>YEAR(Table9[[#This Row],[OrderDate ]])</f>
        <v>2013</v>
      </c>
    </row>
    <row r="183" spans="1:14" x14ac:dyDescent="0.3">
      <c r="A183">
        <v>10315</v>
      </c>
      <c r="B183" s="2">
        <f>_xlfn.XLOOKUP(Table9[[#This Row],[orderID]],orders[orderID],orders[orderDate],,0)</f>
        <v>41543</v>
      </c>
      <c r="C183">
        <f>_xlfn.XLOOKUP(A183,order_details[orderID],order_details[productID],,0)</f>
        <v>34</v>
      </c>
      <c r="D183" t="str">
        <f>_xlfn.XLOOKUP(C183,products[productID],products[productName],,0)</f>
        <v>Sasquatch Ale</v>
      </c>
      <c r="E183" t="str">
        <f>_xlfn.XLOOKUP(_xlfn.XLOOKUP(Table9[[#This Row],[ProductName ]],products[productName],products[categoryID],,0),categories[categoryID],categories[categoryName],,0)</f>
        <v>Beverages</v>
      </c>
      <c r="F183">
        <v>30</v>
      </c>
      <c r="G183">
        <v>12</v>
      </c>
      <c r="H183">
        <v>0</v>
      </c>
      <c r="I183">
        <f>Table9[[#This Row],[quantity]]*Table9[[#This Row],[unitPrice]]*(1-Table9[[#This Row],[discount]]/100)</f>
        <v>360</v>
      </c>
      <c r="J183" t="str">
        <f>_xlfn.XLOOKUP(_xlfn.XLOOKUP(A183,orders[orderID],orders[customerID],,0),customers__2[customerID],customers__2[companyName],,0)</f>
        <v>Island Trading</v>
      </c>
      <c r="K183" t="str">
        <f>_xlfn.XLOOKUP(Table9[[#This Row],[Company Name]],customers__2[companyName],customers__2[country],,0)</f>
        <v>UK</v>
      </c>
      <c r="L183">
        <f>MONTH(Table9[[#This Row],[OrderDate ]])</f>
        <v>9</v>
      </c>
      <c r="M183" t="str">
        <f>TEXT(Table9[[#This Row],[OrderDate ]],"mmm")</f>
        <v>Sep</v>
      </c>
      <c r="N183">
        <f>YEAR(Table9[[#This Row],[OrderDate ]])</f>
        <v>2013</v>
      </c>
    </row>
    <row r="184" spans="1:14" x14ac:dyDescent="0.3">
      <c r="A184">
        <v>10316</v>
      </c>
      <c r="B184" s="2">
        <f>_xlfn.XLOOKUP(Table9[[#This Row],[orderID]],orders[orderID],orders[orderDate],,0)</f>
        <v>41544</v>
      </c>
      <c r="C184">
        <f>_xlfn.XLOOKUP(A184,order_details[orderID],order_details[productID],,0)</f>
        <v>41</v>
      </c>
      <c r="D184" t="str">
        <f>_xlfn.XLOOKUP(C184,products[productID],products[productName],,0)</f>
        <v>Jack's New England Clam Chowder</v>
      </c>
      <c r="E184" t="str">
        <f>_xlfn.XLOOKUP(_xlfn.XLOOKUP(Table9[[#This Row],[ProductName ]],products[productName],products[categoryID],,0),categories[categoryID],categories[categoryName],,0)</f>
        <v>Seafood</v>
      </c>
      <c r="F184">
        <v>10</v>
      </c>
      <c r="G184">
        <v>77</v>
      </c>
      <c r="H184">
        <v>0</v>
      </c>
      <c r="I184">
        <f>Table9[[#This Row],[quantity]]*Table9[[#This Row],[unitPrice]]*(1-Table9[[#This Row],[discount]]/100)</f>
        <v>770</v>
      </c>
      <c r="J184" t="str">
        <f>_xlfn.XLOOKUP(_xlfn.XLOOKUP(A184,orders[orderID],orders[customerID],,0),customers__2[customerID],customers__2[companyName],,0)</f>
        <v>Rattlesnake Canyon Grocery</v>
      </c>
      <c r="K184" t="str">
        <f>_xlfn.XLOOKUP(Table9[[#This Row],[Company Name]],customers__2[companyName],customers__2[country],,0)</f>
        <v>USA</v>
      </c>
      <c r="L184">
        <f>MONTH(Table9[[#This Row],[OrderDate ]])</f>
        <v>9</v>
      </c>
      <c r="M184" t="str">
        <f>TEXT(Table9[[#This Row],[OrderDate ]],"mmm")</f>
        <v>Sep</v>
      </c>
      <c r="N184">
        <f>YEAR(Table9[[#This Row],[OrderDate ]])</f>
        <v>2013</v>
      </c>
    </row>
    <row r="185" spans="1:14" x14ac:dyDescent="0.3">
      <c r="A185">
        <v>10316</v>
      </c>
      <c r="B185" s="2">
        <f>_xlfn.XLOOKUP(Table9[[#This Row],[orderID]],orders[orderID],orders[orderDate],,0)</f>
        <v>41544</v>
      </c>
      <c r="C185">
        <f>_xlfn.XLOOKUP(A185,order_details[orderID],order_details[productID],,0)</f>
        <v>41</v>
      </c>
      <c r="D185" t="str">
        <f>_xlfn.XLOOKUP(C185,products[productID],products[productName],,0)</f>
        <v>Jack's New England Clam Chowder</v>
      </c>
      <c r="E185" t="str">
        <f>_xlfn.XLOOKUP(_xlfn.XLOOKUP(Table9[[#This Row],[ProductName ]],products[productName],products[categoryID],,0),categories[categoryID],categories[categoryName],,0)</f>
        <v>Seafood</v>
      </c>
      <c r="F185">
        <v>70</v>
      </c>
      <c r="G185">
        <v>394</v>
      </c>
      <c r="H185">
        <v>0</v>
      </c>
      <c r="I185">
        <f>Table9[[#This Row],[quantity]]*Table9[[#This Row],[unitPrice]]*(1-Table9[[#This Row],[discount]]/100)</f>
        <v>27580</v>
      </c>
      <c r="J185" t="str">
        <f>_xlfn.XLOOKUP(_xlfn.XLOOKUP(A185,orders[orderID],orders[customerID],,0),customers__2[customerID],customers__2[companyName],,0)</f>
        <v>Rattlesnake Canyon Grocery</v>
      </c>
      <c r="K185" t="str">
        <f>_xlfn.XLOOKUP(Table9[[#This Row],[Company Name]],customers__2[companyName],customers__2[country],,0)</f>
        <v>USA</v>
      </c>
      <c r="L185">
        <f>MONTH(Table9[[#This Row],[OrderDate ]])</f>
        <v>9</v>
      </c>
      <c r="M185" t="str">
        <f>TEXT(Table9[[#This Row],[OrderDate ]],"mmm")</f>
        <v>Sep</v>
      </c>
      <c r="N185">
        <f>YEAR(Table9[[#This Row],[OrderDate ]])</f>
        <v>2013</v>
      </c>
    </row>
    <row r="186" spans="1:14" x14ac:dyDescent="0.3">
      <c r="A186">
        <v>10317</v>
      </c>
      <c r="B186" s="2">
        <f>_xlfn.XLOOKUP(Table9[[#This Row],[orderID]],orders[orderID],orders[orderDate],,0)</f>
        <v>41547</v>
      </c>
      <c r="C186">
        <f>_xlfn.XLOOKUP(A186,order_details[orderID],order_details[productID],,0)</f>
        <v>1</v>
      </c>
      <c r="D186" t="str">
        <f>_xlfn.XLOOKUP(C186,products[productID],products[productName],,0)</f>
        <v>Chai</v>
      </c>
      <c r="E186" t="str">
        <f>_xlfn.XLOOKUP(_xlfn.XLOOKUP(Table9[[#This Row],[ProductName ]],products[productName],products[categoryID],,0),categories[categoryID],categories[categoryName],,0)</f>
        <v>Beverages</v>
      </c>
      <c r="F186">
        <v>20</v>
      </c>
      <c r="G186">
        <v>144</v>
      </c>
      <c r="H186">
        <v>0</v>
      </c>
      <c r="I186">
        <f>Table9[[#This Row],[quantity]]*Table9[[#This Row],[unitPrice]]*(1-Table9[[#This Row],[discount]]/100)</f>
        <v>2880</v>
      </c>
      <c r="J186" t="str">
        <f>_xlfn.XLOOKUP(_xlfn.XLOOKUP(A186,orders[orderID],orders[customerID],,0),customers__2[customerID],customers__2[companyName],,0)</f>
        <v>Lonesome Pine Restaurant</v>
      </c>
      <c r="K186" t="str">
        <f>_xlfn.XLOOKUP(Table9[[#This Row],[Company Name]],customers__2[companyName],customers__2[country],,0)</f>
        <v>USA</v>
      </c>
      <c r="L186">
        <f>MONTH(Table9[[#This Row],[OrderDate ]])</f>
        <v>9</v>
      </c>
      <c r="M186" t="str">
        <f>TEXT(Table9[[#This Row],[OrderDate ]],"mmm")</f>
        <v>Sep</v>
      </c>
      <c r="N186">
        <f>YEAR(Table9[[#This Row],[OrderDate ]])</f>
        <v>2013</v>
      </c>
    </row>
    <row r="187" spans="1:14" x14ac:dyDescent="0.3">
      <c r="A187">
        <v>10318</v>
      </c>
      <c r="B187" s="2">
        <f>_xlfn.XLOOKUP(Table9[[#This Row],[orderID]],orders[orderID],orders[orderDate],,0)</f>
        <v>41548</v>
      </c>
      <c r="C187">
        <f>_xlfn.XLOOKUP(A187,order_details[orderID],order_details[productID],,0)</f>
        <v>41</v>
      </c>
      <c r="D187" t="str">
        <f>_xlfn.XLOOKUP(C187,products[productID],products[productName],,0)</f>
        <v>Jack's New England Clam Chowder</v>
      </c>
      <c r="E187" t="str">
        <f>_xlfn.XLOOKUP(_xlfn.XLOOKUP(Table9[[#This Row],[ProductName ]],products[productName],products[categoryID],,0),categories[categoryID],categories[categoryName],,0)</f>
        <v>Seafood</v>
      </c>
      <c r="F187">
        <v>20</v>
      </c>
      <c r="G187">
        <v>77</v>
      </c>
      <c r="H187">
        <v>0</v>
      </c>
      <c r="I187">
        <f>Table9[[#This Row],[quantity]]*Table9[[#This Row],[unitPrice]]*(1-Table9[[#This Row],[discount]]/100)</f>
        <v>1540</v>
      </c>
      <c r="J187" t="str">
        <f>_xlfn.XLOOKUP(_xlfn.XLOOKUP(A187,orders[orderID],orders[customerID],,0),customers__2[customerID],customers__2[companyName],,0)</f>
        <v>Island Trading</v>
      </c>
      <c r="K187" t="str">
        <f>_xlfn.XLOOKUP(Table9[[#This Row],[Company Name]],customers__2[companyName],customers__2[country],,0)</f>
        <v>UK</v>
      </c>
      <c r="L187">
        <f>MONTH(Table9[[#This Row],[OrderDate ]])</f>
        <v>10</v>
      </c>
      <c r="M187" t="str">
        <f>TEXT(Table9[[#This Row],[OrderDate ]],"mmm")</f>
        <v>Oct</v>
      </c>
      <c r="N187">
        <f>YEAR(Table9[[#This Row],[OrderDate ]])</f>
        <v>2013</v>
      </c>
    </row>
    <row r="188" spans="1:14" x14ac:dyDescent="0.3">
      <c r="A188">
        <v>10318</v>
      </c>
      <c r="B188" s="2">
        <f>_xlfn.XLOOKUP(Table9[[#This Row],[orderID]],orders[orderID],orders[orderDate],,0)</f>
        <v>41548</v>
      </c>
      <c r="C188">
        <f>_xlfn.XLOOKUP(A188,order_details[orderID],order_details[productID],,0)</f>
        <v>41</v>
      </c>
      <c r="D188" t="str">
        <f>_xlfn.XLOOKUP(C188,products[productID],products[productName],,0)</f>
        <v>Jack's New England Clam Chowder</v>
      </c>
      <c r="E188" t="str">
        <f>_xlfn.XLOOKUP(_xlfn.XLOOKUP(Table9[[#This Row],[ProductName ]],products[productName],products[categoryID],,0),categories[categoryID],categories[categoryName],,0)</f>
        <v>Seafood</v>
      </c>
      <c r="F188">
        <v>6</v>
      </c>
      <c r="G188">
        <v>144</v>
      </c>
      <c r="H188">
        <v>0</v>
      </c>
      <c r="I188">
        <f>Table9[[#This Row],[quantity]]*Table9[[#This Row],[unitPrice]]*(1-Table9[[#This Row],[discount]]/100)</f>
        <v>864</v>
      </c>
      <c r="J188" t="str">
        <f>_xlfn.XLOOKUP(_xlfn.XLOOKUP(A188,orders[orderID],orders[customerID],,0),customers__2[customerID],customers__2[companyName],,0)</f>
        <v>Island Trading</v>
      </c>
      <c r="K188" t="str">
        <f>_xlfn.XLOOKUP(Table9[[#This Row],[Company Name]],customers__2[companyName],customers__2[country],,0)</f>
        <v>UK</v>
      </c>
      <c r="L188">
        <f>MONTH(Table9[[#This Row],[OrderDate ]])</f>
        <v>10</v>
      </c>
      <c r="M188" t="str">
        <f>TEXT(Table9[[#This Row],[OrderDate ]],"mmm")</f>
        <v>Oct</v>
      </c>
      <c r="N188">
        <f>YEAR(Table9[[#This Row],[OrderDate ]])</f>
        <v>2013</v>
      </c>
    </row>
    <row r="189" spans="1:14" x14ac:dyDescent="0.3">
      <c r="A189">
        <v>10319</v>
      </c>
      <c r="B189" s="2">
        <f>_xlfn.XLOOKUP(Table9[[#This Row],[orderID]],orders[orderID],orders[orderDate],,0)</f>
        <v>41549</v>
      </c>
      <c r="C189">
        <f>_xlfn.XLOOKUP(A189,order_details[orderID],order_details[productID],,0)</f>
        <v>17</v>
      </c>
      <c r="D189" t="str">
        <f>_xlfn.XLOOKUP(C189,products[productID],products[productName],,0)</f>
        <v>Alice Mutton</v>
      </c>
      <c r="E189" t="str">
        <f>_xlfn.XLOOKUP(_xlfn.XLOOKUP(Table9[[#This Row],[ProductName ]],products[productName],products[categoryID],,0),categories[categoryID],categories[categoryName],,0)</f>
        <v>Meat &amp; Poultry</v>
      </c>
      <c r="F189">
        <v>8</v>
      </c>
      <c r="G189">
        <v>312</v>
      </c>
      <c r="H189">
        <v>0</v>
      </c>
      <c r="I189">
        <f>Table9[[#This Row],[quantity]]*Table9[[#This Row],[unitPrice]]*(1-Table9[[#This Row],[discount]]/100)</f>
        <v>2496</v>
      </c>
      <c r="J189" t="str">
        <f>_xlfn.XLOOKUP(_xlfn.XLOOKUP(A189,orders[orderID],orders[customerID],,0),customers__2[customerID],customers__2[companyName],,0)</f>
        <v>Tortuga Restaurante</v>
      </c>
      <c r="K189" t="str">
        <f>_xlfn.XLOOKUP(Table9[[#This Row],[Company Name]],customers__2[companyName],customers__2[country],,0)</f>
        <v>Mexico</v>
      </c>
      <c r="L189">
        <f>MONTH(Table9[[#This Row],[OrderDate ]])</f>
        <v>10</v>
      </c>
      <c r="M189" t="str">
        <f>TEXT(Table9[[#This Row],[OrderDate ]],"mmm")</f>
        <v>Oct</v>
      </c>
      <c r="N189">
        <f>YEAR(Table9[[#This Row],[OrderDate ]])</f>
        <v>2013</v>
      </c>
    </row>
    <row r="190" spans="1:14" x14ac:dyDescent="0.3">
      <c r="A190">
        <v>10319</v>
      </c>
      <c r="B190" s="2">
        <f>_xlfn.XLOOKUP(Table9[[#This Row],[orderID]],orders[orderID],orders[orderDate],,0)</f>
        <v>41549</v>
      </c>
      <c r="C190">
        <f>_xlfn.XLOOKUP(A190,order_details[orderID],order_details[productID],,0)</f>
        <v>17</v>
      </c>
      <c r="D190" t="str">
        <f>_xlfn.XLOOKUP(C190,products[productID],products[productName],,0)</f>
        <v>Alice Mutton</v>
      </c>
      <c r="E190" t="str">
        <f>_xlfn.XLOOKUP(_xlfn.XLOOKUP(Table9[[#This Row],[ProductName ]],products[productName],products[categoryID],,0),categories[categoryID],categories[categoryName],,0)</f>
        <v>Meat &amp; Poultry</v>
      </c>
      <c r="F190">
        <v>14</v>
      </c>
      <c r="G190">
        <v>364</v>
      </c>
      <c r="H190">
        <v>0</v>
      </c>
      <c r="I190">
        <f>Table9[[#This Row],[quantity]]*Table9[[#This Row],[unitPrice]]*(1-Table9[[#This Row],[discount]]/100)</f>
        <v>5096</v>
      </c>
      <c r="J190" t="str">
        <f>_xlfn.XLOOKUP(_xlfn.XLOOKUP(A190,orders[orderID],orders[customerID],,0),customers__2[customerID],customers__2[companyName],,0)</f>
        <v>Tortuga Restaurante</v>
      </c>
      <c r="K190" t="str">
        <f>_xlfn.XLOOKUP(Table9[[#This Row],[Company Name]],customers__2[companyName],customers__2[country],,0)</f>
        <v>Mexico</v>
      </c>
      <c r="L190">
        <f>MONTH(Table9[[#This Row],[OrderDate ]])</f>
        <v>10</v>
      </c>
      <c r="M190" t="str">
        <f>TEXT(Table9[[#This Row],[OrderDate ]],"mmm")</f>
        <v>Oct</v>
      </c>
      <c r="N190">
        <f>YEAR(Table9[[#This Row],[OrderDate ]])</f>
        <v>2013</v>
      </c>
    </row>
    <row r="191" spans="1:14" x14ac:dyDescent="0.3">
      <c r="A191">
        <v>10319</v>
      </c>
      <c r="B191" s="2">
        <f>_xlfn.XLOOKUP(Table9[[#This Row],[orderID]],orders[orderID],orders[orderDate],,0)</f>
        <v>41549</v>
      </c>
      <c r="C191">
        <f>_xlfn.XLOOKUP(A191,order_details[orderID],order_details[productID],,0)</f>
        <v>17</v>
      </c>
      <c r="D191" t="str">
        <f>_xlfn.XLOOKUP(C191,products[productID],products[productName],,0)</f>
        <v>Alice Mutton</v>
      </c>
      <c r="E191" t="str">
        <f>_xlfn.XLOOKUP(_xlfn.XLOOKUP(Table9[[#This Row],[ProductName ]],products[productName],products[categoryID],,0),categories[categoryID],categories[categoryName],,0)</f>
        <v>Meat &amp; Poultry</v>
      </c>
      <c r="F191">
        <v>30</v>
      </c>
      <c r="G191">
        <v>144</v>
      </c>
      <c r="H191">
        <v>0</v>
      </c>
      <c r="I191">
        <f>Table9[[#This Row],[quantity]]*Table9[[#This Row],[unitPrice]]*(1-Table9[[#This Row],[discount]]/100)</f>
        <v>4320</v>
      </c>
      <c r="J191" t="str">
        <f>_xlfn.XLOOKUP(_xlfn.XLOOKUP(A191,orders[orderID],orders[customerID],,0),customers__2[customerID],customers__2[companyName],,0)</f>
        <v>Tortuga Restaurante</v>
      </c>
      <c r="K191" t="str">
        <f>_xlfn.XLOOKUP(Table9[[#This Row],[Company Name]],customers__2[companyName],customers__2[country],,0)</f>
        <v>Mexico</v>
      </c>
      <c r="L191">
        <f>MONTH(Table9[[#This Row],[OrderDate ]])</f>
        <v>10</v>
      </c>
      <c r="M191" t="str">
        <f>TEXT(Table9[[#This Row],[OrderDate ]],"mmm")</f>
        <v>Oct</v>
      </c>
      <c r="N191">
        <f>YEAR(Table9[[#This Row],[OrderDate ]])</f>
        <v>2013</v>
      </c>
    </row>
    <row r="192" spans="1:14" x14ac:dyDescent="0.3">
      <c r="A192">
        <v>10320</v>
      </c>
      <c r="B192" s="2">
        <f>_xlfn.XLOOKUP(Table9[[#This Row],[orderID]],orders[orderID],orders[orderDate],,0)</f>
        <v>41550</v>
      </c>
      <c r="C192">
        <f>_xlfn.XLOOKUP(A192,order_details[orderID],order_details[productID],,0)</f>
        <v>71</v>
      </c>
      <c r="D192" t="str">
        <f>_xlfn.XLOOKUP(C192,products[productID],products[productName],,0)</f>
        <v>Flotemysost</v>
      </c>
      <c r="E192" t="str">
        <f>_xlfn.XLOOKUP(_xlfn.XLOOKUP(Table9[[#This Row],[ProductName ]],products[productName],products[categoryID],,0),categories[categoryID],categories[categoryName],,0)</f>
        <v>Dairy Products</v>
      </c>
      <c r="F192">
        <v>30</v>
      </c>
      <c r="G192">
        <v>172</v>
      </c>
      <c r="H192">
        <v>0</v>
      </c>
      <c r="I192">
        <f>Table9[[#This Row],[quantity]]*Table9[[#This Row],[unitPrice]]*(1-Table9[[#This Row],[discount]]/100)</f>
        <v>5160</v>
      </c>
      <c r="J192" t="str">
        <f>_xlfn.XLOOKUP(_xlfn.XLOOKUP(A192,orders[orderID],orders[customerID],,0),customers__2[customerID],customers__2[companyName],,0)</f>
        <v>Wartian Herkku</v>
      </c>
      <c r="K192" t="str">
        <f>_xlfn.XLOOKUP(Table9[[#This Row],[Company Name]],customers__2[companyName],customers__2[country],,0)</f>
        <v>Finland</v>
      </c>
      <c r="L192">
        <f>MONTH(Table9[[#This Row],[OrderDate ]])</f>
        <v>10</v>
      </c>
      <c r="M192" t="str">
        <f>TEXT(Table9[[#This Row],[OrderDate ]],"mmm")</f>
        <v>Oct</v>
      </c>
      <c r="N192">
        <f>YEAR(Table9[[#This Row],[OrderDate ]])</f>
        <v>2013</v>
      </c>
    </row>
    <row r="193" spans="1:14" x14ac:dyDescent="0.3">
      <c r="A193">
        <v>10321</v>
      </c>
      <c r="B193" s="2">
        <f>_xlfn.XLOOKUP(Table9[[#This Row],[orderID]],orders[orderID],orders[orderDate],,0)</f>
        <v>41550</v>
      </c>
      <c r="C193">
        <f>_xlfn.XLOOKUP(A193,order_details[orderID],order_details[productID],,0)</f>
        <v>35</v>
      </c>
      <c r="D193" t="str">
        <f>_xlfn.XLOOKUP(C193,products[productID],products[productName],,0)</f>
        <v>Steeleye Stout</v>
      </c>
      <c r="E193" t="str">
        <f>_xlfn.XLOOKUP(_xlfn.XLOOKUP(Table9[[#This Row],[ProductName ]],products[productName],products[categoryID],,0),categories[categoryID],categories[categoryName],,0)</f>
        <v>Beverages</v>
      </c>
      <c r="F193">
        <v>10</v>
      </c>
      <c r="G193">
        <v>144</v>
      </c>
      <c r="H193">
        <v>0</v>
      </c>
      <c r="I193">
        <f>Table9[[#This Row],[quantity]]*Table9[[#This Row],[unitPrice]]*(1-Table9[[#This Row],[discount]]/100)</f>
        <v>1440</v>
      </c>
      <c r="J193" t="str">
        <f>_xlfn.XLOOKUP(_xlfn.XLOOKUP(A193,orders[orderID],orders[customerID],,0),customers__2[customerID],customers__2[companyName],,0)</f>
        <v>Island Trading</v>
      </c>
      <c r="K193" t="str">
        <f>_xlfn.XLOOKUP(Table9[[#This Row],[Company Name]],customers__2[companyName],customers__2[country],,0)</f>
        <v>UK</v>
      </c>
      <c r="L193">
        <f>MONTH(Table9[[#This Row],[OrderDate ]])</f>
        <v>10</v>
      </c>
      <c r="M193" t="str">
        <f>TEXT(Table9[[#This Row],[OrderDate ]],"mmm")</f>
        <v>Oct</v>
      </c>
      <c r="N193">
        <f>YEAR(Table9[[#This Row],[OrderDate ]])</f>
        <v>2013</v>
      </c>
    </row>
    <row r="194" spans="1:14" x14ac:dyDescent="0.3">
      <c r="A194">
        <v>10322</v>
      </c>
      <c r="B194" s="2">
        <f>_xlfn.XLOOKUP(Table9[[#This Row],[orderID]],orders[orderID],orders[orderDate],,0)</f>
        <v>41551</v>
      </c>
      <c r="C194">
        <f>_xlfn.XLOOKUP(A194,order_details[orderID],order_details[productID],,0)</f>
        <v>52</v>
      </c>
      <c r="D194" t="str">
        <f>_xlfn.XLOOKUP(C194,products[productID],products[productName],,0)</f>
        <v>Filo Mix</v>
      </c>
      <c r="E194" t="str">
        <f>_xlfn.XLOOKUP(_xlfn.XLOOKUP(Table9[[#This Row],[ProductName ]],products[productName],products[categoryID],,0),categories[categoryID],categories[categoryName],,0)</f>
        <v>Grains &amp; Cereals</v>
      </c>
      <c r="F194">
        <v>20</v>
      </c>
      <c r="G194">
        <v>56</v>
      </c>
      <c r="H194">
        <v>0</v>
      </c>
      <c r="I194">
        <f>Table9[[#This Row],[quantity]]*Table9[[#This Row],[unitPrice]]*(1-Table9[[#This Row],[discount]]/100)</f>
        <v>1120</v>
      </c>
      <c r="J194" t="str">
        <f>_xlfn.XLOOKUP(_xlfn.XLOOKUP(A194,orders[orderID],orders[customerID],,0),customers__2[customerID],customers__2[companyName],,0)</f>
        <v>Pericles Comidas clásicas</v>
      </c>
      <c r="K194" t="str">
        <f>_xlfn.XLOOKUP(Table9[[#This Row],[Company Name]],customers__2[companyName],customers__2[country],,0)</f>
        <v>Mexico</v>
      </c>
      <c r="L194">
        <f>MONTH(Table9[[#This Row],[OrderDate ]])</f>
        <v>10</v>
      </c>
      <c r="M194" t="str">
        <f>TEXT(Table9[[#This Row],[OrderDate ]],"mmm")</f>
        <v>Oct</v>
      </c>
      <c r="N194">
        <f>YEAR(Table9[[#This Row],[OrderDate ]])</f>
        <v>2013</v>
      </c>
    </row>
    <row r="195" spans="1:14" x14ac:dyDescent="0.3">
      <c r="A195">
        <v>10323</v>
      </c>
      <c r="B195" s="2">
        <f>_xlfn.XLOOKUP(Table9[[#This Row],[orderID]],orders[orderID],orders[orderDate],,0)</f>
        <v>41554</v>
      </c>
      <c r="C195">
        <f>_xlfn.XLOOKUP(A195,order_details[orderID],order_details[productID],,0)</f>
        <v>15</v>
      </c>
      <c r="D195" t="str">
        <f>_xlfn.XLOOKUP(C195,products[productID],products[productName],,0)</f>
        <v>Genen Shouyu</v>
      </c>
      <c r="E195" t="str">
        <f>_xlfn.XLOOKUP(_xlfn.XLOOKUP(Table9[[#This Row],[ProductName ]],products[productName],products[categoryID],,0),categories[categoryID],categories[categoryName],,0)</f>
        <v>Condiments</v>
      </c>
      <c r="F195">
        <v>5</v>
      </c>
      <c r="G195">
        <v>124</v>
      </c>
      <c r="H195">
        <v>0</v>
      </c>
      <c r="I195">
        <f>Table9[[#This Row],[quantity]]*Table9[[#This Row],[unitPrice]]*(1-Table9[[#This Row],[discount]]/100)</f>
        <v>620</v>
      </c>
      <c r="J195" t="str">
        <f>_xlfn.XLOOKUP(_xlfn.XLOOKUP(A195,orders[orderID],orders[customerID],,0),customers__2[customerID],customers__2[companyName],,0)</f>
        <v>Königlich Essen</v>
      </c>
      <c r="K195" t="str">
        <f>_xlfn.XLOOKUP(Table9[[#This Row],[Company Name]],customers__2[companyName],customers__2[country],,0)</f>
        <v>Germany</v>
      </c>
      <c r="L195">
        <f>MONTH(Table9[[#This Row],[OrderDate ]])</f>
        <v>10</v>
      </c>
      <c r="M195" t="str">
        <f>TEXT(Table9[[#This Row],[OrderDate ]],"mmm")</f>
        <v>Oct</v>
      </c>
      <c r="N195">
        <f>YEAR(Table9[[#This Row],[OrderDate ]])</f>
        <v>2013</v>
      </c>
    </row>
    <row r="196" spans="1:14" x14ac:dyDescent="0.3">
      <c r="A196">
        <v>10323</v>
      </c>
      <c r="B196" s="2">
        <f>_xlfn.XLOOKUP(Table9[[#This Row],[orderID]],orders[orderID],orders[orderDate],,0)</f>
        <v>41554</v>
      </c>
      <c r="C196">
        <f>_xlfn.XLOOKUP(A196,order_details[orderID],order_details[productID],,0)</f>
        <v>15</v>
      </c>
      <c r="D196" t="str">
        <f>_xlfn.XLOOKUP(C196,products[productID],products[productName],,0)</f>
        <v>Genen Shouyu</v>
      </c>
      <c r="E196" t="str">
        <f>_xlfn.XLOOKUP(_xlfn.XLOOKUP(Table9[[#This Row],[ProductName ]],products[productName],products[categoryID],,0),categories[categoryID],categories[categoryName],,0)</f>
        <v>Condiments</v>
      </c>
      <c r="F196">
        <v>4</v>
      </c>
      <c r="G196">
        <v>112</v>
      </c>
      <c r="H196">
        <v>0</v>
      </c>
      <c r="I196">
        <f>Table9[[#This Row],[quantity]]*Table9[[#This Row],[unitPrice]]*(1-Table9[[#This Row],[discount]]/100)</f>
        <v>448</v>
      </c>
      <c r="J196" t="str">
        <f>_xlfn.XLOOKUP(_xlfn.XLOOKUP(A196,orders[orderID],orders[customerID],,0),customers__2[customerID],customers__2[companyName],,0)</f>
        <v>Königlich Essen</v>
      </c>
      <c r="K196" t="str">
        <f>_xlfn.XLOOKUP(Table9[[#This Row],[Company Name]],customers__2[companyName],customers__2[country],,0)</f>
        <v>Germany</v>
      </c>
      <c r="L196">
        <f>MONTH(Table9[[#This Row],[OrderDate ]])</f>
        <v>10</v>
      </c>
      <c r="M196" t="str">
        <f>TEXT(Table9[[#This Row],[OrderDate ]],"mmm")</f>
        <v>Oct</v>
      </c>
      <c r="N196">
        <f>YEAR(Table9[[#This Row],[OrderDate ]])</f>
        <v>2013</v>
      </c>
    </row>
    <row r="197" spans="1:14" x14ac:dyDescent="0.3">
      <c r="A197">
        <v>10323</v>
      </c>
      <c r="B197" s="2">
        <f>_xlfn.XLOOKUP(Table9[[#This Row],[orderID]],orders[orderID],orders[orderDate],,0)</f>
        <v>41554</v>
      </c>
      <c r="C197">
        <f>_xlfn.XLOOKUP(A197,order_details[orderID],order_details[productID],,0)</f>
        <v>15</v>
      </c>
      <c r="D197" t="str">
        <f>_xlfn.XLOOKUP(C197,products[productID],products[productName],,0)</f>
        <v>Genen Shouyu</v>
      </c>
      <c r="E197" t="str">
        <f>_xlfn.XLOOKUP(_xlfn.XLOOKUP(Table9[[#This Row],[ProductName ]],products[productName],products[categoryID],,0),categories[categoryID],categories[categoryName],,0)</f>
        <v>Condiments</v>
      </c>
      <c r="F197">
        <v>4</v>
      </c>
      <c r="G197">
        <v>144</v>
      </c>
      <c r="H197">
        <v>0</v>
      </c>
      <c r="I197">
        <f>Table9[[#This Row],[quantity]]*Table9[[#This Row],[unitPrice]]*(1-Table9[[#This Row],[discount]]/100)</f>
        <v>576</v>
      </c>
      <c r="J197" t="str">
        <f>_xlfn.XLOOKUP(_xlfn.XLOOKUP(A197,orders[orderID],orders[customerID],,0),customers__2[customerID],customers__2[companyName],,0)</f>
        <v>Königlich Essen</v>
      </c>
      <c r="K197" t="str">
        <f>_xlfn.XLOOKUP(Table9[[#This Row],[Company Name]],customers__2[companyName],customers__2[country],,0)</f>
        <v>Germany</v>
      </c>
      <c r="L197">
        <f>MONTH(Table9[[#This Row],[OrderDate ]])</f>
        <v>10</v>
      </c>
      <c r="M197" t="str">
        <f>TEXT(Table9[[#This Row],[OrderDate ]],"mmm")</f>
        <v>Oct</v>
      </c>
      <c r="N197">
        <f>YEAR(Table9[[#This Row],[OrderDate ]])</f>
        <v>2013</v>
      </c>
    </row>
    <row r="198" spans="1:14" x14ac:dyDescent="0.3">
      <c r="A198">
        <v>10324</v>
      </c>
      <c r="B198" s="2">
        <f>_xlfn.XLOOKUP(Table9[[#This Row],[orderID]],orders[orderID],orders[orderDate],,0)</f>
        <v>41555</v>
      </c>
      <c r="C198">
        <f>_xlfn.XLOOKUP(A198,order_details[orderID],order_details[productID],,0)</f>
        <v>16</v>
      </c>
      <c r="D198" t="str">
        <f>_xlfn.XLOOKUP(C198,products[productID],products[productName],,0)</f>
        <v>Pavlova</v>
      </c>
      <c r="E198" t="str">
        <f>_xlfn.XLOOKUP(_xlfn.XLOOKUP(Table9[[#This Row],[ProductName ]],products[productName],products[categoryID],,0),categories[categoryID],categories[categoryName],,0)</f>
        <v>Confections</v>
      </c>
      <c r="F198">
        <v>21</v>
      </c>
      <c r="G198">
        <v>139</v>
      </c>
      <c r="H198">
        <v>15</v>
      </c>
      <c r="I198">
        <f>Table9[[#This Row],[quantity]]*Table9[[#This Row],[unitPrice]]*(1-Table9[[#This Row],[discount]]/100)</f>
        <v>2481.15</v>
      </c>
      <c r="J198" t="str">
        <f>_xlfn.XLOOKUP(_xlfn.XLOOKUP(A198,orders[orderID],orders[customerID],,0),customers__2[customerID],customers__2[companyName],,0)</f>
        <v>Save-a-lot Markets</v>
      </c>
      <c r="K198" t="str">
        <f>_xlfn.XLOOKUP(Table9[[#This Row],[Company Name]],customers__2[companyName],customers__2[country],,0)</f>
        <v>USA</v>
      </c>
      <c r="L198">
        <f>MONTH(Table9[[#This Row],[OrderDate ]])</f>
        <v>10</v>
      </c>
      <c r="M198" t="str">
        <f>TEXT(Table9[[#This Row],[OrderDate ]],"mmm")</f>
        <v>Oct</v>
      </c>
      <c r="N198">
        <f>YEAR(Table9[[#This Row],[OrderDate ]])</f>
        <v>2013</v>
      </c>
    </row>
    <row r="199" spans="1:14" x14ac:dyDescent="0.3">
      <c r="A199">
        <v>10324</v>
      </c>
      <c r="B199" s="2">
        <f>_xlfn.XLOOKUP(Table9[[#This Row],[orderID]],orders[orderID],orders[orderDate],,0)</f>
        <v>41555</v>
      </c>
      <c r="C199">
        <f>_xlfn.XLOOKUP(A199,order_details[orderID],order_details[productID],,0)</f>
        <v>16</v>
      </c>
      <c r="D199" t="str">
        <f>_xlfn.XLOOKUP(C199,products[productID],products[productName],,0)</f>
        <v>Pavlova</v>
      </c>
      <c r="E199" t="str">
        <f>_xlfn.XLOOKUP(_xlfn.XLOOKUP(Table9[[#This Row],[ProductName ]],products[productName],products[categoryID],,0),categories[categoryID],categories[categoryName],,0)</f>
        <v>Confections</v>
      </c>
      <c r="F199">
        <v>70</v>
      </c>
      <c r="G199">
        <v>144</v>
      </c>
      <c r="H199">
        <v>15</v>
      </c>
      <c r="I199">
        <f>Table9[[#This Row],[quantity]]*Table9[[#This Row],[unitPrice]]*(1-Table9[[#This Row],[discount]]/100)</f>
        <v>8568</v>
      </c>
      <c r="J199" t="str">
        <f>_xlfn.XLOOKUP(_xlfn.XLOOKUP(A199,orders[orderID],orders[customerID],,0),customers__2[customerID],customers__2[companyName],,0)</f>
        <v>Save-a-lot Markets</v>
      </c>
      <c r="K199" t="str">
        <f>_xlfn.XLOOKUP(Table9[[#This Row],[Company Name]],customers__2[companyName],customers__2[country],,0)</f>
        <v>USA</v>
      </c>
      <c r="L199">
        <f>MONTH(Table9[[#This Row],[OrderDate ]])</f>
        <v>10</v>
      </c>
      <c r="M199" t="str">
        <f>TEXT(Table9[[#This Row],[OrderDate ]],"mmm")</f>
        <v>Oct</v>
      </c>
      <c r="N199">
        <f>YEAR(Table9[[#This Row],[OrderDate ]])</f>
        <v>2013</v>
      </c>
    </row>
    <row r="200" spans="1:14" x14ac:dyDescent="0.3">
      <c r="A200">
        <v>10324</v>
      </c>
      <c r="B200" s="2">
        <f>_xlfn.XLOOKUP(Table9[[#This Row],[orderID]],orders[orderID],orders[orderDate],,0)</f>
        <v>41555</v>
      </c>
      <c r="C200">
        <f>_xlfn.XLOOKUP(A200,order_details[orderID],order_details[productID],,0)</f>
        <v>16</v>
      </c>
      <c r="D200" t="str">
        <f>_xlfn.XLOOKUP(C200,products[productID],products[productName],,0)</f>
        <v>Pavlova</v>
      </c>
      <c r="E200" t="str">
        <f>_xlfn.XLOOKUP(_xlfn.XLOOKUP(Table9[[#This Row],[ProductName ]],products[productName],products[categoryID],,0),categories[categoryID],categories[categoryName],,0)</f>
        <v>Confections</v>
      </c>
      <c r="F200">
        <v>30</v>
      </c>
      <c r="G200">
        <v>96</v>
      </c>
      <c r="H200">
        <v>0</v>
      </c>
      <c r="I200">
        <f>Table9[[#This Row],[quantity]]*Table9[[#This Row],[unitPrice]]*(1-Table9[[#This Row],[discount]]/100)</f>
        <v>2880</v>
      </c>
      <c r="J200" t="str">
        <f>_xlfn.XLOOKUP(_xlfn.XLOOKUP(A200,orders[orderID],orders[customerID],,0),customers__2[customerID],customers__2[companyName],,0)</f>
        <v>Save-a-lot Markets</v>
      </c>
      <c r="K200" t="str">
        <f>_xlfn.XLOOKUP(Table9[[#This Row],[Company Name]],customers__2[companyName],customers__2[country],,0)</f>
        <v>USA</v>
      </c>
      <c r="L200">
        <f>MONTH(Table9[[#This Row],[OrderDate ]])</f>
        <v>10</v>
      </c>
      <c r="M200" t="str">
        <f>TEXT(Table9[[#This Row],[OrderDate ]],"mmm")</f>
        <v>Oct</v>
      </c>
      <c r="N200">
        <f>YEAR(Table9[[#This Row],[OrderDate ]])</f>
        <v>2013</v>
      </c>
    </row>
    <row r="201" spans="1:14" x14ac:dyDescent="0.3">
      <c r="A201">
        <v>10324</v>
      </c>
      <c r="B201" s="2">
        <f>_xlfn.XLOOKUP(Table9[[#This Row],[orderID]],orders[orderID],orders[orderDate],,0)</f>
        <v>41555</v>
      </c>
      <c r="C201">
        <f>_xlfn.XLOOKUP(A201,order_details[orderID],order_details[productID],,0)</f>
        <v>16</v>
      </c>
      <c r="D201" t="str">
        <f>_xlfn.XLOOKUP(C201,products[productID],products[productName],,0)</f>
        <v>Pavlova</v>
      </c>
      <c r="E201" t="str">
        <f>_xlfn.XLOOKUP(_xlfn.XLOOKUP(Table9[[#This Row],[ProductName ]],products[productName],products[categoryID],,0),categories[categoryID],categories[categoryName],,0)</f>
        <v>Confections</v>
      </c>
      <c r="F201">
        <v>40</v>
      </c>
      <c r="G201">
        <v>44</v>
      </c>
      <c r="H201">
        <v>15</v>
      </c>
      <c r="I201">
        <f>Table9[[#This Row],[quantity]]*Table9[[#This Row],[unitPrice]]*(1-Table9[[#This Row],[discount]]/100)</f>
        <v>1496</v>
      </c>
      <c r="J201" t="str">
        <f>_xlfn.XLOOKUP(_xlfn.XLOOKUP(A201,orders[orderID],orders[customerID],,0),customers__2[customerID],customers__2[companyName],,0)</f>
        <v>Save-a-lot Markets</v>
      </c>
      <c r="K201" t="str">
        <f>_xlfn.XLOOKUP(Table9[[#This Row],[Company Name]],customers__2[companyName],customers__2[country],,0)</f>
        <v>USA</v>
      </c>
      <c r="L201">
        <f>MONTH(Table9[[#This Row],[OrderDate ]])</f>
        <v>10</v>
      </c>
      <c r="M201" t="str">
        <f>TEXT(Table9[[#This Row],[OrderDate ]],"mmm")</f>
        <v>Oct</v>
      </c>
      <c r="N201">
        <f>YEAR(Table9[[#This Row],[OrderDate ]])</f>
        <v>2013</v>
      </c>
    </row>
    <row r="202" spans="1:14" x14ac:dyDescent="0.3">
      <c r="A202">
        <v>10324</v>
      </c>
      <c r="B202" s="2">
        <f>_xlfn.XLOOKUP(Table9[[#This Row],[orderID]],orders[orderID],orders[orderDate],,0)</f>
        <v>41555</v>
      </c>
      <c r="C202">
        <f>_xlfn.XLOOKUP(A202,order_details[orderID],order_details[productID],,0)</f>
        <v>16</v>
      </c>
      <c r="D202" t="str">
        <f>_xlfn.XLOOKUP(C202,products[productID],products[productName],,0)</f>
        <v>Pavlova</v>
      </c>
      <c r="E202" t="str">
        <f>_xlfn.XLOOKUP(_xlfn.XLOOKUP(Table9[[#This Row],[ProductName ]],products[productName],products[categoryID],,0),categories[categoryID],categories[categoryName],,0)</f>
        <v>Confections</v>
      </c>
      <c r="F202">
        <v>80</v>
      </c>
      <c r="G202">
        <v>351</v>
      </c>
      <c r="H202">
        <v>15</v>
      </c>
      <c r="I202">
        <f>Table9[[#This Row],[quantity]]*Table9[[#This Row],[unitPrice]]*(1-Table9[[#This Row],[discount]]/100)</f>
        <v>23868</v>
      </c>
      <c r="J202" t="str">
        <f>_xlfn.XLOOKUP(_xlfn.XLOOKUP(A202,orders[orderID],orders[customerID],,0),customers__2[customerID],customers__2[companyName],,0)</f>
        <v>Save-a-lot Markets</v>
      </c>
      <c r="K202" t="str">
        <f>_xlfn.XLOOKUP(Table9[[#This Row],[Company Name]],customers__2[companyName],customers__2[country],,0)</f>
        <v>USA</v>
      </c>
      <c r="L202">
        <f>MONTH(Table9[[#This Row],[OrderDate ]])</f>
        <v>10</v>
      </c>
      <c r="M202" t="str">
        <f>TEXT(Table9[[#This Row],[OrderDate ]],"mmm")</f>
        <v>Oct</v>
      </c>
      <c r="N202">
        <f>YEAR(Table9[[#This Row],[OrderDate ]])</f>
        <v>2013</v>
      </c>
    </row>
    <row r="203" spans="1:14" x14ac:dyDescent="0.3">
      <c r="A203">
        <v>10325</v>
      </c>
      <c r="B203" s="2">
        <f>_xlfn.XLOOKUP(Table9[[#This Row],[orderID]],orders[orderID],orders[orderDate],,0)</f>
        <v>41556</v>
      </c>
      <c r="C203">
        <f>_xlfn.XLOOKUP(A203,order_details[orderID],order_details[productID],,0)</f>
        <v>6</v>
      </c>
      <c r="D203" t="str">
        <f>_xlfn.XLOOKUP(C203,products[productID],products[productName],,0)</f>
        <v>Grandma's Boysenberry Spread</v>
      </c>
      <c r="E203" t="str">
        <f>_xlfn.XLOOKUP(_xlfn.XLOOKUP(Table9[[#This Row],[ProductName ]],products[productName],products[categoryID],,0),categories[categoryID],categories[categoryName],,0)</f>
        <v>Condiments</v>
      </c>
      <c r="F203">
        <v>6</v>
      </c>
      <c r="G203">
        <v>20</v>
      </c>
      <c r="H203">
        <v>0</v>
      </c>
      <c r="I203">
        <f>Table9[[#This Row],[quantity]]*Table9[[#This Row],[unitPrice]]*(1-Table9[[#This Row],[discount]]/100)</f>
        <v>120</v>
      </c>
      <c r="J203" t="str">
        <f>_xlfn.XLOOKUP(_xlfn.XLOOKUP(A203,orders[orderID],orders[customerID],,0),customers__2[customerID],customers__2[companyName],,0)</f>
        <v>Königlich Essen</v>
      </c>
      <c r="K203" t="str">
        <f>_xlfn.XLOOKUP(Table9[[#This Row],[Company Name]],customers__2[companyName],customers__2[country],,0)</f>
        <v>Germany</v>
      </c>
      <c r="L203">
        <f>MONTH(Table9[[#This Row],[OrderDate ]])</f>
        <v>10</v>
      </c>
      <c r="M203" t="str">
        <f>TEXT(Table9[[#This Row],[OrderDate ]],"mmm")</f>
        <v>Oct</v>
      </c>
      <c r="N203">
        <f>YEAR(Table9[[#This Row],[OrderDate ]])</f>
        <v>2013</v>
      </c>
    </row>
    <row r="204" spans="1:14" x14ac:dyDescent="0.3">
      <c r="A204">
        <v>10325</v>
      </c>
      <c r="B204" s="2">
        <f>_xlfn.XLOOKUP(Table9[[#This Row],[orderID]],orders[orderID],orders[orderDate],,0)</f>
        <v>41556</v>
      </c>
      <c r="C204">
        <f>_xlfn.XLOOKUP(A204,order_details[orderID],order_details[productID],,0)</f>
        <v>6</v>
      </c>
      <c r="D204" t="str">
        <f>_xlfn.XLOOKUP(C204,products[productID],products[productName],,0)</f>
        <v>Grandma's Boysenberry Spread</v>
      </c>
      <c r="E204" t="str">
        <f>_xlfn.XLOOKUP(_xlfn.XLOOKUP(Table9[[#This Row],[ProductName ]],products[productName],products[categoryID],,0),categories[categoryID],categories[categoryName],,0)</f>
        <v>Condiments</v>
      </c>
      <c r="F204">
        <v>12</v>
      </c>
      <c r="G204">
        <v>48</v>
      </c>
      <c r="H204">
        <v>0</v>
      </c>
      <c r="I204">
        <f>Table9[[#This Row],[quantity]]*Table9[[#This Row],[unitPrice]]*(1-Table9[[#This Row],[discount]]/100)</f>
        <v>576</v>
      </c>
      <c r="J204" t="str">
        <f>_xlfn.XLOOKUP(_xlfn.XLOOKUP(A204,orders[orderID],orders[customerID],,0),customers__2[customerID],customers__2[companyName],,0)</f>
        <v>Königlich Essen</v>
      </c>
      <c r="K204" t="str">
        <f>_xlfn.XLOOKUP(Table9[[#This Row],[Company Name]],customers__2[companyName],customers__2[country],,0)</f>
        <v>Germany</v>
      </c>
      <c r="L204">
        <f>MONTH(Table9[[#This Row],[OrderDate ]])</f>
        <v>10</v>
      </c>
      <c r="M204" t="str">
        <f>TEXT(Table9[[#This Row],[OrderDate ]],"mmm")</f>
        <v>Oct</v>
      </c>
      <c r="N204">
        <f>YEAR(Table9[[#This Row],[OrderDate ]])</f>
        <v>2013</v>
      </c>
    </row>
    <row r="205" spans="1:14" x14ac:dyDescent="0.3">
      <c r="A205">
        <v>10325</v>
      </c>
      <c r="B205" s="2">
        <f>_xlfn.XLOOKUP(Table9[[#This Row],[orderID]],orders[orderID],orders[orderDate],,0)</f>
        <v>41556</v>
      </c>
      <c r="C205">
        <f>_xlfn.XLOOKUP(A205,order_details[orderID],order_details[productID],,0)</f>
        <v>6</v>
      </c>
      <c r="D205" t="str">
        <f>_xlfn.XLOOKUP(C205,products[productID],products[productName],,0)</f>
        <v>Grandma's Boysenberry Spread</v>
      </c>
      <c r="E205" t="str">
        <f>_xlfn.XLOOKUP(_xlfn.XLOOKUP(Table9[[#This Row],[ProductName ]],products[productName],products[categoryID],,0),categories[categoryID],categories[categoryName],,0)</f>
        <v>Condiments</v>
      </c>
      <c r="F205">
        <v>9</v>
      </c>
      <c r="G205">
        <v>186</v>
      </c>
      <c r="H205">
        <v>0</v>
      </c>
      <c r="I205">
        <f>Table9[[#This Row],[quantity]]*Table9[[#This Row],[unitPrice]]*(1-Table9[[#This Row],[discount]]/100)</f>
        <v>1674</v>
      </c>
      <c r="J205" t="str">
        <f>_xlfn.XLOOKUP(_xlfn.XLOOKUP(A205,orders[orderID],orders[customerID],,0),customers__2[customerID],customers__2[companyName],,0)</f>
        <v>Königlich Essen</v>
      </c>
      <c r="K205" t="str">
        <f>_xlfn.XLOOKUP(Table9[[#This Row],[Company Name]],customers__2[companyName],customers__2[country],,0)</f>
        <v>Germany</v>
      </c>
      <c r="L205">
        <f>MONTH(Table9[[#This Row],[OrderDate ]])</f>
        <v>10</v>
      </c>
      <c r="M205" t="str">
        <f>TEXT(Table9[[#This Row],[OrderDate ]],"mmm")</f>
        <v>Oct</v>
      </c>
      <c r="N205">
        <f>YEAR(Table9[[#This Row],[OrderDate ]])</f>
        <v>2013</v>
      </c>
    </row>
    <row r="206" spans="1:14" x14ac:dyDescent="0.3">
      <c r="A206">
        <v>10325</v>
      </c>
      <c r="B206" s="2">
        <f>_xlfn.XLOOKUP(Table9[[#This Row],[orderID]],orders[orderID],orders[orderDate],,0)</f>
        <v>41556</v>
      </c>
      <c r="C206">
        <f>_xlfn.XLOOKUP(A206,order_details[orderID],order_details[productID],,0)</f>
        <v>6</v>
      </c>
      <c r="D206" t="str">
        <f>_xlfn.XLOOKUP(C206,products[productID],products[productName],,0)</f>
        <v>Grandma's Boysenberry Spread</v>
      </c>
      <c r="E206" t="str">
        <f>_xlfn.XLOOKUP(_xlfn.XLOOKUP(Table9[[#This Row],[ProductName ]],products[productName],products[categoryID],,0),categories[categoryID],categories[categoryName],,0)</f>
        <v>Condiments</v>
      </c>
      <c r="F206">
        <v>4</v>
      </c>
      <c r="G206">
        <v>10</v>
      </c>
      <c r="H206">
        <v>0</v>
      </c>
      <c r="I206">
        <f>Table9[[#This Row],[quantity]]*Table9[[#This Row],[unitPrice]]*(1-Table9[[#This Row],[discount]]/100)</f>
        <v>40</v>
      </c>
      <c r="J206" t="str">
        <f>_xlfn.XLOOKUP(_xlfn.XLOOKUP(A206,orders[orderID],orders[customerID],,0),customers__2[customerID],customers__2[companyName],,0)</f>
        <v>Königlich Essen</v>
      </c>
      <c r="K206" t="str">
        <f>_xlfn.XLOOKUP(Table9[[#This Row],[Company Name]],customers__2[companyName],customers__2[country],,0)</f>
        <v>Germany</v>
      </c>
      <c r="L206">
        <f>MONTH(Table9[[#This Row],[OrderDate ]])</f>
        <v>10</v>
      </c>
      <c r="M206" t="str">
        <f>TEXT(Table9[[#This Row],[OrderDate ]],"mmm")</f>
        <v>Oct</v>
      </c>
      <c r="N206">
        <f>YEAR(Table9[[#This Row],[OrderDate ]])</f>
        <v>2013</v>
      </c>
    </row>
    <row r="207" spans="1:14" x14ac:dyDescent="0.3">
      <c r="A207">
        <v>10325</v>
      </c>
      <c r="B207" s="2">
        <f>_xlfn.XLOOKUP(Table9[[#This Row],[orderID]],orders[orderID],orders[orderDate],,0)</f>
        <v>41556</v>
      </c>
      <c r="C207">
        <f>_xlfn.XLOOKUP(A207,order_details[orderID],order_details[productID],,0)</f>
        <v>6</v>
      </c>
      <c r="D207" t="str">
        <f>_xlfn.XLOOKUP(C207,products[productID],products[productName],,0)</f>
        <v>Grandma's Boysenberry Spread</v>
      </c>
      <c r="E207" t="str">
        <f>_xlfn.XLOOKUP(_xlfn.XLOOKUP(Table9[[#This Row],[ProductName ]],products[productName],products[categoryID],,0),categories[categoryID],categories[categoryName],,0)</f>
        <v>Condiments</v>
      </c>
      <c r="F207">
        <v>40</v>
      </c>
      <c r="G207">
        <v>278</v>
      </c>
      <c r="H207">
        <v>0</v>
      </c>
      <c r="I207">
        <f>Table9[[#This Row],[quantity]]*Table9[[#This Row],[unitPrice]]*(1-Table9[[#This Row],[discount]]/100)</f>
        <v>11120</v>
      </c>
      <c r="J207" t="str">
        <f>_xlfn.XLOOKUP(_xlfn.XLOOKUP(A207,orders[orderID],orders[customerID],,0),customers__2[customerID],customers__2[companyName],,0)</f>
        <v>Königlich Essen</v>
      </c>
      <c r="K207" t="str">
        <f>_xlfn.XLOOKUP(Table9[[#This Row],[Company Name]],customers__2[companyName],customers__2[country],,0)</f>
        <v>Germany</v>
      </c>
      <c r="L207">
        <f>MONTH(Table9[[#This Row],[OrderDate ]])</f>
        <v>10</v>
      </c>
      <c r="M207" t="str">
        <f>TEXT(Table9[[#This Row],[OrderDate ]],"mmm")</f>
        <v>Oct</v>
      </c>
      <c r="N207">
        <f>YEAR(Table9[[#This Row],[OrderDate ]])</f>
        <v>2013</v>
      </c>
    </row>
    <row r="208" spans="1:14" x14ac:dyDescent="0.3">
      <c r="A208">
        <v>10326</v>
      </c>
      <c r="B208" s="2">
        <f>_xlfn.XLOOKUP(Table9[[#This Row],[orderID]],orders[orderID],orders[orderDate],,0)</f>
        <v>41557</v>
      </c>
      <c r="C208">
        <f>_xlfn.XLOOKUP(A208,order_details[orderID],order_details[productID],,0)</f>
        <v>4</v>
      </c>
      <c r="D208" t="str">
        <f>_xlfn.XLOOKUP(C208,products[productID],products[productName],,0)</f>
        <v>Chef Anton's Cajun Seasoning</v>
      </c>
      <c r="E208" t="str">
        <f>_xlfn.XLOOKUP(_xlfn.XLOOKUP(Table9[[#This Row],[ProductName ]],products[productName],products[categoryID],,0),categories[categoryID],categories[categoryName],,0)</f>
        <v>Condiments</v>
      </c>
      <c r="F208">
        <v>24</v>
      </c>
      <c r="G208">
        <v>176</v>
      </c>
      <c r="H208">
        <v>0</v>
      </c>
      <c r="I208">
        <f>Table9[[#This Row],[quantity]]*Table9[[#This Row],[unitPrice]]*(1-Table9[[#This Row],[discount]]/100)</f>
        <v>4224</v>
      </c>
      <c r="J208" t="str">
        <f>_xlfn.XLOOKUP(_xlfn.XLOOKUP(A208,orders[orderID],orders[customerID],,0),customers__2[customerID],customers__2[companyName],,0)</f>
        <v>Bólido Comidas preparadas</v>
      </c>
      <c r="K208" t="str">
        <f>_xlfn.XLOOKUP(Table9[[#This Row],[Company Name]],customers__2[companyName],customers__2[country],,0)</f>
        <v>Spain</v>
      </c>
      <c r="L208">
        <f>MONTH(Table9[[#This Row],[OrderDate ]])</f>
        <v>10</v>
      </c>
      <c r="M208" t="str">
        <f>TEXT(Table9[[#This Row],[OrderDate ]],"mmm")</f>
        <v>Oct</v>
      </c>
      <c r="N208">
        <f>YEAR(Table9[[#This Row],[OrderDate ]])</f>
        <v>2013</v>
      </c>
    </row>
    <row r="209" spans="1:14" x14ac:dyDescent="0.3">
      <c r="A209">
        <v>10326</v>
      </c>
      <c r="B209" s="2">
        <f>_xlfn.XLOOKUP(Table9[[#This Row],[orderID]],orders[orderID],orders[orderDate],,0)</f>
        <v>41557</v>
      </c>
      <c r="C209">
        <f>_xlfn.XLOOKUP(A209,order_details[orderID],order_details[productID],,0)</f>
        <v>4</v>
      </c>
      <c r="D209" t="str">
        <f>_xlfn.XLOOKUP(C209,products[productID],products[productName],,0)</f>
        <v>Chef Anton's Cajun Seasoning</v>
      </c>
      <c r="E209" t="str">
        <f>_xlfn.XLOOKUP(_xlfn.XLOOKUP(Table9[[#This Row],[ProductName ]],products[productName],products[categoryID],,0),categories[categoryID],categories[categoryName],,0)</f>
        <v>Condiments</v>
      </c>
      <c r="F209">
        <v>16</v>
      </c>
      <c r="G209">
        <v>156</v>
      </c>
      <c r="H209">
        <v>0</v>
      </c>
      <c r="I209">
        <f>Table9[[#This Row],[quantity]]*Table9[[#This Row],[unitPrice]]*(1-Table9[[#This Row],[discount]]/100)</f>
        <v>2496</v>
      </c>
      <c r="J209" t="str">
        <f>_xlfn.XLOOKUP(_xlfn.XLOOKUP(A209,orders[orderID],orders[customerID],,0),customers__2[customerID],customers__2[companyName],,0)</f>
        <v>Bólido Comidas preparadas</v>
      </c>
      <c r="K209" t="str">
        <f>_xlfn.XLOOKUP(Table9[[#This Row],[Company Name]],customers__2[companyName],customers__2[country],,0)</f>
        <v>Spain</v>
      </c>
      <c r="L209">
        <f>MONTH(Table9[[#This Row],[OrderDate ]])</f>
        <v>10</v>
      </c>
      <c r="M209" t="str">
        <f>TEXT(Table9[[#This Row],[OrderDate ]],"mmm")</f>
        <v>Oct</v>
      </c>
      <c r="N209">
        <f>YEAR(Table9[[#This Row],[OrderDate ]])</f>
        <v>2013</v>
      </c>
    </row>
    <row r="210" spans="1:14" x14ac:dyDescent="0.3">
      <c r="A210">
        <v>10326</v>
      </c>
      <c r="B210" s="2">
        <f>_xlfn.XLOOKUP(Table9[[#This Row],[orderID]],orders[orderID],orders[orderDate],,0)</f>
        <v>41557</v>
      </c>
      <c r="C210">
        <f>_xlfn.XLOOKUP(A210,order_details[orderID],order_details[productID],,0)</f>
        <v>4</v>
      </c>
      <c r="D210" t="str">
        <f>_xlfn.XLOOKUP(C210,products[productID],products[productName],,0)</f>
        <v>Chef Anton's Cajun Seasoning</v>
      </c>
      <c r="E210" t="str">
        <f>_xlfn.XLOOKUP(_xlfn.XLOOKUP(Table9[[#This Row],[ProductName ]],products[productName],products[categoryID],,0),categories[categoryID],categories[categoryName],,0)</f>
        <v>Condiments</v>
      </c>
      <c r="F210">
        <v>50</v>
      </c>
      <c r="G210">
        <v>62</v>
      </c>
      <c r="H210">
        <v>0</v>
      </c>
      <c r="I210">
        <f>Table9[[#This Row],[quantity]]*Table9[[#This Row],[unitPrice]]*(1-Table9[[#This Row],[discount]]/100)</f>
        <v>3100</v>
      </c>
      <c r="J210" t="str">
        <f>_xlfn.XLOOKUP(_xlfn.XLOOKUP(A210,orders[orderID],orders[customerID],,0),customers__2[customerID],customers__2[companyName],,0)</f>
        <v>Bólido Comidas preparadas</v>
      </c>
      <c r="K210" t="str">
        <f>_xlfn.XLOOKUP(Table9[[#This Row],[Company Name]],customers__2[companyName],customers__2[country],,0)</f>
        <v>Spain</v>
      </c>
      <c r="L210">
        <f>MONTH(Table9[[#This Row],[OrderDate ]])</f>
        <v>10</v>
      </c>
      <c r="M210" t="str">
        <f>TEXT(Table9[[#This Row],[OrderDate ]],"mmm")</f>
        <v>Oct</v>
      </c>
      <c r="N210">
        <f>YEAR(Table9[[#This Row],[OrderDate ]])</f>
        <v>2013</v>
      </c>
    </row>
    <row r="211" spans="1:14" x14ac:dyDescent="0.3">
      <c r="A211">
        <v>10327</v>
      </c>
      <c r="B211" s="2">
        <f>_xlfn.XLOOKUP(Table9[[#This Row],[orderID]],orders[orderID],orders[orderDate],,0)</f>
        <v>41558</v>
      </c>
      <c r="C211">
        <f>_xlfn.XLOOKUP(A211,order_details[orderID],order_details[productID],,0)</f>
        <v>2</v>
      </c>
      <c r="D211" t="str">
        <f>_xlfn.XLOOKUP(C211,products[productID],products[productName],,0)</f>
        <v>Chang</v>
      </c>
      <c r="E211" t="str">
        <f>_xlfn.XLOOKUP(_xlfn.XLOOKUP(Table9[[#This Row],[ProductName ]],products[productName],products[categoryID],,0),categories[categoryID],categories[categoryName],,0)</f>
        <v>Beverages</v>
      </c>
      <c r="F211">
        <v>25</v>
      </c>
      <c r="G211">
        <v>152</v>
      </c>
      <c r="H211">
        <v>2</v>
      </c>
      <c r="I211">
        <f>Table9[[#This Row],[quantity]]*Table9[[#This Row],[unitPrice]]*(1-Table9[[#This Row],[discount]]/100)</f>
        <v>3724</v>
      </c>
      <c r="J211" t="str">
        <f>_xlfn.XLOOKUP(_xlfn.XLOOKUP(A211,orders[orderID],orders[customerID],,0),customers__2[customerID],customers__2[companyName],,0)</f>
        <v>Folk och fä HB</v>
      </c>
      <c r="K211" t="str">
        <f>_xlfn.XLOOKUP(Table9[[#This Row],[Company Name]],customers__2[companyName],customers__2[country],,0)</f>
        <v>Sweden</v>
      </c>
      <c r="L211">
        <f>MONTH(Table9[[#This Row],[OrderDate ]])</f>
        <v>10</v>
      </c>
      <c r="M211" t="str">
        <f>TEXT(Table9[[#This Row],[OrderDate ]],"mmm")</f>
        <v>Oct</v>
      </c>
      <c r="N211">
        <f>YEAR(Table9[[#This Row],[OrderDate ]])</f>
        <v>2013</v>
      </c>
    </row>
    <row r="212" spans="1:14" x14ac:dyDescent="0.3">
      <c r="A212">
        <v>10327</v>
      </c>
      <c r="B212" s="2">
        <f>_xlfn.XLOOKUP(Table9[[#This Row],[orderID]],orders[orderID],orders[orderDate],,0)</f>
        <v>41558</v>
      </c>
      <c r="C212">
        <f>_xlfn.XLOOKUP(A212,order_details[orderID],order_details[productID],,0)</f>
        <v>2</v>
      </c>
      <c r="D212" t="str">
        <f>_xlfn.XLOOKUP(C212,products[productID],products[productName],,0)</f>
        <v>Chang</v>
      </c>
      <c r="E212" t="str">
        <f>_xlfn.XLOOKUP(_xlfn.XLOOKUP(Table9[[#This Row],[ProductName ]],products[productName],products[categoryID],,0),categories[categoryID],categories[categoryName],,0)</f>
        <v>Beverages</v>
      </c>
      <c r="F212">
        <v>50</v>
      </c>
      <c r="G212">
        <v>168</v>
      </c>
      <c r="H212">
        <v>2</v>
      </c>
      <c r="I212">
        <f>Table9[[#This Row],[quantity]]*Table9[[#This Row],[unitPrice]]*(1-Table9[[#This Row],[discount]]/100)</f>
        <v>8232</v>
      </c>
      <c r="J212" t="str">
        <f>_xlfn.XLOOKUP(_xlfn.XLOOKUP(A212,orders[orderID],orders[customerID],,0),customers__2[customerID],customers__2[companyName],,0)</f>
        <v>Folk och fä HB</v>
      </c>
      <c r="K212" t="str">
        <f>_xlfn.XLOOKUP(Table9[[#This Row],[Company Name]],customers__2[companyName],customers__2[country],,0)</f>
        <v>Sweden</v>
      </c>
      <c r="L212">
        <f>MONTH(Table9[[#This Row],[OrderDate ]])</f>
        <v>10</v>
      </c>
      <c r="M212" t="str">
        <f>TEXT(Table9[[#This Row],[OrderDate ]],"mmm")</f>
        <v>Oct</v>
      </c>
      <c r="N212">
        <f>YEAR(Table9[[#This Row],[OrderDate ]])</f>
        <v>2013</v>
      </c>
    </row>
    <row r="213" spans="1:14" x14ac:dyDescent="0.3">
      <c r="A213">
        <v>10327</v>
      </c>
      <c r="B213" s="2">
        <f>_xlfn.XLOOKUP(Table9[[#This Row],[orderID]],orders[orderID],orders[orderDate],,0)</f>
        <v>41558</v>
      </c>
      <c r="C213">
        <f>_xlfn.XLOOKUP(A213,order_details[orderID],order_details[productID],,0)</f>
        <v>2</v>
      </c>
      <c r="D213" t="str">
        <f>_xlfn.XLOOKUP(C213,products[productID],products[productName],,0)</f>
        <v>Chang</v>
      </c>
      <c r="E213" t="str">
        <f>_xlfn.XLOOKUP(_xlfn.XLOOKUP(Table9[[#This Row],[ProductName ]],products[productName],products[categoryID],,0),categories[categoryID],categories[categoryName],,0)</f>
        <v>Beverages</v>
      </c>
      <c r="F213">
        <v>35</v>
      </c>
      <c r="G213">
        <v>207</v>
      </c>
      <c r="H213">
        <v>2</v>
      </c>
      <c r="I213">
        <f>Table9[[#This Row],[quantity]]*Table9[[#This Row],[unitPrice]]*(1-Table9[[#This Row],[discount]]/100)</f>
        <v>7100.0999999999995</v>
      </c>
      <c r="J213" t="str">
        <f>_xlfn.XLOOKUP(_xlfn.XLOOKUP(A213,orders[orderID],orders[customerID],,0),customers__2[customerID],customers__2[companyName],,0)</f>
        <v>Folk och fä HB</v>
      </c>
      <c r="K213" t="str">
        <f>_xlfn.XLOOKUP(Table9[[#This Row],[Company Name]],customers__2[companyName],customers__2[country],,0)</f>
        <v>Sweden</v>
      </c>
      <c r="L213">
        <f>MONTH(Table9[[#This Row],[OrderDate ]])</f>
        <v>10</v>
      </c>
      <c r="M213" t="str">
        <f>TEXT(Table9[[#This Row],[OrderDate ]],"mmm")</f>
        <v>Oct</v>
      </c>
      <c r="N213">
        <f>YEAR(Table9[[#This Row],[OrderDate ]])</f>
        <v>2013</v>
      </c>
    </row>
    <row r="214" spans="1:14" x14ac:dyDescent="0.3">
      <c r="A214">
        <v>10327</v>
      </c>
      <c r="B214" s="2">
        <f>_xlfn.XLOOKUP(Table9[[#This Row],[orderID]],orders[orderID],orders[orderDate],,0)</f>
        <v>41558</v>
      </c>
      <c r="C214">
        <f>_xlfn.XLOOKUP(A214,order_details[orderID],order_details[productID],,0)</f>
        <v>2</v>
      </c>
      <c r="D214" t="str">
        <f>_xlfn.XLOOKUP(C214,products[productID],products[productName],,0)</f>
        <v>Chang</v>
      </c>
      <c r="E214" t="str">
        <f>_xlfn.XLOOKUP(_xlfn.XLOOKUP(Table9[[#This Row],[ProductName ]],products[productName],products[categoryID],,0),categories[categoryID],categories[categoryName],,0)</f>
        <v>Beverages</v>
      </c>
      <c r="F214">
        <v>30</v>
      </c>
      <c r="G214">
        <v>106</v>
      </c>
      <c r="H214">
        <v>2</v>
      </c>
      <c r="I214">
        <f>Table9[[#This Row],[quantity]]*Table9[[#This Row],[unitPrice]]*(1-Table9[[#This Row],[discount]]/100)</f>
        <v>3116.4</v>
      </c>
      <c r="J214" t="str">
        <f>_xlfn.XLOOKUP(_xlfn.XLOOKUP(A214,orders[orderID],orders[customerID],,0),customers__2[customerID],customers__2[companyName],,0)</f>
        <v>Folk och fä HB</v>
      </c>
      <c r="K214" t="str">
        <f>_xlfn.XLOOKUP(Table9[[#This Row],[Company Name]],customers__2[companyName],customers__2[country],,0)</f>
        <v>Sweden</v>
      </c>
      <c r="L214">
        <f>MONTH(Table9[[#This Row],[OrderDate ]])</f>
        <v>10</v>
      </c>
      <c r="M214" t="str">
        <f>TEXT(Table9[[#This Row],[OrderDate ]],"mmm")</f>
        <v>Oct</v>
      </c>
      <c r="N214">
        <f>YEAR(Table9[[#This Row],[OrderDate ]])</f>
        <v>2013</v>
      </c>
    </row>
    <row r="215" spans="1:14" x14ac:dyDescent="0.3">
      <c r="A215">
        <v>10328</v>
      </c>
      <c r="B215" s="2">
        <f>_xlfn.XLOOKUP(Table9[[#This Row],[orderID]],orders[orderID],orders[orderDate],,0)</f>
        <v>41561</v>
      </c>
      <c r="C215">
        <f>_xlfn.XLOOKUP(A215,order_details[orderID],order_details[productID],,0)</f>
        <v>59</v>
      </c>
      <c r="D215" t="str">
        <f>_xlfn.XLOOKUP(C215,products[productID],products[productName],,0)</f>
        <v>Raclette Courdavault</v>
      </c>
      <c r="E215" t="str">
        <f>_xlfn.XLOOKUP(_xlfn.XLOOKUP(Table9[[#This Row],[ProductName ]],products[productName],products[categoryID],,0),categories[categoryID],categories[categoryName],,0)</f>
        <v>Dairy Products</v>
      </c>
      <c r="F215">
        <v>9</v>
      </c>
      <c r="G215">
        <v>44</v>
      </c>
      <c r="H215">
        <v>0</v>
      </c>
      <c r="I215">
        <f>Table9[[#This Row],[quantity]]*Table9[[#This Row],[unitPrice]]*(1-Table9[[#This Row],[discount]]/100)</f>
        <v>396</v>
      </c>
      <c r="J215" t="str">
        <f>_xlfn.XLOOKUP(_xlfn.XLOOKUP(A215,orders[orderID],orders[customerID],,0),customers__2[customerID],customers__2[companyName],,0)</f>
        <v>Furia Bacalhau e Frutos do Mar</v>
      </c>
      <c r="K215" t="str">
        <f>_xlfn.XLOOKUP(Table9[[#This Row],[Company Name]],customers__2[companyName],customers__2[country],,0)</f>
        <v>Portugal</v>
      </c>
      <c r="L215">
        <f>MONTH(Table9[[#This Row],[OrderDate ]])</f>
        <v>10</v>
      </c>
      <c r="M215" t="str">
        <f>TEXT(Table9[[#This Row],[OrderDate ]],"mmm")</f>
        <v>Oct</v>
      </c>
      <c r="N215">
        <f>YEAR(Table9[[#This Row],[OrderDate ]])</f>
        <v>2013</v>
      </c>
    </row>
    <row r="216" spans="1:14" x14ac:dyDescent="0.3">
      <c r="A216">
        <v>10328</v>
      </c>
      <c r="B216" s="2">
        <f>_xlfn.XLOOKUP(Table9[[#This Row],[orderID]],orders[orderID],orders[orderDate],,0)</f>
        <v>41561</v>
      </c>
      <c r="C216">
        <f>_xlfn.XLOOKUP(A216,order_details[orderID],order_details[productID],,0)</f>
        <v>59</v>
      </c>
      <c r="D216" t="str">
        <f>_xlfn.XLOOKUP(C216,products[productID],products[productName],,0)</f>
        <v>Raclette Courdavault</v>
      </c>
      <c r="E216" t="str">
        <f>_xlfn.XLOOKUP(_xlfn.XLOOKUP(Table9[[#This Row],[ProductName ]],products[productName],products[categoryID],,0),categories[categoryID],categories[categoryName],,0)</f>
        <v>Dairy Products</v>
      </c>
      <c r="F216">
        <v>40</v>
      </c>
      <c r="G216">
        <v>168</v>
      </c>
      <c r="H216">
        <v>0</v>
      </c>
      <c r="I216">
        <f>Table9[[#This Row],[quantity]]*Table9[[#This Row],[unitPrice]]*(1-Table9[[#This Row],[discount]]/100)</f>
        <v>6720</v>
      </c>
      <c r="J216" t="str">
        <f>_xlfn.XLOOKUP(_xlfn.XLOOKUP(A216,orders[orderID],orders[customerID],,0),customers__2[customerID],customers__2[companyName],,0)</f>
        <v>Furia Bacalhau e Frutos do Mar</v>
      </c>
      <c r="K216" t="str">
        <f>_xlfn.XLOOKUP(Table9[[#This Row],[Company Name]],customers__2[companyName],customers__2[country],,0)</f>
        <v>Portugal</v>
      </c>
      <c r="L216">
        <f>MONTH(Table9[[#This Row],[OrderDate ]])</f>
        <v>10</v>
      </c>
      <c r="M216" t="str">
        <f>TEXT(Table9[[#This Row],[OrderDate ]],"mmm")</f>
        <v>Oct</v>
      </c>
      <c r="N216">
        <f>YEAR(Table9[[#This Row],[OrderDate ]])</f>
        <v>2013</v>
      </c>
    </row>
    <row r="217" spans="1:14" x14ac:dyDescent="0.3">
      <c r="A217">
        <v>10328</v>
      </c>
      <c r="B217" s="2">
        <f>_xlfn.XLOOKUP(Table9[[#This Row],[orderID]],orders[orderID],orders[orderDate],,0)</f>
        <v>41561</v>
      </c>
      <c r="C217">
        <f>_xlfn.XLOOKUP(A217,order_details[orderID],order_details[productID],,0)</f>
        <v>59</v>
      </c>
      <c r="D217" t="str">
        <f>_xlfn.XLOOKUP(C217,products[productID],products[productName],,0)</f>
        <v>Raclette Courdavault</v>
      </c>
      <c r="E217" t="str">
        <f>_xlfn.XLOOKUP(_xlfn.XLOOKUP(Table9[[#This Row],[ProductName ]],products[productName],products[categoryID],,0),categories[categoryID],categories[categoryName],,0)</f>
        <v>Dairy Products</v>
      </c>
      <c r="F217">
        <v>10</v>
      </c>
      <c r="G217">
        <v>10</v>
      </c>
      <c r="H217">
        <v>0</v>
      </c>
      <c r="I217">
        <f>Table9[[#This Row],[quantity]]*Table9[[#This Row],[unitPrice]]*(1-Table9[[#This Row],[discount]]/100)</f>
        <v>100</v>
      </c>
      <c r="J217" t="str">
        <f>_xlfn.XLOOKUP(_xlfn.XLOOKUP(A217,orders[orderID],orders[customerID],,0),customers__2[customerID],customers__2[companyName],,0)</f>
        <v>Furia Bacalhau e Frutos do Mar</v>
      </c>
      <c r="K217" t="str">
        <f>_xlfn.XLOOKUP(Table9[[#This Row],[Company Name]],customers__2[companyName],customers__2[country],,0)</f>
        <v>Portugal</v>
      </c>
      <c r="L217">
        <f>MONTH(Table9[[#This Row],[OrderDate ]])</f>
        <v>10</v>
      </c>
      <c r="M217" t="str">
        <f>TEXT(Table9[[#This Row],[OrderDate ]],"mmm")</f>
        <v>Oct</v>
      </c>
      <c r="N217">
        <f>YEAR(Table9[[#This Row],[OrderDate ]])</f>
        <v>2013</v>
      </c>
    </row>
    <row r="218" spans="1:14" x14ac:dyDescent="0.3">
      <c r="A218">
        <v>10329</v>
      </c>
      <c r="B218" s="2">
        <f>_xlfn.XLOOKUP(Table9[[#This Row],[orderID]],orders[orderID],orders[orderDate],,0)</f>
        <v>41562</v>
      </c>
      <c r="C218">
        <f>_xlfn.XLOOKUP(A218,order_details[orderID],order_details[productID],,0)</f>
        <v>19</v>
      </c>
      <c r="D218" t="str">
        <f>_xlfn.XLOOKUP(C218,products[productID],products[productName],,0)</f>
        <v>Teatime Chocolate Biscuits</v>
      </c>
      <c r="E218" t="str">
        <f>_xlfn.XLOOKUP(_xlfn.XLOOKUP(Table9[[#This Row],[ProductName ]],products[productName],products[categoryID],,0),categories[categoryID],categories[categoryName],,0)</f>
        <v>Confections</v>
      </c>
      <c r="F218">
        <v>10</v>
      </c>
      <c r="G218">
        <v>73</v>
      </c>
      <c r="H218">
        <v>5</v>
      </c>
      <c r="I218">
        <f>Table9[[#This Row],[quantity]]*Table9[[#This Row],[unitPrice]]*(1-Table9[[#This Row],[discount]]/100)</f>
        <v>693.5</v>
      </c>
      <c r="J218" t="str">
        <f>_xlfn.XLOOKUP(_xlfn.XLOOKUP(A218,orders[orderID],orders[customerID],,0),customers__2[customerID],customers__2[companyName],,0)</f>
        <v>Split Rail Beer &amp; Ale</v>
      </c>
      <c r="K218" t="str">
        <f>_xlfn.XLOOKUP(Table9[[#This Row],[Company Name]],customers__2[companyName],customers__2[country],,0)</f>
        <v>USA</v>
      </c>
      <c r="L218">
        <f>MONTH(Table9[[#This Row],[OrderDate ]])</f>
        <v>10</v>
      </c>
      <c r="M218" t="str">
        <f>TEXT(Table9[[#This Row],[OrderDate ]],"mmm")</f>
        <v>Oct</v>
      </c>
      <c r="N218">
        <f>YEAR(Table9[[#This Row],[OrderDate ]])</f>
        <v>2013</v>
      </c>
    </row>
    <row r="219" spans="1:14" x14ac:dyDescent="0.3">
      <c r="A219">
        <v>10329</v>
      </c>
      <c r="B219" s="2">
        <f>_xlfn.XLOOKUP(Table9[[#This Row],[orderID]],orders[orderID],orders[orderDate],,0)</f>
        <v>41562</v>
      </c>
      <c r="C219">
        <f>_xlfn.XLOOKUP(A219,order_details[orderID],order_details[productID],,0)</f>
        <v>19</v>
      </c>
      <c r="D219" t="str">
        <f>_xlfn.XLOOKUP(C219,products[productID],products[productName],,0)</f>
        <v>Teatime Chocolate Biscuits</v>
      </c>
      <c r="E219" t="str">
        <f>_xlfn.XLOOKUP(_xlfn.XLOOKUP(Table9[[#This Row],[ProductName ]],products[productName],products[categoryID],,0),categories[categoryID],categories[categoryName],,0)</f>
        <v>Confections</v>
      </c>
      <c r="F219">
        <v>8</v>
      </c>
      <c r="G219">
        <v>207</v>
      </c>
      <c r="H219">
        <v>5</v>
      </c>
      <c r="I219">
        <f>Table9[[#This Row],[quantity]]*Table9[[#This Row],[unitPrice]]*(1-Table9[[#This Row],[discount]]/100)</f>
        <v>1573.1999999999998</v>
      </c>
      <c r="J219" t="str">
        <f>_xlfn.XLOOKUP(_xlfn.XLOOKUP(A219,orders[orderID],orders[customerID],,0),customers__2[customerID],customers__2[companyName],,0)</f>
        <v>Split Rail Beer &amp; Ale</v>
      </c>
      <c r="K219" t="str">
        <f>_xlfn.XLOOKUP(Table9[[#This Row],[Company Name]],customers__2[companyName],customers__2[country],,0)</f>
        <v>USA</v>
      </c>
      <c r="L219">
        <f>MONTH(Table9[[#This Row],[OrderDate ]])</f>
        <v>10</v>
      </c>
      <c r="M219" t="str">
        <f>TEXT(Table9[[#This Row],[OrderDate ]],"mmm")</f>
        <v>Oct</v>
      </c>
      <c r="N219">
        <f>YEAR(Table9[[#This Row],[OrderDate ]])</f>
        <v>2013</v>
      </c>
    </row>
    <row r="220" spans="1:14" x14ac:dyDescent="0.3">
      <c r="A220">
        <v>10329</v>
      </c>
      <c r="B220" s="2">
        <f>_xlfn.XLOOKUP(Table9[[#This Row],[orderID]],orders[orderID],orders[orderDate],,0)</f>
        <v>41562</v>
      </c>
      <c r="C220">
        <f>_xlfn.XLOOKUP(A220,order_details[orderID],order_details[productID],,0)</f>
        <v>19</v>
      </c>
      <c r="D220" t="str">
        <f>_xlfn.XLOOKUP(C220,products[productID],products[productName],,0)</f>
        <v>Teatime Chocolate Biscuits</v>
      </c>
      <c r="E220" t="str">
        <f>_xlfn.XLOOKUP(_xlfn.XLOOKUP(Table9[[#This Row],[ProductName ]],products[productName],products[categoryID],,0),categories[categoryID],categories[categoryName],,0)</f>
        <v>Confections</v>
      </c>
      <c r="F220">
        <v>20</v>
      </c>
      <c r="G220">
        <v>2108</v>
      </c>
      <c r="H220">
        <v>5</v>
      </c>
      <c r="I220">
        <f>Table9[[#This Row],[quantity]]*Table9[[#This Row],[unitPrice]]*(1-Table9[[#This Row],[discount]]/100)</f>
        <v>40052</v>
      </c>
      <c r="J220" t="str">
        <f>_xlfn.XLOOKUP(_xlfn.XLOOKUP(A220,orders[orderID],orders[customerID],,0),customers__2[customerID],customers__2[companyName],,0)</f>
        <v>Split Rail Beer &amp; Ale</v>
      </c>
      <c r="K220" t="str">
        <f>_xlfn.XLOOKUP(Table9[[#This Row],[Company Name]],customers__2[companyName],customers__2[country],,0)</f>
        <v>USA</v>
      </c>
      <c r="L220">
        <f>MONTH(Table9[[#This Row],[OrderDate ]])</f>
        <v>10</v>
      </c>
      <c r="M220" t="str">
        <f>TEXT(Table9[[#This Row],[OrderDate ]],"mmm")</f>
        <v>Oct</v>
      </c>
      <c r="N220">
        <f>YEAR(Table9[[#This Row],[OrderDate ]])</f>
        <v>2013</v>
      </c>
    </row>
    <row r="221" spans="1:14" x14ac:dyDescent="0.3">
      <c r="A221">
        <v>10329</v>
      </c>
      <c r="B221" s="2">
        <f>_xlfn.XLOOKUP(Table9[[#This Row],[orderID]],orders[orderID],orders[orderDate],,0)</f>
        <v>41562</v>
      </c>
      <c r="C221">
        <f>_xlfn.XLOOKUP(A221,order_details[orderID],order_details[productID],,0)</f>
        <v>19</v>
      </c>
      <c r="D221" t="str">
        <f>_xlfn.XLOOKUP(C221,products[productID],products[productName],,0)</f>
        <v>Teatime Chocolate Biscuits</v>
      </c>
      <c r="E221" t="str">
        <f>_xlfn.XLOOKUP(_xlfn.XLOOKUP(Table9[[#This Row],[ProductName ]],products[productName],products[categoryID],,0),categories[categoryID],categories[categoryName],,0)</f>
        <v>Confections</v>
      </c>
      <c r="F221">
        <v>12</v>
      </c>
      <c r="G221">
        <v>304</v>
      </c>
      <c r="H221">
        <v>5</v>
      </c>
      <c r="I221">
        <f>Table9[[#This Row],[quantity]]*Table9[[#This Row],[unitPrice]]*(1-Table9[[#This Row],[discount]]/100)</f>
        <v>3465.6</v>
      </c>
      <c r="J221" t="str">
        <f>_xlfn.XLOOKUP(_xlfn.XLOOKUP(A221,orders[orderID],orders[customerID],,0),customers__2[customerID],customers__2[companyName],,0)</f>
        <v>Split Rail Beer &amp; Ale</v>
      </c>
      <c r="K221" t="str">
        <f>_xlfn.XLOOKUP(Table9[[#This Row],[Company Name]],customers__2[companyName],customers__2[country],,0)</f>
        <v>USA</v>
      </c>
      <c r="L221">
        <f>MONTH(Table9[[#This Row],[OrderDate ]])</f>
        <v>10</v>
      </c>
      <c r="M221" t="str">
        <f>TEXT(Table9[[#This Row],[OrderDate ]],"mmm")</f>
        <v>Oct</v>
      </c>
      <c r="N221">
        <f>YEAR(Table9[[#This Row],[OrderDate ]])</f>
        <v>2013</v>
      </c>
    </row>
    <row r="222" spans="1:14" x14ac:dyDescent="0.3">
      <c r="A222">
        <v>10330</v>
      </c>
      <c r="B222" s="2">
        <f>_xlfn.XLOOKUP(Table9[[#This Row],[orderID]],orders[orderID],orders[orderDate],,0)</f>
        <v>41563</v>
      </c>
      <c r="C222">
        <f>_xlfn.XLOOKUP(A222,order_details[orderID],order_details[productID],,0)</f>
        <v>26</v>
      </c>
      <c r="D222" t="str">
        <f>_xlfn.XLOOKUP(C222,products[productID],products[productName],,0)</f>
        <v>Gumbär Gummibärchen</v>
      </c>
      <c r="E222" t="str">
        <f>_xlfn.XLOOKUP(_xlfn.XLOOKUP(Table9[[#This Row],[ProductName ]],products[productName],products[categoryID],,0),categories[categoryID],categories[categoryName],,0)</f>
        <v>Confections</v>
      </c>
      <c r="F222">
        <v>50</v>
      </c>
      <c r="G222">
        <v>249</v>
      </c>
      <c r="H222">
        <v>15</v>
      </c>
      <c r="I222">
        <f>Table9[[#This Row],[quantity]]*Table9[[#This Row],[unitPrice]]*(1-Table9[[#This Row],[discount]]/100)</f>
        <v>10582.5</v>
      </c>
      <c r="J222" t="str">
        <f>_xlfn.XLOOKUP(_xlfn.XLOOKUP(A222,orders[orderID],orders[customerID],,0),customers__2[customerID],customers__2[companyName],,0)</f>
        <v>LILA-Supermercado</v>
      </c>
      <c r="K222" t="str">
        <f>_xlfn.XLOOKUP(Table9[[#This Row],[Company Name]],customers__2[companyName],customers__2[country],,0)</f>
        <v>Venezuela</v>
      </c>
      <c r="L222">
        <f>MONTH(Table9[[#This Row],[OrderDate ]])</f>
        <v>10</v>
      </c>
      <c r="M222" t="str">
        <f>TEXT(Table9[[#This Row],[OrderDate ]],"mmm")</f>
        <v>Oct</v>
      </c>
      <c r="N222">
        <f>YEAR(Table9[[#This Row],[OrderDate ]])</f>
        <v>2013</v>
      </c>
    </row>
    <row r="223" spans="1:14" x14ac:dyDescent="0.3">
      <c r="A223">
        <v>10330</v>
      </c>
      <c r="B223" s="2">
        <f>_xlfn.XLOOKUP(Table9[[#This Row],[orderID]],orders[orderID],orders[orderDate],,0)</f>
        <v>41563</v>
      </c>
      <c r="C223">
        <f>_xlfn.XLOOKUP(A223,order_details[orderID],order_details[productID],,0)</f>
        <v>26</v>
      </c>
      <c r="D223" t="str">
        <f>_xlfn.XLOOKUP(C223,products[productID],products[productName],,0)</f>
        <v>Gumbär Gummibärchen</v>
      </c>
      <c r="E223" t="str">
        <f>_xlfn.XLOOKUP(_xlfn.XLOOKUP(Table9[[#This Row],[ProductName ]],products[productName],products[categoryID],,0),categories[categoryID],categories[categoryName],,0)</f>
        <v>Confections</v>
      </c>
      <c r="F223">
        <v>25</v>
      </c>
      <c r="G223">
        <v>278</v>
      </c>
      <c r="H223">
        <v>15</v>
      </c>
      <c r="I223">
        <f>Table9[[#This Row],[quantity]]*Table9[[#This Row],[unitPrice]]*(1-Table9[[#This Row],[discount]]/100)</f>
        <v>5907.5</v>
      </c>
      <c r="J223" t="str">
        <f>_xlfn.XLOOKUP(_xlfn.XLOOKUP(A223,orders[orderID],orders[customerID],,0),customers__2[customerID],customers__2[companyName],,0)</f>
        <v>LILA-Supermercado</v>
      </c>
      <c r="K223" t="str">
        <f>_xlfn.XLOOKUP(Table9[[#This Row],[Company Name]],customers__2[companyName],customers__2[country],,0)</f>
        <v>Venezuela</v>
      </c>
      <c r="L223">
        <f>MONTH(Table9[[#This Row],[OrderDate ]])</f>
        <v>10</v>
      </c>
      <c r="M223" t="str">
        <f>TEXT(Table9[[#This Row],[OrderDate ]],"mmm")</f>
        <v>Oct</v>
      </c>
      <c r="N223">
        <f>YEAR(Table9[[#This Row],[OrderDate ]])</f>
        <v>2013</v>
      </c>
    </row>
    <row r="224" spans="1:14" x14ac:dyDescent="0.3">
      <c r="A224">
        <v>10331</v>
      </c>
      <c r="B224" s="2">
        <f>_xlfn.XLOOKUP(Table9[[#This Row],[orderID]],orders[orderID],orders[orderDate],,0)</f>
        <v>41563</v>
      </c>
      <c r="C224">
        <f>_xlfn.XLOOKUP(A224,order_details[orderID],order_details[productID],,0)</f>
        <v>54</v>
      </c>
      <c r="D224" t="str">
        <f>_xlfn.XLOOKUP(C224,products[productID],products[productName],,0)</f>
        <v>Tourtière</v>
      </c>
      <c r="E224" t="str">
        <f>_xlfn.XLOOKUP(_xlfn.XLOOKUP(Table9[[#This Row],[ProductName ]],products[productName],products[categoryID],,0),categories[categoryID],categories[categoryName],,0)</f>
        <v>Meat &amp; Poultry</v>
      </c>
      <c r="F224">
        <v>15</v>
      </c>
      <c r="G224">
        <v>59</v>
      </c>
      <c r="H224">
        <v>0</v>
      </c>
      <c r="I224">
        <f>Table9[[#This Row],[quantity]]*Table9[[#This Row],[unitPrice]]*(1-Table9[[#This Row],[discount]]/100)</f>
        <v>885</v>
      </c>
      <c r="J224" t="str">
        <f>_xlfn.XLOOKUP(_xlfn.XLOOKUP(A224,orders[orderID],orders[customerID],,0),customers__2[customerID],customers__2[companyName],,0)</f>
        <v>Bon app'</v>
      </c>
      <c r="K224" t="str">
        <f>_xlfn.XLOOKUP(Table9[[#This Row],[Company Name]],customers__2[companyName],customers__2[country],,0)</f>
        <v>France</v>
      </c>
      <c r="L224">
        <f>MONTH(Table9[[#This Row],[OrderDate ]])</f>
        <v>10</v>
      </c>
      <c r="M224" t="str">
        <f>TEXT(Table9[[#This Row],[OrderDate ]],"mmm")</f>
        <v>Oct</v>
      </c>
      <c r="N224">
        <f>YEAR(Table9[[#This Row],[OrderDate ]])</f>
        <v>2013</v>
      </c>
    </row>
    <row r="225" spans="1:14" x14ac:dyDescent="0.3">
      <c r="A225">
        <v>10332</v>
      </c>
      <c r="B225" s="2">
        <f>_xlfn.XLOOKUP(Table9[[#This Row],[orderID]],orders[orderID],orders[orderDate],,0)</f>
        <v>41564</v>
      </c>
      <c r="C225">
        <f>_xlfn.XLOOKUP(A225,order_details[orderID],order_details[productID],,0)</f>
        <v>18</v>
      </c>
      <c r="D225" t="str">
        <f>_xlfn.XLOOKUP(C225,products[productID],products[productName],,0)</f>
        <v>Carnarvon Tigers</v>
      </c>
      <c r="E225" t="str">
        <f>_xlfn.XLOOKUP(_xlfn.XLOOKUP(Table9[[#This Row],[ProductName ]],products[productName],products[categoryID],,0),categories[categoryID],categories[categoryName],,0)</f>
        <v>Seafood</v>
      </c>
      <c r="F225">
        <v>40</v>
      </c>
      <c r="G225">
        <v>50</v>
      </c>
      <c r="H225">
        <v>2</v>
      </c>
      <c r="I225">
        <f>Table9[[#This Row],[quantity]]*Table9[[#This Row],[unitPrice]]*(1-Table9[[#This Row],[discount]]/100)</f>
        <v>1960</v>
      </c>
      <c r="J225" t="str">
        <f>_xlfn.XLOOKUP(_xlfn.XLOOKUP(A225,orders[orderID],orders[customerID],,0),customers__2[customerID],customers__2[companyName],,0)</f>
        <v>Mère Paillarde</v>
      </c>
      <c r="K225" t="str">
        <f>_xlfn.XLOOKUP(Table9[[#This Row],[Company Name]],customers__2[companyName],customers__2[country],,0)</f>
        <v>Canada</v>
      </c>
      <c r="L225">
        <f>MONTH(Table9[[#This Row],[OrderDate ]])</f>
        <v>10</v>
      </c>
      <c r="M225" t="str">
        <f>TEXT(Table9[[#This Row],[OrderDate ]],"mmm")</f>
        <v>Oct</v>
      </c>
      <c r="N225">
        <f>YEAR(Table9[[#This Row],[OrderDate ]])</f>
        <v>2013</v>
      </c>
    </row>
    <row r="226" spans="1:14" x14ac:dyDescent="0.3">
      <c r="A226">
        <v>10332</v>
      </c>
      <c r="B226" s="2">
        <f>_xlfn.XLOOKUP(Table9[[#This Row],[orderID]],orders[orderID],orders[orderDate],,0)</f>
        <v>41564</v>
      </c>
      <c r="C226">
        <f>_xlfn.XLOOKUP(A226,order_details[orderID],order_details[productID],,0)</f>
        <v>18</v>
      </c>
      <c r="D226" t="str">
        <f>_xlfn.XLOOKUP(C226,products[productID],products[productName],,0)</f>
        <v>Carnarvon Tigers</v>
      </c>
      <c r="E226" t="str">
        <f>_xlfn.XLOOKUP(_xlfn.XLOOKUP(Table9[[#This Row],[ProductName ]],products[productName],products[categoryID],,0),categories[categoryID],categories[categoryName],,0)</f>
        <v>Seafood</v>
      </c>
      <c r="F226">
        <v>10</v>
      </c>
      <c r="G226">
        <v>112</v>
      </c>
      <c r="H226">
        <v>2</v>
      </c>
      <c r="I226">
        <f>Table9[[#This Row],[quantity]]*Table9[[#This Row],[unitPrice]]*(1-Table9[[#This Row],[discount]]/100)</f>
        <v>1097.5999999999999</v>
      </c>
      <c r="J226" t="str">
        <f>_xlfn.XLOOKUP(_xlfn.XLOOKUP(A226,orders[orderID],orders[customerID],,0),customers__2[customerID],customers__2[companyName],,0)</f>
        <v>Mère Paillarde</v>
      </c>
      <c r="K226" t="str">
        <f>_xlfn.XLOOKUP(Table9[[#This Row],[Company Name]],customers__2[companyName],customers__2[country],,0)</f>
        <v>Canada</v>
      </c>
      <c r="L226">
        <f>MONTH(Table9[[#This Row],[OrderDate ]])</f>
        <v>10</v>
      </c>
      <c r="M226" t="str">
        <f>TEXT(Table9[[#This Row],[OrderDate ]],"mmm")</f>
        <v>Oct</v>
      </c>
      <c r="N226">
        <f>YEAR(Table9[[#This Row],[OrderDate ]])</f>
        <v>2013</v>
      </c>
    </row>
    <row r="227" spans="1:14" x14ac:dyDescent="0.3">
      <c r="A227">
        <v>10332</v>
      </c>
      <c r="B227" s="2">
        <f>_xlfn.XLOOKUP(Table9[[#This Row],[orderID]],orders[orderID],orders[orderDate],,0)</f>
        <v>41564</v>
      </c>
      <c r="C227">
        <f>_xlfn.XLOOKUP(A227,order_details[orderID],order_details[productID],,0)</f>
        <v>18</v>
      </c>
      <c r="D227" t="str">
        <f>_xlfn.XLOOKUP(C227,products[productID],products[productName],,0)</f>
        <v>Carnarvon Tigers</v>
      </c>
      <c r="E227" t="str">
        <f>_xlfn.XLOOKUP(_xlfn.XLOOKUP(Table9[[#This Row],[ProductName ]],products[productName],products[categoryID],,0),categories[categoryID],categories[categoryName],,0)</f>
        <v>Seafood</v>
      </c>
      <c r="F227">
        <v>16</v>
      </c>
      <c r="G227">
        <v>76</v>
      </c>
      <c r="H227">
        <v>2</v>
      </c>
      <c r="I227">
        <f>Table9[[#This Row],[quantity]]*Table9[[#This Row],[unitPrice]]*(1-Table9[[#This Row],[discount]]/100)</f>
        <v>1191.68</v>
      </c>
      <c r="J227" t="str">
        <f>_xlfn.XLOOKUP(_xlfn.XLOOKUP(A227,orders[orderID],orders[customerID],,0),customers__2[customerID],customers__2[companyName],,0)</f>
        <v>Mère Paillarde</v>
      </c>
      <c r="K227" t="str">
        <f>_xlfn.XLOOKUP(Table9[[#This Row],[Company Name]],customers__2[companyName],customers__2[country],,0)</f>
        <v>Canada</v>
      </c>
      <c r="L227">
        <f>MONTH(Table9[[#This Row],[OrderDate ]])</f>
        <v>10</v>
      </c>
      <c r="M227" t="str">
        <f>TEXT(Table9[[#This Row],[OrderDate ]],"mmm")</f>
        <v>Oct</v>
      </c>
      <c r="N227">
        <f>YEAR(Table9[[#This Row],[OrderDate ]])</f>
        <v>2013</v>
      </c>
    </row>
    <row r="228" spans="1:14" x14ac:dyDescent="0.3">
      <c r="A228">
        <v>10333</v>
      </c>
      <c r="B228" s="2">
        <f>_xlfn.XLOOKUP(Table9[[#This Row],[orderID]],orders[orderID],orders[orderDate],,0)</f>
        <v>41565</v>
      </c>
      <c r="C228">
        <f>_xlfn.XLOOKUP(A228,order_details[orderID],order_details[productID],,0)</f>
        <v>14</v>
      </c>
      <c r="D228" t="str">
        <f>_xlfn.XLOOKUP(C228,products[productID],products[productName],,0)</f>
        <v>Tofu</v>
      </c>
      <c r="E228" t="str">
        <f>_xlfn.XLOOKUP(_xlfn.XLOOKUP(Table9[[#This Row],[ProductName ]],products[productName],products[categoryID],,0),categories[categoryID],categories[categoryName],,0)</f>
        <v>Produce</v>
      </c>
      <c r="F228">
        <v>10</v>
      </c>
      <c r="G228">
        <v>186</v>
      </c>
      <c r="H228">
        <v>0</v>
      </c>
      <c r="I228">
        <f>Table9[[#This Row],[quantity]]*Table9[[#This Row],[unitPrice]]*(1-Table9[[#This Row],[discount]]/100)</f>
        <v>1860</v>
      </c>
      <c r="J228" t="str">
        <f>_xlfn.XLOOKUP(_xlfn.XLOOKUP(A228,orders[orderID],orders[customerID],,0),customers__2[customerID],customers__2[companyName],,0)</f>
        <v>Wartian Herkku</v>
      </c>
      <c r="K228" t="str">
        <f>_xlfn.XLOOKUP(Table9[[#This Row],[Company Name]],customers__2[companyName],customers__2[country],,0)</f>
        <v>Finland</v>
      </c>
      <c r="L228">
        <f>MONTH(Table9[[#This Row],[OrderDate ]])</f>
        <v>10</v>
      </c>
      <c r="M228" t="str">
        <f>TEXT(Table9[[#This Row],[OrderDate ]],"mmm")</f>
        <v>Oct</v>
      </c>
      <c r="N228">
        <f>YEAR(Table9[[#This Row],[OrderDate ]])</f>
        <v>2013</v>
      </c>
    </row>
    <row r="229" spans="1:14" x14ac:dyDescent="0.3">
      <c r="A229">
        <v>10333</v>
      </c>
      <c r="B229" s="2">
        <f>_xlfn.XLOOKUP(Table9[[#This Row],[orderID]],orders[orderID],orders[orderDate],,0)</f>
        <v>41565</v>
      </c>
      <c r="C229">
        <f>_xlfn.XLOOKUP(A229,order_details[orderID],order_details[productID],,0)</f>
        <v>14</v>
      </c>
      <c r="D229" t="str">
        <f>_xlfn.XLOOKUP(C229,products[productID],products[productName],,0)</f>
        <v>Tofu</v>
      </c>
      <c r="E229" t="str">
        <f>_xlfn.XLOOKUP(_xlfn.XLOOKUP(Table9[[#This Row],[ProductName ]],products[productName],products[categoryID],,0),categories[categoryID],categories[categoryName],,0)</f>
        <v>Produce</v>
      </c>
      <c r="F229">
        <v>10</v>
      </c>
      <c r="G229">
        <v>8</v>
      </c>
      <c r="H229">
        <v>1</v>
      </c>
      <c r="I229">
        <f>Table9[[#This Row],[quantity]]*Table9[[#This Row],[unitPrice]]*(1-Table9[[#This Row],[discount]]/100)</f>
        <v>79.2</v>
      </c>
      <c r="J229" t="str">
        <f>_xlfn.XLOOKUP(_xlfn.XLOOKUP(A229,orders[orderID],orders[customerID],,0),customers__2[customerID],customers__2[companyName],,0)</f>
        <v>Wartian Herkku</v>
      </c>
      <c r="K229" t="str">
        <f>_xlfn.XLOOKUP(Table9[[#This Row],[Company Name]],customers__2[companyName],customers__2[country],,0)</f>
        <v>Finland</v>
      </c>
      <c r="L229">
        <f>MONTH(Table9[[#This Row],[OrderDate ]])</f>
        <v>10</v>
      </c>
      <c r="M229" t="str">
        <f>TEXT(Table9[[#This Row],[OrderDate ]],"mmm")</f>
        <v>Oct</v>
      </c>
      <c r="N229">
        <f>YEAR(Table9[[#This Row],[OrderDate ]])</f>
        <v>2013</v>
      </c>
    </row>
    <row r="230" spans="1:14" x14ac:dyDescent="0.3">
      <c r="A230">
        <v>10333</v>
      </c>
      <c r="B230" s="2">
        <f>_xlfn.XLOOKUP(Table9[[#This Row],[orderID]],orders[orderID],orders[orderDate],,0)</f>
        <v>41565</v>
      </c>
      <c r="C230">
        <f>_xlfn.XLOOKUP(A230,order_details[orderID],order_details[productID],,0)</f>
        <v>14</v>
      </c>
      <c r="D230" t="str">
        <f>_xlfn.XLOOKUP(C230,products[productID],products[productName],,0)</f>
        <v>Tofu</v>
      </c>
      <c r="E230" t="str">
        <f>_xlfn.XLOOKUP(_xlfn.XLOOKUP(Table9[[#This Row],[ProductName ]],products[productName],products[categoryID],,0),categories[categoryID],categories[categoryName],,0)</f>
        <v>Produce</v>
      </c>
      <c r="F230">
        <v>40</v>
      </c>
      <c r="G230">
        <v>172</v>
      </c>
      <c r="H230">
        <v>1</v>
      </c>
      <c r="I230">
        <f>Table9[[#This Row],[quantity]]*Table9[[#This Row],[unitPrice]]*(1-Table9[[#This Row],[discount]]/100)</f>
        <v>6811.2</v>
      </c>
      <c r="J230" t="str">
        <f>_xlfn.XLOOKUP(_xlfn.XLOOKUP(A230,orders[orderID],orders[customerID],,0),customers__2[customerID],customers__2[companyName],,0)</f>
        <v>Wartian Herkku</v>
      </c>
      <c r="K230" t="str">
        <f>_xlfn.XLOOKUP(Table9[[#This Row],[Company Name]],customers__2[companyName],customers__2[country],,0)</f>
        <v>Finland</v>
      </c>
      <c r="L230">
        <f>MONTH(Table9[[#This Row],[OrderDate ]])</f>
        <v>10</v>
      </c>
      <c r="M230" t="str">
        <f>TEXT(Table9[[#This Row],[OrderDate ]],"mmm")</f>
        <v>Oct</v>
      </c>
      <c r="N230">
        <f>YEAR(Table9[[#This Row],[OrderDate ]])</f>
        <v>2013</v>
      </c>
    </row>
    <row r="231" spans="1:14" x14ac:dyDescent="0.3">
      <c r="A231">
        <v>10334</v>
      </c>
      <c r="B231" s="2">
        <f>_xlfn.XLOOKUP(Table9[[#This Row],[orderID]],orders[orderID],orders[orderDate],,0)</f>
        <v>41568</v>
      </c>
      <c r="C231">
        <f>_xlfn.XLOOKUP(A231,order_details[orderID],order_details[productID],,0)</f>
        <v>52</v>
      </c>
      <c r="D231" t="str">
        <f>_xlfn.XLOOKUP(C231,products[productID],products[productName],,0)</f>
        <v>Filo Mix</v>
      </c>
      <c r="E231" t="str">
        <f>_xlfn.XLOOKUP(_xlfn.XLOOKUP(Table9[[#This Row],[ProductName ]],products[productName],products[categoryID],,0),categories[categoryID],categories[categoryName],,0)</f>
        <v>Grains &amp; Cereals</v>
      </c>
      <c r="F231">
        <v>8</v>
      </c>
      <c r="G231">
        <v>56</v>
      </c>
      <c r="H231">
        <v>0</v>
      </c>
      <c r="I231">
        <f>Table9[[#This Row],[quantity]]*Table9[[#This Row],[unitPrice]]*(1-Table9[[#This Row],[discount]]/100)</f>
        <v>448</v>
      </c>
      <c r="J231" t="str">
        <f>_xlfn.XLOOKUP(_xlfn.XLOOKUP(A231,orders[orderID],orders[customerID],,0),customers__2[customerID],customers__2[companyName],,0)</f>
        <v>Victuailles en stock</v>
      </c>
      <c r="K231" t="str">
        <f>_xlfn.XLOOKUP(Table9[[#This Row],[Company Name]],customers__2[companyName],customers__2[country],,0)</f>
        <v>France</v>
      </c>
      <c r="L231">
        <f>MONTH(Table9[[#This Row],[OrderDate ]])</f>
        <v>10</v>
      </c>
      <c r="M231" t="str">
        <f>TEXT(Table9[[#This Row],[OrderDate ]],"mmm")</f>
        <v>Oct</v>
      </c>
      <c r="N231">
        <f>YEAR(Table9[[#This Row],[OrderDate ]])</f>
        <v>2013</v>
      </c>
    </row>
    <row r="232" spans="1:14" x14ac:dyDescent="0.3">
      <c r="A232">
        <v>10334</v>
      </c>
      <c r="B232" s="2">
        <f>_xlfn.XLOOKUP(Table9[[#This Row],[orderID]],orders[orderID],orders[orderDate],,0)</f>
        <v>41568</v>
      </c>
      <c r="C232">
        <f>_xlfn.XLOOKUP(A232,order_details[orderID],order_details[productID],,0)</f>
        <v>52</v>
      </c>
      <c r="D232" t="str">
        <f>_xlfn.XLOOKUP(C232,products[productID],products[productName],,0)</f>
        <v>Filo Mix</v>
      </c>
      <c r="E232" t="str">
        <f>_xlfn.XLOOKUP(_xlfn.XLOOKUP(Table9[[#This Row],[ProductName ]],products[productName],products[categoryID],,0),categories[categoryID],categories[categoryName],,0)</f>
        <v>Grains &amp; Cereals</v>
      </c>
      <c r="F232">
        <v>10</v>
      </c>
      <c r="G232">
        <v>10</v>
      </c>
      <c r="H232">
        <v>0</v>
      </c>
      <c r="I232">
        <f>Table9[[#This Row],[quantity]]*Table9[[#This Row],[unitPrice]]*(1-Table9[[#This Row],[discount]]/100)</f>
        <v>100</v>
      </c>
      <c r="J232" t="str">
        <f>_xlfn.XLOOKUP(_xlfn.XLOOKUP(A232,orders[orderID],orders[customerID],,0),customers__2[customerID],customers__2[companyName],,0)</f>
        <v>Victuailles en stock</v>
      </c>
      <c r="K232" t="str">
        <f>_xlfn.XLOOKUP(Table9[[#This Row],[Company Name]],customers__2[companyName],customers__2[country],,0)</f>
        <v>France</v>
      </c>
      <c r="L232">
        <f>MONTH(Table9[[#This Row],[OrderDate ]])</f>
        <v>10</v>
      </c>
      <c r="M232" t="str">
        <f>TEXT(Table9[[#This Row],[OrderDate ]],"mmm")</f>
        <v>Oct</v>
      </c>
      <c r="N232">
        <f>YEAR(Table9[[#This Row],[OrderDate ]])</f>
        <v>2013</v>
      </c>
    </row>
    <row r="233" spans="1:14" x14ac:dyDescent="0.3">
      <c r="A233">
        <v>10335</v>
      </c>
      <c r="B233" s="2">
        <f>_xlfn.XLOOKUP(Table9[[#This Row],[orderID]],orders[orderID],orders[orderDate],,0)</f>
        <v>41569</v>
      </c>
      <c r="C233">
        <f>_xlfn.XLOOKUP(A233,order_details[orderID],order_details[productID],,0)</f>
        <v>2</v>
      </c>
      <c r="D233" t="str">
        <f>_xlfn.XLOOKUP(C233,products[productID],products[productName],,0)</f>
        <v>Chang</v>
      </c>
      <c r="E233" t="str">
        <f>_xlfn.XLOOKUP(_xlfn.XLOOKUP(Table9[[#This Row],[ProductName ]],products[productName],products[categoryID],,0),categories[categoryID],categories[categoryName],,0)</f>
        <v>Beverages</v>
      </c>
      <c r="F233">
        <v>7</v>
      </c>
      <c r="G233">
        <v>152</v>
      </c>
      <c r="H233">
        <v>2</v>
      </c>
      <c r="I233">
        <f>Table9[[#This Row],[quantity]]*Table9[[#This Row],[unitPrice]]*(1-Table9[[#This Row],[discount]]/100)</f>
        <v>1042.72</v>
      </c>
      <c r="J233" t="str">
        <f>_xlfn.XLOOKUP(_xlfn.XLOOKUP(A233,orders[orderID],orders[customerID],,0),customers__2[customerID],customers__2[companyName],,0)</f>
        <v>Hungry Owl All-Night Grocers</v>
      </c>
      <c r="K233" t="str">
        <f>_xlfn.XLOOKUP(Table9[[#This Row],[Company Name]],customers__2[companyName],customers__2[country],,0)</f>
        <v>Ireland</v>
      </c>
      <c r="L233">
        <f>MONTH(Table9[[#This Row],[OrderDate ]])</f>
        <v>10</v>
      </c>
      <c r="M233" t="str">
        <f>TEXT(Table9[[#This Row],[OrderDate ]],"mmm")</f>
        <v>Oct</v>
      </c>
      <c r="N233">
        <f>YEAR(Table9[[#This Row],[OrderDate ]])</f>
        <v>2013</v>
      </c>
    </row>
    <row r="234" spans="1:14" x14ac:dyDescent="0.3">
      <c r="A234">
        <v>10335</v>
      </c>
      <c r="B234" s="2">
        <f>_xlfn.XLOOKUP(Table9[[#This Row],[orderID]],orders[orderID],orders[orderDate],,0)</f>
        <v>41569</v>
      </c>
      <c r="C234">
        <f>_xlfn.XLOOKUP(A234,order_details[orderID],order_details[productID],,0)</f>
        <v>2</v>
      </c>
      <c r="D234" t="str">
        <f>_xlfn.XLOOKUP(C234,products[productID],products[productName],,0)</f>
        <v>Chang</v>
      </c>
      <c r="E234" t="str">
        <f>_xlfn.XLOOKUP(_xlfn.XLOOKUP(Table9[[#This Row],[ProductName ]],products[productName],products[categoryID],,0),categories[categoryID],categories[categoryName],,0)</f>
        <v>Beverages</v>
      </c>
      <c r="F234">
        <v>25</v>
      </c>
      <c r="G234">
        <v>10</v>
      </c>
      <c r="H234">
        <v>2</v>
      </c>
      <c r="I234">
        <f>Table9[[#This Row],[quantity]]*Table9[[#This Row],[unitPrice]]*(1-Table9[[#This Row],[discount]]/100)</f>
        <v>245</v>
      </c>
      <c r="J234" t="str">
        <f>_xlfn.XLOOKUP(_xlfn.XLOOKUP(A234,orders[orderID],orders[customerID],,0),customers__2[customerID],customers__2[companyName],,0)</f>
        <v>Hungry Owl All-Night Grocers</v>
      </c>
      <c r="K234" t="str">
        <f>_xlfn.XLOOKUP(Table9[[#This Row],[Company Name]],customers__2[companyName],customers__2[country],,0)</f>
        <v>Ireland</v>
      </c>
      <c r="L234">
        <f>MONTH(Table9[[#This Row],[OrderDate ]])</f>
        <v>10</v>
      </c>
      <c r="M234" t="str">
        <f>TEXT(Table9[[#This Row],[OrderDate ]],"mmm")</f>
        <v>Oct</v>
      </c>
      <c r="N234">
        <f>YEAR(Table9[[#This Row],[OrderDate ]])</f>
        <v>2013</v>
      </c>
    </row>
    <row r="235" spans="1:14" x14ac:dyDescent="0.3">
      <c r="A235">
        <v>10335</v>
      </c>
      <c r="B235" s="2">
        <f>_xlfn.XLOOKUP(Table9[[#This Row],[orderID]],orders[orderID],orders[orderDate],,0)</f>
        <v>41569</v>
      </c>
      <c r="C235">
        <f>_xlfn.XLOOKUP(A235,order_details[orderID],order_details[productID],,0)</f>
        <v>2</v>
      </c>
      <c r="D235" t="str">
        <f>_xlfn.XLOOKUP(C235,products[productID],products[productName],,0)</f>
        <v>Chang</v>
      </c>
      <c r="E235" t="str">
        <f>_xlfn.XLOOKUP(_xlfn.XLOOKUP(Table9[[#This Row],[ProductName ]],products[productName],products[categoryID],,0),categories[categoryID],categories[categoryName],,0)</f>
        <v>Beverages</v>
      </c>
      <c r="F235">
        <v>6</v>
      </c>
      <c r="G235">
        <v>256</v>
      </c>
      <c r="H235">
        <v>2</v>
      </c>
      <c r="I235">
        <f>Table9[[#This Row],[quantity]]*Table9[[#This Row],[unitPrice]]*(1-Table9[[#This Row],[discount]]/100)</f>
        <v>1505.28</v>
      </c>
      <c r="J235" t="str">
        <f>_xlfn.XLOOKUP(_xlfn.XLOOKUP(A235,orders[orderID],orders[customerID],,0),customers__2[customerID],customers__2[companyName],,0)</f>
        <v>Hungry Owl All-Night Grocers</v>
      </c>
      <c r="K235" t="str">
        <f>_xlfn.XLOOKUP(Table9[[#This Row],[Company Name]],customers__2[companyName],customers__2[country],,0)</f>
        <v>Ireland</v>
      </c>
      <c r="L235">
        <f>MONTH(Table9[[#This Row],[OrderDate ]])</f>
        <v>10</v>
      </c>
      <c r="M235" t="str">
        <f>TEXT(Table9[[#This Row],[OrderDate ]],"mmm")</f>
        <v>Oct</v>
      </c>
      <c r="N235">
        <f>YEAR(Table9[[#This Row],[OrderDate ]])</f>
        <v>2013</v>
      </c>
    </row>
    <row r="236" spans="1:14" x14ac:dyDescent="0.3">
      <c r="A236">
        <v>10335</v>
      </c>
      <c r="B236" s="2">
        <f>_xlfn.XLOOKUP(Table9[[#This Row],[orderID]],orders[orderID],orders[orderDate],,0)</f>
        <v>41569</v>
      </c>
      <c r="C236">
        <f>_xlfn.XLOOKUP(A236,order_details[orderID],order_details[productID],,0)</f>
        <v>2</v>
      </c>
      <c r="D236" t="str">
        <f>_xlfn.XLOOKUP(C236,products[productID],products[productName],,0)</f>
        <v>Chang</v>
      </c>
      <c r="E236" t="str">
        <f>_xlfn.XLOOKUP(_xlfn.XLOOKUP(Table9[[#This Row],[ProductName ]],products[productName],products[categoryID],,0),categories[categoryID],categories[categoryName],,0)</f>
        <v>Beverages</v>
      </c>
      <c r="F236">
        <v>48</v>
      </c>
      <c r="G236">
        <v>424</v>
      </c>
      <c r="H236">
        <v>2</v>
      </c>
      <c r="I236">
        <f>Table9[[#This Row],[quantity]]*Table9[[#This Row],[unitPrice]]*(1-Table9[[#This Row],[discount]]/100)</f>
        <v>19944.96</v>
      </c>
      <c r="J236" t="str">
        <f>_xlfn.XLOOKUP(_xlfn.XLOOKUP(A236,orders[orderID],orders[customerID],,0),customers__2[customerID],customers__2[companyName],,0)</f>
        <v>Hungry Owl All-Night Grocers</v>
      </c>
      <c r="K236" t="str">
        <f>_xlfn.XLOOKUP(Table9[[#This Row],[Company Name]],customers__2[companyName],customers__2[country],,0)</f>
        <v>Ireland</v>
      </c>
      <c r="L236">
        <f>MONTH(Table9[[#This Row],[OrderDate ]])</f>
        <v>10</v>
      </c>
      <c r="M236" t="str">
        <f>TEXT(Table9[[#This Row],[OrderDate ]],"mmm")</f>
        <v>Oct</v>
      </c>
      <c r="N236">
        <f>YEAR(Table9[[#This Row],[OrderDate ]])</f>
        <v>2013</v>
      </c>
    </row>
    <row r="237" spans="1:14" x14ac:dyDescent="0.3">
      <c r="A237">
        <v>10336</v>
      </c>
      <c r="B237" s="2">
        <f>_xlfn.XLOOKUP(Table9[[#This Row],[orderID]],orders[orderID],orders[orderDate],,0)</f>
        <v>41570</v>
      </c>
      <c r="C237">
        <f>_xlfn.XLOOKUP(A237,order_details[orderID],order_details[productID],,0)</f>
        <v>4</v>
      </c>
      <c r="D237" t="str">
        <f>_xlfn.XLOOKUP(C237,products[productID],products[productName],,0)</f>
        <v>Chef Anton's Cajun Seasoning</v>
      </c>
      <c r="E237" t="str">
        <f>_xlfn.XLOOKUP(_xlfn.XLOOKUP(Table9[[#This Row],[ProductName ]],products[productName],products[categoryID],,0),categories[categoryID],categories[categoryName],,0)</f>
        <v>Condiments</v>
      </c>
      <c r="F237">
        <v>18</v>
      </c>
      <c r="G237">
        <v>176</v>
      </c>
      <c r="H237">
        <v>1</v>
      </c>
      <c r="I237">
        <f>Table9[[#This Row],[quantity]]*Table9[[#This Row],[unitPrice]]*(1-Table9[[#This Row],[discount]]/100)</f>
        <v>3136.32</v>
      </c>
      <c r="J237" t="str">
        <f>_xlfn.XLOOKUP(_xlfn.XLOOKUP(A237,orders[orderID],orders[customerID],,0),customers__2[customerID],customers__2[companyName],,0)</f>
        <v>Princesa Isabel Vinhos</v>
      </c>
      <c r="K237" t="str">
        <f>_xlfn.XLOOKUP(Table9[[#This Row],[Company Name]],customers__2[companyName],customers__2[country],,0)</f>
        <v>Portugal</v>
      </c>
      <c r="L237">
        <f>MONTH(Table9[[#This Row],[OrderDate ]])</f>
        <v>10</v>
      </c>
      <c r="M237" t="str">
        <f>TEXT(Table9[[#This Row],[OrderDate ]],"mmm")</f>
        <v>Oct</v>
      </c>
      <c r="N237">
        <f>YEAR(Table9[[#This Row],[OrderDate ]])</f>
        <v>2013</v>
      </c>
    </row>
    <row r="238" spans="1:14" x14ac:dyDescent="0.3">
      <c r="A238">
        <v>10337</v>
      </c>
      <c r="B238" s="2">
        <f>_xlfn.XLOOKUP(Table9[[#This Row],[orderID]],orders[orderID],orders[orderDate],,0)</f>
        <v>41571</v>
      </c>
      <c r="C238">
        <f>_xlfn.XLOOKUP(A238,order_details[orderID],order_details[productID],,0)</f>
        <v>23</v>
      </c>
      <c r="D238" t="str">
        <f>_xlfn.XLOOKUP(C238,products[productID],products[productName],,0)</f>
        <v>Tunnbröd</v>
      </c>
      <c r="E238" t="str">
        <f>_xlfn.XLOOKUP(_xlfn.XLOOKUP(Table9[[#This Row],[ProductName ]],products[productName],products[categoryID],,0),categories[categoryID],categories[categoryName],,0)</f>
        <v>Grains &amp; Cereals</v>
      </c>
      <c r="F238">
        <v>40</v>
      </c>
      <c r="G238">
        <v>72</v>
      </c>
      <c r="H238">
        <v>0</v>
      </c>
      <c r="I238">
        <f>Table9[[#This Row],[quantity]]*Table9[[#This Row],[unitPrice]]*(1-Table9[[#This Row],[discount]]/100)</f>
        <v>2880</v>
      </c>
      <c r="J238" t="str">
        <f>_xlfn.XLOOKUP(_xlfn.XLOOKUP(A238,orders[orderID],orders[customerID],,0),customers__2[customerID],customers__2[companyName],,0)</f>
        <v>Frankenversand</v>
      </c>
      <c r="K238" t="str">
        <f>_xlfn.XLOOKUP(Table9[[#This Row],[Company Name]],customers__2[companyName],customers__2[country],,0)</f>
        <v>Germany</v>
      </c>
      <c r="L238">
        <f>MONTH(Table9[[#This Row],[OrderDate ]])</f>
        <v>10</v>
      </c>
      <c r="M238" t="str">
        <f>TEXT(Table9[[#This Row],[OrderDate ]],"mmm")</f>
        <v>Oct</v>
      </c>
      <c r="N238">
        <f>YEAR(Table9[[#This Row],[OrderDate ]])</f>
        <v>2013</v>
      </c>
    </row>
    <row r="239" spans="1:14" x14ac:dyDescent="0.3">
      <c r="A239">
        <v>10337</v>
      </c>
      <c r="B239" s="2">
        <f>_xlfn.XLOOKUP(Table9[[#This Row],[orderID]],orders[orderID],orders[orderDate],,0)</f>
        <v>41571</v>
      </c>
      <c r="C239">
        <f>_xlfn.XLOOKUP(A239,order_details[orderID],order_details[productID],,0)</f>
        <v>23</v>
      </c>
      <c r="D239" t="str">
        <f>_xlfn.XLOOKUP(C239,products[productID],products[productName],,0)</f>
        <v>Tunnbröd</v>
      </c>
      <c r="E239" t="str">
        <f>_xlfn.XLOOKUP(_xlfn.XLOOKUP(Table9[[#This Row],[ProductName ]],products[productName],products[categoryID],,0),categories[categoryID],categories[categoryName],,0)</f>
        <v>Grains &amp; Cereals</v>
      </c>
      <c r="F239">
        <v>24</v>
      </c>
      <c r="G239">
        <v>249</v>
      </c>
      <c r="H239">
        <v>0</v>
      </c>
      <c r="I239">
        <f>Table9[[#This Row],[quantity]]*Table9[[#This Row],[unitPrice]]*(1-Table9[[#This Row],[discount]]/100)</f>
        <v>5976</v>
      </c>
      <c r="J239" t="str">
        <f>_xlfn.XLOOKUP(_xlfn.XLOOKUP(A239,orders[orderID],orders[customerID],,0),customers__2[customerID],customers__2[companyName],,0)</f>
        <v>Frankenversand</v>
      </c>
      <c r="K239" t="str">
        <f>_xlfn.XLOOKUP(Table9[[#This Row],[Company Name]],customers__2[companyName],customers__2[country],,0)</f>
        <v>Germany</v>
      </c>
      <c r="L239">
        <f>MONTH(Table9[[#This Row],[OrderDate ]])</f>
        <v>10</v>
      </c>
      <c r="M239" t="str">
        <f>TEXT(Table9[[#This Row],[OrderDate ]],"mmm")</f>
        <v>Oct</v>
      </c>
      <c r="N239">
        <f>YEAR(Table9[[#This Row],[OrderDate ]])</f>
        <v>2013</v>
      </c>
    </row>
    <row r="240" spans="1:14" x14ac:dyDescent="0.3">
      <c r="A240">
        <v>10337</v>
      </c>
      <c r="B240" s="2">
        <f>_xlfn.XLOOKUP(Table9[[#This Row],[orderID]],orders[orderID],orders[orderDate],,0)</f>
        <v>41571</v>
      </c>
      <c r="C240">
        <f>_xlfn.XLOOKUP(A240,order_details[orderID],order_details[productID],,0)</f>
        <v>23</v>
      </c>
      <c r="D240" t="str">
        <f>_xlfn.XLOOKUP(C240,products[productID],products[productName],,0)</f>
        <v>Tunnbröd</v>
      </c>
      <c r="E240" t="str">
        <f>_xlfn.XLOOKUP(_xlfn.XLOOKUP(Table9[[#This Row],[ProductName ]],products[productName],products[categoryID],,0),categories[categoryID],categories[categoryName],,0)</f>
        <v>Grains &amp; Cereals</v>
      </c>
      <c r="F240">
        <v>20</v>
      </c>
      <c r="G240">
        <v>152</v>
      </c>
      <c r="H240">
        <v>0</v>
      </c>
      <c r="I240">
        <f>Table9[[#This Row],[quantity]]*Table9[[#This Row],[unitPrice]]*(1-Table9[[#This Row],[discount]]/100)</f>
        <v>3040</v>
      </c>
      <c r="J240" t="str">
        <f>_xlfn.XLOOKUP(_xlfn.XLOOKUP(A240,orders[orderID],orders[customerID],,0),customers__2[customerID],customers__2[companyName],,0)</f>
        <v>Frankenversand</v>
      </c>
      <c r="K240" t="str">
        <f>_xlfn.XLOOKUP(Table9[[#This Row],[Company Name]],customers__2[companyName],customers__2[country],,0)</f>
        <v>Germany</v>
      </c>
      <c r="L240">
        <f>MONTH(Table9[[#This Row],[OrderDate ]])</f>
        <v>10</v>
      </c>
      <c r="M240" t="str">
        <f>TEXT(Table9[[#This Row],[OrderDate ]],"mmm")</f>
        <v>Oct</v>
      </c>
      <c r="N240">
        <f>YEAR(Table9[[#This Row],[OrderDate ]])</f>
        <v>2013</v>
      </c>
    </row>
    <row r="241" spans="1:14" x14ac:dyDescent="0.3">
      <c r="A241">
        <v>10337</v>
      </c>
      <c r="B241" s="2">
        <f>_xlfn.XLOOKUP(Table9[[#This Row],[orderID]],orders[orderID],orders[orderDate],,0)</f>
        <v>41571</v>
      </c>
      <c r="C241">
        <f>_xlfn.XLOOKUP(A241,order_details[orderID],order_details[productID],,0)</f>
        <v>23</v>
      </c>
      <c r="D241" t="str">
        <f>_xlfn.XLOOKUP(C241,products[productID],products[productName],,0)</f>
        <v>Tunnbröd</v>
      </c>
      <c r="E241" t="str">
        <f>_xlfn.XLOOKUP(_xlfn.XLOOKUP(Table9[[#This Row],[ProductName ]],products[productName],products[categoryID],,0),categories[categoryID],categories[categoryName],,0)</f>
        <v>Grains &amp; Cereals</v>
      </c>
      <c r="F241">
        <v>28</v>
      </c>
      <c r="G241">
        <v>208</v>
      </c>
      <c r="H241">
        <v>0</v>
      </c>
      <c r="I241">
        <f>Table9[[#This Row],[quantity]]*Table9[[#This Row],[unitPrice]]*(1-Table9[[#This Row],[discount]]/100)</f>
        <v>5824</v>
      </c>
      <c r="J241" t="str">
        <f>_xlfn.XLOOKUP(_xlfn.XLOOKUP(A241,orders[orderID],orders[customerID],,0),customers__2[customerID],customers__2[companyName],,0)</f>
        <v>Frankenversand</v>
      </c>
      <c r="K241" t="str">
        <f>_xlfn.XLOOKUP(Table9[[#This Row],[Company Name]],customers__2[companyName],customers__2[country],,0)</f>
        <v>Germany</v>
      </c>
      <c r="L241">
        <f>MONTH(Table9[[#This Row],[OrderDate ]])</f>
        <v>10</v>
      </c>
      <c r="M241" t="str">
        <f>TEXT(Table9[[#This Row],[OrderDate ]],"mmm")</f>
        <v>Oct</v>
      </c>
      <c r="N241">
        <f>YEAR(Table9[[#This Row],[OrderDate ]])</f>
        <v>2013</v>
      </c>
    </row>
    <row r="242" spans="1:14" x14ac:dyDescent="0.3">
      <c r="A242">
        <v>10337</v>
      </c>
      <c r="B242" s="2">
        <f>_xlfn.XLOOKUP(Table9[[#This Row],[orderID]],orders[orderID],orders[orderDate],,0)</f>
        <v>41571</v>
      </c>
      <c r="C242">
        <f>_xlfn.XLOOKUP(A242,order_details[orderID],order_details[productID],,0)</f>
        <v>23</v>
      </c>
      <c r="D242" t="str">
        <f>_xlfn.XLOOKUP(C242,products[productID],products[productName],,0)</f>
        <v>Tunnbröd</v>
      </c>
      <c r="E242" t="str">
        <f>_xlfn.XLOOKUP(_xlfn.XLOOKUP(Table9[[#This Row],[ProductName ]],products[productName],products[categoryID],,0),categories[categoryID],categories[categoryName],,0)</f>
        <v>Grains &amp; Cereals</v>
      </c>
      <c r="F242">
        <v>25</v>
      </c>
      <c r="G242">
        <v>278</v>
      </c>
      <c r="H242">
        <v>0</v>
      </c>
      <c r="I242">
        <f>Table9[[#This Row],[quantity]]*Table9[[#This Row],[unitPrice]]*(1-Table9[[#This Row],[discount]]/100)</f>
        <v>6950</v>
      </c>
      <c r="J242" t="str">
        <f>_xlfn.XLOOKUP(_xlfn.XLOOKUP(A242,orders[orderID],orders[customerID],,0),customers__2[customerID],customers__2[companyName],,0)</f>
        <v>Frankenversand</v>
      </c>
      <c r="K242" t="str">
        <f>_xlfn.XLOOKUP(Table9[[#This Row],[Company Name]],customers__2[companyName],customers__2[country],,0)</f>
        <v>Germany</v>
      </c>
      <c r="L242">
        <f>MONTH(Table9[[#This Row],[OrderDate ]])</f>
        <v>10</v>
      </c>
      <c r="M242" t="str">
        <f>TEXT(Table9[[#This Row],[OrderDate ]],"mmm")</f>
        <v>Oct</v>
      </c>
      <c r="N242">
        <f>YEAR(Table9[[#This Row],[OrderDate ]])</f>
        <v>2013</v>
      </c>
    </row>
    <row r="243" spans="1:14" x14ac:dyDescent="0.3">
      <c r="A243">
        <v>10338</v>
      </c>
      <c r="B243" s="2">
        <f>_xlfn.XLOOKUP(Table9[[#This Row],[orderID]],orders[orderID],orders[orderDate],,0)</f>
        <v>41572</v>
      </c>
      <c r="C243">
        <f>_xlfn.XLOOKUP(A243,order_details[orderID],order_details[productID],,0)</f>
        <v>17</v>
      </c>
      <c r="D243" t="str">
        <f>_xlfn.XLOOKUP(C243,products[productID],products[productName],,0)</f>
        <v>Alice Mutton</v>
      </c>
      <c r="E243" t="str">
        <f>_xlfn.XLOOKUP(_xlfn.XLOOKUP(Table9[[#This Row],[ProductName ]],products[productName],products[categoryID],,0),categories[categoryID],categories[categoryName],,0)</f>
        <v>Meat &amp; Poultry</v>
      </c>
      <c r="F243">
        <v>20</v>
      </c>
      <c r="G243">
        <v>312</v>
      </c>
      <c r="H243">
        <v>0</v>
      </c>
      <c r="I243">
        <f>Table9[[#This Row],[quantity]]*Table9[[#This Row],[unitPrice]]*(1-Table9[[#This Row],[discount]]/100)</f>
        <v>6240</v>
      </c>
      <c r="J243" t="str">
        <f>_xlfn.XLOOKUP(_xlfn.XLOOKUP(A243,orders[orderID],orders[customerID],,0),customers__2[customerID],customers__2[companyName],,0)</f>
        <v>Old World Delicatessen</v>
      </c>
      <c r="K243" t="str">
        <f>_xlfn.XLOOKUP(Table9[[#This Row],[Company Name]],customers__2[companyName],customers__2[country],,0)</f>
        <v>USA</v>
      </c>
      <c r="L243">
        <f>MONTH(Table9[[#This Row],[OrderDate ]])</f>
        <v>10</v>
      </c>
      <c r="M243" t="str">
        <f>TEXT(Table9[[#This Row],[OrderDate ]],"mmm")</f>
        <v>Oct</v>
      </c>
      <c r="N243">
        <f>YEAR(Table9[[#This Row],[OrderDate ]])</f>
        <v>2013</v>
      </c>
    </row>
    <row r="244" spans="1:14" x14ac:dyDescent="0.3">
      <c r="A244">
        <v>10338</v>
      </c>
      <c r="B244" s="2">
        <f>_xlfn.XLOOKUP(Table9[[#This Row],[orderID]],orders[orderID],orders[orderDate],,0)</f>
        <v>41572</v>
      </c>
      <c r="C244">
        <f>_xlfn.XLOOKUP(A244,order_details[orderID],order_details[productID],,0)</f>
        <v>17</v>
      </c>
      <c r="D244" t="str">
        <f>_xlfn.XLOOKUP(C244,products[productID],products[productName],,0)</f>
        <v>Alice Mutton</v>
      </c>
      <c r="E244" t="str">
        <f>_xlfn.XLOOKUP(_xlfn.XLOOKUP(Table9[[#This Row],[ProductName ]],products[productName],products[categoryID],,0),categories[categoryID],categories[categoryName],,0)</f>
        <v>Meat &amp; Poultry</v>
      </c>
      <c r="F244">
        <v>15</v>
      </c>
      <c r="G244">
        <v>207</v>
      </c>
      <c r="H244">
        <v>0</v>
      </c>
      <c r="I244">
        <f>Table9[[#This Row],[quantity]]*Table9[[#This Row],[unitPrice]]*(1-Table9[[#This Row],[discount]]/100)</f>
        <v>3105</v>
      </c>
      <c r="J244" t="str">
        <f>_xlfn.XLOOKUP(_xlfn.XLOOKUP(A244,orders[orderID],orders[customerID],,0),customers__2[customerID],customers__2[companyName],,0)</f>
        <v>Old World Delicatessen</v>
      </c>
      <c r="K244" t="str">
        <f>_xlfn.XLOOKUP(Table9[[#This Row],[Company Name]],customers__2[companyName],customers__2[country],,0)</f>
        <v>USA</v>
      </c>
      <c r="L244">
        <f>MONTH(Table9[[#This Row],[OrderDate ]])</f>
        <v>10</v>
      </c>
      <c r="M244" t="str">
        <f>TEXT(Table9[[#This Row],[OrderDate ]],"mmm")</f>
        <v>Oct</v>
      </c>
      <c r="N244">
        <f>YEAR(Table9[[#This Row],[OrderDate ]])</f>
        <v>2013</v>
      </c>
    </row>
    <row r="245" spans="1:14" x14ac:dyDescent="0.3">
      <c r="A245">
        <v>10339</v>
      </c>
      <c r="B245" s="2">
        <f>_xlfn.XLOOKUP(Table9[[#This Row],[orderID]],orders[orderID],orders[orderDate],,0)</f>
        <v>41575</v>
      </c>
      <c r="C245">
        <f>_xlfn.XLOOKUP(A245,order_details[orderID],order_details[productID],,0)</f>
        <v>4</v>
      </c>
      <c r="D245" t="str">
        <f>_xlfn.XLOOKUP(C245,products[productID],products[productName],,0)</f>
        <v>Chef Anton's Cajun Seasoning</v>
      </c>
      <c r="E245" t="str">
        <f>_xlfn.XLOOKUP(_xlfn.XLOOKUP(Table9[[#This Row],[ProductName ]],products[productName],products[categoryID],,0),categories[categoryID],categories[categoryName],,0)</f>
        <v>Condiments</v>
      </c>
      <c r="F245">
        <v>10</v>
      </c>
      <c r="G245">
        <v>176</v>
      </c>
      <c r="H245">
        <v>0</v>
      </c>
      <c r="I245">
        <f>Table9[[#This Row],[quantity]]*Table9[[#This Row],[unitPrice]]*(1-Table9[[#This Row],[discount]]/100)</f>
        <v>1760</v>
      </c>
      <c r="J245" t="str">
        <f>_xlfn.XLOOKUP(_xlfn.XLOOKUP(A245,orders[orderID],orders[customerID],,0),customers__2[customerID],customers__2[companyName],,0)</f>
        <v>Mère Paillarde</v>
      </c>
      <c r="K245" t="str">
        <f>_xlfn.XLOOKUP(Table9[[#This Row],[Company Name]],customers__2[companyName],customers__2[country],,0)</f>
        <v>Canada</v>
      </c>
      <c r="L245">
        <f>MONTH(Table9[[#This Row],[OrderDate ]])</f>
        <v>10</v>
      </c>
      <c r="M245" t="str">
        <f>TEXT(Table9[[#This Row],[OrderDate ]],"mmm")</f>
        <v>Oct</v>
      </c>
      <c r="N245">
        <f>YEAR(Table9[[#This Row],[OrderDate ]])</f>
        <v>2013</v>
      </c>
    </row>
    <row r="246" spans="1:14" x14ac:dyDescent="0.3">
      <c r="A246">
        <v>10339</v>
      </c>
      <c r="B246" s="2">
        <f>_xlfn.XLOOKUP(Table9[[#This Row],[orderID]],orders[orderID],orders[orderDate],,0)</f>
        <v>41575</v>
      </c>
      <c r="C246">
        <f>_xlfn.XLOOKUP(A246,order_details[orderID],order_details[productID],,0)</f>
        <v>4</v>
      </c>
      <c r="D246" t="str">
        <f>_xlfn.XLOOKUP(C246,products[productID],products[productName],,0)</f>
        <v>Chef Anton's Cajun Seasoning</v>
      </c>
      <c r="E246" t="str">
        <f>_xlfn.XLOOKUP(_xlfn.XLOOKUP(Table9[[#This Row],[ProductName ]],products[productName],products[categoryID],,0),categories[categoryID],categories[categoryName],,0)</f>
        <v>Condiments</v>
      </c>
      <c r="F246">
        <v>70</v>
      </c>
      <c r="G246">
        <v>312</v>
      </c>
      <c r="H246">
        <v>5</v>
      </c>
      <c r="I246">
        <f>Table9[[#This Row],[quantity]]*Table9[[#This Row],[unitPrice]]*(1-Table9[[#This Row],[discount]]/100)</f>
        <v>20748</v>
      </c>
      <c r="J246" t="str">
        <f>_xlfn.XLOOKUP(_xlfn.XLOOKUP(A246,orders[orderID],orders[customerID],,0),customers__2[customerID],customers__2[companyName],,0)</f>
        <v>Mère Paillarde</v>
      </c>
      <c r="K246" t="str">
        <f>_xlfn.XLOOKUP(Table9[[#This Row],[Company Name]],customers__2[companyName],customers__2[country],,0)</f>
        <v>Canada</v>
      </c>
      <c r="L246">
        <f>MONTH(Table9[[#This Row],[OrderDate ]])</f>
        <v>10</v>
      </c>
      <c r="M246" t="str">
        <f>TEXT(Table9[[#This Row],[OrderDate ]],"mmm")</f>
        <v>Oct</v>
      </c>
      <c r="N246">
        <f>YEAR(Table9[[#This Row],[OrderDate ]])</f>
        <v>2013</v>
      </c>
    </row>
    <row r="247" spans="1:14" x14ac:dyDescent="0.3">
      <c r="A247">
        <v>10339</v>
      </c>
      <c r="B247" s="2">
        <f>_xlfn.XLOOKUP(Table9[[#This Row],[orderID]],orders[orderID],orders[orderDate],,0)</f>
        <v>41575</v>
      </c>
      <c r="C247">
        <f>_xlfn.XLOOKUP(A247,order_details[orderID],order_details[productID],,0)</f>
        <v>4</v>
      </c>
      <c r="D247" t="str">
        <f>_xlfn.XLOOKUP(C247,products[productID],products[productName],,0)</f>
        <v>Chef Anton's Cajun Seasoning</v>
      </c>
      <c r="E247" t="str">
        <f>_xlfn.XLOOKUP(_xlfn.XLOOKUP(Table9[[#This Row],[ProductName ]],products[productName],products[categoryID],,0),categories[categoryID],categories[categoryName],,0)</f>
        <v>Condiments</v>
      </c>
      <c r="F247">
        <v>28</v>
      </c>
      <c r="G247">
        <v>394</v>
      </c>
      <c r="H247">
        <v>0</v>
      </c>
      <c r="I247">
        <f>Table9[[#This Row],[quantity]]*Table9[[#This Row],[unitPrice]]*(1-Table9[[#This Row],[discount]]/100)</f>
        <v>11032</v>
      </c>
      <c r="J247" t="str">
        <f>_xlfn.XLOOKUP(_xlfn.XLOOKUP(A247,orders[orderID],orders[customerID],,0),customers__2[customerID],customers__2[companyName],,0)</f>
        <v>Mère Paillarde</v>
      </c>
      <c r="K247" t="str">
        <f>_xlfn.XLOOKUP(Table9[[#This Row],[Company Name]],customers__2[companyName],customers__2[country],,0)</f>
        <v>Canada</v>
      </c>
      <c r="L247">
        <f>MONTH(Table9[[#This Row],[OrderDate ]])</f>
        <v>10</v>
      </c>
      <c r="M247" t="str">
        <f>TEXT(Table9[[#This Row],[OrderDate ]],"mmm")</f>
        <v>Oct</v>
      </c>
      <c r="N247">
        <f>YEAR(Table9[[#This Row],[OrderDate ]])</f>
        <v>2013</v>
      </c>
    </row>
    <row r="248" spans="1:14" x14ac:dyDescent="0.3">
      <c r="A248">
        <v>10340</v>
      </c>
      <c r="B248" s="2">
        <f>_xlfn.XLOOKUP(Table9[[#This Row],[orderID]],orders[orderID],orders[orderDate],,0)</f>
        <v>41576</v>
      </c>
      <c r="C248">
        <f>_xlfn.XLOOKUP(A248,order_details[orderID],order_details[productID],,0)</f>
        <v>18</v>
      </c>
      <c r="D248" t="str">
        <f>_xlfn.XLOOKUP(C248,products[productID],products[productName],,0)</f>
        <v>Carnarvon Tigers</v>
      </c>
      <c r="E248" t="str">
        <f>_xlfn.XLOOKUP(_xlfn.XLOOKUP(Table9[[#This Row],[ProductName ]],products[productName],products[categoryID],,0),categories[categoryID],categories[categoryName],,0)</f>
        <v>Seafood</v>
      </c>
      <c r="F248">
        <v>20</v>
      </c>
      <c r="G248">
        <v>50</v>
      </c>
      <c r="H248">
        <v>5</v>
      </c>
      <c r="I248">
        <f>Table9[[#This Row],[quantity]]*Table9[[#This Row],[unitPrice]]*(1-Table9[[#This Row],[discount]]/100)</f>
        <v>950</v>
      </c>
      <c r="J248" t="str">
        <f>_xlfn.XLOOKUP(_xlfn.XLOOKUP(A248,orders[orderID],orders[customerID],,0),customers__2[customerID],customers__2[companyName],,0)</f>
        <v>Bon app'</v>
      </c>
      <c r="K248" t="str">
        <f>_xlfn.XLOOKUP(Table9[[#This Row],[Company Name]],customers__2[companyName],customers__2[country],,0)</f>
        <v>France</v>
      </c>
      <c r="L248">
        <f>MONTH(Table9[[#This Row],[OrderDate ]])</f>
        <v>10</v>
      </c>
      <c r="M248" t="str">
        <f>TEXT(Table9[[#This Row],[OrderDate ]],"mmm")</f>
        <v>Oct</v>
      </c>
      <c r="N248">
        <f>YEAR(Table9[[#This Row],[OrderDate ]])</f>
        <v>2013</v>
      </c>
    </row>
    <row r="249" spans="1:14" x14ac:dyDescent="0.3">
      <c r="A249">
        <v>10340</v>
      </c>
      <c r="B249" s="2">
        <f>_xlfn.XLOOKUP(Table9[[#This Row],[orderID]],orders[orderID],orders[orderDate],,0)</f>
        <v>41576</v>
      </c>
      <c r="C249">
        <f>_xlfn.XLOOKUP(A249,order_details[orderID],order_details[productID],,0)</f>
        <v>18</v>
      </c>
      <c r="D249" t="str">
        <f>_xlfn.XLOOKUP(C249,products[productID],products[productName],,0)</f>
        <v>Carnarvon Tigers</v>
      </c>
      <c r="E249" t="str">
        <f>_xlfn.XLOOKUP(_xlfn.XLOOKUP(Table9[[#This Row],[ProductName ]],products[productName],products[categoryID],,0),categories[categoryID],categories[categoryName],,0)</f>
        <v>Seafood</v>
      </c>
      <c r="F249">
        <v>12</v>
      </c>
      <c r="G249">
        <v>77</v>
      </c>
      <c r="H249">
        <v>5</v>
      </c>
      <c r="I249">
        <f>Table9[[#This Row],[quantity]]*Table9[[#This Row],[unitPrice]]*(1-Table9[[#This Row],[discount]]/100)</f>
        <v>877.8</v>
      </c>
      <c r="J249" t="str">
        <f>_xlfn.XLOOKUP(_xlfn.XLOOKUP(A249,orders[orderID],orders[customerID],,0),customers__2[customerID],customers__2[companyName],,0)</f>
        <v>Bon app'</v>
      </c>
      <c r="K249" t="str">
        <f>_xlfn.XLOOKUP(Table9[[#This Row],[Company Name]],customers__2[companyName],customers__2[country],,0)</f>
        <v>France</v>
      </c>
      <c r="L249">
        <f>MONTH(Table9[[#This Row],[OrderDate ]])</f>
        <v>10</v>
      </c>
      <c r="M249" t="str">
        <f>TEXT(Table9[[#This Row],[OrderDate ]],"mmm")</f>
        <v>Oct</v>
      </c>
      <c r="N249">
        <f>YEAR(Table9[[#This Row],[OrderDate ]])</f>
        <v>2013</v>
      </c>
    </row>
    <row r="250" spans="1:14" x14ac:dyDescent="0.3">
      <c r="A250">
        <v>10340</v>
      </c>
      <c r="B250" s="2">
        <f>_xlfn.XLOOKUP(Table9[[#This Row],[orderID]],orders[orderID],orders[orderDate],,0)</f>
        <v>41576</v>
      </c>
      <c r="C250">
        <f>_xlfn.XLOOKUP(A250,order_details[orderID],order_details[productID],,0)</f>
        <v>18</v>
      </c>
      <c r="D250" t="str">
        <f>_xlfn.XLOOKUP(C250,products[productID],products[productName],,0)</f>
        <v>Carnarvon Tigers</v>
      </c>
      <c r="E250" t="str">
        <f>_xlfn.XLOOKUP(_xlfn.XLOOKUP(Table9[[#This Row],[ProductName ]],products[productName],products[categoryID],,0),categories[categoryID],categories[categoryName],,0)</f>
        <v>Seafood</v>
      </c>
      <c r="F250">
        <v>40</v>
      </c>
      <c r="G250">
        <v>368</v>
      </c>
      <c r="H250">
        <v>5</v>
      </c>
      <c r="I250">
        <f>Table9[[#This Row],[quantity]]*Table9[[#This Row],[unitPrice]]*(1-Table9[[#This Row],[discount]]/100)</f>
        <v>13984</v>
      </c>
      <c r="J250" t="str">
        <f>_xlfn.XLOOKUP(_xlfn.XLOOKUP(A250,orders[orderID],orders[customerID],,0),customers__2[customerID],customers__2[companyName],,0)</f>
        <v>Bon app'</v>
      </c>
      <c r="K250" t="str">
        <f>_xlfn.XLOOKUP(Table9[[#This Row],[Company Name]],customers__2[companyName],customers__2[country],,0)</f>
        <v>France</v>
      </c>
      <c r="L250">
        <f>MONTH(Table9[[#This Row],[OrderDate ]])</f>
        <v>10</v>
      </c>
      <c r="M250" t="str">
        <f>TEXT(Table9[[#This Row],[OrderDate ]],"mmm")</f>
        <v>Oct</v>
      </c>
      <c r="N250">
        <f>YEAR(Table9[[#This Row],[OrderDate ]])</f>
        <v>2013</v>
      </c>
    </row>
    <row r="251" spans="1:14" x14ac:dyDescent="0.3">
      <c r="A251">
        <v>10341</v>
      </c>
      <c r="B251" s="2">
        <f>_xlfn.XLOOKUP(Table9[[#This Row],[orderID]],orders[orderID],orders[orderDate],,0)</f>
        <v>41576</v>
      </c>
      <c r="C251">
        <f>_xlfn.XLOOKUP(A251,order_details[orderID],order_details[productID],,0)</f>
        <v>33</v>
      </c>
      <c r="D251" t="str">
        <f>_xlfn.XLOOKUP(C251,products[productID],products[productName],,0)</f>
        <v>Geitost</v>
      </c>
      <c r="E251" t="str">
        <f>_xlfn.XLOOKUP(_xlfn.XLOOKUP(Table9[[#This Row],[ProductName ]],products[productName],products[categoryID],,0),categories[categoryID],categories[categoryName],,0)</f>
        <v>Dairy Products</v>
      </c>
      <c r="F251">
        <v>8</v>
      </c>
      <c r="G251">
        <v>2</v>
      </c>
      <c r="H251">
        <v>0</v>
      </c>
      <c r="I251">
        <f>Table9[[#This Row],[quantity]]*Table9[[#This Row],[unitPrice]]*(1-Table9[[#This Row],[discount]]/100)</f>
        <v>16</v>
      </c>
      <c r="J251" t="str">
        <f>_xlfn.XLOOKUP(_xlfn.XLOOKUP(A251,orders[orderID],orders[customerID],,0),customers__2[customerID],customers__2[companyName],,0)</f>
        <v>Simons bistro</v>
      </c>
      <c r="K251" t="str">
        <f>_xlfn.XLOOKUP(Table9[[#This Row],[Company Name]],customers__2[companyName],customers__2[country],,0)</f>
        <v>Denmark</v>
      </c>
      <c r="L251">
        <f>MONTH(Table9[[#This Row],[OrderDate ]])</f>
        <v>10</v>
      </c>
      <c r="M251" t="str">
        <f>TEXT(Table9[[#This Row],[OrderDate ]],"mmm")</f>
        <v>Oct</v>
      </c>
      <c r="N251">
        <f>YEAR(Table9[[#This Row],[OrderDate ]])</f>
        <v>2013</v>
      </c>
    </row>
    <row r="252" spans="1:14" x14ac:dyDescent="0.3">
      <c r="A252">
        <v>10341</v>
      </c>
      <c r="B252" s="2">
        <f>_xlfn.XLOOKUP(Table9[[#This Row],[orderID]],orders[orderID],orders[orderDate],,0)</f>
        <v>41576</v>
      </c>
      <c r="C252">
        <f>_xlfn.XLOOKUP(A252,order_details[orderID],order_details[productID],,0)</f>
        <v>33</v>
      </c>
      <c r="D252" t="str">
        <f>_xlfn.XLOOKUP(C252,products[productID],products[productName],,0)</f>
        <v>Geitost</v>
      </c>
      <c r="E252" t="str">
        <f>_xlfn.XLOOKUP(_xlfn.XLOOKUP(Table9[[#This Row],[ProductName ]],products[productName],products[categoryID],,0),categories[categoryID],categories[categoryName],,0)</f>
        <v>Dairy Products</v>
      </c>
      <c r="F252">
        <v>9</v>
      </c>
      <c r="G252">
        <v>44</v>
      </c>
      <c r="H252">
        <v>15</v>
      </c>
      <c r="I252">
        <f>Table9[[#This Row],[quantity]]*Table9[[#This Row],[unitPrice]]*(1-Table9[[#This Row],[discount]]/100)</f>
        <v>336.59999999999997</v>
      </c>
      <c r="J252" t="str">
        <f>_xlfn.XLOOKUP(_xlfn.XLOOKUP(A252,orders[orderID],orders[customerID],,0),customers__2[customerID],customers__2[companyName],,0)</f>
        <v>Simons bistro</v>
      </c>
      <c r="K252" t="str">
        <f>_xlfn.XLOOKUP(Table9[[#This Row],[Company Name]],customers__2[companyName],customers__2[country],,0)</f>
        <v>Denmark</v>
      </c>
      <c r="L252">
        <f>MONTH(Table9[[#This Row],[OrderDate ]])</f>
        <v>10</v>
      </c>
      <c r="M252" t="str">
        <f>TEXT(Table9[[#This Row],[OrderDate ]],"mmm")</f>
        <v>Oct</v>
      </c>
      <c r="N252">
        <f>YEAR(Table9[[#This Row],[OrderDate ]])</f>
        <v>2013</v>
      </c>
    </row>
    <row r="253" spans="1:14" x14ac:dyDescent="0.3">
      <c r="A253">
        <v>10342</v>
      </c>
      <c r="B253" s="2">
        <f>_xlfn.XLOOKUP(Table9[[#This Row],[orderID]],orders[orderID],orders[orderDate],,0)</f>
        <v>41577</v>
      </c>
      <c r="C253">
        <f>_xlfn.XLOOKUP(A253,order_details[orderID],order_details[productID],,0)</f>
        <v>2</v>
      </c>
      <c r="D253" t="str">
        <f>_xlfn.XLOOKUP(C253,products[productID],products[productName],,0)</f>
        <v>Chang</v>
      </c>
      <c r="E253" t="str">
        <f>_xlfn.XLOOKUP(_xlfn.XLOOKUP(Table9[[#This Row],[ProductName ]],products[productName],products[categoryID],,0),categories[categoryID],categories[categoryName],,0)</f>
        <v>Beverages</v>
      </c>
      <c r="F253">
        <v>24</v>
      </c>
      <c r="G253">
        <v>152</v>
      </c>
      <c r="H253">
        <v>2</v>
      </c>
      <c r="I253">
        <f>Table9[[#This Row],[quantity]]*Table9[[#This Row],[unitPrice]]*(1-Table9[[#This Row],[discount]]/100)</f>
        <v>3575.04</v>
      </c>
      <c r="J253" t="str">
        <f>_xlfn.XLOOKUP(_xlfn.XLOOKUP(A253,orders[orderID],orders[customerID],,0),customers__2[customerID],customers__2[companyName],,0)</f>
        <v>Frankenversand</v>
      </c>
      <c r="K253" t="str">
        <f>_xlfn.XLOOKUP(Table9[[#This Row],[Company Name]],customers__2[companyName],customers__2[country],,0)</f>
        <v>Germany</v>
      </c>
      <c r="L253">
        <f>MONTH(Table9[[#This Row],[OrderDate ]])</f>
        <v>10</v>
      </c>
      <c r="M253" t="str">
        <f>TEXT(Table9[[#This Row],[OrderDate ]],"mmm")</f>
        <v>Oct</v>
      </c>
      <c r="N253">
        <f>YEAR(Table9[[#This Row],[OrderDate ]])</f>
        <v>2013</v>
      </c>
    </row>
    <row r="254" spans="1:14" x14ac:dyDescent="0.3">
      <c r="A254">
        <v>10342</v>
      </c>
      <c r="B254" s="2">
        <f>_xlfn.XLOOKUP(Table9[[#This Row],[orderID]],orders[orderID],orders[orderDate],,0)</f>
        <v>41577</v>
      </c>
      <c r="C254">
        <f>_xlfn.XLOOKUP(A254,order_details[orderID],order_details[productID],,0)</f>
        <v>2</v>
      </c>
      <c r="D254" t="str">
        <f>_xlfn.XLOOKUP(C254,products[productID],products[productName],,0)</f>
        <v>Chang</v>
      </c>
      <c r="E254" t="str">
        <f>_xlfn.XLOOKUP(_xlfn.XLOOKUP(Table9[[#This Row],[ProductName ]],products[productName],products[categoryID],,0),categories[categoryID],categories[categoryName],,0)</f>
        <v>Beverages</v>
      </c>
      <c r="F254">
        <v>56</v>
      </c>
      <c r="G254">
        <v>10</v>
      </c>
      <c r="H254">
        <v>2</v>
      </c>
      <c r="I254">
        <f>Table9[[#This Row],[quantity]]*Table9[[#This Row],[unitPrice]]*(1-Table9[[#This Row],[discount]]/100)</f>
        <v>548.79999999999995</v>
      </c>
      <c r="J254" t="str">
        <f>_xlfn.XLOOKUP(_xlfn.XLOOKUP(A254,orders[orderID],orders[customerID],,0),customers__2[customerID],customers__2[companyName],,0)</f>
        <v>Frankenversand</v>
      </c>
      <c r="K254" t="str">
        <f>_xlfn.XLOOKUP(Table9[[#This Row],[Company Name]],customers__2[companyName],customers__2[country],,0)</f>
        <v>Germany</v>
      </c>
      <c r="L254">
        <f>MONTH(Table9[[#This Row],[OrderDate ]])</f>
        <v>10</v>
      </c>
      <c r="M254" t="str">
        <f>TEXT(Table9[[#This Row],[OrderDate ]],"mmm")</f>
        <v>Oct</v>
      </c>
      <c r="N254">
        <f>YEAR(Table9[[#This Row],[OrderDate ]])</f>
        <v>2013</v>
      </c>
    </row>
    <row r="255" spans="1:14" x14ac:dyDescent="0.3">
      <c r="A255">
        <v>10342</v>
      </c>
      <c r="B255" s="2">
        <f>_xlfn.XLOOKUP(Table9[[#This Row],[orderID]],orders[orderID],orders[orderDate],,0)</f>
        <v>41577</v>
      </c>
      <c r="C255">
        <f>_xlfn.XLOOKUP(A255,order_details[orderID],order_details[productID],,0)</f>
        <v>2</v>
      </c>
      <c r="D255" t="str">
        <f>_xlfn.XLOOKUP(C255,products[productID],products[productName],,0)</f>
        <v>Chang</v>
      </c>
      <c r="E255" t="str">
        <f>_xlfn.XLOOKUP(_xlfn.XLOOKUP(Table9[[#This Row],[ProductName ]],products[productName],products[categoryID],,0),categories[categoryID],categories[categoryName],,0)</f>
        <v>Beverages</v>
      </c>
      <c r="F255">
        <v>40</v>
      </c>
      <c r="G255">
        <v>152</v>
      </c>
      <c r="H255">
        <v>2</v>
      </c>
      <c r="I255">
        <f>Table9[[#This Row],[quantity]]*Table9[[#This Row],[unitPrice]]*(1-Table9[[#This Row],[discount]]/100)</f>
        <v>5958.4</v>
      </c>
      <c r="J255" t="str">
        <f>_xlfn.XLOOKUP(_xlfn.XLOOKUP(A255,orders[orderID],orders[customerID],,0),customers__2[customerID],customers__2[companyName],,0)</f>
        <v>Frankenversand</v>
      </c>
      <c r="K255" t="str">
        <f>_xlfn.XLOOKUP(Table9[[#This Row],[Company Name]],customers__2[companyName],customers__2[country],,0)</f>
        <v>Germany</v>
      </c>
      <c r="L255">
        <f>MONTH(Table9[[#This Row],[OrderDate ]])</f>
        <v>10</v>
      </c>
      <c r="M255" t="str">
        <f>TEXT(Table9[[#This Row],[OrderDate ]],"mmm")</f>
        <v>Oct</v>
      </c>
      <c r="N255">
        <f>YEAR(Table9[[#This Row],[OrderDate ]])</f>
        <v>2013</v>
      </c>
    </row>
    <row r="256" spans="1:14" x14ac:dyDescent="0.3">
      <c r="A256">
        <v>10342</v>
      </c>
      <c r="B256" s="2">
        <f>_xlfn.XLOOKUP(Table9[[#This Row],[orderID]],orders[orderID],orders[orderDate],,0)</f>
        <v>41577</v>
      </c>
      <c r="C256">
        <f>_xlfn.XLOOKUP(A256,order_details[orderID],order_details[productID],,0)</f>
        <v>2</v>
      </c>
      <c r="D256" t="str">
        <f>_xlfn.XLOOKUP(C256,products[productID],products[productName],,0)</f>
        <v>Chang</v>
      </c>
      <c r="E256" t="str">
        <f>_xlfn.XLOOKUP(_xlfn.XLOOKUP(Table9[[#This Row],[ProductName ]],products[productName],products[categoryID],,0),categories[categoryID],categories[categoryName],,0)</f>
        <v>Beverages</v>
      </c>
      <c r="F256">
        <v>40</v>
      </c>
      <c r="G256">
        <v>192</v>
      </c>
      <c r="H256">
        <v>2</v>
      </c>
      <c r="I256">
        <f>Table9[[#This Row],[quantity]]*Table9[[#This Row],[unitPrice]]*(1-Table9[[#This Row],[discount]]/100)</f>
        <v>7526.4</v>
      </c>
      <c r="J256" t="str">
        <f>_xlfn.XLOOKUP(_xlfn.XLOOKUP(A256,orders[orderID],orders[customerID],,0),customers__2[customerID],customers__2[companyName],,0)</f>
        <v>Frankenversand</v>
      </c>
      <c r="K256" t="str">
        <f>_xlfn.XLOOKUP(Table9[[#This Row],[Company Name]],customers__2[companyName],customers__2[country],,0)</f>
        <v>Germany</v>
      </c>
      <c r="L256">
        <f>MONTH(Table9[[#This Row],[OrderDate ]])</f>
        <v>10</v>
      </c>
      <c r="M256" t="str">
        <f>TEXT(Table9[[#This Row],[OrderDate ]],"mmm")</f>
        <v>Oct</v>
      </c>
      <c r="N256">
        <f>YEAR(Table9[[#This Row],[OrderDate ]])</f>
        <v>2013</v>
      </c>
    </row>
    <row r="257" spans="1:14" x14ac:dyDescent="0.3">
      <c r="A257">
        <v>10343</v>
      </c>
      <c r="B257" s="2">
        <f>_xlfn.XLOOKUP(Table9[[#This Row],[orderID]],orders[orderID],orders[orderDate],,0)</f>
        <v>41578</v>
      </c>
      <c r="C257">
        <f>_xlfn.XLOOKUP(A257,order_details[orderID],order_details[productID],,0)</f>
        <v>64</v>
      </c>
      <c r="D257" t="str">
        <f>_xlfn.XLOOKUP(C257,products[productID],products[productName],,0)</f>
        <v>Wimmers gute Semmelknödel</v>
      </c>
      <c r="E257" t="str">
        <f>_xlfn.XLOOKUP(_xlfn.XLOOKUP(Table9[[#This Row],[ProductName ]],products[productName],products[categoryID],,0),categories[categoryID],categories[categoryName],,0)</f>
        <v>Grains &amp; Cereals</v>
      </c>
      <c r="F257">
        <v>50</v>
      </c>
      <c r="G257">
        <v>266</v>
      </c>
      <c r="H257">
        <v>0</v>
      </c>
      <c r="I257">
        <f>Table9[[#This Row],[quantity]]*Table9[[#This Row],[unitPrice]]*(1-Table9[[#This Row],[discount]]/100)</f>
        <v>13300</v>
      </c>
      <c r="J257" t="str">
        <f>_xlfn.XLOOKUP(_xlfn.XLOOKUP(A257,orders[orderID],orders[customerID],,0),customers__2[customerID],customers__2[companyName],,0)</f>
        <v>Lehmanns Marktstand</v>
      </c>
      <c r="K257" t="str">
        <f>_xlfn.XLOOKUP(Table9[[#This Row],[Company Name]],customers__2[companyName],customers__2[country],,0)</f>
        <v>Germany</v>
      </c>
      <c r="L257">
        <f>MONTH(Table9[[#This Row],[OrderDate ]])</f>
        <v>10</v>
      </c>
      <c r="M257" t="str">
        <f>TEXT(Table9[[#This Row],[OrderDate ]],"mmm")</f>
        <v>Oct</v>
      </c>
      <c r="N257">
        <f>YEAR(Table9[[#This Row],[OrderDate ]])</f>
        <v>2013</v>
      </c>
    </row>
    <row r="258" spans="1:14" x14ac:dyDescent="0.3">
      <c r="A258">
        <v>10343</v>
      </c>
      <c r="B258" s="2">
        <f>_xlfn.XLOOKUP(Table9[[#This Row],[orderID]],orders[orderID],orders[orderDate],,0)</f>
        <v>41578</v>
      </c>
      <c r="C258">
        <f>_xlfn.XLOOKUP(A258,order_details[orderID],order_details[productID],,0)</f>
        <v>64</v>
      </c>
      <c r="D258" t="str">
        <f>_xlfn.XLOOKUP(C258,products[productID],products[productName],,0)</f>
        <v>Wimmers gute Semmelknödel</v>
      </c>
      <c r="E258" t="str">
        <f>_xlfn.XLOOKUP(_xlfn.XLOOKUP(Table9[[#This Row],[ProductName ]],products[productName],products[categoryID],,0),categories[categoryID],categories[categoryName],,0)</f>
        <v>Grains &amp; Cereals</v>
      </c>
      <c r="F258">
        <v>4</v>
      </c>
      <c r="G258">
        <v>10</v>
      </c>
      <c r="H258">
        <v>5</v>
      </c>
      <c r="I258">
        <f>Table9[[#This Row],[quantity]]*Table9[[#This Row],[unitPrice]]*(1-Table9[[#This Row],[discount]]/100)</f>
        <v>38</v>
      </c>
      <c r="J258" t="str">
        <f>_xlfn.XLOOKUP(_xlfn.XLOOKUP(A258,orders[orderID],orders[customerID],,0),customers__2[customerID],customers__2[companyName],,0)</f>
        <v>Lehmanns Marktstand</v>
      </c>
      <c r="K258" t="str">
        <f>_xlfn.XLOOKUP(Table9[[#This Row],[Company Name]],customers__2[companyName],customers__2[country],,0)</f>
        <v>Germany</v>
      </c>
      <c r="L258">
        <f>MONTH(Table9[[#This Row],[OrderDate ]])</f>
        <v>10</v>
      </c>
      <c r="M258" t="str">
        <f>TEXT(Table9[[#This Row],[OrderDate ]],"mmm")</f>
        <v>Oct</v>
      </c>
      <c r="N258">
        <f>YEAR(Table9[[#This Row],[OrderDate ]])</f>
        <v>2013</v>
      </c>
    </row>
    <row r="259" spans="1:14" x14ac:dyDescent="0.3">
      <c r="A259">
        <v>10343</v>
      </c>
      <c r="B259" s="2">
        <f>_xlfn.XLOOKUP(Table9[[#This Row],[orderID]],orders[orderID],orders[orderDate],,0)</f>
        <v>41578</v>
      </c>
      <c r="C259">
        <f>_xlfn.XLOOKUP(A259,order_details[orderID],order_details[productID],,0)</f>
        <v>64</v>
      </c>
      <c r="D259" t="str">
        <f>_xlfn.XLOOKUP(C259,products[productID],products[productName],,0)</f>
        <v>Wimmers gute Semmelknödel</v>
      </c>
      <c r="E259" t="str">
        <f>_xlfn.XLOOKUP(_xlfn.XLOOKUP(Table9[[#This Row],[ProductName ]],products[productName],products[categoryID],,0),categories[categoryID],categories[categoryName],,0)</f>
        <v>Grains &amp; Cereals</v>
      </c>
      <c r="F259">
        <v>15</v>
      </c>
      <c r="G259">
        <v>144</v>
      </c>
      <c r="H259">
        <v>0</v>
      </c>
      <c r="I259">
        <f>Table9[[#This Row],[quantity]]*Table9[[#This Row],[unitPrice]]*(1-Table9[[#This Row],[discount]]/100)</f>
        <v>2160</v>
      </c>
      <c r="J259" t="str">
        <f>_xlfn.XLOOKUP(_xlfn.XLOOKUP(A259,orders[orderID],orders[customerID],,0),customers__2[customerID],customers__2[companyName],,0)</f>
        <v>Lehmanns Marktstand</v>
      </c>
      <c r="K259" t="str">
        <f>_xlfn.XLOOKUP(Table9[[#This Row],[Company Name]],customers__2[companyName],customers__2[country],,0)</f>
        <v>Germany</v>
      </c>
      <c r="L259">
        <f>MONTH(Table9[[#This Row],[OrderDate ]])</f>
        <v>10</v>
      </c>
      <c r="M259" t="str">
        <f>TEXT(Table9[[#This Row],[OrderDate ]],"mmm")</f>
        <v>Oct</v>
      </c>
      <c r="N259">
        <f>YEAR(Table9[[#This Row],[OrderDate ]])</f>
        <v>2013</v>
      </c>
    </row>
    <row r="260" spans="1:14" x14ac:dyDescent="0.3">
      <c r="A260">
        <v>10344</v>
      </c>
      <c r="B260" s="2">
        <f>_xlfn.XLOOKUP(Table9[[#This Row],[orderID]],orders[orderID],orders[orderDate],,0)</f>
        <v>41579</v>
      </c>
      <c r="C260">
        <f>_xlfn.XLOOKUP(A260,order_details[orderID],order_details[productID],,0)</f>
        <v>4</v>
      </c>
      <c r="D260" t="str">
        <f>_xlfn.XLOOKUP(C260,products[productID],products[productName],,0)</f>
        <v>Chef Anton's Cajun Seasoning</v>
      </c>
      <c r="E260" t="str">
        <f>_xlfn.XLOOKUP(_xlfn.XLOOKUP(Table9[[#This Row],[ProductName ]],products[productName],products[categoryID],,0),categories[categoryID],categories[categoryName],,0)</f>
        <v>Condiments</v>
      </c>
      <c r="F260">
        <v>35</v>
      </c>
      <c r="G260">
        <v>176</v>
      </c>
      <c r="H260">
        <v>0</v>
      </c>
      <c r="I260">
        <f>Table9[[#This Row],[quantity]]*Table9[[#This Row],[unitPrice]]*(1-Table9[[#This Row],[discount]]/100)</f>
        <v>6160</v>
      </c>
      <c r="J260" t="str">
        <f>_xlfn.XLOOKUP(_xlfn.XLOOKUP(A260,orders[orderID],orders[customerID],,0),customers__2[customerID],customers__2[companyName],,0)</f>
        <v>White Clover Markets</v>
      </c>
      <c r="K260" t="str">
        <f>_xlfn.XLOOKUP(Table9[[#This Row],[Company Name]],customers__2[companyName],customers__2[country],,0)</f>
        <v>USA</v>
      </c>
      <c r="L260">
        <f>MONTH(Table9[[#This Row],[OrderDate ]])</f>
        <v>11</v>
      </c>
      <c r="M260" t="str">
        <f>TEXT(Table9[[#This Row],[OrderDate ]],"mmm")</f>
        <v>Nov</v>
      </c>
      <c r="N260">
        <f>YEAR(Table9[[#This Row],[OrderDate ]])</f>
        <v>2013</v>
      </c>
    </row>
    <row r="261" spans="1:14" x14ac:dyDescent="0.3">
      <c r="A261">
        <v>10344</v>
      </c>
      <c r="B261" s="2">
        <f>_xlfn.XLOOKUP(Table9[[#This Row],[orderID]],orders[orderID],orders[orderDate],,0)</f>
        <v>41579</v>
      </c>
      <c r="C261">
        <f>_xlfn.XLOOKUP(A261,order_details[orderID],order_details[productID],,0)</f>
        <v>4</v>
      </c>
      <c r="D261" t="str">
        <f>_xlfn.XLOOKUP(C261,products[productID],products[productName],,0)</f>
        <v>Chef Anton's Cajun Seasoning</v>
      </c>
      <c r="E261" t="str">
        <f>_xlfn.XLOOKUP(_xlfn.XLOOKUP(Table9[[#This Row],[ProductName ]],products[productName],products[categoryID],,0),categories[categoryID],categories[categoryName],,0)</f>
        <v>Condiments</v>
      </c>
      <c r="F261">
        <v>70</v>
      </c>
      <c r="G261">
        <v>32</v>
      </c>
      <c r="H261">
        <v>25</v>
      </c>
      <c r="I261">
        <f>Table9[[#This Row],[quantity]]*Table9[[#This Row],[unitPrice]]*(1-Table9[[#This Row],[discount]]/100)</f>
        <v>1680</v>
      </c>
      <c r="J261" t="str">
        <f>_xlfn.XLOOKUP(_xlfn.XLOOKUP(A261,orders[orderID],orders[customerID],,0),customers__2[customerID],customers__2[companyName],,0)</f>
        <v>White Clover Markets</v>
      </c>
      <c r="K261" t="str">
        <f>_xlfn.XLOOKUP(Table9[[#This Row],[Company Name]],customers__2[companyName],customers__2[country],,0)</f>
        <v>USA</v>
      </c>
      <c r="L261">
        <f>MONTH(Table9[[#This Row],[OrderDate ]])</f>
        <v>11</v>
      </c>
      <c r="M261" t="str">
        <f>TEXT(Table9[[#This Row],[OrderDate ]],"mmm")</f>
        <v>Nov</v>
      </c>
      <c r="N261">
        <f>YEAR(Table9[[#This Row],[OrderDate ]])</f>
        <v>2013</v>
      </c>
    </row>
    <row r="262" spans="1:14" x14ac:dyDescent="0.3">
      <c r="A262">
        <v>10345</v>
      </c>
      <c r="B262" s="2">
        <f>_xlfn.XLOOKUP(Table9[[#This Row],[orderID]],orders[orderID],orders[orderDate],,0)</f>
        <v>41582</v>
      </c>
      <c r="C262">
        <f>_xlfn.XLOOKUP(A262,order_details[orderID],order_details[productID],,0)</f>
        <v>8</v>
      </c>
      <c r="D262" t="str">
        <f>_xlfn.XLOOKUP(C262,products[productID],products[productName],,0)</f>
        <v>Northwoods Cranberry Sauce</v>
      </c>
      <c r="E262" t="str">
        <f>_xlfn.XLOOKUP(_xlfn.XLOOKUP(Table9[[#This Row],[ProductName ]],products[productName],products[categoryID],,0),categories[categoryID],categories[categoryName],,0)</f>
        <v>Condiments</v>
      </c>
      <c r="F262">
        <v>70</v>
      </c>
      <c r="G262">
        <v>32</v>
      </c>
      <c r="H262">
        <v>0</v>
      </c>
      <c r="I262">
        <f>Table9[[#This Row],[quantity]]*Table9[[#This Row],[unitPrice]]*(1-Table9[[#This Row],[discount]]/100)</f>
        <v>2240</v>
      </c>
      <c r="J262" t="str">
        <f>_xlfn.XLOOKUP(_xlfn.XLOOKUP(A262,orders[orderID],orders[customerID],,0),customers__2[customerID],customers__2[companyName],,0)</f>
        <v>QUICK-Stop</v>
      </c>
      <c r="K262" t="str">
        <f>_xlfn.XLOOKUP(Table9[[#This Row],[Company Name]],customers__2[companyName],customers__2[country],,0)</f>
        <v>Germany</v>
      </c>
      <c r="L262">
        <f>MONTH(Table9[[#This Row],[OrderDate ]])</f>
        <v>11</v>
      </c>
      <c r="M262" t="str">
        <f>TEXT(Table9[[#This Row],[OrderDate ]],"mmm")</f>
        <v>Nov</v>
      </c>
      <c r="N262">
        <f>YEAR(Table9[[#This Row],[OrderDate ]])</f>
        <v>2013</v>
      </c>
    </row>
    <row r="263" spans="1:14" x14ac:dyDescent="0.3">
      <c r="A263">
        <v>10345</v>
      </c>
      <c r="B263" s="2">
        <f>_xlfn.XLOOKUP(Table9[[#This Row],[orderID]],orders[orderID],orders[orderDate],,0)</f>
        <v>41582</v>
      </c>
      <c r="C263">
        <f>_xlfn.XLOOKUP(A263,order_details[orderID],order_details[productID],,0)</f>
        <v>8</v>
      </c>
      <c r="D263" t="str">
        <f>_xlfn.XLOOKUP(C263,products[productID],products[productName],,0)</f>
        <v>Northwoods Cranberry Sauce</v>
      </c>
      <c r="E263" t="str">
        <f>_xlfn.XLOOKUP(_xlfn.XLOOKUP(Table9[[#This Row],[ProductName ]],products[productName],products[categoryID],,0),categories[categoryID],categories[categoryName],,0)</f>
        <v>Condiments</v>
      </c>
      <c r="F263">
        <v>80</v>
      </c>
      <c r="G263">
        <v>73</v>
      </c>
      <c r="H263">
        <v>0</v>
      </c>
      <c r="I263">
        <f>Table9[[#This Row],[quantity]]*Table9[[#This Row],[unitPrice]]*(1-Table9[[#This Row],[discount]]/100)</f>
        <v>5840</v>
      </c>
      <c r="J263" t="str">
        <f>_xlfn.XLOOKUP(_xlfn.XLOOKUP(A263,orders[orderID],orders[customerID],,0),customers__2[customerID],customers__2[companyName],,0)</f>
        <v>QUICK-Stop</v>
      </c>
      <c r="K263" t="str">
        <f>_xlfn.XLOOKUP(Table9[[#This Row],[Company Name]],customers__2[companyName],customers__2[country],,0)</f>
        <v>Germany</v>
      </c>
      <c r="L263">
        <f>MONTH(Table9[[#This Row],[OrderDate ]])</f>
        <v>11</v>
      </c>
      <c r="M263" t="str">
        <f>TEXT(Table9[[#This Row],[OrderDate ]],"mmm")</f>
        <v>Nov</v>
      </c>
      <c r="N263">
        <f>YEAR(Table9[[#This Row],[OrderDate ]])</f>
        <v>2013</v>
      </c>
    </row>
    <row r="264" spans="1:14" x14ac:dyDescent="0.3">
      <c r="A264">
        <v>10345</v>
      </c>
      <c r="B264" s="2">
        <f>_xlfn.XLOOKUP(Table9[[#This Row],[orderID]],orders[orderID],orders[orderDate],,0)</f>
        <v>41582</v>
      </c>
      <c r="C264">
        <f>_xlfn.XLOOKUP(A264,order_details[orderID],order_details[productID],,0)</f>
        <v>8</v>
      </c>
      <c r="D264" t="str">
        <f>_xlfn.XLOOKUP(C264,products[productID],products[productName],,0)</f>
        <v>Northwoods Cranberry Sauce</v>
      </c>
      <c r="E264" t="str">
        <f>_xlfn.XLOOKUP(_xlfn.XLOOKUP(Table9[[#This Row],[ProductName ]],products[productName],products[categoryID],,0),categories[categoryID],categories[categoryName],,0)</f>
        <v>Condiments</v>
      </c>
      <c r="F264">
        <v>9</v>
      </c>
      <c r="G264">
        <v>112</v>
      </c>
      <c r="H264">
        <v>0</v>
      </c>
      <c r="I264">
        <f>Table9[[#This Row],[quantity]]*Table9[[#This Row],[unitPrice]]*(1-Table9[[#This Row],[discount]]/100)</f>
        <v>1008</v>
      </c>
      <c r="J264" t="str">
        <f>_xlfn.XLOOKUP(_xlfn.XLOOKUP(A264,orders[orderID],orders[customerID],,0),customers__2[customerID],customers__2[companyName],,0)</f>
        <v>QUICK-Stop</v>
      </c>
      <c r="K264" t="str">
        <f>_xlfn.XLOOKUP(Table9[[#This Row],[Company Name]],customers__2[companyName],customers__2[country],,0)</f>
        <v>Germany</v>
      </c>
      <c r="L264">
        <f>MONTH(Table9[[#This Row],[OrderDate ]])</f>
        <v>11</v>
      </c>
      <c r="M264" t="str">
        <f>TEXT(Table9[[#This Row],[OrderDate ]],"mmm")</f>
        <v>Nov</v>
      </c>
      <c r="N264">
        <f>YEAR(Table9[[#This Row],[OrderDate ]])</f>
        <v>2013</v>
      </c>
    </row>
    <row r="265" spans="1:14" x14ac:dyDescent="0.3">
      <c r="A265">
        <v>10346</v>
      </c>
      <c r="B265" s="2">
        <f>_xlfn.XLOOKUP(Table9[[#This Row],[orderID]],orders[orderID],orders[orderDate],,0)</f>
        <v>41583</v>
      </c>
      <c r="C265">
        <f>_xlfn.XLOOKUP(A265,order_details[orderID],order_details[productID],,0)</f>
        <v>17</v>
      </c>
      <c r="D265" t="str">
        <f>_xlfn.XLOOKUP(C265,products[productID],products[productName],,0)</f>
        <v>Alice Mutton</v>
      </c>
      <c r="E265" t="str">
        <f>_xlfn.XLOOKUP(_xlfn.XLOOKUP(Table9[[#This Row],[ProductName ]],products[productName],products[categoryID],,0),categories[categoryID],categories[categoryName],,0)</f>
        <v>Meat &amp; Poultry</v>
      </c>
      <c r="F265">
        <v>36</v>
      </c>
      <c r="G265">
        <v>312</v>
      </c>
      <c r="H265">
        <v>1</v>
      </c>
      <c r="I265">
        <f>Table9[[#This Row],[quantity]]*Table9[[#This Row],[unitPrice]]*(1-Table9[[#This Row],[discount]]/100)</f>
        <v>11119.68</v>
      </c>
      <c r="J265" t="str">
        <f>_xlfn.XLOOKUP(_xlfn.XLOOKUP(A265,orders[orderID],orders[customerID],,0),customers__2[customerID],customers__2[companyName],,0)</f>
        <v>Rattlesnake Canyon Grocery</v>
      </c>
      <c r="K265" t="str">
        <f>_xlfn.XLOOKUP(Table9[[#This Row],[Company Name]],customers__2[companyName],customers__2[country],,0)</f>
        <v>USA</v>
      </c>
      <c r="L265">
        <f>MONTH(Table9[[#This Row],[OrderDate ]])</f>
        <v>11</v>
      </c>
      <c r="M265" t="str">
        <f>TEXT(Table9[[#This Row],[OrderDate ]],"mmm")</f>
        <v>Nov</v>
      </c>
      <c r="N265">
        <f>YEAR(Table9[[#This Row],[OrderDate ]])</f>
        <v>2013</v>
      </c>
    </row>
    <row r="266" spans="1:14" x14ac:dyDescent="0.3">
      <c r="A266">
        <v>10346</v>
      </c>
      <c r="B266" s="2">
        <f>_xlfn.XLOOKUP(Table9[[#This Row],[orderID]],orders[orderID],orders[orderDate],,0)</f>
        <v>41583</v>
      </c>
      <c r="C266">
        <f>_xlfn.XLOOKUP(A266,order_details[orderID],order_details[productID],,0)</f>
        <v>17</v>
      </c>
      <c r="D266" t="str">
        <f>_xlfn.XLOOKUP(C266,products[productID],products[productName],,0)</f>
        <v>Alice Mutton</v>
      </c>
      <c r="E266" t="str">
        <f>_xlfn.XLOOKUP(_xlfn.XLOOKUP(Table9[[#This Row],[ProductName ]],products[productName],products[categoryID],,0),categories[categoryID],categories[categoryName],,0)</f>
        <v>Meat &amp; Poultry</v>
      </c>
      <c r="F266">
        <v>20</v>
      </c>
      <c r="G266">
        <v>304</v>
      </c>
      <c r="H266">
        <v>0</v>
      </c>
      <c r="I266">
        <f>Table9[[#This Row],[quantity]]*Table9[[#This Row],[unitPrice]]*(1-Table9[[#This Row],[discount]]/100)</f>
        <v>6080</v>
      </c>
      <c r="J266" t="str">
        <f>_xlfn.XLOOKUP(_xlfn.XLOOKUP(A266,orders[orderID],orders[customerID],,0),customers__2[customerID],customers__2[companyName],,0)</f>
        <v>Rattlesnake Canyon Grocery</v>
      </c>
      <c r="K266" t="str">
        <f>_xlfn.XLOOKUP(Table9[[#This Row],[Company Name]],customers__2[companyName],customers__2[country],,0)</f>
        <v>USA</v>
      </c>
      <c r="L266">
        <f>MONTH(Table9[[#This Row],[OrderDate ]])</f>
        <v>11</v>
      </c>
      <c r="M266" t="str">
        <f>TEXT(Table9[[#This Row],[OrderDate ]],"mmm")</f>
        <v>Nov</v>
      </c>
      <c r="N266">
        <f>YEAR(Table9[[#This Row],[OrderDate ]])</f>
        <v>2013</v>
      </c>
    </row>
    <row r="267" spans="1:14" x14ac:dyDescent="0.3">
      <c r="A267">
        <v>10347</v>
      </c>
      <c r="B267" s="2">
        <f>_xlfn.XLOOKUP(Table9[[#This Row],[orderID]],orders[orderID],orders[orderDate],,0)</f>
        <v>41584</v>
      </c>
      <c r="C267">
        <f>_xlfn.XLOOKUP(A267,order_details[orderID],order_details[productID],,0)</f>
        <v>25</v>
      </c>
      <c r="D267" t="str">
        <f>_xlfn.XLOOKUP(C267,products[productID],products[productName],,0)</f>
        <v>NuNuCa Nuß-Nougat-Creme</v>
      </c>
      <c r="E267" t="str">
        <f>_xlfn.XLOOKUP(_xlfn.XLOOKUP(Table9[[#This Row],[ProductName ]],products[productName],products[categoryID],,0),categories[categoryID],categories[categoryName],,0)</f>
        <v>Confections</v>
      </c>
      <c r="F267">
        <v>10</v>
      </c>
      <c r="G267">
        <v>112</v>
      </c>
      <c r="H267">
        <v>0</v>
      </c>
      <c r="I267">
        <f>Table9[[#This Row],[quantity]]*Table9[[#This Row],[unitPrice]]*(1-Table9[[#This Row],[discount]]/100)</f>
        <v>1120</v>
      </c>
      <c r="J267" t="str">
        <f>_xlfn.XLOOKUP(_xlfn.XLOOKUP(A267,orders[orderID],orders[customerID],,0),customers__2[customerID],customers__2[companyName],,0)</f>
        <v>Familia Arquibaldo</v>
      </c>
      <c r="K267" t="str">
        <f>_xlfn.XLOOKUP(Table9[[#This Row],[Company Name]],customers__2[companyName],customers__2[country],,0)</f>
        <v>Brazil</v>
      </c>
      <c r="L267">
        <f>MONTH(Table9[[#This Row],[OrderDate ]])</f>
        <v>11</v>
      </c>
      <c r="M267" t="str">
        <f>TEXT(Table9[[#This Row],[OrderDate ]],"mmm")</f>
        <v>Nov</v>
      </c>
      <c r="N267">
        <f>YEAR(Table9[[#This Row],[OrderDate ]])</f>
        <v>2013</v>
      </c>
    </row>
    <row r="268" spans="1:14" x14ac:dyDescent="0.3">
      <c r="A268">
        <v>10347</v>
      </c>
      <c r="B268" s="2">
        <f>_xlfn.XLOOKUP(Table9[[#This Row],[orderID]],orders[orderID],orders[orderDate],,0)</f>
        <v>41584</v>
      </c>
      <c r="C268">
        <f>_xlfn.XLOOKUP(A268,order_details[orderID],order_details[productID],,0)</f>
        <v>25</v>
      </c>
      <c r="D268" t="str">
        <f>_xlfn.XLOOKUP(C268,products[productID],products[productName],,0)</f>
        <v>NuNuCa Nuß-Nougat-Creme</v>
      </c>
      <c r="E268" t="str">
        <f>_xlfn.XLOOKUP(_xlfn.XLOOKUP(Table9[[#This Row],[ProductName ]],products[productName],products[categoryID],,0),categories[categoryID],categories[categoryName],,0)</f>
        <v>Confections</v>
      </c>
      <c r="F268">
        <v>50</v>
      </c>
      <c r="G268">
        <v>144</v>
      </c>
      <c r="H268">
        <v>15</v>
      </c>
      <c r="I268">
        <f>Table9[[#This Row],[quantity]]*Table9[[#This Row],[unitPrice]]*(1-Table9[[#This Row],[discount]]/100)</f>
        <v>6120</v>
      </c>
      <c r="J268" t="str">
        <f>_xlfn.XLOOKUP(_xlfn.XLOOKUP(A268,orders[orderID],orders[customerID],,0),customers__2[customerID],customers__2[companyName],,0)</f>
        <v>Familia Arquibaldo</v>
      </c>
      <c r="K268" t="str">
        <f>_xlfn.XLOOKUP(Table9[[#This Row],[Company Name]],customers__2[companyName],customers__2[country],,0)</f>
        <v>Brazil</v>
      </c>
      <c r="L268">
        <f>MONTH(Table9[[#This Row],[OrderDate ]])</f>
        <v>11</v>
      </c>
      <c r="M268" t="str">
        <f>TEXT(Table9[[#This Row],[OrderDate ]],"mmm")</f>
        <v>Nov</v>
      </c>
      <c r="N268">
        <f>YEAR(Table9[[#This Row],[OrderDate ]])</f>
        <v>2013</v>
      </c>
    </row>
    <row r="269" spans="1:14" x14ac:dyDescent="0.3">
      <c r="A269">
        <v>10347</v>
      </c>
      <c r="B269" s="2">
        <f>_xlfn.XLOOKUP(Table9[[#This Row],[orderID]],orders[orderID],orders[orderDate],,0)</f>
        <v>41584</v>
      </c>
      <c r="C269">
        <f>_xlfn.XLOOKUP(A269,order_details[orderID],order_details[productID],,0)</f>
        <v>25</v>
      </c>
      <c r="D269" t="str">
        <f>_xlfn.XLOOKUP(C269,products[productID],products[productName],,0)</f>
        <v>NuNuCa Nuß-Nougat-Creme</v>
      </c>
      <c r="E269" t="str">
        <f>_xlfn.XLOOKUP(_xlfn.XLOOKUP(Table9[[#This Row],[ProductName ]],products[productName],products[categoryID],,0),categories[categoryID],categories[categoryName],,0)</f>
        <v>Confections</v>
      </c>
      <c r="F269">
        <v>4</v>
      </c>
      <c r="G269">
        <v>147</v>
      </c>
      <c r="H269">
        <v>0</v>
      </c>
      <c r="I269">
        <f>Table9[[#This Row],[quantity]]*Table9[[#This Row],[unitPrice]]*(1-Table9[[#This Row],[discount]]/100)</f>
        <v>588</v>
      </c>
      <c r="J269" t="str">
        <f>_xlfn.XLOOKUP(_xlfn.XLOOKUP(A269,orders[orderID],orders[customerID],,0),customers__2[customerID],customers__2[companyName],,0)</f>
        <v>Familia Arquibaldo</v>
      </c>
      <c r="K269" t="str">
        <f>_xlfn.XLOOKUP(Table9[[#This Row],[Company Name]],customers__2[companyName],customers__2[country],,0)</f>
        <v>Brazil</v>
      </c>
      <c r="L269">
        <f>MONTH(Table9[[#This Row],[OrderDate ]])</f>
        <v>11</v>
      </c>
      <c r="M269" t="str">
        <f>TEXT(Table9[[#This Row],[OrderDate ]],"mmm")</f>
        <v>Nov</v>
      </c>
      <c r="N269">
        <f>YEAR(Table9[[#This Row],[OrderDate ]])</f>
        <v>2013</v>
      </c>
    </row>
    <row r="270" spans="1:14" x14ac:dyDescent="0.3">
      <c r="A270">
        <v>10347</v>
      </c>
      <c r="B270" s="2">
        <f>_xlfn.XLOOKUP(Table9[[#This Row],[orderID]],orders[orderID],orders[orderDate],,0)</f>
        <v>41584</v>
      </c>
      <c r="C270">
        <f>_xlfn.XLOOKUP(A270,order_details[orderID],order_details[productID],,0)</f>
        <v>25</v>
      </c>
      <c r="D270" t="str">
        <f>_xlfn.XLOOKUP(C270,products[productID],products[productName],,0)</f>
        <v>NuNuCa Nuß-Nougat-Creme</v>
      </c>
      <c r="E270" t="str">
        <f>_xlfn.XLOOKUP(_xlfn.XLOOKUP(Table9[[#This Row],[ProductName ]],products[productName],products[categoryID],,0),categories[categoryID],categories[categoryName],,0)</f>
        <v>Confections</v>
      </c>
      <c r="F270">
        <v>6</v>
      </c>
      <c r="G270">
        <v>62</v>
      </c>
      <c r="H270">
        <v>15</v>
      </c>
      <c r="I270">
        <f>Table9[[#This Row],[quantity]]*Table9[[#This Row],[unitPrice]]*(1-Table9[[#This Row],[discount]]/100)</f>
        <v>316.2</v>
      </c>
      <c r="J270" t="str">
        <f>_xlfn.XLOOKUP(_xlfn.XLOOKUP(A270,orders[orderID],orders[customerID],,0),customers__2[customerID],customers__2[companyName],,0)</f>
        <v>Familia Arquibaldo</v>
      </c>
      <c r="K270" t="str">
        <f>_xlfn.XLOOKUP(Table9[[#This Row],[Company Name]],customers__2[companyName],customers__2[country],,0)</f>
        <v>Brazil</v>
      </c>
      <c r="L270">
        <f>MONTH(Table9[[#This Row],[OrderDate ]])</f>
        <v>11</v>
      </c>
      <c r="M270" t="str">
        <f>TEXT(Table9[[#This Row],[OrderDate ]],"mmm")</f>
        <v>Nov</v>
      </c>
      <c r="N270">
        <f>YEAR(Table9[[#This Row],[OrderDate ]])</f>
        <v>2013</v>
      </c>
    </row>
    <row r="271" spans="1:14" x14ac:dyDescent="0.3">
      <c r="A271">
        <v>10348</v>
      </c>
      <c r="B271" s="2">
        <f>_xlfn.XLOOKUP(Table9[[#This Row],[orderID]],orders[orderID],orders[orderDate],,0)</f>
        <v>41585</v>
      </c>
      <c r="C271">
        <f>_xlfn.XLOOKUP(A271,order_details[orderID],order_details[productID],,0)</f>
        <v>1</v>
      </c>
      <c r="D271" t="str">
        <f>_xlfn.XLOOKUP(C271,products[productID],products[productName],,0)</f>
        <v>Chai</v>
      </c>
      <c r="E271" t="str">
        <f>_xlfn.XLOOKUP(_xlfn.XLOOKUP(Table9[[#This Row],[ProductName ]],products[productName],products[categoryID],,0),categories[categoryID],categories[categoryName],,0)</f>
        <v>Beverages</v>
      </c>
      <c r="F271">
        <v>15</v>
      </c>
      <c r="G271">
        <v>144</v>
      </c>
      <c r="H271">
        <v>15</v>
      </c>
      <c r="I271">
        <f>Table9[[#This Row],[quantity]]*Table9[[#This Row],[unitPrice]]*(1-Table9[[#This Row],[discount]]/100)</f>
        <v>1836</v>
      </c>
      <c r="J271" t="str">
        <f>_xlfn.XLOOKUP(_xlfn.XLOOKUP(A271,orders[orderID],orders[customerID],,0),customers__2[customerID],customers__2[companyName],,0)</f>
        <v>Die Wandernde Kuh</v>
      </c>
      <c r="K271" t="str">
        <f>_xlfn.XLOOKUP(Table9[[#This Row],[Company Name]],customers__2[companyName],customers__2[country],,0)</f>
        <v>Germany</v>
      </c>
      <c r="L271">
        <f>MONTH(Table9[[#This Row],[OrderDate ]])</f>
        <v>11</v>
      </c>
      <c r="M271" t="str">
        <f>TEXT(Table9[[#This Row],[OrderDate ]],"mmm")</f>
        <v>Nov</v>
      </c>
      <c r="N271">
        <f>YEAR(Table9[[#This Row],[OrderDate ]])</f>
        <v>2013</v>
      </c>
    </row>
    <row r="272" spans="1:14" x14ac:dyDescent="0.3">
      <c r="A272">
        <v>10348</v>
      </c>
      <c r="B272" s="2">
        <f>_xlfn.XLOOKUP(Table9[[#This Row],[orderID]],orders[orderID],orders[orderDate],,0)</f>
        <v>41585</v>
      </c>
      <c r="C272">
        <f>_xlfn.XLOOKUP(A272,order_details[orderID],order_details[productID],,0)</f>
        <v>1</v>
      </c>
      <c r="D272" t="str">
        <f>_xlfn.XLOOKUP(C272,products[productID],products[productName],,0)</f>
        <v>Chai</v>
      </c>
      <c r="E272" t="str">
        <f>_xlfn.XLOOKUP(_xlfn.XLOOKUP(Table9[[#This Row],[ProductName ]],products[productName],products[categoryID],,0),categories[categoryID],categories[categoryName],,0)</f>
        <v>Beverages</v>
      </c>
      <c r="F272">
        <v>25</v>
      </c>
      <c r="G272">
        <v>72</v>
      </c>
      <c r="H272">
        <v>0</v>
      </c>
      <c r="I272">
        <f>Table9[[#This Row],[quantity]]*Table9[[#This Row],[unitPrice]]*(1-Table9[[#This Row],[discount]]/100)</f>
        <v>1800</v>
      </c>
      <c r="J272" t="str">
        <f>_xlfn.XLOOKUP(_xlfn.XLOOKUP(A272,orders[orderID],orders[customerID],,0),customers__2[customerID],customers__2[companyName],,0)</f>
        <v>Die Wandernde Kuh</v>
      </c>
      <c r="K272" t="str">
        <f>_xlfn.XLOOKUP(Table9[[#This Row],[Company Name]],customers__2[companyName],customers__2[country],,0)</f>
        <v>Germany</v>
      </c>
      <c r="L272">
        <f>MONTH(Table9[[#This Row],[OrderDate ]])</f>
        <v>11</v>
      </c>
      <c r="M272" t="str">
        <f>TEXT(Table9[[#This Row],[OrderDate ]],"mmm")</f>
        <v>Nov</v>
      </c>
      <c r="N272">
        <f>YEAR(Table9[[#This Row],[OrderDate ]])</f>
        <v>2013</v>
      </c>
    </row>
    <row r="273" spans="1:14" x14ac:dyDescent="0.3">
      <c r="A273">
        <v>10349</v>
      </c>
      <c r="B273" s="2">
        <f>_xlfn.XLOOKUP(Table9[[#This Row],[orderID]],orders[orderID],orders[orderDate],,0)</f>
        <v>41586</v>
      </c>
      <c r="C273">
        <f>_xlfn.XLOOKUP(A273,order_details[orderID],order_details[productID],,0)</f>
        <v>54</v>
      </c>
      <c r="D273" t="str">
        <f>_xlfn.XLOOKUP(C273,products[productID],products[productName],,0)</f>
        <v>Tourtière</v>
      </c>
      <c r="E273" t="str">
        <f>_xlfn.XLOOKUP(_xlfn.XLOOKUP(Table9[[#This Row],[ProductName ]],products[productName],products[categoryID],,0),categories[categoryID],categories[categoryName],,0)</f>
        <v>Meat &amp; Poultry</v>
      </c>
      <c r="F273">
        <v>24</v>
      </c>
      <c r="G273">
        <v>59</v>
      </c>
      <c r="H273">
        <v>0</v>
      </c>
      <c r="I273">
        <f>Table9[[#This Row],[quantity]]*Table9[[#This Row],[unitPrice]]*(1-Table9[[#This Row],[discount]]/100)</f>
        <v>1416</v>
      </c>
      <c r="J273" t="str">
        <f>_xlfn.XLOOKUP(_xlfn.XLOOKUP(A273,orders[orderID],orders[customerID],,0),customers__2[customerID],customers__2[companyName],,0)</f>
        <v>Split Rail Beer &amp; Ale</v>
      </c>
      <c r="K273" t="str">
        <f>_xlfn.XLOOKUP(Table9[[#This Row],[Company Name]],customers__2[companyName],customers__2[country],,0)</f>
        <v>USA</v>
      </c>
      <c r="L273">
        <f>MONTH(Table9[[#This Row],[OrderDate ]])</f>
        <v>11</v>
      </c>
      <c r="M273" t="str">
        <f>TEXT(Table9[[#This Row],[OrderDate ]],"mmm")</f>
        <v>Nov</v>
      </c>
      <c r="N273">
        <f>YEAR(Table9[[#This Row],[OrderDate ]])</f>
        <v>2013</v>
      </c>
    </row>
    <row r="274" spans="1:14" x14ac:dyDescent="0.3">
      <c r="A274">
        <v>10350</v>
      </c>
      <c r="B274" s="2">
        <f>_xlfn.XLOOKUP(Table9[[#This Row],[orderID]],orders[orderID],orders[orderDate],,0)</f>
        <v>41589</v>
      </c>
      <c r="C274">
        <f>_xlfn.XLOOKUP(A274,order_details[orderID],order_details[productID],,0)</f>
        <v>50</v>
      </c>
      <c r="D274" t="str">
        <f>_xlfn.XLOOKUP(C274,products[productID],products[productName],,0)</f>
        <v>Valkoinen suklaa</v>
      </c>
      <c r="E274" t="str">
        <f>_xlfn.XLOOKUP(_xlfn.XLOOKUP(Table9[[#This Row],[ProductName ]],products[productName],products[categoryID],,0),categories[categoryID],categories[categoryName],,0)</f>
        <v>Confections</v>
      </c>
      <c r="F274">
        <v>15</v>
      </c>
      <c r="G274">
        <v>13</v>
      </c>
      <c r="H274">
        <v>1</v>
      </c>
      <c r="I274">
        <f>Table9[[#This Row],[quantity]]*Table9[[#This Row],[unitPrice]]*(1-Table9[[#This Row],[discount]]/100)</f>
        <v>193.05</v>
      </c>
      <c r="J274" t="str">
        <f>_xlfn.XLOOKUP(_xlfn.XLOOKUP(A274,orders[orderID],orders[customerID],,0),customers__2[customerID],customers__2[companyName],,0)</f>
        <v>La maison d'Asie</v>
      </c>
      <c r="K274" t="str">
        <f>_xlfn.XLOOKUP(Table9[[#This Row],[Company Name]],customers__2[companyName],customers__2[country],,0)</f>
        <v>France</v>
      </c>
      <c r="L274">
        <f>MONTH(Table9[[#This Row],[OrderDate ]])</f>
        <v>11</v>
      </c>
      <c r="M274" t="str">
        <f>TEXT(Table9[[#This Row],[OrderDate ]],"mmm")</f>
        <v>Nov</v>
      </c>
      <c r="N274">
        <f>YEAR(Table9[[#This Row],[OrderDate ]])</f>
        <v>2013</v>
      </c>
    </row>
    <row r="275" spans="1:14" x14ac:dyDescent="0.3">
      <c r="A275">
        <v>10350</v>
      </c>
      <c r="B275" s="2">
        <f>_xlfn.XLOOKUP(Table9[[#This Row],[orderID]],orders[orderID],orders[orderDate],,0)</f>
        <v>41589</v>
      </c>
      <c r="C275">
        <f>_xlfn.XLOOKUP(A275,order_details[orderID],order_details[productID],,0)</f>
        <v>50</v>
      </c>
      <c r="D275" t="str">
        <f>_xlfn.XLOOKUP(C275,products[productID],products[productName],,0)</f>
        <v>Valkoinen suklaa</v>
      </c>
      <c r="E275" t="str">
        <f>_xlfn.XLOOKUP(_xlfn.XLOOKUP(Table9[[#This Row],[ProductName ]],products[productName],products[categoryID],,0),categories[categoryID],categories[categoryName],,0)</f>
        <v>Confections</v>
      </c>
      <c r="F275">
        <v>18</v>
      </c>
      <c r="G275">
        <v>288</v>
      </c>
      <c r="H275">
        <v>1</v>
      </c>
      <c r="I275">
        <f>Table9[[#This Row],[quantity]]*Table9[[#This Row],[unitPrice]]*(1-Table9[[#This Row],[discount]]/100)</f>
        <v>5132.16</v>
      </c>
      <c r="J275" t="str">
        <f>_xlfn.XLOOKUP(_xlfn.XLOOKUP(A275,orders[orderID],orders[customerID],,0),customers__2[customerID],customers__2[companyName],,0)</f>
        <v>La maison d'Asie</v>
      </c>
      <c r="K275" t="str">
        <f>_xlfn.XLOOKUP(Table9[[#This Row],[Company Name]],customers__2[companyName],customers__2[country],,0)</f>
        <v>France</v>
      </c>
      <c r="L275">
        <f>MONTH(Table9[[#This Row],[OrderDate ]])</f>
        <v>11</v>
      </c>
      <c r="M275" t="str">
        <f>TEXT(Table9[[#This Row],[OrderDate ]],"mmm")</f>
        <v>Nov</v>
      </c>
      <c r="N275">
        <f>YEAR(Table9[[#This Row],[OrderDate ]])</f>
        <v>2013</v>
      </c>
    </row>
    <row r="276" spans="1:14" x14ac:dyDescent="0.3">
      <c r="A276">
        <v>10351</v>
      </c>
      <c r="B276" s="2">
        <f>_xlfn.XLOOKUP(Table9[[#This Row],[orderID]],orders[orderID],orders[orderDate],,0)</f>
        <v>41589</v>
      </c>
      <c r="C276">
        <f>_xlfn.XLOOKUP(A276,order_details[orderID],order_details[productID],,0)</f>
        <v>38</v>
      </c>
      <c r="D276" t="str">
        <f>_xlfn.XLOOKUP(C276,products[productID],products[productName],,0)</f>
        <v>Côte de Blaye</v>
      </c>
      <c r="E276" t="str">
        <f>_xlfn.XLOOKUP(_xlfn.XLOOKUP(Table9[[#This Row],[ProductName ]],products[productName],products[categoryID],,0),categories[categoryID],categories[categoryName],,0)</f>
        <v>Beverages</v>
      </c>
      <c r="F276">
        <v>20</v>
      </c>
      <c r="G276">
        <v>2108</v>
      </c>
      <c r="H276">
        <v>5</v>
      </c>
      <c r="I276">
        <f>Table9[[#This Row],[quantity]]*Table9[[#This Row],[unitPrice]]*(1-Table9[[#This Row],[discount]]/100)</f>
        <v>40052</v>
      </c>
      <c r="J276" t="str">
        <f>_xlfn.XLOOKUP(_xlfn.XLOOKUP(A276,orders[orderID],orders[customerID],,0),customers__2[customerID],customers__2[companyName],,0)</f>
        <v>Ernst Handel</v>
      </c>
      <c r="K276" t="str">
        <f>_xlfn.XLOOKUP(Table9[[#This Row],[Company Name]],customers__2[companyName],customers__2[country],,0)</f>
        <v>Austria</v>
      </c>
      <c r="L276">
        <f>MONTH(Table9[[#This Row],[OrderDate ]])</f>
        <v>11</v>
      </c>
      <c r="M276" t="str">
        <f>TEXT(Table9[[#This Row],[OrderDate ]],"mmm")</f>
        <v>Nov</v>
      </c>
      <c r="N276">
        <f>YEAR(Table9[[#This Row],[OrderDate ]])</f>
        <v>2013</v>
      </c>
    </row>
    <row r="277" spans="1:14" x14ac:dyDescent="0.3">
      <c r="A277">
        <v>10351</v>
      </c>
      <c r="B277" s="2">
        <f>_xlfn.XLOOKUP(Table9[[#This Row],[orderID]],orders[orderID],orders[orderDate],,0)</f>
        <v>41589</v>
      </c>
      <c r="C277">
        <f>_xlfn.XLOOKUP(A277,order_details[orderID],order_details[productID],,0)</f>
        <v>38</v>
      </c>
      <c r="D277" t="str">
        <f>_xlfn.XLOOKUP(C277,products[productID],products[productName],,0)</f>
        <v>Côte de Blaye</v>
      </c>
      <c r="E277" t="str">
        <f>_xlfn.XLOOKUP(_xlfn.XLOOKUP(Table9[[#This Row],[ProductName ]],products[productName],products[categoryID],,0),categories[categoryID],categories[categoryName],,0)</f>
        <v>Beverages</v>
      </c>
      <c r="F277">
        <v>13</v>
      </c>
      <c r="G277">
        <v>77</v>
      </c>
      <c r="H277">
        <v>0</v>
      </c>
      <c r="I277">
        <f>Table9[[#This Row],[quantity]]*Table9[[#This Row],[unitPrice]]*(1-Table9[[#This Row],[discount]]/100)</f>
        <v>1001</v>
      </c>
      <c r="J277" t="str">
        <f>_xlfn.XLOOKUP(_xlfn.XLOOKUP(A277,orders[orderID],orders[customerID],,0),customers__2[customerID],customers__2[companyName],,0)</f>
        <v>Ernst Handel</v>
      </c>
      <c r="K277" t="str">
        <f>_xlfn.XLOOKUP(Table9[[#This Row],[Company Name]],customers__2[companyName],customers__2[country],,0)</f>
        <v>Austria</v>
      </c>
      <c r="L277">
        <f>MONTH(Table9[[#This Row],[OrderDate ]])</f>
        <v>11</v>
      </c>
      <c r="M277" t="str">
        <f>TEXT(Table9[[#This Row],[OrderDate ]],"mmm")</f>
        <v>Nov</v>
      </c>
      <c r="N277">
        <f>YEAR(Table9[[#This Row],[OrderDate ]])</f>
        <v>2013</v>
      </c>
    </row>
    <row r="278" spans="1:14" x14ac:dyDescent="0.3">
      <c r="A278">
        <v>10351</v>
      </c>
      <c r="B278" s="2">
        <f>_xlfn.XLOOKUP(Table9[[#This Row],[orderID]],orders[orderID],orders[orderDate],,0)</f>
        <v>41589</v>
      </c>
      <c r="C278">
        <f>_xlfn.XLOOKUP(A278,order_details[orderID],order_details[productID],,0)</f>
        <v>38</v>
      </c>
      <c r="D278" t="str">
        <f>_xlfn.XLOOKUP(C278,products[productID],products[productName],,0)</f>
        <v>Côte de Blaye</v>
      </c>
      <c r="E278" t="str">
        <f>_xlfn.XLOOKUP(_xlfn.XLOOKUP(Table9[[#This Row],[ProductName ]],products[productName],products[categoryID],,0),categories[categoryID],categories[categoryName],,0)</f>
        <v>Beverages</v>
      </c>
      <c r="F278">
        <v>77</v>
      </c>
      <c r="G278">
        <v>155</v>
      </c>
      <c r="H278">
        <v>5</v>
      </c>
      <c r="I278">
        <f>Table9[[#This Row],[quantity]]*Table9[[#This Row],[unitPrice]]*(1-Table9[[#This Row],[discount]]/100)</f>
        <v>11338.25</v>
      </c>
      <c r="J278" t="str">
        <f>_xlfn.XLOOKUP(_xlfn.XLOOKUP(A278,orders[orderID],orders[customerID],,0),customers__2[customerID],customers__2[companyName],,0)</f>
        <v>Ernst Handel</v>
      </c>
      <c r="K278" t="str">
        <f>_xlfn.XLOOKUP(Table9[[#This Row],[Company Name]],customers__2[companyName],customers__2[country],,0)</f>
        <v>Austria</v>
      </c>
      <c r="L278">
        <f>MONTH(Table9[[#This Row],[OrderDate ]])</f>
        <v>11</v>
      </c>
      <c r="M278" t="str">
        <f>TEXT(Table9[[#This Row],[OrderDate ]],"mmm")</f>
        <v>Nov</v>
      </c>
      <c r="N278">
        <f>YEAR(Table9[[#This Row],[OrderDate ]])</f>
        <v>2013</v>
      </c>
    </row>
    <row r="279" spans="1:14" x14ac:dyDescent="0.3">
      <c r="A279">
        <v>10351</v>
      </c>
      <c r="B279" s="2">
        <f>_xlfn.XLOOKUP(Table9[[#This Row],[orderID]],orders[orderID],orders[orderDate],,0)</f>
        <v>41589</v>
      </c>
      <c r="C279">
        <f>_xlfn.XLOOKUP(A279,order_details[orderID],order_details[productID],,0)</f>
        <v>38</v>
      </c>
      <c r="D279" t="str">
        <f>_xlfn.XLOOKUP(C279,products[productID],products[productName],,0)</f>
        <v>Côte de Blaye</v>
      </c>
      <c r="E279" t="str">
        <f>_xlfn.XLOOKUP(_xlfn.XLOOKUP(Table9[[#This Row],[ProductName ]],products[productName],products[categoryID],,0),categories[categoryID],categories[categoryName],,0)</f>
        <v>Beverages</v>
      </c>
      <c r="F279">
        <v>10</v>
      </c>
      <c r="G279">
        <v>168</v>
      </c>
      <c r="H279">
        <v>5</v>
      </c>
      <c r="I279">
        <f>Table9[[#This Row],[quantity]]*Table9[[#This Row],[unitPrice]]*(1-Table9[[#This Row],[discount]]/100)</f>
        <v>1596</v>
      </c>
      <c r="J279" t="str">
        <f>_xlfn.XLOOKUP(_xlfn.XLOOKUP(A279,orders[orderID],orders[customerID],,0),customers__2[customerID],customers__2[companyName],,0)</f>
        <v>Ernst Handel</v>
      </c>
      <c r="K279" t="str">
        <f>_xlfn.XLOOKUP(Table9[[#This Row],[Company Name]],customers__2[companyName],customers__2[country],,0)</f>
        <v>Austria</v>
      </c>
      <c r="L279">
        <f>MONTH(Table9[[#This Row],[OrderDate ]])</f>
        <v>11</v>
      </c>
      <c r="M279" t="str">
        <f>TEXT(Table9[[#This Row],[OrderDate ]],"mmm")</f>
        <v>Nov</v>
      </c>
      <c r="N279">
        <f>YEAR(Table9[[#This Row],[OrderDate ]])</f>
        <v>2013</v>
      </c>
    </row>
    <row r="280" spans="1:14" x14ac:dyDescent="0.3">
      <c r="A280">
        <v>10352</v>
      </c>
      <c r="B280" s="2">
        <f>_xlfn.XLOOKUP(Table9[[#This Row],[orderID]],orders[orderID],orders[orderDate],,0)</f>
        <v>41590</v>
      </c>
      <c r="C280">
        <f>_xlfn.XLOOKUP(A280,order_details[orderID],order_details[productID],,0)</f>
        <v>24</v>
      </c>
      <c r="D280" t="str">
        <f>_xlfn.XLOOKUP(C280,products[productID],products[productName],,0)</f>
        <v>Guarana Fantastica</v>
      </c>
      <c r="E280" t="str">
        <f>_xlfn.XLOOKUP(_xlfn.XLOOKUP(Table9[[#This Row],[ProductName ]],products[productName],products[categoryID],,0),categories[categoryID],categories[categoryName],,0)</f>
        <v>Beverages</v>
      </c>
      <c r="F280">
        <v>10</v>
      </c>
      <c r="G280">
        <v>36</v>
      </c>
      <c r="H280">
        <v>0</v>
      </c>
      <c r="I280">
        <f>Table9[[#This Row],[quantity]]*Table9[[#This Row],[unitPrice]]*(1-Table9[[#This Row],[discount]]/100)</f>
        <v>360</v>
      </c>
      <c r="J280" t="str">
        <f>_xlfn.XLOOKUP(_xlfn.XLOOKUP(A280,orders[orderID],orders[customerID],,0),customers__2[customerID],customers__2[companyName],,0)</f>
        <v>Furia Bacalhau e Frutos do Mar</v>
      </c>
      <c r="K280" t="str">
        <f>_xlfn.XLOOKUP(Table9[[#This Row],[Company Name]],customers__2[companyName],customers__2[country],,0)</f>
        <v>Portugal</v>
      </c>
      <c r="L280">
        <f>MONTH(Table9[[#This Row],[OrderDate ]])</f>
        <v>11</v>
      </c>
      <c r="M280" t="str">
        <f>TEXT(Table9[[#This Row],[OrderDate ]],"mmm")</f>
        <v>Nov</v>
      </c>
      <c r="N280">
        <f>YEAR(Table9[[#This Row],[OrderDate ]])</f>
        <v>2013</v>
      </c>
    </row>
    <row r="281" spans="1:14" x14ac:dyDescent="0.3">
      <c r="A281">
        <v>10352</v>
      </c>
      <c r="B281" s="2">
        <f>_xlfn.XLOOKUP(Table9[[#This Row],[orderID]],orders[orderID],orders[orderDate],,0)</f>
        <v>41590</v>
      </c>
      <c r="C281">
        <f>_xlfn.XLOOKUP(A281,order_details[orderID],order_details[productID],,0)</f>
        <v>24</v>
      </c>
      <c r="D281" t="str">
        <f>_xlfn.XLOOKUP(C281,products[productID],products[productName],,0)</f>
        <v>Guarana Fantastica</v>
      </c>
      <c r="E281" t="str">
        <f>_xlfn.XLOOKUP(_xlfn.XLOOKUP(Table9[[#This Row],[ProductName ]],products[productName],products[categoryID],,0),categories[categoryID],categories[categoryName],,0)</f>
        <v>Beverages</v>
      </c>
      <c r="F281">
        <v>20</v>
      </c>
      <c r="G281">
        <v>59</v>
      </c>
      <c r="H281">
        <v>15</v>
      </c>
      <c r="I281">
        <f>Table9[[#This Row],[quantity]]*Table9[[#This Row],[unitPrice]]*(1-Table9[[#This Row],[discount]]/100)</f>
        <v>1003</v>
      </c>
      <c r="J281" t="str">
        <f>_xlfn.XLOOKUP(_xlfn.XLOOKUP(A281,orders[orderID],orders[customerID],,0),customers__2[customerID],customers__2[companyName],,0)</f>
        <v>Furia Bacalhau e Frutos do Mar</v>
      </c>
      <c r="K281" t="str">
        <f>_xlfn.XLOOKUP(Table9[[#This Row],[Company Name]],customers__2[companyName],customers__2[country],,0)</f>
        <v>Portugal</v>
      </c>
      <c r="L281">
        <f>MONTH(Table9[[#This Row],[OrderDate ]])</f>
        <v>11</v>
      </c>
      <c r="M281" t="str">
        <f>TEXT(Table9[[#This Row],[OrderDate ]],"mmm")</f>
        <v>Nov</v>
      </c>
      <c r="N281">
        <f>YEAR(Table9[[#This Row],[OrderDate ]])</f>
        <v>2013</v>
      </c>
    </row>
    <row r="282" spans="1:14" x14ac:dyDescent="0.3">
      <c r="A282">
        <v>10353</v>
      </c>
      <c r="B282" s="2">
        <f>_xlfn.XLOOKUP(Table9[[#This Row],[orderID]],orders[orderID],orders[orderDate],,0)</f>
        <v>41591</v>
      </c>
      <c r="C282">
        <f>_xlfn.XLOOKUP(A282,order_details[orderID],order_details[productID],,0)</f>
        <v>11</v>
      </c>
      <c r="D282" t="str">
        <f>_xlfn.XLOOKUP(C282,products[productID],products[productName],,0)</f>
        <v>Queso Cabrales</v>
      </c>
      <c r="E282" t="str">
        <f>_xlfn.XLOOKUP(_xlfn.XLOOKUP(Table9[[#This Row],[ProductName ]],products[productName],products[categoryID],,0),categories[categoryID],categories[categoryName],,0)</f>
        <v>Dairy Products</v>
      </c>
      <c r="F282">
        <v>12</v>
      </c>
      <c r="G282">
        <v>168</v>
      </c>
      <c r="H282">
        <v>2</v>
      </c>
      <c r="I282">
        <f>Table9[[#This Row],[quantity]]*Table9[[#This Row],[unitPrice]]*(1-Table9[[#This Row],[discount]]/100)</f>
        <v>1975.68</v>
      </c>
      <c r="J282" t="str">
        <f>_xlfn.XLOOKUP(_xlfn.XLOOKUP(A282,orders[orderID],orders[customerID],,0),customers__2[customerID],customers__2[companyName],,0)</f>
        <v>Piccolo und mehr</v>
      </c>
      <c r="K282" t="str">
        <f>_xlfn.XLOOKUP(Table9[[#This Row],[Company Name]],customers__2[companyName],customers__2[country],,0)</f>
        <v>Austria</v>
      </c>
      <c r="L282">
        <f>MONTH(Table9[[#This Row],[OrderDate ]])</f>
        <v>11</v>
      </c>
      <c r="M282" t="str">
        <f>TEXT(Table9[[#This Row],[OrderDate ]],"mmm")</f>
        <v>Nov</v>
      </c>
      <c r="N282">
        <f>YEAR(Table9[[#This Row],[OrderDate ]])</f>
        <v>2013</v>
      </c>
    </row>
    <row r="283" spans="1:14" x14ac:dyDescent="0.3">
      <c r="A283">
        <v>10353</v>
      </c>
      <c r="B283" s="2">
        <f>_xlfn.XLOOKUP(Table9[[#This Row],[orderID]],orders[orderID],orders[orderDate],,0)</f>
        <v>41591</v>
      </c>
      <c r="C283">
        <f>_xlfn.XLOOKUP(A283,order_details[orderID],order_details[productID],,0)</f>
        <v>11</v>
      </c>
      <c r="D283" t="str">
        <f>_xlfn.XLOOKUP(C283,products[productID],products[productName],,0)</f>
        <v>Queso Cabrales</v>
      </c>
      <c r="E283" t="str">
        <f>_xlfn.XLOOKUP(_xlfn.XLOOKUP(Table9[[#This Row],[ProductName ]],products[productName],products[categoryID],,0),categories[categoryID],categories[categoryName],,0)</f>
        <v>Dairy Products</v>
      </c>
      <c r="F283">
        <v>50</v>
      </c>
      <c r="G283">
        <v>2108</v>
      </c>
      <c r="H283">
        <v>2</v>
      </c>
      <c r="I283">
        <f>Table9[[#This Row],[quantity]]*Table9[[#This Row],[unitPrice]]*(1-Table9[[#This Row],[discount]]/100)</f>
        <v>103292</v>
      </c>
      <c r="J283" t="str">
        <f>_xlfn.XLOOKUP(_xlfn.XLOOKUP(A283,orders[orderID],orders[customerID],,0),customers__2[customerID],customers__2[companyName],,0)</f>
        <v>Piccolo und mehr</v>
      </c>
      <c r="K283" t="str">
        <f>_xlfn.XLOOKUP(Table9[[#This Row],[Company Name]],customers__2[companyName],customers__2[country],,0)</f>
        <v>Austria</v>
      </c>
      <c r="L283">
        <f>MONTH(Table9[[#This Row],[OrderDate ]])</f>
        <v>11</v>
      </c>
      <c r="M283" t="str">
        <f>TEXT(Table9[[#This Row],[OrderDate ]],"mmm")</f>
        <v>Nov</v>
      </c>
      <c r="N283">
        <f>YEAR(Table9[[#This Row],[OrderDate ]])</f>
        <v>2013</v>
      </c>
    </row>
    <row r="284" spans="1:14" x14ac:dyDescent="0.3">
      <c r="A284">
        <v>10354</v>
      </c>
      <c r="B284" s="2">
        <f>_xlfn.XLOOKUP(Table9[[#This Row],[orderID]],orders[orderID],orders[orderDate],,0)</f>
        <v>41592</v>
      </c>
      <c r="C284">
        <f>_xlfn.XLOOKUP(A284,order_details[orderID],order_details[productID],,0)</f>
        <v>1</v>
      </c>
      <c r="D284" t="str">
        <f>_xlfn.XLOOKUP(C284,products[productID],products[productName],,0)</f>
        <v>Chai</v>
      </c>
      <c r="E284" t="str">
        <f>_xlfn.XLOOKUP(_xlfn.XLOOKUP(Table9[[#This Row],[ProductName ]],products[productName],products[categoryID],,0),categories[categoryID],categories[categoryName],,0)</f>
        <v>Beverages</v>
      </c>
      <c r="F284">
        <v>12</v>
      </c>
      <c r="G284">
        <v>144</v>
      </c>
      <c r="H284">
        <v>0</v>
      </c>
      <c r="I284">
        <f>Table9[[#This Row],[quantity]]*Table9[[#This Row],[unitPrice]]*(1-Table9[[#This Row],[discount]]/100)</f>
        <v>1728</v>
      </c>
      <c r="J284" t="str">
        <f>_xlfn.XLOOKUP(_xlfn.XLOOKUP(A284,orders[orderID],orders[customerID],,0),customers__2[customerID],customers__2[companyName],,0)</f>
        <v>Pericles Comidas clásicas</v>
      </c>
      <c r="K284" t="str">
        <f>_xlfn.XLOOKUP(Table9[[#This Row],[Company Name]],customers__2[companyName],customers__2[country],,0)</f>
        <v>Mexico</v>
      </c>
      <c r="L284">
        <f>MONTH(Table9[[#This Row],[OrderDate ]])</f>
        <v>11</v>
      </c>
      <c r="M284" t="str">
        <f>TEXT(Table9[[#This Row],[OrderDate ]],"mmm")</f>
        <v>Nov</v>
      </c>
      <c r="N284">
        <f>YEAR(Table9[[#This Row],[OrderDate ]])</f>
        <v>2013</v>
      </c>
    </row>
    <row r="285" spans="1:14" x14ac:dyDescent="0.3">
      <c r="A285">
        <v>10354</v>
      </c>
      <c r="B285" s="2">
        <f>_xlfn.XLOOKUP(Table9[[#This Row],[orderID]],orders[orderID],orders[orderDate],,0)</f>
        <v>41592</v>
      </c>
      <c r="C285">
        <f>_xlfn.XLOOKUP(A285,order_details[orderID],order_details[productID],,0)</f>
        <v>1</v>
      </c>
      <c r="D285" t="str">
        <f>_xlfn.XLOOKUP(C285,products[productID],products[productName],,0)</f>
        <v>Chai</v>
      </c>
      <c r="E285" t="str">
        <f>_xlfn.XLOOKUP(_xlfn.XLOOKUP(Table9[[#This Row],[ProductName ]],products[productName],products[categoryID],,0),categories[categoryID],categories[categoryName],,0)</f>
        <v>Beverages</v>
      </c>
      <c r="F285">
        <v>4</v>
      </c>
      <c r="G285">
        <v>99</v>
      </c>
      <c r="H285">
        <v>0</v>
      </c>
      <c r="I285">
        <f>Table9[[#This Row],[quantity]]*Table9[[#This Row],[unitPrice]]*(1-Table9[[#This Row],[discount]]/100)</f>
        <v>396</v>
      </c>
      <c r="J285" t="str">
        <f>_xlfn.XLOOKUP(_xlfn.XLOOKUP(A285,orders[orderID],orders[customerID],,0),customers__2[customerID],customers__2[companyName],,0)</f>
        <v>Pericles Comidas clásicas</v>
      </c>
      <c r="K285" t="str">
        <f>_xlfn.XLOOKUP(Table9[[#This Row],[Company Name]],customers__2[companyName],customers__2[country],,0)</f>
        <v>Mexico</v>
      </c>
      <c r="L285">
        <f>MONTH(Table9[[#This Row],[OrderDate ]])</f>
        <v>11</v>
      </c>
      <c r="M285" t="str">
        <f>TEXT(Table9[[#This Row],[OrderDate ]],"mmm")</f>
        <v>Nov</v>
      </c>
      <c r="N285">
        <f>YEAR(Table9[[#This Row],[OrderDate ]])</f>
        <v>2013</v>
      </c>
    </row>
    <row r="286" spans="1:14" x14ac:dyDescent="0.3">
      <c r="A286">
        <v>10355</v>
      </c>
      <c r="B286" s="2">
        <f>_xlfn.XLOOKUP(Table9[[#This Row],[orderID]],orders[orderID],orders[orderDate],,0)</f>
        <v>41593</v>
      </c>
      <c r="C286">
        <f>_xlfn.XLOOKUP(A286,order_details[orderID],order_details[productID],,0)</f>
        <v>24</v>
      </c>
      <c r="D286" t="str">
        <f>_xlfn.XLOOKUP(C286,products[productID],products[productName],,0)</f>
        <v>Guarana Fantastica</v>
      </c>
      <c r="E286" t="str">
        <f>_xlfn.XLOOKUP(_xlfn.XLOOKUP(Table9[[#This Row],[ProductName ]],products[productName],products[categoryID],,0),categories[categoryID],categories[categoryName],,0)</f>
        <v>Beverages</v>
      </c>
      <c r="F286">
        <v>25</v>
      </c>
      <c r="G286">
        <v>36</v>
      </c>
      <c r="H286">
        <v>0</v>
      </c>
      <c r="I286">
        <f>Table9[[#This Row],[quantity]]*Table9[[#This Row],[unitPrice]]*(1-Table9[[#This Row],[discount]]/100)</f>
        <v>900</v>
      </c>
      <c r="J286" t="str">
        <f>_xlfn.XLOOKUP(_xlfn.XLOOKUP(A286,orders[orderID],orders[customerID],,0),customers__2[customerID],customers__2[companyName],,0)</f>
        <v>Around the Horn</v>
      </c>
      <c r="K286" t="str">
        <f>_xlfn.XLOOKUP(Table9[[#This Row],[Company Name]],customers__2[companyName],customers__2[country],,0)</f>
        <v>UK</v>
      </c>
      <c r="L286">
        <f>MONTH(Table9[[#This Row],[OrderDate ]])</f>
        <v>11</v>
      </c>
      <c r="M286" t="str">
        <f>TEXT(Table9[[#This Row],[OrderDate ]],"mmm")</f>
        <v>Nov</v>
      </c>
      <c r="N286">
        <f>YEAR(Table9[[#This Row],[OrderDate ]])</f>
        <v>2013</v>
      </c>
    </row>
    <row r="287" spans="1:14" x14ac:dyDescent="0.3">
      <c r="A287">
        <v>10355</v>
      </c>
      <c r="B287" s="2">
        <f>_xlfn.XLOOKUP(Table9[[#This Row],[orderID]],orders[orderID],orders[orderDate],,0)</f>
        <v>41593</v>
      </c>
      <c r="C287">
        <f>_xlfn.XLOOKUP(A287,order_details[orderID],order_details[productID],,0)</f>
        <v>24</v>
      </c>
      <c r="D287" t="str">
        <f>_xlfn.XLOOKUP(C287,products[productID],products[productName],,0)</f>
        <v>Guarana Fantastica</v>
      </c>
      <c r="E287" t="str">
        <f>_xlfn.XLOOKUP(_xlfn.XLOOKUP(Table9[[#This Row],[ProductName ]],products[productName],products[categoryID],,0),categories[categoryID],categories[categoryName],,0)</f>
        <v>Beverages</v>
      </c>
      <c r="F287">
        <v>25</v>
      </c>
      <c r="G287">
        <v>156</v>
      </c>
      <c r="H287">
        <v>0</v>
      </c>
      <c r="I287">
        <f>Table9[[#This Row],[quantity]]*Table9[[#This Row],[unitPrice]]*(1-Table9[[#This Row],[discount]]/100)</f>
        <v>3900</v>
      </c>
      <c r="J287" t="str">
        <f>_xlfn.XLOOKUP(_xlfn.XLOOKUP(A287,orders[orderID],orders[customerID],,0),customers__2[customerID],customers__2[companyName],,0)</f>
        <v>Around the Horn</v>
      </c>
      <c r="K287" t="str">
        <f>_xlfn.XLOOKUP(Table9[[#This Row],[Company Name]],customers__2[companyName],customers__2[country],,0)</f>
        <v>UK</v>
      </c>
      <c r="L287">
        <f>MONTH(Table9[[#This Row],[OrderDate ]])</f>
        <v>11</v>
      </c>
      <c r="M287" t="str">
        <f>TEXT(Table9[[#This Row],[OrderDate ]],"mmm")</f>
        <v>Nov</v>
      </c>
      <c r="N287">
        <f>YEAR(Table9[[#This Row],[OrderDate ]])</f>
        <v>2013</v>
      </c>
    </row>
    <row r="288" spans="1:14" x14ac:dyDescent="0.3">
      <c r="A288">
        <v>10356</v>
      </c>
      <c r="B288" s="2">
        <f>_xlfn.XLOOKUP(Table9[[#This Row],[orderID]],orders[orderID],orders[orderDate],,0)</f>
        <v>41596</v>
      </c>
      <c r="C288">
        <f>_xlfn.XLOOKUP(A288,order_details[orderID],order_details[productID],,0)</f>
        <v>31</v>
      </c>
      <c r="D288" t="str">
        <f>_xlfn.XLOOKUP(C288,products[productID],products[productName],,0)</f>
        <v>Gorgonzola Telino</v>
      </c>
      <c r="E288" t="str">
        <f>_xlfn.XLOOKUP(_xlfn.XLOOKUP(Table9[[#This Row],[ProductName ]],products[productName],products[categoryID],,0),categories[categoryID],categories[categoryName],,0)</f>
        <v>Dairy Products</v>
      </c>
      <c r="F288">
        <v>30</v>
      </c>
      <c r="G288">
        <v>10</v>
      </c>
      <c r="H288">
        <v>0</v>
      </c>
      <c r="I288">
        <f>Table9[[#This Row],[quantity]]*Table9[[#This Row],[unitPrice]]*(1-Table9[[#This Row],[discount]]/100)</f>
        <v>300</v>
      </c>
      <c r="J288" t="str">
        <f>_xlfn.XLOOKUP(_xlfn.XLOOKUP(A288,orders[orderID],orders[customerID],,0),customers__2[customerID],customers__2[companyName],,0)</f>
        <v>Die Wandernde Kuh</v>
      </c>
      <c r="K288" t="str">
        <f>_xlfn.XLOOKUP(Table9[[#This Row],[Company Name]],customers__2[companyName],customers__2[country],,0)</f>
        <v>Germany</v>
      </c>
      <c r="L288">
        <f>MONTH(Table9[[#This Row],[OrderDate ]])</f>
        <v>11</v>
      </c>
      <c r="M288" t="str">
        <f>TEXT(Table9[[#This Row],[OrderDate ]],"mmm")</f>
        <v>Nov</v>
      </c>
      <c r="N288">
        <f>YEAR(Table9[[#This Row],[OrderDate ]])</f>
        <v>2013</v>
      </c>
    </row>
    <row r="289" spans="1:14" x14ac:dyDescent="0.3">
      <c r="A289">
        <v>10356</v>
      </c>
      <c r="B289" s="2">
        <f>_xlfn.XLOOKUP(Table9[[#This Row],[orderID]],orders[orderID],orders[orderDate],,0)</f>
        <v>41596</v>
      </c>
      <c r="C289">
        <f>_xlfn.XLOOKUP(A289,order_details[orderID],order_details[productID],,0)</f>
        <v>31</v>
      </c>
      <c r="D289" t="str">
        <f>_xlfn.XLOOKUP(C289,products[productID],products[productName],,0)</f>
        <v>Gorgonzola Telino</v>
      </c>
      <c r="E289" t="str">
        <f>_xlfn.XLOOKUP(_xlfn.XLOOKUP(Table9[[#This Row],[ProductName ]],products[productName],products[categoryID],,0),categories[categoryID],categories[categoryName],,0)</f>
        <v>Dairy Products</v>
      </c>
      <c r="F289">
        <v>12</v>
      </c>
      <c r="G289">
        <v>192</v>
      </c>
      <c r="H289">
        <v>0</v>
      </c>
      <c r="I289">
        <f>Table9[[#This Row],[quantity]]*Table9[[#This Row],[unitPrice]]*(1-Table9[[#This Row],[discount]]/100)</f>
        <v>2304</v>
      </c>
      <c r="J289" t="str">
        <f>_xlfn.XLOOKUP(_xlfn.XLOOKUP(A289,orders[orderID],orders[customerID],,0),customers__2[customerID],customers__2[companyName],,0)</f>
        <v>Die Wandernde Kuh</v>
      </c>
      <c r="K289" t="str">
        <f>_xlfn.XLOOKUP(Table9[[#This Row],[Company Name]],customers__2[companyName],customers__2[country],,0)</f>
        <v>Germany</v>
      </c>
      <c r="L289">
        <f>MONTH(Table9[[#This Row],[OrderDate ]])</f>
        <v>11</v>
      </c>
      <c r="M289" t="str">
        <f>TEXT(Table9[[#This Row],[OrderDate ]],"mmm")</f>
        <v>Nov</v>
      </c>
      <c r="N289">
        <f>YEAR(Table9[[#This Row],[OrderDate ]])</f>
        <v>2013</v>
      </c>
    </row>
    <row r="290" spans="1:14" x14ac:dyDescent="0.3">
      <c r="A290">
        <v>10356</v>
      </c>
      <c r="B290" s="2">
        <f>_xlfn.XLOOKUP(Table9[[#This Row],[orderID]],orders[orderID],orders[orderDate],,0)</f>
        <v>41596</v>
      </c>
      <c r="C290">
        <f>_xlfn.XLOOKUP(A290,order_details[orderID],order_details[productID],,0)</f>
        <v>31</v>
      </c>
      <c r="D290" t="str">
        <f>_xlfn.XLOOKUP(C290,products[productID],products[productName],,0)</f>
        <v>Gorgonzola Telino</v>
      </c>
      <c r="E290" t="str">
        <f>_xlfn.XLOOKUP(_xlfn.XLOOKUP(Table9[[#This Row],[ProductName ]],products[productName],products[categoryID],,0),categories[categoryID],categories[categoryName],,0)</f>
        <v>Dairy Products</v>
      </c>
      <c r="F290">
        <v>20</v>
      </c>
      <c r="G290">
        <v>288</v>
      </c>
      <c r="H290">
        <v>0</v>
      </c>
      <c r="I290">
        <f>Table9[[#This Row],[quantity]]*Table9[[#This Row],[unitPrice]]*(1-Table9[[#This Row],[discount]]/100)</f>
        <v>5760</v>
      </c>
      <c r="J290" t="str">
        <f>_xlfn.XLOOKUP(_xlfn.XLOOKUP(A290,orders[orderID],orders[customerID],,0),customers__2[customerID],customers__2[companyName],,0)</f>
        <v>Die Wandernde Kuh</v>
      </c>
      <c r="K290" t="str">
        <f>_xlfn.XLOOKUP(Table9[[#This Row],[Company Name]],customers__2[companyName],customers__2[country],,0)</f>
        <v>Germany</v>
      </c>
      <c r="L290">
        <f>MONTH(Table9[[#This Row],[OrderDate ]])</f>
        <v>11</v>
      </c>
      <c r="M290" t="str">
        <f>TEXT(Table9[[#This Row],[OrderDate ]],"mmm")</f>
        <v>Nov</v>
      </c>
      <c r="N290">
        <f>YEAR(Table9[[#This Row],[OrderDate ]])</f>
        <v>2013</v>
      </c>
    </row>
    <row r="291" spans="1:14" x14ac:dyDescent="0.3">
      <c r="A291">
        <v>10357</v>
      </c>
      <c r="B291" s="2">
        <f>_xlfn.XLOOKUP(Table9[[#This Row],[orderID]],orders[orderID],orders[orderDate],,0)</f>
        <v>41597</v>
      </c>
      <c r="C291">
        <f>_xlfn.XLOOKUP(A291,order_details[orderID],order_details[productID],,0)</f>
        <v>10</v>
      </c>
      <c r="D291" t="str">
        <f>_xlfn.XLOOKUP(C291,products[productID],products[productName],,0)</f>
        <v>Ikura</v>
      </c>
      <c r="E291" t="str">
        <f>_xlfn.XLOOKUP(_xlfn.XLOOKUP(Table9[[#This Row],[ProductName ]],products[productName],products[categoryID],,0),categories[categoryID],categories[categoryName],,0)</f>
        <v>Seafood</v>
      </c>
      <c r="F291">
        <v>30</v>
      </c>
      <c r="G291">
        <v>248</v>
      </c>
      <c r="H291">
        <v>2</v>
      </c>
      <c r="I291">
        <f>Table9[[#This Row],[quantity]]*Table9[[#This Row],[unitPrice]]*(1-Table9[[#This Row],[discount]]/100)</f>
        <v>7291.2</v>
      </c>
      <c r="J291" t="str">
        <f>_xlfn.XLOOKUP(_xlfn.XLOOKUP(A291,orders[orderID],orders[customerID],,0),customers__2[customerID],customers__2[companyName],,0)</f>
        <v>LILA-Supermercado</v>
      </c>
      <c r="K291" t="str">
        <f>_xlfn.XLOOKUP(Table9[[#This Row],[Company Name]],customers__2[companyName],customers__2[country],,0)</f>
        <v>Venezuela</v>
      </c>
      <c r="L291">
        <f>MONTH(Table9[[#This Row],[OrderDate ]])</f>
        <v>11</v>
      </c>
      <c r="M291" t="str">
        <f>TEXT(Table9[[#This Row],[OrderDate ]],"mmm")</f>
        <v>Nov</v>
      </c>
      <c r="N291">
        <f>YEAR(Table9[[#This Row],[OrderDate ]])</f>
        <v>2013</v>
      </c>
    </row>
    <row r="292" spans="1:14" x14ac:dyDescent="0.3">
      <c r="A292">
        <v>10357</v>
      </c>
      <c r="B292" s="2">
        <f>_xlfn.XLOOKUP(Table9[[#This Row],[orderID]],orders[orderID],orders[orderDate],,0)</f>
        <v>41597</v>
      </c>
      <c r="C292">
        <f>_xlfn.XLOOKUP(A292,order_details[orderID],order_details[productID],,0)</f>
        <v>10</v>
      </c>
      <c r="D292" t="str">
        <f>_xlfn.XLOOKUP(C292,products[productID],products[productName],,0)</f>
        <v>Ikura</v>
      </c>
      <c r="E292" t="str">
        <f>_xlfn.XLOOKUP(_xlfn.XLOOKUP(Table9[[#This Row],[ProductName ]],products[productName],products[categoryID],,0),categories[categoryID],categories[categoryName],,0)</f>
        <v>Seafood</v>
      </c>
      <c r="F292">
        <v>16</v>
      </c>
      <c r="G292">
        <v>249</v>
      </c>
      <c r="H292">
        <v>0</v>
      </c>
      <c r="I292">
        <f>Table9[[#This Row],[quantity]]*Table9[[#This Row],[unitPrice]]*(1-Table9[[#This Row],[discount]]/100)</f>
        <v>3984</v>
      </c>
      <c r="J292" t="str">
        <f>_xlfn.XLOOKUP(_xlfn.XLOOKUP(A292,orders[orderID],orders[customerID],,0),customers__2[customerID],customers__2[companyName],,0)</f>
        <v>LILA-Supermercado</v>
      </c>
      <c r="K292" t="str">
        <f>_xlfn.XLOOKUP(Table9[[#This Row],[Company Name]],customers__2[companyName],customers__2[country],,0)</f>
        <v>Venezuela</v>
      </c>
      <c r="L292">
        <f>MONTH(Table9[[#This Row],[OrderDate ]])</f>
        <v>11</v>
      </c>
      <c r="M292" t="str">
        <f>TEXT(Table9[[#This Row],[OrderDate ]],"mmm")</f>
        <v>Nov</v>
      </c>
      <c r="N292">
        <f>YEAR(Table9[[#This Row],[OrderDate ]])</f>
        <v>2013</v>
      </c>
    </row>
    <row r="293" spans="1:14" x14ac:dyDescent="0.3">
      <c r="A293">
        <v>10357</v>
      </c>
      <c r="B293" s="2">
        <f>_xlfn.XLOOKUP(Table9[[#This Row],[orderID]],orders[orderID],orders[orderDate],,0)</f>
        <v>41597</v>
      </c>
      <c r="C293">
        <f>_xlfn.XLOOKUP(A293,order_details[orderID],order_details[productID],,0)</f>
        <v>10</v>
      </c>
      <c r="D293" t="str">
        <f>_xlfn.XLOOKUP(C293,products[productID],products[productName],,0)</f>
        <v>Ikura</v>
      </c>
      <c r="E293" t="str">
        <f>_xlfn.XLOOKUP(_xlfn.XLOOKUP(Table9[[#This Row],[ProductName ]],products[productName],products[categoryID],,0),categories[categoryID],categories[categoryName],,0)</f>
        <v>Seafood</v>
      </c>
      <c r="F293">
        <v>8</v>
      </c>
      <c r="G293">
        <v>272</v>
      </c>
      <c r="H293">
        <v>2</v>
      </c>
      <c r="I293">
        <f>Table9[[#This Row],[quantity]]*Table9[[#This Row],[unitPrice]]*(1-Table9[[#This Row],[discount]]/100)</f>
        <v>2132.48</v>
      </c>
      <c r="J293" t="str">
        <f>_xlfn.XLOOKUP(_xlfn.XLOOKUP(A293,orders[orderID],orders[customerID],,0),customers__2[customerID],customers__2[companyName],,0)</f>
        <v>LILA-Supermercado</v>
      </c>
      <c r="K293" t="str">
        <f>_xlfn.XLOOKUP(Table9[[#This Row],[Company Name]],customers__2[companyName],customers__2[country],,0)</f>
        <v>Venezuela</v>
      </c>
      <c r="L293">
        <f>MONTH(Table9[[#This Row],[OrderDate ]])</f>
        <v>11</v>
      </c>
      <c r="M293" t="str">
        <f>TEXT(Table9[[#This Row],[OrderDate ]],"mmm")</f>
        <v>Nov</v>
      </c>
      <c r="N293">
        <f>YEAR(Table9[[#This Row],[OrderDate ]])</f>
        <v>2013</v>
      </c>
    </row>
    <row r="294" spans="1:14" x14ac:dyDescent="0.3">
      <c r="A294">
        <v>10358</v>
      </c>
      <c r="B294" s="2">
        <f>_xlfn.XLOOKUP(Table9[[#This Row],[orderID]],orders[orderID],orders[orderDate],,0)</f>
        <v>41598</v>
      </c>
      <c r="C294">
        <f>_xlfn.XLOOKUP(A294,order_details[orderID],order_details[productID],,0)</f>
        <v>24</v>
      </c>
      <c r="D294" t="str">
        <f>_xlfn.XLOOKUP(C294,products[productID],products[productName],,0)</f>
        <v>Guarana Fantastica</v>
      </c>
      <c r="E294" t="str">
        <f>_xlfn.XLOOKUP(_xlfn.XLOOKUP(Table9[[#This Row],[ProductName ]],products[productName],products[categoryID],,0),categories[categoryID],categories[categoryName],,0)</f>
        <v>Beverages</v>
      </c>
      <c r="F294">
        <v>10</v>
      </c>
      <c r="G294">
        <v>36</v>
      </c>
      <c r="H294">
        <v>5</v>
      </c>
      <c r="I294">
        <f>Table9[[#This Row],[quantity]]*Table9[[#This Row],[unitPrice]]*(1-Table9[[#This Row],[discount]]/100)</f>
        <v>342</v>
      </c>
      <c r="J294" t="str">
        <f>_xlfn.XLOOKUP(_xlfn.XLOOKUP(A294,orders[orderID],orders[customerID],,0),customers__2[customerID],customers__2[companyName],,0)</f>
        <v>La maison d'Asie</v>
      </c>
      <c r="K294" t="str">
        <f>_xlfn.XLOOKUP(Table9[[#This Row],[Company Name]],customers__2[companyName],customers__2[country],,0)</f>
        <v>France</v>
      </c>
      <c r="L294">
        <f>MONTH(Table9[[#This Row],[OrderDate ]])</f>
        <v>11</v>
      </c>
      <c r="M294" t="str">
        <f>TEXT(Table9[[#This Row],[OrderDate ]],"mmm")</f>
        <v>Nov</v>
      </c>
      <c r="N294">
        <f>YEAR(Table9[[#This Row],[OrderDate ]])</f>
        <v>2013</v>
      </c>
    </row>
    <row r="295" spans="1:14" x14ac:dyDescent="0.3">
      <c r="A295">
        <v>10358</v>
      </c>
      <c r="B295" s="2">
        <f>_xlfn.XLOOKUP(Table9[[#This Row],[orderID]],orders[orderID],orders[orderDate],,0)</f>
        <v>41598</v>
      </c>
      <c r="C295">
        <f>_xlfn.XLOOKUP(A295,order_details[orderID],order_details[productID],,0)</f>
        <v>24</v>
      </c>
      <c r="D295" t="str">
        <f>_xlfn.XLOOKUP(C295,products[productID],products[productName],,0)</f>
        <v>Guarana Fantastica</v>
      </c>
      <c r="E295" t="str">
        <f>_xlfn.XLOOKUP(_xlfn.XLOOKUP(Table9[[#This Row],[ProductName ]],products[productName],products[categoryID],,0),categories[categoryID],categories[categoryName],,0)</f>
        <v>Beverages</v>
      </c>
      <c r="F295">
        <v>10</v>
      </c>
      <c r="G295">
        <v>112</v>
      </c>
      <c r="H295">
        <v>5</v>
      </c>
      <c r="I295">
        <f>Table9[[#This Row],[quantity]]*Table9[[#This Row],[unitPrice]]*(1-Table9[[#This Row],[discount]]/100)</f>
        <v>1064</v>
      </c>
      <c r="J295" t="str">
        <f>_xlfn.XLOOKUP(_xlfn.XLOOKUP(A295,orders[orderID],orders[customerID],,0),customers__2[customerID],customers__2[companyName],,0)</f>
        <v>La maison d'Asie</v>
      </c>
      <c r="K295" t="str">
        <f>_xlfn.XLOOKUP(Table9[[#This Row],[Company Name]],customers__2[companyName],customers__2[country],,0)</f>
        <v>France</v>
      </c>
      <c r="L295">
        <f>MONTH(Table9[[#This Row],[OrderDate ]])</f>
        <v>11</v>
      </c>
      <c r="M295" t="str">
        <f>TEXT(Table9[[#This Row],[OrderDate ]],"mmm")</f>
        <v>Nov</v>
      </c>
      <c r="N295">
        <f>YEAR(Table9[[#This Row],[OrderDate ]])</f>
        <v>2013</v>
      </c>
    </row>
    <row r="296" spans="1:14" x14ac:dyDescent="0.3">
      <c r="A296">
        <v>10358</v>
      </c>
      <c r="B296" s="2">
        <f>_xlfn.XLOOKUP(Table9[[#This Row],[orderID]],orders[orderID],orders[orderDate],,0)</f>
        <v>41598</v>
      </c>
      <c r="C296">
        <f>_xlfn.XLOOKUP(A296,order_details[orderID],order_details[productID],,0)</f>
        <v>24</v>
      </c>
      <c r="D296" t="str">
        <f>_xlfn.XLOOKUP(C296,products[productID],products[productName],,0)</f>
        <v>Guarana Fantastica</v>
      </c>
      <c r="E296" t="str">
        <f>_xlfn.XLOOKUP(_xlfn.XLOOKUP(Table9[[#This Row],[ProductName ]],products[productName],products[categoryID],,0),categories[categoryID],categories[categoryName],,0)</f>
        <v>Beverages</v>
      </c>
      <c r="F296">
        <v>20</v>
      </c>
      <c r="G296">
        <v>152</v>
      </c>
      <c r="H296">
        <v>5</v>
      </c>
      <c r="I296">
        <f>Table9[[#This Row],[quantity]]*Table9[[#This Row],[unitPrice]]*(1-Table9[[#This Row],[discount]]/100)</f>
        <v>2888</v>
      </c>
      <c r="J296" t="str">
        <f>_xlfn.XLOOKUP(_xlfn.XLOOKUP(A296,orders[orderID],orders[customerID],,0),customers__2[customerID],customers__2[companyName],,0)</f>
        <v>La maison d'Asie</v>
      </c>
      <c r="K296" t="str">
        <f>_xlfn.XLOOKUP(Table9[[#This Row],[Company Name]],customers__2[companyName],customers__2[country],,0)</f>
        <v>France</v>
      </c>
      <c r="L296">
        <f>MONTH(Table9[[#This Row],[OrderDate ]])</f>
        <v>11</v>
      </c>
      <c r="M296" t="str">
        <f>TEXT(Table9[[#This Row],[OrderDate ]],"mmm")</f>
        <v>Nov</v>
      </c>
      <c r="N296">
        <f>YEAR(Table9[[#This Row],[OrderDate ]])</f>
        <v>2013</v>
      </c>
    </row>
    <row r="297" spans="1:14" x14ac:dyDescent="0.3">
      <c r="A297">
        <v>10359</v>
      </c>
      <c r="B297" s="2">
        <f>_xlfn.XLOOKUP(Table9[[#This Row],[orderID]],orders[orderID],orders[orderDate],,0)</f>
        <v>41599</v>
      </c>
      <c r="C297">
        <f>_xlfn.XLOOKUP(A297,order_details[orderID],order_details[productID],,0)</f>
        <v>16</v>
      </c>
      <c r="D297" t="str">
        <f>_xlfn.XLOOKUP(C297,products[productID],products[productName],,0)</f>
        <v>Pavlova</v>
      </c>
      <c r="E297" t="str">
        <f>_xlfn.XLOOKUP(_xlfn.XLOOKUP(Table9[[#This Row],[ProductName ]],products[productName],products[categoryID],,0),categories[categoryID],categories[categoryName],,0)</f>
        <v>Confections</v>
      </c>
      <c r="F297">
        <v>56</v>
      </c>
      <c r="G297">
        <v>139</v>
      </c>
      <c r="H297">
        <v>5</v>
      </c>
      <c r="I297">
        <f>Table9[[#This Row],[quantity]]*Table9[[#This Row],[unitPrice]]*(1-Table9[[#This Row],[discount]]/100)</f>
        <v>7394.7999999999993</v>
      </c>
      <c r="J297" t="str">
        <f>_xlfn.XLOOKUP(_xlfn.XLOOKUP(A297,orders[orderID],orders[customerID],,0),customers__2[customerID],customers__2[companyName],,0)</f>
        <v>Seven Seas Imports</v>
      </c>
      <c r="K297" t="str">
        <f>_xlfn.XLOOKUP(Table9[[#This Row],[Company Name]],customers__2[companyName],customers__2[country],,0)</f>
        <v>UK</v>
      </c>
      <c r="L297">
        <f>MONTH(Table9[[#This Row],[OrderDate ]])</f>
        <v>11</v>
      </c>
      <c r="M297" t="str">
        <f>TEXT(Table9[[#This Row],[OrderDate ]],"mmm")</f>
        <v>Nov</v>
      </c>
      <c r="N297">
        <f>YEAR(Table9[[#This Row],[OrderDate ]])</f>
        <v>2013</v>
      </c>
    </row>
    <row r="298" spans="1:14" x14ac:dyDescent="0.3">
      <c r="A298">
        <v>10359</v>
      </c>
      <c r="B298" s="2">
        <f>_xlfn.XLOOKUP(Table9[[#This Row],[orderID]],orders[orderID],orders[orderDate],,0)</f>
        <v>41599</v>
      </c>
      <c r="C298">
        <f>_xlfn.XLOOKUP(A298,order_details[orderID],order_details[productID],,0)</f>
        <v>16</v>
      </c>
      <c r="D298" t="str">
        <f>_xlfn.XLOOKUP(C298,products[productID],products[productName],,0)</f>
        <v>Pavlova</v>
      </c>
      <c r="E298" t="str">
        <f>_xlfn.XLOOKUP(_xlfn.XLOOKUP(Table9[[#This Row],[ProductName ]],products[productName],products[categoryID],,0),categories[categoryID],categories[categoryName],,0)</f>
        <v>Confections</v>
      </c>
      <c r="F298">
        <v>70</v>
      </c>
      <c r="G298">
        <v>10</v>
      </c>
      <c r="H298">
        <v>5</v>
      </c>
      <c r="I298">
        <f>Table9[[#This Row],[quantity]]*Table9[[#This Row],[unitPrice]]*(1-Table9[[#This Row],[discount]]/100)</f>
        <v>665</v>
      </c>
      <c r="J298" t="str">
        <f>_xlfn.XLOOKUP(_xlfn.XLOOKUP(A298,orders[orderID],orders[customerID],,0),customers__2[customerID],customers__2[companyName],,0)</f>
        <v>Seven Seas Imports</v>
      </c>
      <c r="K298" t="str">
        <f>_xlfn.XLOOKUP(Table9[[#This Row],[Company Name]],customers__2[companyName],customers__2[country],,0)</f>
        <v>UK</v>
      </c>
      <c r="L298">
        <f>MONTH(Table9[[#This Row],[OrderDate ]])</f>
        <v>11</v>
      </c>
      <c r="M298" t="str">
        <f>TEXT(Table9[[#This Row],[OrderDate ]],"mmm")</f>
        <v>Nov</v>
      </c>
      <c r="N298">
        <f>YEAR(Table9[[#This Row],[OrderDate ]])</f>
        <v>2013</v>
      </c>
    </row>
    <row r="299" spans="1:14" x14ac:dyDescent="0.3">
      <c r="A299">
        <v>10359</v>
      </c>
      <c r="B299" s="2">
        <f>_xlfn.XLOOKUP(Table9[[#This Row],[orderID]],orders[orderID],orders[orderDate],,0)</f>
        <v>41599</v>
      </c>
      <c r="C299">
        <f>_xlfn.XLOOKUP(A299,order_details[orderID],order_details[productID],,0)</f>
        <v>16</v>
      </c>
      <c r="D299" t="str">
        <f>_xlfn.XLOOKUP(C299,products[productID],products[productName],,0)</f>
        <v>Pavlova</v>
      </c>
      <c r="E299" t="str">
        <f>_xlfn.XLOOKUP(_xlfn.XLOOKUP(Table9[[#This Row],[ProductName ]],products[productName],products[categoryID],,0),categories[categoryID],categories[categoryName],,0)</f>
        <v>Confections</v>
      </c>
      <c r="F299">
        <v>80</v>
      </c>
      <c r="G299">
        <v>272</v>
      </c>
      <c r="H299">
        <v>5</v>
      </c>
      <c r="I299">
        <f>Table9[[#This Row],[quantity]]*Table9[[#This Row],[unitPrice]]*(1-Table9[[#This Row],[discount]]/100)</f>
        <v>20672</v>
      </c>
      <c r="J299" t="str">
        <f>_xlfn.XLOOKUP(_xlfn.XLOOKUP(A299,orders[orderID],orders[customerID],,0),customers__2[customerID],customers__2[companyName],,0)</f>
        <v>Seven Seas Imports</v>
      </c>
      <c r="K299" t="str">
        <f>_xlfn.XLOOKUP(Table9[[#This Row],[Company Name]],customers__2[companyName],customers__2[country],,0)</f>
        <v>UK</v>
      </c>
      <c r="L299">
        <f>MONTH(Table9[[#This Row],[OrderDate ]])</f>
        <v>11</v>
      </c>
      <c r="M299" t="str">
        <f>TEXT(Table9[[#This Row],[OrderDate ]],"mmm")</f>
        <v>Nov</v>
      </c>
      <c r="N299">
        <f>YEAR(Table9[[#This Row],[OrderDate ]])</f>
        <v>2013</v>
      </c>
    </row>
    <row r="300" spans="1:14" x14ac:dyDescent="0.3">
      <c r="A300">
        <v>10360</v>
      </c>
      <c r="B300" s="2">
        <f>_xlfn.XLOOKUP(Table9[[#This Row],[orderID]],orders[orderID],orders[orderDate],,0)</f>
        <v>41600</v>
      </c>
      <c r="C300">
        <f>_xlfn.XLOOKUP(A300,order_details[orderID],order_details[productID],,0)</f>
        <v>28</v>
      </c>
      <c r="D300" t="str">
        <f>_xlfn.XLOOKUP(C300,products[productID],products[productName],,0)</f>
        <v>Rössle Sauerkraut</v>
      </c>
      <c r="E300" t="str">
        <f>_xlfn.XLOOKUP(_xlfn.XLOOKUP(Table9[[#This Row],[ProductName ]],products[productName],products[categoryID],,0),categories[categoryID],categories[categoryName],,0)</f>
        <v>Produce</v>
      </c>
      <c r="F300">
        <v>30</v>
      </c>
      <c r="G300">
        <v>364</v>
      </c>
      <c r="H300">
        <v>0</v>
      </c>
      <c r="I300">
        <f>Table9[[#This Row],[quantity]]*Table9[[#This Row],[unitPrice]]*(1-Table9[[#This Row],[discount]]/100)</f>
        <v>10920</v>
      </c>
      <c r="J300" t="str">
        <f>_xlfn.XLOOKUP(_xlfn.XLOOKUP(A300,orders[orderID],orders[customerID],,0),customers__2[customerID],customers__2[companyName],,0)</f>
        <v>Blondesddsl père et fils</v>
      </c>
      <c r="K300" t="str">
        <f>_xlfn.XLOOKUP(Table9[[#This Row],[Company Name]],customers__2[companyName],customers__2[country],,0)</f>
        <v>France</v>
      </c>
      <c r="L300">
        <f>MONTH(Table9[[#This Row],[OrderDate ]])</f>
        <v>11</v>
      </c>
      <c r="M300" t="str">
        <f>TEXT(Table9[[#This Row],[OrderDate ]],"mmm")</f>
        <v>Nov</v>
      </c>
      <c r="N300">
        <f>YEAR(Table9[[#This Row],[OrderDate ]])</f>
        <v>2013</v>
      </c>
    </row>
    <row r="301" spans="1:14" x14ac:dyDescent="0.3">
      <c r="A301">
        <v>10360</v>
      </c>
      <c r="B301" s="2">
        <f>_xlfn.XLOOKUP(Table9[[#This Row],[orderID]],orders[orderID],orders[orderDate],,0)</f>
        <v>41600</v>
      </c>
      <c r="C301">
        <f>_xlfn.XLOOKUP(A301,order_details[orderID],order_details[productID],,0)</f>
        <v>28</v>
      </c>
      <c r="D301" t="str">
        <f>_xlfn.XLOOKUP(C301,products[productID],products[productName],,0)</f>
        <v>Rössle Sauerkraut</v>
      </c>
      <c r="E301" t="str">
        <f>_xlfn.XLOOKUP(_xlfn.XLOOKUP(Table9[[#This Row],[ProductName ]],products[productName],products[categoryID],,0),categories[categoryID],categories[categoryName],,0)</f>
        <v>Produce</v>
      </c>
      <c r="F301">
        <v>35</v>
      </c>
      <c r="G301">
        <v>99</v>
      </c>
      <c r="H301">
        <v>0</v>
      </c>
      <c r="I301">
        <f>Table9[[#This Row],[quantity]]*Table9[[#This Row],[unitPrice]]*(1-Table9[[#This Row],[discount]]/100)</f>
        <v>3465</v>
      </c>
      <c r="J301" t="str">
        <f>_xlfn.XLOOKUP(_xlfn.XLOOKUP(A301,orders[orderID],orders[customerID],,0),customers__2[customerID],customers__2[companyName],,0)</f>
        <v>Blondesddsl père et fils</v>
      </c>
      <c r="K301" t="str">
        <f>_xlfn.XLOOKUP(Table9[[#This Row],[Company Name]],customers__2[companyName],customers__2[country],,0)</f>
        <v>France</v>
      </c>
      <c r="L301">
        <f>MONTH(Table9[[#This Row],[OrderDate ]])</f>
        <v>11</v>
      </c>
      <c r="M301" t="str">
        <f>TEXT(Table9[[#This Row],[OrderDate ]],"mmm")</f>
        <v>Nov</v>
      </c>
      <c r="N301">
        <f>YEAR(Table9[[#This Row],[OrderDate ]])</f>
        <v>2013</v>
      </c>
    </row>
    <row r="302" spans="1:14" x14ac:dyDescent="0.3">
      <c r="A302">
        <v>10360</v>
      </c>
      <c r="B302" s="2">
        <f>_xlfn.XLOOKUP(Table9[[#This Row],[orderID]],orders[orderID],orders[orderDate],,0)</f>
        <v>41600</v>
      </c>
      <c r="C302">
        <f>_xlfn.XLOOKUP(A302,order_details[orderID],order_details[productID],,0)</f>
        <v>28</v>
      </c>
      <c r="D302" t="str">
        <f>_xlfn.XLOOKUP(C302,products[productID],products[productName],,0)</f>
        <v>Rössle Sauerkraut</v>
      </c>
      <c r="E302" t="str">
        <f>_xlfn.XLOOKUP(_xlfn.XLOOKUP(Table9[[#This Row],[ProductName ]],products[productName],products[categoryID],,0),categories[categoryID],categories[categoryName],,0)</f>
        <v>Produce</v>
      </c>
      <c r="F302">
        <v>10</v>
      </c>
      <c r="G302">
        <v>2108</v>
      </c>
      <c r="H302">
        <v>0</v>
      </c>
      <c r="I302">
        <f>Table9[[#This Row],[quantity]]*Table9[[#This Row],[unitPrice]]*(1-Table9[[#This Row],[discount]]/100)</f>
        <v>21080</v>
      </c>
      <c r="J302" t="str">
        <f>_xlfn.XLOOKUP(_xlfn.XLOOKUP(A302,orders[orderID],orders[customerID],,0),customers__2[customerID],customers__2[companyName],,0)</f>
        <v>Blondesddsl père et fils</v>
      </c>
      <c r="K302" t="str">
        <f>_xlfn.XLOOKUP(Table9[[#This Row],[Company Name]],customers__2[companyName],customers__2[country],,0)</f>
        <v>France</v>
      </c>
      <c r="L302">
        <f>MONTH(Table9[[#This Row],[OrderDate ]])</f>
        <v>11</v>
      </c>
      <c r="M302" t="str">
        <f>TEXT(Table9[[#This Row],[OrderDate ]],"mmm")</f>
        <v>Nov</v>
      </c>
      <c r="N302">
        <f>YEAR(Table9[[#This Row],[OrderDate ]])</f>
        <v>2013</v>
      </c>
    </row>
    <row r="303" spans="1:14" x14ac:dyDescent="0.3">
      <c r="A303">
        <v>10360</v>
      </c>
      <c r="B303" s="2">
        <f>_xlfn.XLOOKUP(Table9[[#This Row],[orderID]],orders[orderID],orders[orderDate],,0)</f>
        <v>41600</v>
      </c>
      <c r="C303">
        <f>_xlfn.XLOOKUP(A303,order_details[orderID],order_details[productID],,0)</f>
        <v>28</v>
      </c>
      <c r="D303" t="str">
        <f>_xlfn.XLOOKUP(C303,products[productID],products[productName],,0)</f>
        <v>Rössle Sauerkraut</v>
      </c>
      <c r="E303" t="str">
        <f>_xlfn.XLOOKUP(_xlfn.XLOOKUP(Table9[[#This Row],[ProductName ]],products[productName],products[categoryID],,0),categories[categoryID],categories[categoryName],,0)</f>
        <v>Produce</v>
      </c>
      <c r="F303">
        <v>35</v>
      </c>
      <c r="G303">
        <v>16</v>
      </c>
      <c r="H303">
        <v>0</v>
      </c>
      <c r="I303">
        <f>Table9[[#This Row],[quantity]]*Table9[[#This Row],[unitPrice]]*(1-Table9[[#This Row],[discount]]/100)</f>
        <v>560</v>
      </c>
      <c r="J303" t="str">
        <f>_xlfn.XLOOKUP(_xlfn.XLOOKUP(A303,orders[orderID],orders[customerID],,0),customers__2[customerID],customers__2[companyName],,0)</f>
        <v>Blondesddsl père et fils</v>
      </c>
      <c r="K303" t="str">
        <f>_xlfn.XLOOKUP(Table9[[#This Row],[Company Name]],customers__2[companyName],customers__2[country],,0)</f>
        <v>France</v>
      </c>
      <c r="L303">
        <f>MONTH(Table9[[#This Row],[OrderDate ]])</f>
        <v>11</v>
      </c>
      <c r="M303" t="str">
        <f>TEXT(Table9[[#This Row],[OrderDate ]],"mmm")</f>
        <v>Nov</v>
      </c>
      <c r="N303">
        <f>YEAR(Table9[[#This Row],[OrderDate ]])</f>
        <v>2013</v>
      </c>
    </row>
    <row r="304" spans="1:14" x14ac:dyDescent="0.3">
      <c r="A304">
        <v>10360</v>
      </c>
      <c r="B304" s="2">
        <f>_xlfn.XLOOKUP(Table9[[#This Row],[orderID]],orders[orderID],orders[orderDate],,0)</f>
        <v>41600</v>
      </c>
      <c r="C304">
        <f>_xlfn.XLOOKUP(A304,order_details[orderID],order_details[productID],,0)</f>
        <v>28</v>
      </c>
      <c r="D304" t="str">
        <f>_xlfn.XLOOKUP(C304,products[productID],products[productName],,0)</f>
        <v>Rössle Sauerkraut</v>
      </c>
      <c r="E304" t="str">
        <f>_xlfn.XLOOKUP(_xlfn.XLOOKUP(Table9[[#This Row],[ProductName ]],products[productName],products[categoryID],,0),categories[categoryID],categories[categoryName],,0)</f>
        <v>Produce</v>
      </c>
      <c r="F304">
        <v>28</v>
      </c>
      <c r="G304">
        <v>59</v>
      </c>
      <c r="H304">
        <v>0</v>
      </c>
      <c r="I304">
        <f>Table9[[#This Row],[quantity]]*Table9[[#This Row],[unitPrice]]*(1-Table9[[#This Row],[discount]]/100)</f>
        <v>1652</v>
      </c>
      <c r="J304" t="str">
        <f>_xlfn.XLOOKUP(_xlfn.XLOOKUP(A304,orders[orderID],orders[customerID],,0),customers__2[customerID],customers__2[companyName],,0)</f>
        <v>Blondesddsl père et fils</v>
      </c>
      <c r="K304" t="str">
        <f>_xlfn.XLOOKUP(Table9[[#This Row],[Company Name]],customers__2[companyName],customers__2[country],,0)</f>
        <v>France</v>
      </c>
      <c r="L304">
        <f>MONTH(Table9[[#This Row],[OrderDate ]])</f>
        <v>11</v>
      </c>
      <c r="M304" t="str">
        <f>TEXT(Table9[[#This Row],[OrderDate ]],"mmm")</f>
        <v>Nov</v>
      </c>
      <c r="N304">
        <f>YEAR(Table9[[#This Row],[OrderDate ]])</f>
        <v>2013</v>
      </c>
    </row>
    <row r="305" spans="1:14" x14ac:dyDescent="0.3">
      <c r="A305">
        <v>10361</v>
      </c>
      <c r="B305" s="2">
        <f>_xlfn.XLOOKUP(Table9[[#This Row],[orderID]],orders[orderID],orders[orderDate],,0)</f>
        <v>41600</v>
      </c>
      <c r="C305">
        <f>_xlfn.XLOOKUP(A305,order_details[orderID],order_details[productID],,0)</f>
        <v>39</v>
      </c>
      <c r="D305" t="str">
        <f>_xlfn.XLOOKUP(C305,products[productID],products[productName],,0)</f>
        <v>Chartreuse verte</v>
      </c>
      <c r="E305" t="str">
        <f>_xlfn.XLOOKUP(_xlfn.XLOOKUP(Table9[[#This Row],[ProductName ]],products[productName],products[categoryID],,0),categories[categoryID],categories[categoryName],,0)</f>
        <v>Beverages</v>
      </c>
      <c r="F305">
        <v>54</v>
      </c>
      <c r="G305">
        <v>144</v>
      </c>
      <c r="H305">
        <v>1</v>
      </c>
      <c r="I305">
        <f>Table9[[#This Row],[quantity]]*Table9[[#This Row],[unitPrice]]*(1-Table9[[#This Row],[discount]]/100)</f>
        <v>7698.24</v>
      </c>
      <c r="J305" t="str">
        <f>_xlfn.XLOOKUP(_xlfn.XLOOKUP(A305,orders[orderID],orders[customerID],,0),customers__2[customerID],customers__2[companyName],,0)</f>
        <v>QUICK-Stop</v>
      </c>
      <c r="K305" t="str">
        <f>_xlfn.XLOOKUP(Table9[[#This Row],[Company Name]],customers__2[companyName],customers__2[country],,0)</f>
        <v>Germany</v>
      </c>
      <c r="L305">
        <f>MONTH(Table9[[#This Row],[OrderDate ]])</f>
        <v>11</v>
      </c>
      <c r="M305" t="str">
        <f>TEXT(Table9[[#This Row],[OrderDate ]],"mmm")</f>
        <v>Nov</v>
      </c>
      <c r="N305">
        <f>YEAR(Table9[[#This Row],[OrderDate ]])</f>
        <v>2013</v>
      </c>
    </row>
    <row r="306" spans="1:14" x14ac:dyDescent="0.3">
      <c r="A306">
        <v>10361</v>
      </c>
      <c r="B306" s="2">
        <f>_xlfn.XLOOKUP(Table9[[#This Row],[orderID]],orders[orderID],orders[orderDate],,0)</f>
        <v>41600</v>
      </c>
      <c r="C306">
        <f>_xlfn.XLOOKUP(A306,order_details[orderID],order_details[productID],,0)</f>
        <v>39</v>
      </c>
      <c r="D306" t="str">
        <f>_xlfn.XLOOKUP(C306,products[productID],products[productName],,0)</f>
        <v>Chartreuse verte</v>
      </c>
      <c r="E306" t="str">
        <f>_xlfn.XLOOKUP(_xlfn.XLOOKUP(Table9[[#This Row],[ProductName ]],products[productName],products[categoryID],,0),categories[categoryID],categories[categoryName],,0)</f>
        <v>Beverages</v>
      </c>
      <c r="F306">
        <v>55</v>
      </c>
      <c r="G306">
        <v>272</v>
      </c>
      <c r="H306">
        <v>1</v>
      </c>
      <c r="I306">
        <f>Table9[[#This Row],[quantity]]*Table9[[#This Row],[unitPrice]]*(1-Table9[[#This Row],[discount]]/100)</f>
        <v>14810.4</v>
      </c>
      <c r="J306" t="str">
        <f>_xlfn.XLOOKUP(_xlfn.XLOOKUP(A306,orders[orderID],orders[customerID],,0),customers__2[customerID],customers__2[companyName],,0)</f>
        <v>QUICK-Stop</v>
      </c>
      <c r="K306" t="str">
        <f>_xlfn.XLOOKUP(Table9[[#This Row],[Company Name]],customers__2[companyName],customers__2[country],,0)</f>
        <v>Germany</v>
      </c>
      <c r="L306">
        <f>MONTH(Table9[[#This Row],[OrderDate ]])</f>
        <v>11</v>
      </c>
      <c r="M306" t="str">
        <f>TEXT(Table9[[#This Row],[OrderDate ]],"mmm")</f>
        <v>Nov</v>
      </c>
      <c r="N306">
        <f>YEAR(Table9[[#This Row],[OrderDate ]])</f>
        <v>2013</v>
      </c>
    </row>
    <row r="307" spans="1:14" x14ac:dyDescent="0.3">
      <c r="A307">
        <v>10362</v>
      </c>
      <c r="B307" s="2">
        <f>_xlfn.XLOOKUP(Table9[[#This Row],[orderID]],orders[orderID],orders[orderDate],,0)</f>
        <v>41603</v>
      </c>
      <c r="C307">
        <f>_xlfn.XLOOKUP(A307,order_details[orderID],order_details[productID],,0)</f>
        <v>25</v>
      </c>
      <c r="D307" t="str">
        <f>_xlfn.XLOOKUP(C307,products[productID],products[productName],,0)</f>
        <v>NuNuCa Nuß-Nougat-Creme</v>
      </c>
      <c r="E307" t="str">
        <f>_xlfn.XLOOKUP(_xlfn.XLOOKUP(Table9[[#This Row],[ProductName ]],products[productName],products[categoryID],,0),categories[categoryID],categories[categoryName],,0)</f>
        <v>Confections</v>
      </c>
      <c r="F307">
        <v>50</v>
      </c>
      <c r="G307">
        <v>112</v>
      </c>
      <c r="H307">
        <v>0</v>
      </c>
      <c r="I307">
        <f>Table9[[#This Row],[quantity]]*Table9[[#This Row],[unitPrice]]*(1-Table9[[#This Row],[discount]]/100)</f>
        <v>5600</v>
      </c>
      <c r="J307" t="str">
        <f>_xlfn.XLOOKUP(_xlfn.XLOOKUP(A307,orders[orderID],orders[customerID],,0),customers__2[customerID],customers__2[companyName],,0)</f>
        <v>Bon app'</v>
      </c>
      <c r="K307" t="str">
        <f>_xlfn.XLOOKUP(Table9[[#This Row],[Company Name]],customers__2[companyName],customers__2[country],,0)</f>
        <v>France</v>
      </c>
      <c r="L307">
        <f>MONTH(Table9[[#This Row],[OrderDate ]])</f>
        <v>11</v>
      </c>
      <c r="M307" t="str">
        <f>TEXT(Table9[[#This Row],[OrderDate ]],"mmm")</f>
        <v>Nov</v>
      </c>
      <c r="N307">
        <f>YEAR(Table9[[#This Row],[OrderDate ]])</f>
        <v>2013</v>
      </c>
    </row>
    <row r="308" spans="1:14" x14ac:dyDescent="0.3">
      <c r="A308">
        <v>10362</v>
      </c>
      <c r="B308" s="2">
        <f>_xlfn.XLOOKUP(Table9[[#This Row],[orderID]],orders[orderID],orders[orderDate],,0)</f>
        <v>41603</v>
      </c>
      <c r="C308">
        <f>_xlfn.XLOOKUP(A308,order_details[orderID],order_details[productID],,0)</f>
        <v>25</v>
      </c>
      <c r="D308" t="str">
        <f>_xlfn.XLOOKUP(C308,products[productID],products[productName],,0)</f>
        <v>NuNuCa Nuß-Nougat-Creme</v>
      </c>
      <c r="E308" t="str">
        <f>_xlfn.XLOOKUP(_xlfn.XLOOKUP(Table9[[#This Row],[ProductName ]],products[productName],products[categoryID],,0),categories[categoryID],categories[categoryName],,0)</f>
        <v>Confections</v>
      </c>
      <c r="F308">
        <v>20</v>
      </c>
      <c r="G308">
        <v>424</v>
      </c>
      <c r="H308">
        <v>0</v>
      </c>
      <c r="I308">
        <f>Table9[[#This Row],[quantity]]*Table9[[#This Row],[unitPrice]]*(1-Table9[[#This Row],[discount]]/100)</f>
        <v>8480</v>
      </c>
      <c r="J308" t="str">
        <f>_xlfn.XLOOKUP(_xlfn.XLOOKUP(A308,orders[orderID],orders[customerID],,0),customers__2[customerID],customers__2[companyName],,0)</f>
        <v>Bon app'</v>
      </c>
      <c r="K308" t="str">
        <f>_xlfn.XLOOKUP(Table9[[#This Row],[Company Name]],customers__2[companyName],customers__2[country],,0)</f>
        <v>France</v>
      </c>
      <c r="L308">
        <f>MONTH(Table9[[#This Row],[OrderDate ]])</f>
        <v>11</v>
      </c>
      <c r="M308" t="str">
        <f>TEXT(Table9[[#This Row],[OrderDate ]],"mmm")</f>
        <v>Nov</v>
      </c>
      <c r="N308">
        <f>YEAR(Table9[[#This Row],[OrderDate ]])</f>
        <v>2013</v>
      </c>
    </row>
    <row r="309" spans="1:14" x14ac:dyDescent="0.3">
      <c r="A309">
        <v>10362</v>
      </c>
      <c r="B309" s="2">
        <f>_xlfn.XLOOKUP(Table9[[#This Row],[orderID]],orders[orderID],orders[orderDate],,0)</f>
        <v>41603</v>
      </c>
      <c r="C309">
        <f>_xlfn.XLOOKUP(A309,order_details[orderID],order_details[productID],,0)</f>
        <v>25</v>
      </c>
      <c r="D309" t="str">
        <f>_xlfn.XLOOKUP(C309,products[productID],products[productName],,0)</f>
        <v>NuNuCa Nuß-Nougat-Creme</v>
      </c>
      <c r="E309" t="str">
        <f>_xlfn.XLOOKUP(_xlfn.XLOOKUP(Table9[[#This Row],[ProductName ]],products[productName],products[categoryID],,0),categories[categoryID],categories[categoryName],,0)</f>
        <v>Confections</v>
      </c>
      <c r="F309">
        <v>24</v>
      </c>
      <c r="G309">
        <v>59</v>
      </c>
      <c r="H309">
        <v>0</v>
      </c>
      <c r="I309">
        <f>Table9[[#This Row],[quantity]]*Table9[[#This Row],[unitPrice]]*(1-Table9[[#This Row],[discount]]/100)</f>
        <v>1416</v>
      </c>
      <c r="J309" t="str">
        <f>_xlfn.XLOOKUP(_xlfn.XLOOKUP(A309,orders[orderID],orders[customerID],,0),customers__2[customerID],customers__2[companyName],,0)</f>
        <v>Bon app'</v>
      </c>
      <c r="K309" t="str">
        <f>_xlfn.XLOOKUP(Table9[[#This Row],[Company Name]],customers__2[companyName],customers__2[country],,0)</f>
        <v>France</v>
      </c>
      <c r="L309">
        <f>MONTH(Table9[[#This Row],[OrderDate ]])</f>
        <v>11</v>
      </c>
      <c r="M309" t="str">
        <f>TEXT(Table9[[#This Row],[OrderDate ]],"mmm")</f>
        <v>Nov</v>
      </c>
      <c r="N309">
        <f>YEAR(Table9[[#This Row],[OrderDate ]])</f>
        <v>2013</v>
      </c>
    </row>
    <row r="310" spans="1:14" x14ac:dyDescent="0.3">
      <c r="A310">
        <v>10363</v>
      </c>
      <c r="B310" s="2">
        <f>_xlfn.XLOOKUP(Table9[[#This Row],[orderID]],orders[orderID],orders[orderDate],,0)</f>
        <v>41604</v>
      </c>
      <c r="C310">
        <f>_xlfn.XLOOKUP(A310,order_details[orderID],order_details[productID],,0)</f>
        <v>31</v>
      </c>
      <c r="D310" t="str">
        <f>_xlfn.XLOOKUP(C310,products[productID],products[productName],,0)</f>
        <v>Gorgonzola Telino</v>
      </c>
      <c r="E310" t="str">
        <f>_xlfn.XLOOKUP(_xlfn.XLOOKUP(Table9[[#This Row],[ProductName ]],products[productName],products[categoryID],,0),categories[categoryID],categories[categoryName],,0)</f>
        <v>Dairy Products</v>
      </c>
      <c r="F310">
        <v>20</v>
      </c>
      <c r="G310">
        <v>10</v>
      </c>
      <c r="H310">
        <v>0</v>
      </c>
      <c r="I310">
        <f>Table9[[#This Row],[quantity]]*Table9[[#This Row],[unitPrice]]*(1-Table9[[#This Row],[discount]]/100)</f>
        <v>200</v>
      </c>
      <c r="J310" t="str">
        <f>_xlfn.XLOOKUP(_xlfn.XLOOKUP(A310,orders[orderID],orders[customerID],,0),customers__2[customerID],customers__2[companyName],,0)</f>
        <v>Drachenblut Delikatessen</v>
      </c>
      <c r="K310" t="str">
        <f>_xlfn.XLOOKUP(Table9[[#This Row],[Company Name]],customers__2[companyName],customers__2[country],,0)</f>
        <v>Germany</v>
      </c>
      <c r="L310">
        <f>MONTH(Table9[[#This Row],[OrderDate ]])</f>
        <v>11</v>
      </c>
      <c r="M310" t="str">
        <f>TEXT(Table9[[#This Row],[OrderDate ]],"mmm")</f>
        <v>Nov</v>
      </c>
      <c r="N310">
        <f>YEAR(Table9[[#This Row],[OrderDate ]])</f>
        <v>2013</v>
      </c>
    </row>
    <row r="311" spans="1:14" x14ac:dyDescent="0.3">
      <c r="A311">
        <v>10363</v>
      </c>
      <c r="B311" s="2">
        <f>_xlfn.XLOOKUP(Table9[[#This Row],[orderID]],orders[orderID],orders[orderDate],,0)</f>
        <v>41604</v>
      </c>
      <c r="C311">
        <f>_xlfn.XLOOKUP(A311,order_details[orderID],order_details[productID],,0)</f>
        <v>31</v>
      </c>
      <c r="D311" t="str">
        <f>_xlfn.XLOOKUP(C311,products[productID],products[productName],,0)</f>
        <v>Gorgonzola Telino</v>
      </c>
      <c r="E311" t="str">
        <f>_xlfn.XLOOKUP(_xlfn.XLOOKUP(Table9[[#This Row],[ProductName ]],products[productName],products[categoryID],,0),categories[categoryID],categories[categoryName],,0)</f>
        <v>Dairy Products</v>
      </c>
      <c r="F311">
        <v>12</v>
      </c>
      <c r="G311">
        <v>62</v>
      </c>
      <c r="H311">
        <v>0</v>
      </c>
      <c r="I311">
        <f>Table9[[#This Row],[quantity]]*Table9[[#This Row],[unitPrice]]*(1-Table9[[#This Row],[discount]]/100)</f>
        <v>744</v>
      </c>
      <c r="J311" t="str">
        <f>_xlfn.XLOOKUP(_xlfn.XLOOKUP(A311,orders[orderID],orders[customerID],,0),customers__2[customerID],customers__2[companyName],,0)</f>
        <v>Drachenblut Delikatessen</v>
      </c>
      <c r="K311" t="str">
        <f>_xlfn.XLOOKUP(Table9[[#This Row],[Company Name]],customers__2[companyName],customers__2[country],,0)</f>
        <v>Germany</v>
      </c>
      <c r="L311">
        <f>MONTH(Table9[[#This Row],[OrderDate ]])</f>
        <v>11</v>
      </c>
      <c r="M311" t="str">
        <f>TEXT(Table9[[#This Row],[OrderDate ]],"mmm")</f>
        <v>Nov</v>
      </c>
      <c r="N311">
        <f>YEAR(Table9[[#This Row],[OrderDate ]])</f>
        <v>2013</v>
      </c>
    </row>
    <row r="312" spans="1:14" x14ac:dyDescent="0.3">
      <c r="A312">
        <v>10363</v>
      </c>
      <c r="B312" s="2">
        <f>_xlfn.XLOOKUP(Table9[[#This Row],[orderID]],orders[orderID],orders[orderDate],,0)</f>
        <v>41604</v>
      </c>
      <c r="C312">
        <f>_xlfn.XLOOKUP(A312,order_details[orderID],order_details[productID],,0)</f>
        <v>31</v>
      </c>
      <c r="D312" t="str">
        <f>_xlfn.XLOOKUP(C312,products[productID],products[productName],,0)</f>
        <v>Gorgonzola Telino</v>
      </c>
      <c r="E312" t="str">
        <f>_xlfn.XLOOKUP(_xlfn.XLOOKUP(Table9[[#This Row],[ProductName ]],products[productName],products[categoryID],,0),categories[categoryID],categories[categoryName],,0)</f>
        <v>Dairy Products</v>
      </c>
      <c r="F312">
        <v>12</v>
      </c>
      <c r="G312">
        <v>144</v>
      </c>
      <c r="H312">
        <v>0</v>
      </c>
      <c r="I312">
        <f>Table9[[#This Row],[quantity]]*Table9[[#This Row],[unitPrice]]*(1-Table9[[#This Row],[discount]]/100)</f>
        <v>1728</v>
      </c>
      <c r="J312" t="str">
        <f>_xlfn.XLOOKUP(_xlfn.XLOOKUP(A312,orders[orderID],orders[customerID],,0),customers__2[customerID],customers__2[companyName],,0)</f>
        <v>Drachenblut Delikatessen</v>
      </c>
      <c r="K312" t="str">
        <f>_xlfn.XLOOKUP(Table9[[#This Row],[Company Name]],customers__2[companyName],customers__2[country],,0)</f>
        <v>Germany</v>
      </c>
      <c r="L312">
        <f>MONTH(Table9[[#This Row],[OrderDate ]])</f>
        <v>11</v>
      </c>
      <c r="M312" t="str">
        <f>TEXT(Table9[[#This Row],[OrderDate ]],"mmm")</f>
        <v>Nov</v>
      </c>
      <c r="N312">
        <f>YEAR(Table9[[#This Row],[OrderDate ]])</f>
        <v>2013</v>
      </c>
    </row>
    <row r="313" spans="1:14" x14ac:dyDescent="0.3">
      <c r="A313">
        <v>10364</v>
      </c>
      <c r="B313" s="2">
        <f>_xlfn.XLOOKUP(Table9[[#This Row],[orderID]],orders[orderID],orders[orderDate],,0)</f>
        <v>41604</v>
      </c>
      <c r="C313">
        <f>_xlfn.XLOOKUP(A313,order_details[orderID],order_details[productID],,0)</f>
        <v>69</v>
      </c>
      <c r="D313" t="str">
        <f>_xlfn.XLOOKUP(C313,products[productID],products[productName],,0)</f>
        <v>Gudbrandsdalsost</v>
      </c>
      <c r="E313" t="str">
        <f>_xlfn.XLOOKUP(_xlfn.XLOOKUP(Table9[[#This Row],[ProductName ]],products[productName],products[categoryID],,0),categories[categoryID],categories[categoryName],,0)</f>
        <v>Dairy Products</v>
      </c>
      <c r="F313">
        <v>30</v>
      </c>
      <c r="G313">
        <v>288</v>
      </c>
      <c r="H313">
        <v>0</v>
      </c>
      <c r="I313">
        <f>Table9[[#This Row],[quantity]]*Table9[[#This Row],[unitPrice]]*(1-Table9[[#This Row],[discount]]/100)</f>
        <v>8640</v>
      </c>
      <c r="J313" t="str">
        <f>_xlfn.XLOOKUP(_xlfn.XLOOKUP(A313,orders[orderID],orders[customerID],,0),customers__2[customerID],customers__2[companyName],,0)</f>
        <v>Eastern Connection</v>
      </c>
      <c r="K313" t="str">
        <f>_xlfn.XLOOKUP(Table9[[#This Row],[Company Name]],customers__2[companyName],customers__2[country],,0)</f>
        <v>UK</v>
      </c>
      <c r="L313">
        <f>MONTH(Table9[[#This Row],[OrderDate ]])</f>
        <v>11</v>
      </c>
      <c r="M313" t="str">
        <f>TEXT(Table9[[#This Row],[OrderDate ]],"mmm")</f>
        <v>Nov</v>
      </c>
      <c r="N313">
        <f>YEAR(Table9[[#This Row],[OrderDate ]])</f>
        <v>2013</v>
      </c>
    </row>
    <row r="314" spans="1:14" x14ac:dyDescent="0.3">
      <c r="A314">
        <v>10364</v>
      </c>
      <c r="B314" s="2">
        <f>_xlfn.XLOOKUP(Table9[[#This Row],[orderID]],orders[orderID],orders[orderDate],,0)</f>
        <v>41604</v>
      </c>
      <c r="C314">
        <f>_xlfn.XLOOKUP(A314,order_details[orderID],order_details[productID],,0)</f>
        <v>69</v>
      </c>
      <c r="D314" t="str">
        <f>_xlfn.XLOOKUP(C314,products[productID],products[productName],,0)</f>
        <v>Gudbrandsdalsost</v>
      </c>
      <c r="E314" t="str">
        <f>_xlfn.XLOOKUP(_xlfn.XLOOKUP(Table9[[#This Row],[ProductName ]],products[productName],products[categoryID],,0),categories[categoryID],categories[categoryName],,0)</f>
        <v>Dairy Products</v>
      </c>
      <c r="F314">
        <v>5</v>
      </c>
      <c r="G314">
        <v>172</v>
      </c>
      <c r="H314">
        <v>0</v>
      </c>
      <c r="I314">
        <f>Table9[[#This Row],[quantity]]*Table9[[#This Row],[unitPrice]]*(1-Table9[[#This Row],[discount]]/100)</f>
        <v>860</v>
      </c>
      <c r="J314" t="str">
        <f>_xlfn.XLOOKUP(_xlfn.XLOOKUP(A314,orders[orderID],orders[customerID],,0),customers__2[customerID],customers__2[companyName],,0)</f>
        <v>Eastern Connection</v>
      </c>
      <c r="K314" t="str">
        <f>_xlfn.XLOOKUP(Table9[[#This Row],[Company Name]],customers__2[companyName],customers__2[country],,0)</f>
        <v>UK</v>
      </c>
      <c r="L314">
        <f>MONTH(Table9[[#This Row],[OrderDate ]])</f>
        <v>11</v>
      </c>
      <c r="M314" t="str">
        <f>TEXT(Table9[[#This Row],[OrderDate ]],"mmm")</f>
        <v>Nov</v>
      </c>
      <c r="N314">
        <f>YEAR(Table9[[#This Row],[OrderDate ]])</f>
        <v>2013</v>
      </c>
    </row>
    <row r="315" spans="1:14" x14ac:dyDescent="0.3">
      <c r="A315">
        <v>10365</v>
      </c>
      <c r="B315" s="2">
        <f>_xlfn.XLOOKUP(Table9[[#This Row],[orderID]],orders[orderID],orders[orderDate],,0)</f>
        <v>41605</v>
      </c>
      <c r="C315">
        <f>_xlfn.XLOOKUP(A315,order_details[orderID],order_details[productID],,0)</f>
        <v>11</v>
      </c>
      <c r="D315" t="str">
        <f>_xlfn.XLOOKUP(C315,products[productID],products[productName],,0)</f>
        <v>Queso Cabrales</v>
      </c>
      <c r="E315" t="str">
        <f>_xlfn.XLOOKUP(_xlfn.XLOOKUP(Table9[[#This Row],[ProductName ]],products[productName],products[categoryID],,0),categories[categoryID],categories[categoryName],,0)</f>
        <v>Dairy Products</v>
      </c>
      <c r="F315">
        <v>24</v>
      </c>
      <c r="G315">
        <v>168</v>
      </c>
      <c r="H315">
        <v>0</v>
      </c>
      <c r="I315">
        <f>Table9[[#This Row],[quantity]]*Table9[[#This Row],[unitPrice]]*(1-Table9[[#This Row],[discount]]/100)</f>
        <v>4032</v>
      </c>
      <c r="J315" t="str">
        <f>_xlfn.XLOOKUP(_xlfn.XLOOKUP(A315,orders[orderID],orders[customerID],,0),customers__2[customerID],customers__2[companyName],,0)</f>
        <v>Antonio Moreno Taquería</v>
      </c>
      <c r="K315" t="str">
        <f>_xlfn.XLOOKUP(Table9[[#This Row],[Company Name]],customers__2[companyName],customers__2[country],,0)</f>
        <v>Mexico</v>
      </c>
      <c r="L315">
        <f>MONTH(Table9[[#This Row],[OrderDate ]])</f>
        <v>11</v>
      </c>
      <c r="M315" t="str">
        <f>TEXT(Table9[[#This Row],[OrderDate ]],"mmm")</f>
        <v>Nov</v>
      </c>
      <c r="N315">
        <f>YEAR(Table9[[#This Row],[OrderDate ]])</f>
        <v>2013</v>
      </c>
    </row>
    <row r="316" spans="1:14" x14ac:dyDescent="0.3">
      <c r="A316">
        <v>10366</v>
      </c>
      <c r="B316" s="2">
        <f>_xlfn.XLOOKUP(Table9[[#This Row],[orderID]],orders[orderID],orders[orderDate],,0)</f>
        <v>41606</v>
      </c>
      <c r="C316">
        <f>_xlfn.XLOOKUP(A316,order_details[orderID],order_details[productID],,0)</f>
        <v>65</v>
      </c>
      <c r="D316" t="str">
        <f>_xlfn.XLOOKUP(C316,products[productID],products[productName],,0)</f>
        <v>Louisiana Fiery Hot Pepper Sauce</v>
      </c>
      <c r="E316" t="str">
        <f>_xlfn.XLOOKUP(_xlfn.XLOOKUP(Table9[[#This Row],[ProductName ]],products[productName],products[categoryID],,0),categories[categoryID],categories[categoryName],,0)</f>
        <v>Condiments</v>
      </c>
      <c r="F316">
        <v>5</v>
      </c>
      <c r="G316">
        <v>168</v>
      </c>
      <c r="H316">
        <v>0</v>
      </c>
      <c r="I316">
        <f>Table9[[#This Row],[quantity]]*Table9[[#This Row],[unitPrice]]*(1-Table9[[#This Row],[discount]]/100)</f>
        <v>840</v>
      </c>
      <c r="J316" t="str">
        <f>_xlfn.XLOOKUP(_xlfn.XLOOKUP(A316,orders[orderID],orders[customerID],,0),customers__2[customerID],customers__2[companyName],,0)</f>
        <v>Galería del gastrónomo</v>
      </c>
      <c r="K316" t="str">
        <f>_xlfn.XLOOKUP(Table9[[#This Row],[Company Name]],customers__2[companyName],customers__2[country],,0)</f>
        <v>Spain</v>
      </c>
      <c r="L316">
        <f>MONTH(Table9[[#This Row],[OrderDate ]])</f>
        <v>11</v>
      </c>
      <c r="M316" t="str">
        <f>TEXT(Table9[[#This Row],[OrderDate ]],"mmm")</f>
        <v>Nov</v>
      </c>
      <c r="N316">
        <f>YEAR(Table9[[#This Row],[OrderDate ]])</f>
        <v>2013</v>
      </c>
    </row>
    <row r="317" spans="1:14" x14ac:dyDescent="0.3">
      <c r="A317">
        <v>10366</v>
      </c>
      <c r="B317" s="2">
        <f>_xlfn.XLOOKUP(Table9[[#This Row],[orderID]],orders[orderID],orders[orderDate],,0)</f>
        <v>41606</v>
      </c>
      <c r="C317">
        <f>_xlfn.XLOOKUP(A317,order_details[orderID],order_details[productID],,0)</f>
        <v>65</v>
      </c>
      <c r="D317" t="str">
        <f>_xlfn.XLOOKUP(C317,products[productID],products[productName],,0)</f>
        <v>Louisiana Fiery Hot Pepper Sauce</v>
      </c>
      <c r="E317" t="str">
        <f>_xlfn.XLOOKUP(_xlfn.XLOOKUP(Table9[[#This Row],[ProductName ]],products[productName],products[categoryID],,0),categories[categoryID],categories[categoryName],,0)</f>
        <v>Condiments</v>
      </c>
      <c r="F317">
        <v>5</v>
      </c>
      <c r="G317">
        <v>104</v>
      </c>
      <c r="H317">
        <v>0</v>
      </c>
      <c r="I317">
        <f>Table9[[#This Row],[quantity]]*Table9[[#This Row],[unitPrice]]*(1-Table9[[#This Row],[discount]]/100)</f>
        <v>520</v>
      </c>
      <c r="J317" t="str">
        <f>_xlfn.XLOOKUP(_xlfn.XLOOKUP(A317,orders[orderID],orders[customerID],,0),customers__2[customerID],customers__2[companyName],,0)</f>
        <v>Galería del gastrónomo</v>
      </c>
      <c r="K317" t="str">
        <f>_xlfn.XLOOKUP(Table9[[#This Row],[Company Name]],customers__2[companyName],customers__2[country],,0)</f>
        <v>Spain</v>
      </c>
      <c r="L317">
        <f>MONTH(Table9[[#This Row],[OrderDate ]])</f>
        <v>11</v>
      </c>
      <c r="M317" t="str">
        <f>TEXT(Table9[[#This Row],[OrderDate ]],"mmm")</f>
        <v>Nov</v>
      </c>
      <c r="N317">
        <f>YEAR(Table9[[#This Row],[OrderDate ]])</f>
        <v>2013</v>
      </c>
    </row>
    <row r="318" spans="1:14" x14ac:dyDescent="0.3">
      <c r="A318">
        <v>10367</v>
      </c>
      <c r="B318" s="2">
        <f>_xlfn.XLOOKUP(Table9[[#This Row],[orderID]],orders[orderID],orders[orderDate],,0)</f>
        <v>41606</v>
      </c>
      <c r="C318">
        <f>_xlfn.XLOOKUP(A318,order_details[orderID],order_details[productID],,0)</f>
        <v>34</v>
      </c>
      <c r="D318" t="str">
        <f>_xlfn.XLOOKUP(C318,products[productID],products[productName],,0)</f>
        <v>Sasquatch Ale</v>
      </c>
      <c r="E318" t="str">
        <f>_xlfn.XLOOKUP(_xlfn.XLOOKUP(Table9[[#This Row],[ProductName ]],products[productName],products[categoryID],,0),categories[categoryID],categories[categoryName],,0)</f>
        <v>Beverages</v>
      </c>
      <c r="F318">
        <v>36</v>
      </c>
      <c r="G318">
        <v>112</v>
      </c>
      <c r="H318">
        <v>0</v>
      </c>
      <c r="I318">
        <f>Table9[[#This Row],[quantity]]*Table9[[#This Row],[unitPrice]]*(1-Table9[[#This Row],[discount]]/100)</f>
        <v>4032</v>
      </c>
      <c r="J318" t="str">
        <f>_xlfn.XLOOKUP(_xlfn.XLOOKUP(A318,orders[orderID],orders[customerID],,0),customers__2[customerID],customers__2[companyName],,0)</f>
        <v>Vaffeljernet</v>
      </c>
      <c r="K318" t="str">
        <f>_xlfn.XLOOKUP(Table9[[#This Row],[Company Name]],customers__2[companyName],customers__2[country],,0)</f>
        <v>Denmark</v>
      </c>
      <c r="L318">
        <f>MONTH(Table9[[#This Row],[OrderDate ]])</f>
        <v>11</v>
      </c>
      <c r="M318" t="str">
        <f>TEXT(Table9[[#This Row],[OrderDate ]],"mmm")</f>
        <v>Nov</v>
      </c>
      <c r="N318">
        <f>YEAR(Table9[[#This Row],[OrderDate ]])</f>
        <v>2013</v>
      </c>
    </row>
    <row r="319" spans="1:14" x14ac:dyDescent="0.3">
      <c r="A319">
        <v>10367</v>
      </c>
      <c r="B319" s="2">
        <f>_xlfn.XLOOKUP(Table9[[#This Row],[orderID]],orders[orderID],orders[orderDate],,0)</f>
        <v>41606</v>
      </c>
      <c r="C319">
        <f>_xlfn.XLOOKUP(A319,order_details[orderID],order_details[productID],,0)</f>
        <v>34</v>
      </c>
      <c r="D319" t="str">
        <f>_xlfn.XLOOKUP(C319,products[productID],products[productName],,0)</f>
        <v>Sasquatch Ale</v>
      </c>
      <c r="E319" t="str">
        <f>_xlfn.XLOOKUP(_xlfn.XLOOKUP(Table9[[#This Row],[ProductName ]],products[productName],products[categoryID],,0),categories[categoryID],categories[categoryName],,0)</f>
        <v>Beverages</v>
      </c>
      <c r="F319">
        <v>18</v>
      </c>
      <c r="G319">
        <v>59</v>
      </c>
      <c r="H319">
        <v>0</v>
      </c>
      <c r="I319">
        <f>Table9[[#This Row],[quantity]]*Table9[[#This Row],[unitPrice]]*(1-Table9[[#This Row],[discount]]/100)</f>
        <v>1062</v>
      </c>
      <c r="J319" t="str">
        <f>_xlfn.XLOOKUP(_xlfn.XLOOKUP(A319,orders[orderID],orders[customerID],,0),customers__2[customerID],customers__2[companyName],,0)</f>
        <v>Vaffeljernet</v>
      </c>
      <c r="K319" t="str">
        <f>_xlfn.XLOOKUP(Table9[[#This Row],[Company Name]],customers__2[companyName],customers__2[country],,0)</f>
        <v>Denmark</v>
      </c>
      <c r="L319">
        <f>MONTH(Table9[[#This Row],[OrderDate ]])</f>
        <v>11</v>
      </c>
      <c r="M319" t="str">
        <f>TEXT(Table9[[#This Row],[OrderDate ]],"mmm")</f>
        <v>Nov</v>
      </c>
      <c r="N319">
        <f>YEAR(Table9[[#This Row],[OrderDate ]])</f>
        <v>2013</v>
      </c>
    </row>
    <row r="320" spans="1:14" x14ac:dyDescent="0.3">
      <c r="A320">
        <v>10367</v>
      </c>
      <c r="B320" s="2">
        <f>_xlfn.XLOOKUP(Table9[[#This Row],[orderID]],orders[orderID],orders[orderDate],,0)</f>
        <v>41606</v>
      </c>
      <c r="C320">
        <f>_xlfn.XLOOKUP(A320,order_details[orderID],order_details[productID],,0)</f>
        <v>34</v>
      </c>
      <c r="D320" t="str">
        <f>_xlfn.XLOOKUP(C320,products[productID],products[productName],,0)</f>
        <v>Sasquatch Ale</v>
      </c>
      <c r="E320" t="str">
        <f>_xlfn.XLOOKUP(_xlfn.XLOOKUP(Table9[[#This Row],[ProductName ]],products[productName],products[categoryID],,0),categories[categoryID],categories[categoryName],,0)</f>
        <v>Beverages</v>
      </c>
      <c r="F320">
        <v>15</v>
      </c>
      <c r="G320">
        <v>168</v>
      </c>
      <c r="H320">
        <v>0</v>
      </c>
      <c r="I320">
        <f>Table9[[#This Row],[quantity]]*Table9[[#This Row],[unitPrice]]*(1-Table9[[#This Row],[discount]]/100)</f>
        <v>2520</v>
      </c>
      <c r="J320" t="str">
        <f>_xlfn.XLOOKUP(_xlfn.XLOOKUP(A320,orders[orderID],orders[customerID],,0),customers__2[customerID],customers__2[companyName],,0)</f>
        <v>Vaffeljernet</v>
      </c>
      <c r="K320" t="str">
        <f>_xlfn.XLOOKUP(Table9[[#This Row],[Company Name]],customers__2[companyName],customers__2[country],,0)</f>
        <v>Denmark</v>
      </c>
      <c r="L320">
        <f>MONTH(Table9[[#This Row],[OrderDate ]])</f>
        <v>11</v>
      </c>
      <c r="M320" t="str">
        <f>TEXT(Table9[[#This Row],[OrderDate ]],"mmm")</f>
        <v>Nov</v>
      </c>
      <c r="N320">
        <f>YEAR(Table9[[#This Row],[OrderDate ]])</f>
        <v>2013</v>
      </c>
    </row>
    <row r="321" spans="1:14" x14ac:dyDescent="0.3">
      <c r="A321">
        <v>10367</v>
      </c>
      <c r="B321" s="2">
        <f>_xlfn.XLOOKUP(Table9[[#This Row],[orderID]],orders[orderID],orders[orderDate],,0)</f>
        <v>41606</v>
      </c>
      <c r="C321">
        <f>_xlfn.XLOOKUP(A321,order_details[orderID],order_details[productID],,0)</f>
        <v>34</v>
      </c>
      <c r="D321" t="str">
        <f>_xlfn.XLOOKUP(C321,products[productID],products[productName],,0)</f>
        <v>Sasquatch Ale</v>
      </c>
      <c r="E321" t="str">
        <f>_xlfn.XLOOKUP(_xlfn.XLOOKUP(Table9[[#This Row],[ProductName ]],products[productName],products[categoryID],,0),categories[categoryID],categories[categoryName],,0)</f>
        <v>Beverages</v>
      </c>
      <c r="F321">
        <v>7</v>
      </c>
      <c r="G321">
        <v>104</v>
      </c>
      <c r="H321">
        <v>0</v>
      </c>
      <c r="I321">
        <f>Table9[[#This Row],[quantity]]*Table9[[#This Row],[unitPrice]]*(1-Table9[[#This Row],[discount]]/100)</f>
        <v>728</v>
      </c>
      <c r="J321" t="str">
        <f>_xlfn.XLOOKUP(_xlfn.XLOOKUP(A321,orders[orderID],orders[customerID],,0),customers__2[customerID],customers__2[companyName],,0)</f>
        <v>Vaffeljernet</v>
      </c>
      <c r="K321" t="str">
        <f>_xlfn.XLOOKUP(Table9[[#This Row],[Company Name]],customers__2[companyName],customers__2[country],,0)</f>
        <v>Denmark</v>
      </c>
      <c r="L321">
        <f>MONTH(Table9[[#This Row],[OrderDate ]])</f>
        <v>11</v>
      </c>
      <c r="M321" t="str">
        <f>TEXT(Table9[[#This Row],[OrderDate ]],"mmm")</f>
        <v>Nov</v>
      </c>
      <c r="N321">
        <f>YEAR(Table9[[#This Row],[OrderDate ]])</f>
        <v>2013</v>
      </c>
    </row>
    <row r="322" spans="1:14" x14ac:dyDescent="0.3">
      <c r="A322">
        <v>10368</v>
      </c>
      <c r="B322" s="2">
        <f>_xlfn.XLOOKUP(Table9[[#This Row],[orderID]],orders[orderID],orders[orderDate],,0)</f>
        <v>41607</v>
      </c>
      <c r="C322">
        <f>_xlfn.XLOOKUP(A322,order_details[orderID],order_details[productID],,0)</f>
        <v>21</v>
      </c>
      <c r="D322" t="str">
        <f>_xlfn.XLOOKUP(C322,products[productID],products[productName],,0)</f>
        <v>Sir Rodney's Scones</v>
      </c>
      <c r="E322" t="str">
        <f>_xlfn.XLOOKUP(_xlfn.XLOOKUP(Table9[[#This Row],[ProductName ]],products[productName],products[categoryID],,0),categories[categoryID],categories[categoryName],,0)</f>
        <v>Confections</v>
      </c>
      <c r="F322">
        <v>5</v>
      </c>
      <c r="G322">
        <v>8</v>
      </c>
      <c r="H322">
        <v>1</v>
      </c>
      <c r="I322">
        <f>Table9[[#This Row],[quantity]]*Table9[[#This Row],[unitPrice]]*(1-Table9[[#This Row],[discount]]/100)</f>
        <v>39.6</v>
      </c>
      <c r="J322" t="str">
        <f>_xlfn.XLOOKUP(_xlfn.XLOOKUP(A322,orders[orderID],orders[customerID],,0),customers__2[customerID],customers__2[companyName],,0)</f>
        <v>Ernst Handel</v>
      </c>
      <c r="K322" t="str">
        <f>_xlfn.XLOOKUP(Table9[[#This Row],[Company Name]],customers__2[companyName],customers__2[country],,0)</f>
        <v>Austria</v>
      </c>
      <c r="L322">
        <f>MONTH(Table9[[#This Row],[OrderDate ]])</f>
        <v>11</v>
      </c>
      <c r="M322" t="str">
        <f>TEXT(Table9[[#This Row],[OrderDate ]],"mmm")</f>
        <v>Nov</v>
      </c>
      <c r="N322">
        <f>YEAR(Table9[[#This Row],[OrderDate ]])</f>
        <v>2013</v>
      </c>
    </row>
    <row r="323" spans="1:14" x14ac:dyDescent="0.3">
      <c r="A323">
        <v>10368</v>
      </c>
      <c r="B323" s="2">
        <f>_xlfn.XLOOKUP(Table9[[#This Row],[orderID]],orders[orderID],orders[orderDate],,0)</f>
        <v>41607</v>
      </c>
      <c r="C323">
        <f>_xlfn.XLOOKUP(A323,order_details[orderID],order_details[productID],,0)</f>
        <v>21</v>
      </c>
      <c r="D323" t="str">
        <f>_xlfn.XLOOKUP(C323,products[productID],products[productName],,0)</f>
        <v>Sir Rodney's Scones</v>
      </c>
      <c r="E323" t="str">
        <f>_xlfn.XLOOKUP(_xlfn.XLOOKUP(Table9[[#This Row],[ProductName ]],products[productName],products[categoryID],,0),categories[categoryID],categories[categoryName],,0)</f>
        <v>Confections</v>
      </c>
      <c r="F323">
        <v>13</v>
      </c>
      <c r="G323">
        <v>364</v>
      </c>
      <c r="H323">
        <v>1</v>
      </c>
      <c r="I323">
        <f>Table9[[#This Row],[quantity]]*Table9[[#This Row],[unitPrice]]*(1-Table9[[#This Row],[discount]]/100)</f>
        <v>4684.68</v>
      </c>
      <c r="J323" t="str">
        <f>_xlfn.XLOOKUP(_xlfn.XLOOKUP(A323,orders[orderID],orders[customerID],,0),customers__2[customerID],customers__2[companyName],,0)</f>
        <v>Ernst Handel</v>
      </c>
      <c r="K323" t="str">
        <f>_xlfn.XLOOKUP(Table9[[#This Row],[Company Name]],customers__2[companyName],customers__2[country],,0)</f>
        <v>Austria</v>
      </c>
      <c r="L323">
        <f>MONTH(Table9[[#This Row],[OrderDate ]])</f>
        <v>11</v>
      </c>
      <c r="M323" t="str">
        <f>TEXT(Table9[[#This Row],[OrderDate ]],"mmm")</f>
        <v>Nov</v>
      </c>
      <c r="N323">
        <f>YEAR(Table9[[#This Row],[OrderDate ]])</f>
        <v>2013</v>
      </c>
    </row>
    <row r="324" spans="1:14" x14ac:dyDescent="0.3">
      <c r="A324">
        <v>10368</v>
      </c>
      <c r="B324" s="2">
        <f>_xlfn.XLOOKUP(Table9[[#This Row],[orderID]],orders[orderID],orders[orderDate],,0)</f>
        <v>41607</v>
      </c>
      <c r="C324">
        <f>_xlfn.XLOOKUP(A324,order_details[orderID],order_details[productID],,0)</f>
        <v>21</v>
      </c>
      <c r="D324" t="str">
        <f>_xlfn.XLOOKUP(C324,products[productID],products[productName],,0)</f>
        <v>Sir Rodney's Scones</v>
      </c>
      <c r="E324" t="str">
        <f>_xlfn.XLOOKUP(_xlfn.XLOOKUP(Table9[[#This Row],[ProductName ]],products[productName],products[categoryID],,0),categories[categoryID],categories[categoryName],,0)</f>
        <v>Confections</v>
      </c>
      <c r="F324">
        <v>25</v>
      </c>
      <c r="G324">
        <v>156</v>
      </c>
      <c r="H324">
        <v>0</v>
      </c>
      <c r="I324">
        <f>Table9[[#This Row],[quantity]]*Table9[[#This Row],[unitPrice]]*(1-Table9[[#This Row],[discount]]/100)</f>
        <v>3900</v>
      </c>
      <c r="J324" t="str">
        <f>_xlfn.XLOOKUP(_xlfn.XLOOKUP(A324,orders[orderID],orders[customerID],,0),customers__2[customerID],customers__2[companyName],,0)</f>
        <v>Ernst Handel</v>
      </c>
      <c r="K324" t="str">
        <f>_xlfn.XLOOKUP(Table9[[#This Row],[Company Name]],customers__2[companyName],customers__2[country],,0)</f>
        <v>Austria</v>
      </c>
      <c r="L324">
        <f>MONTH(Table9[[#This Row],[OrderDate ]])</f>
        <v>11</v>
      </c>
      <c r="M324" t="str">
        <f>TEXT(Table9[[#This Row],[OrderDate ]],"mmm")</f>
        <v>Nov</v>
      </c>
      <c r="N324">
        <f>YEAR(Table9[[#This Row],[OrderDate ]])</f>
        <v>2013</v>
      </c>
    </row>
    <row r="325" spans="1:14" x14ac:dyDescent="0.3">
      <c r="A325">
        <v>10368</v>
      </c>
      <c r="B325" s="2">
        <f>_xlfn.XLOOKUP(Table9[[#This Row],[orderID]],orders[orderID],orders[orderDate],,0)</f>
        <v>41607</v>
      </c>
      <c r="C325">
        <f>_xlfn.XLOOKUP(A325,order_details[orderID],order_details[productID],,0)</f>
        <v>21</v>
      </c>
      <c r="D325" t="str">
        <f>_xlfn.XLOOKUP(C325,products[productID],products[productName],,0)</f>
        <v>Sir Rodney's Scones</v>
      </c>
      <c r="E325" t="str">
        <f>_xlfn.XLOOKUP(_xlfn.XLOOKUP(Table9[[#This Row],[ProductName ]],products[productName],products[categoryID],,0),categories[categoryID],categories[categoryName],,0)</f>
        <v>Confections</v>
      </c>
      <c r="F325">
        <v>35</v>
      </c>
      <c r="G325">
        <v>266</v>
      </c>
      <c r="H325">
        <v>1</v>
      </c>
      <c r="I325">
        <f>Table9[[#This Row],[quantity]]*Table9[[#This Row],[unitPrice]]*(1-Table9[[#This Row],[discount]]/100)</f>
        <v>9216.9</v>
      </c>
      <c r="J325" t="str">
        <f>_xlfn.XLOOKUP(_xlfn.XLOOKUP(A325,orders[orderID],orders[customerID],,0),customers__2[customerID],customers__2[companyName],,0)</f>
        <v>Ernst Handel</v>
      </c>
      <c r="K325" t="str">
        <f>_xlfn.XLOOKUP(Table9[[#This Row],[Company Name]],customers__2[companyName],customers__2[country],,0)</f>
        <v>Austria</v>
      </c>
      <c r="L325">
        <f>MONTH(Table9[[#This Row],[OrderDate ]])</f>
        <v>11</v>
      </c>
      <c r="M325" t="str">
        <f>TEXT(Table9[[#This Row],[OrderDate ]],"mmm")</f>
        <v>Nov</v>
      </c>
      <c r="N325">
        <f>YEAR(Table9[[#This Row],[OrderDate ]])</f>
        <v>2013</v>
      </c>
    </row>
    <row r="326" spans="1:14" x14ac:dyDescent="0.3">
      <c r="A326">
        <v>10369</v>
      </c>
      <c r="B326" s="2">
        <f>_xlfn.XLOOKUP(Table9[[#This Row],[orderID]],orders[orderID],orders[orderDate],,0)</f>
        <v>41610</v>
      </c>
      <c r="C326">
        <f>_xlfn.XLOOKUP(A326,order_details[orderID],order_details[productID],,0)</f>
        <v>29</v>
      </c>
      <c r="D326" t="str">
        <f>_xlfn.XLOOKUP(C326,products[productID],products[productName],,0)</f>
        <v>Thüringer Rostbratwurst</v>
      </c>
      <c r="E326" t="str">
        <f>_xlfn.XLOOKUP(_xlfn.XLOOKUP(Table9[[#This Row],[ProductName ]],products[productName],products[categoryID],,0),categories[categoryID],categories[categoryName],,0)</f>
        <v>Meat &amp; Poultry</v>
      </c>
      <c r="F326">
        <v>20</v>
      </c>
      <c r="G326">
        <v>99</v>
      </c>
      <c r="H326">
        <v>0</v>
      </c>
      <c r="I326">
        <f>Table9[[#This Row],[quantity]]*Table9[[#This Row],[unitPrice]]*(1-Table9[[#This Row],[discount]]/100)</f>
        <v>1980</v>
      </c>
      <c r="J326" t="str">
        <f>_xlfn.XLOOKUP(_xlfn.XLOOKUP(A326,orders[orderID],orders[customerID],,0),customers__2[customerID],customers__2[companyName],,0)</f>
        <v>Split Rail Beer &amp; Ale</v>
      </c>
      <c r="K326" t="str">
        <f>_xlfn.XLOOKUP(Table9[[#This Row],[Company Name]],customers__2[companyName],customers__2[country],,0)</f>
        <v>USA</v>
      </c>
      <c r="L326">
        <f>MONTH(Table9[[#This Row],[OrderDate ]])</f>
        <v>12</v>
      </c>
      <c r="M326" t="str">
        <f>TEXT(Table9[[#This Row],[OrderDate ]],"mmm")</f>
        <v>Dec</v>
      </c>
      <c r="N326">
        <f>YEAR(Table9[[#This Row],[OrderDate ]])</f>
        <v>2013</v>
      </c>
    </row>
    <row r="327" spans="1:14" x14ac:dyDescent="0.3">
      <c r="A327">
        <v>10369</v>
      </c>
      <c r="B327" s="2">
        <f>_xlfn.XLOOKUP(Table9[[#This Row],[orderID]],orders[orderID],orders[orderDate],,0)</f>
        <v>41610</v>
      </c>
      <c r="C327">
        <f>_xlfn.XLOOKUP(A327,order_details[orderID],order_details[productID],,0)</f>
        <v>29</v>
      </c>
      <c r="D327" t="str">
        <f>_xlfn.XLOOKUP(C327,products[productID],products[productName],,0)</f>
        <v>Thüringer Rostbratwurst</v>
      </c>
      <c r="E327" t="str">
        <f>_xlfn.XLOOKUP(_xlfn.XLOOKUP(Table9[[#This Row],[ProductName ]],products[productName],products[categoryID],,0),categories[categoryID],categories[categoryName],,0)</f>
        <v>Meat &amp; Poultry</v>
      </c>
      <c r="F327">
        <v>18</v>
      </c>
      <c r="G327">
        <v>304</v>
      </c>
      <c r="H327">
        <v>25</v>
      </c>
      <c r="I327">
        <f>Table9[[#This Row],[quantity]]*Table9[[#This Row],[unitPrice]]*(1-Table9[[#This Row],[discount]]/100)</f>
        <v>4104</v>
      </c>
      <c r="J327" t="str">
        <f>_xlfn.XLOOKUP(_xlfn.XLOOKUP(A327,orders[orderID],orders[customerID],,0),customers__2[customerID],customers__2[companyName],,0)</f>
        <v>Split Rail Beer &amp; Ale</v>
      </c>
      <c r="K327" t="str">
        <f>_xlfn.XLOOKUP(Table9[[#This Row],[Company Name]],customers__2[companyName],customers__2[country],,0)</f>
        <v>USA</v>
      </c>
      <c r="L327">
        <f>MONTH(Table9[[#This Row],[OrderDate ]])</f>
        <v>12</v>
      </c>
      <c r="M327" t="str">
        <f>TEXT(Table9[[#This Row],[OrderDate ]],"mmm")</f>
        <v>Dec</v>
      </c>
      <c r="N327">
        <f>YEAR(Table9[[#This Row],[OrderDate ]])</f>
        <v>2013</v>
      </c>
    </row>
    <row r="328" spans="1:14" x14ac:dyDescent="0.3">
      <c r="A328">
        <v>10370</v>
      </c>
      <c r="B328" s="2">
        <f>_xlfn.XLOOKUP(Table9[[#This Row],[orderID]],orders[orderID],orders[orderDate],,0)</f>
        <v>41611</v>
      </c>
      <c r="C328">
        <f>_xlfn.XLOOKUP(A328,order_details[orderID],order_details[productID],,0)</f>
        <v>1</v>
      </c>
      <c r="D328" t="str">
        <f>_xlfn.XLOOKUP(C328,products[productID],products[productName],,0)</f>
        <v>Chai</v>
      </c>
      <c r="E328" t="str">
        <f>_xlfn.XLOOKUP(_xlfn.XLOOKUP(Table9[[#This Row],[ProductName ]],products[productName],products[categoryID],,0),categories[categoryID],categories[categoryName],,0)</f>
        <v>Beverages</v>
      </c>
      <c r="F328">
        <v>15</v>
      </c>
      <c r="G328">
        <v>144</v>
      </c>
      <c r="H328">
        <v>15</v>
      </c>
      <c r="I328">
        <f>Table9[[#This Row],[quantity]]*Table9[[#This Row],[unitPrice]]*(1-Table9[[#This Row],[discount]]/100)</f>
        <v>1836</v>
      </c>
      <c r="J328" t="str">
        <f>_xlfn.XLOOKUP(_xlfn.XLOOKUP(A328,orders[orderID],orders[customerID],,0),customers__2[customerID],customers__2[companyName],,0)</f>
        <v>Chop-suey Chinese</v>
      </c>
      <c r="K328" t="str">
        <f>_xlfn.XLOOKUP(Table9[[#This Row],[Company Name]],customers__2[companyName],customers__2[country],,0)</f>
        <v>Switzerland</v>
      </c>
      <c r="L328">
        <f>MONTH(Table9[[#This Row],[OrderDate ]])</f>
        <v>12</v>
      </c>
      <c r="M328" t="str">
        <f>TEXT(Table9[[#This Row],[OrderDate ]],"mmm")</f>
        <v>Dec</v>
      </c>
      <c r="N328">
        <f>YEAR(Table9[[#This Row],[OrderDate ]])</f>
        <v>2013</v>
      </c>
    </row>
    <row r="329" spans="1:14" x14ac:dyDescent="0.3">
      <c r="A329">
        <v>10370</v>
      </c>
      <c r="B329" s="2">
        <f>_xlfn.XLOOKUP(Table9[[#This Row],[orderID]],orders[orderID],orders[orderDate],,0)</f>
        <v>41611</v>
      </c>
      <c r="C329">
        <f>_xlfn.XLOOKUP(A329,order_details[orderID],order_details[productID],,0)</f>
        <v>1</v>
      </c>
      <c r="D329" t="str">
        <f>_xlfn.XLOOKUP(C329,products[productID],products[productName],,0)</f>
        <v>Chai</v>
      </c>
      <c r="E329" t="str">
        <f>_xlfn.XLOOKUP(_xlfn.XLOOKUP(Table9[[#This Row],[ProductName ]],products[productName],products[categoryID],,0),categories[categoryID],categories[categoryName],,0)</f>
        <v>Beverages</v>
      </c>
      <c r="F329">
        <v>30</v>
      </c>
      <c r="G329">
        <v>266</v>
      </c>
      <c r="H329">
        <v>0</v>
      </c>
      <c r="I329">
        <f>Table9[[#This Row],[quantity]]*Table9[[#This Row],[unitPrice]]*(1-Table9[[#This Row],[discount]]/100)</f>
        <v>7980</v>
      </c>
      <c r="J329" t="str">
        <f>_xlfn.XLOOKUP(_xlfn.XLOOKUP(A329,orders[orderID],orders[customerID],,0),customers__2[customerID],customers__2[companyName],,0)</f>
        <v>Chop-suey Chinese</v>
      </c>
      <c r="K329" t="str">
        <f>_xlfn.XLOOKUP(Table9[[#This Row],[Company Name]],customers__2[companyName],customers__2[country],,0)</f>
        <v>Switzerland</v>
      </c>
      <c r="L329">
        <f>MONTH(Table9[[#This Row],[OrderDate ]])</f>
        <v>12</v>
      </c>
      <c r="M329" t="str">
        <f>TEXT(Table9[[#This Row],[OrderDate ]],"mmm")</f>
        <v>Dec</v>
      </c>
      <c r="N329">
        <f>YEAR(Table9[[#This Row],[OrderDate ]])</f>
        <v>2013</v>
      </c>
    </row>
    <row r="330" spans="1:14" x14ac:dyDescent="0.3">
      <c r="A330">
        <v>10370</v>
      </c>
      <c r="B330" s="2">
        <f>_xlfn.XLOOKUP(Table9[[#This Row],[orderID]],orders[orderID],orders[orderDate],,0)</f>
        <v>41611</v>
      </c>
      <c r="C330">
        <f>_xlfn.XLOOKUP(A330,order_details[orderID],order_details[productID],,0)</f>
        <v>1</v>
      </c>
      <c r="D330" t="str">
        <f>_xlfn.XLOOKUP(C330,products[productID],products[productName],,0)</f>
        <v>Chai</v>
      </c>
      <c r="E330" t="str">
        <f>_xlfn.XLOOKUP(_xlfn.XLOOKUP(Table9[[#This Row],[ProductName ]],products[productName],products[categoryID],,0),categories[categoryID],categories[categoryName],,0)</f>
        <v>Beverages</v>
      </c>
      <c r="F330">
        <v>20</v>
      </c>
      <c r="G330">
        <v>8</v>
      </c>
      <c r="H330">
        <v>15</v>
      </c>
      <c r="I330">
        <f>Table9[[#This Row],[quantity]]*Table9[[#This Row],[unitPrice]]*(1-Table9[[#This Row],[discount]]/100)</f>
        <v>136</v>
      </c>
      <c r="J330" t="str">
        <f>_xlfn.XLOOKUP(_xlfn.XLOOKUP(A330,orders[orderID],orders[customerID],,0),customers__2[customerID],customers__2[companyName],,0)</f>
        <v>Chop-suey Chinese</v>
      </c>
      <c r="K330" t="str">
        <f>_xlfn.XLOOKUP(Table9[[#This Row],[Company Name]],customers__2[companyName],customers__2[country],,0)</f>
        <v>Switzerland</v>
      </c>
      <c r="L330">
        <f>MONTH(Table9[[#This Row],[OrderDate ]])</f>
        <v>12</v>
      </c>
      <c r="M330" t="str">
        <f>TEXT(Table9[[#This Row],[OrderDate ]],"mmm")</f>
        <v>Dec</v>
      </c>
      <c r="N330">
        <f>YEAR(Table9[[#This Row],[OrderDate ]])</f>
        <v>2013</v>
      </c>
    </row>
    <row r="331" spans="1:14" x14ac:dyDescent="0.3">
      <c r="A331">
        <v>10371</v>
      </c>
      <c r="B331" s="2">
        <f>_xlfn.XLOOKUP(Table9[[#This Row],[orderID]],orders[orderID],orders[orderDate],,0)</f>
        <v>41611</v>
      </c>
      <c r="C331">
        <f>_xlfn.XLOOKUP(A331,order_details[orderID],order_details[productID],,0)</f>
        <v>36</v>
      </c>
      <c r="D331" t="str">
        <f>_xlfn.XLOOKUP(C331,products[productID],products[productName],,0)</f>
        <v>Inlagd Sill</v>
      </c>
      <c r="E331" t="str">
        <f>_xlfn.XLOOKUP(_xlfn.XLOOKUP(Table9[[#This Row],[ProductName ]],products[productName],products[categoryID],,0),categories[categoryID],categories[categoryName],,0)</f>
        <v>Seafood</v>
      </c>
      <c r="F331">
        <v>6</v>
      </c>
      <c r="G331">
        <v>152</v>
      </c>
      <c r="H331">
        <v>2</v>
      </c>
      <c r="I331">
        <f>Table9[[#This Row],[quantity]]*Table9[[#This Row],[unitPrice]]*(1-Table9[[#This Row],[discount]]/100)</f>
        <v>893.76</v>
      </c>
      <c r="J331" t="str">
        <f>_xlfn.XLOOKUP(_xlfn.XLOOKUP(A331,orders[orderID],orders[customerID],,0),customers__2[customerID],customers__2[companyName],,0)</f>
        <v>La maison d'Asie</v>
      </c>
      <c r="K331" t="str">
        <f>_xlfn.XLOOKUP(Table9[[#This Row],[Company Name]],customers__2[companyName],customers__2[country],,0)</f>
        <v>France</v>
      </c>
      <c r="L331">
        <f>MONTH(Table9[[#This Row],[OrderDate ]])</f>
        <v>12</v>
      </c>
      <c r="M331" t="str">
        <f>TEXT(Table9[[#This Row],[OrderDate ]],"mmm")</f>
        <v>Dec</v>
      </c>
      <c r="N331">
        <f>YEAR(Table9[[#This Row],[OrderDate ]])</f>
        <v>2013</v>
      </c>
    </row>
    <row r="332" spans="1:14" x14ac:dyDescent="0.3">
      <c r="A332">
        <v>10372</v>
      </c>
      <c r="B332" s="2">
        <f>_xlfn.XLOOKUP(Table9[[#This Row],[orderID]],orders[orderID],orders[orderDate],,0)</f>
        <v>41612</v>
      </c>
      <c r="C332">
        <f>_xlfn.XLOOKUP(A332,order_details[orderID],order_details[productID],,0)</f>
        <v>20</v>
      </c>
      <c r="D332" t="str">
        <f>_xlfn.XLOOKUP(C332,products[productID],products[productName],,0)</f>
        <v>Sir Rodney's Marmalade</v>
      </c>
      <c r="E332" t="str">
        <f>_xlfn.XLOOKUP(_xlfn.XLOOKUP(Table9[[#This Row],[ProductName ]],products[productName],products[categoryID],,0),categories[categoryID],categories[categoryName],,0)</f>
        <v>Confections</v>
      </c>
      <c r="F332">
        <v>12</v>
      </c>
      <c r="G332">
        <v>648</v>
      </c>
      <c r="H332">
        <v>25</v>
      </c>
      <c r="I332">
        <f>Table9[[#This Row],[quantity]]*Table9[[#This Row],[unitPrice]]*(1-Table9[[#This Row],[discount]]/100)</f>
        <v>5832</v>
      </c>
      <c r="J332" t="str">
        <f>_xlfn.XLOOKUP(_xlfn.XLOOKUP(A332,orders[orderID],orders[customerID],,0),customers__2[customerID],customers__2[companyName],,0)</f>
        <v>Queen Cozinha</v>
      </c>
      <c r="K332" t="str">
        <f>_xlfn.XLOOKUP(Table9[[#This Row],[Company Name]],customers__2[companyName],customers__2[country],,0)</f>
        <v>Brazil</v>
      </c>
      <c r="L332">
        <f>MONTH(Table9[[#This Row],[OrderDate ]])</f>
        <v>12</v>
      </c>
      <c r="M332" t="str">
        <f>TEXT(Table9[[#This Row],[OrderDate ]],"mmm")</f>
        <v>Dec</v>
      </c>
      <c r="N332">
        <f>YEAR(Table9[[#This Row],[OrderDate ]])</f>
        <v>2013</v>
      </c>
    </row>
    <row r="333" spans="1:14" x14ac:dyDescent="0.3">
      <c r="A333">
        <v>10372</v>
      </c>
      <c r="B333" s="2">
        <f>_xlfn.XLOOKUP(Table9[[#This Row],[orderID]],orders[orderID],orders[orderDate],,0)</f>
        <v>41612</v>
      </c>
      <c r="C333">
        <f>_xlfn.XLOOKUP(A333,order_details[orderID],order_details[productID],,0)</f>
        <v>20</v>
      </c>
      <c r="D333" t="str">
        <f>_xlfn.XLOOKUP(C333,products[productID],products[productName],,0)</f>
        <v>Sir Rodney's Marmalade</v>
      </c>
      <c r="E333" t="str">
        <f>_xlfn.XLOOKUP(_xlfn.XLOOKUP(Table9[[#This Row],[ProductName ]],products[productName],products[categoryID],,0),categories[categoryID],categories[categoryName],,0)</f>
        <v>Confections</v>
      </c>
      <c r="F333">
        <v>40</v>
      </c>
      <c r="G333">
        <v>2108</v>
      </c>
      <c r="H333">
        <v>25</v>
      </c>
      <c r="I333">
        <f>Table9[[#This Row],[quantity]]*Table9[[#This Row],[unitPrice]]*(1-Table9[[#This Row],[discount]]/100)</f>
        <v>63240</v>
      </c>
      <c r="J333" t="str">
        <f>_xlfn.XLOOKUP(_xlfn.XLOOKUP(A333,orders[orderID],orders[customerID],,0),customers__2[customerID],customers__2[companyName],,0)</f>
        <v>Queen Cozinha</v>
      </c>
      <c r="K333" t="str">
        <f>_xlfn.XLOOKUP(Table9[[#This Row],[Company Name]],customers__2[companyName],customers__2[country],,0)</f>
        <v>Brazil</v>
      </c>
      <c r="L333">
        <f>MONTH(Table9[[#This Row],[OrderDate ]])</f>
        <v>12</v>
      </c>
      <c r="M333" t="str">
        <f>TEXT(Table9[[#This Row],[OrderDate ]],"mmm")</f>
        <v>Dec</v>
      </c>
      <c r="N333">
        <f>YEAR(Table9[[#This Row],[OrderDate ]])</f>
        <v>2013</v>
      </c>
    </row>
    <row r="334" spans="1:14" x14ac:dyDescent="0.3">
      <c r="A334">
        <v>10372</v>
      </c>
      <c r="B334" s="2">
        <f>_xlfn.XLOOKUP(Table9[[#This Row],[orderID]],orders[orderID],orders[orderDate],,0)</f>
        <v>41612</v>
      </c>
      <c r="C334">
        <f>_xlfn.XLOOKUP(A334,order_details[orderID],order_details[productID],,0)</f>
        <v>20</v>
      </c>
      <c r="D334" t="str">
        <f>_xlfn.XLOOKUP(C334,products[productID],products[productName],,0)</f>
        <v>Sir Rodney's Marmalade</v>
      </c>
      <c r="E334" t="str">
        <f>_xlfn.XLOOKUP(_xlfn.XLOOKUP(Table9[[#This Row],[ProductName ]],products[productName],products[categoryID],,0),categories[categoryID],categories[categoryName],,0)</f>
        <v>Confections</v>
      </c>
      <c r="F334">
        <v>70</v>
      </c>
      <c r="G334">
        <v>272</v>
      </c>
      <c r="H334">
        <v>25</v>
      </c>
      <c r="I334">
        <f>Table9[[#This Row],[quantity]]*Table9[[#This Row],[unitPrice]]*(1-Table9[[#This Row],[discount]]/100)</f>
        <v>14280</v>
      </c>
      <c r="J334" t="str">
        <f>_xlfn.XLOOKUP(_xlfn.XLOOKUP(A334,orders[orderID],orders[customerID],,0),customers__2[customerID],customers__2[companyName],,0)</f>
        <v>Queen Cozinha</v>
      </c>
      <c r="K334" t="str">
        <f>_xlfn.XLOOKUP(Table9[[#This Row],[Company Name]],customers__2[companyName],customers__2[country],,0)</f>
        <v>Brazil</v>
      </c>
      <c r="L334">
        <f>MONTH(Table9[[#This Row],[OrderDate ]])</f>
        <v>12</v>
      </c>
      <c r="M334" t="str">
        <f>TEXT(Table9[[#This Row],[OrderDate ]],"mmm")</f>
        <v>Dec</v>
      </c>
      <c r="N334">
        <f>YEAR(Table9[[#This Row],[OrderDate ]])</f>
        <v>2013</v>
      </c>
    </row>
    <row r="335" spans="1:14" x14ac:dyDescent="0.3">
      <c r="A335">
        <v>10372</v>
      </c>
      <c r="B335" s="2">
        <f>_xlfn.XLOOKUP(Table9[[#This Row],[orderID]],orders[orderID],orders[orderDate],,0)</f>
        <v>41612</v>
      </c>
      <c r="C335">
        <f>_xlfn.XLOOKUP(A335,order_details[orderID],order_details[productID],,0)</f>
        <v>20</v>
      </c>
      <c r="D335" t="str">
        <f>_xlfn.XLOOKUP(C335,products[productID],products[productName],,0)</f>
        <v>Sir Rodney's Marmalade</v>
      </c>
      <c r="E335" t="str">
        <f>_xlfn.XLOOKUP(_xlfn.XLOOKUP(Table9[[#This Row],[ProductName ]],products[productName],products[categoryID],,0),categories[categoryID],categories[categoryName],,0)</f>
        <v>Confections</v>
      </c>
      <c r="F335">
        <v>42</v>
      </c>
      <c r="G335">
        <v>278</v>
      </c>
      <c r="H335">
        <v>25</v>
      </c>
      <c r="I335">
        <f>Table9[[#This Row],[quantity]]*Table9[[#This Row],[unitPrice]]*(1-Table9[[#This Row],[discount]]/100)</f>
        <v>8757</v>
      </c>
      <c r="J335" t="str">
        <f>_xlfn.XLOOKUP(_xlfn.XLOOKUP(A335,orders[orderID],orders[customerID],,0),customers__2[customerID],customers__2[companyName],,0)</f>
        <v>Queen Cozinha</v>
      </c>
      <c r="K335" t="str">
        <f>_xlfn.XLOOKUP(Table9[[#This Row],[Company Name]],customers__2[companyName],customers__2[country],,0)</f>
        <v>Brazil</v>
      </c>
      <c r="L335">
        <f>MONTH(Table9[[#This Row],[OrderDate ]])</f>
        <v>12</v>
      </c>
      <c r="M335" t="str">
        <f>TEXT(Table9[[#This Row],[OrderDate ]],"mmm")</f>
        <v>Dec</v>
      </c>
      <c r="N335">
        <f>YEAR(Table9[[#This Row],[OrderDate ]])</f>
        <v>2013</v>
      </c>
    </row>
    <row r="336" spans="1:14" x14ac:dyDescent="0.3">
      <c r="A336">
        <v>10373</v>
      </c>
      <c r="B336" s="2">
        <f>_xlfn.XLOOKUP(Table9[[#This Row],[orderID]],orders[orderID],orders[orderDate],,0)</f>
        <v>41613</v>
      </c>
      <c r="C336">
        <f>_xlfn.XLOOKUP(A336,order_details[orderID],order_details[productID],,0)</f>
        <v>58</v>
      </c>
      <c r="D336" t="str">
        <f>_xlfn.XLOOKUP(C336,products[productID],products[productName],,0)</f>
        <v>Escargots de Bourgogne</v>
      </c>
      <c r="E336" t="str">
        <f>_xlfn.XLOOKUP(_xlfn.XLOOKUP(Table9[[#This Row],[ProductName ]],products[productName],products[categoryID],,0),categories[categoryID],categories[categoryName],,0)</f>
        <v>Seafood</v>
      </c>
      <c r="F336">
        <v>80</v>
      </c>
      <c r="G336">
        <v>106</v>
      </c>
      <c r="H336">
        <v>2</v>
      </c>
      <c r="I336">
        <f>Table9[[#This Row],[quantity]]*Table9[[#This Row],[unitPrice]]*(1-Table9[[#This Row],[discount]]/100)</f>
        <v>8310.4</v>
      </c>
      <c r="J336" t="str">
        <f>_xlfn.XLOOKUP(_xlfn.XLOOKUP(A336,orders[orderID],orders[customerID],,0),customers__2[customerID],customers__2[companyName],,0)</f>
        <v>Hungry Owl All-Night Grocers</v>
      </c>
      <c r="K336" t="str">
        <f>_xlfn.XLOOKUP(Table9[[#This Row],[Company Name]],customers__2[companyName],customers__2[country],,0)</f>
        <v>Ireland</v>
      </c>
      <c r="L336">
        <f>MONTH(Table9[[#This Row],[OrderDate ]])</f>
        <v>12</v>
      </c>
      <c r="M336" t="str">
        <f>TEXT(Table9[[#This Row],[OrderDate ]],"mmm")</f>
        <v>Dec</v>
      </c>
      <c r="N336">
        <f>YEAR(Table9[[#This Row],[OrderDate ]])</f>
        <v>2013</v>
      </c>
    </row>
    <row r="337" spans="1:14" x14ac:dyDescent="0.3">
      <c r="A337">
        <v>10373</v>
      </c>
      <c r="B337" s="2">
        <f>_xlfn.XLOOKUP(Table9[[#This Row],[orderID]],orders[orderID],orders[orderDate],,0)</f>
        <v>41613</v>
      </c>
      <c r="C337">
        <f>_xlfn.XLOOKUP(A337,order_details[orderID],order_details[productID],,0)</f>
        <v>58</v>
      </c>
      <c r="D337" t="str">
        <f>_xlfn.XLOOKUP(C337,products[productID],products[productName],,0)</f>
        <v>Escargots de Bourgogne</v>
      </c>
      <c r="E337" t="str">
        <f>_xlfn.XLOOKUP(_xlfn.XLOOKUP(Table9[[#This Row],[ProductName ]],products[productName],products[categoryID],,0),categories[categoryID],categories[categoryName],,0)</f>
        <v>Seafood</v>
      </c>
      <c r="F337">
        <v>50</v>
      </c>
      <c r="G337">
        <v>172</v>
      </c>
      <c r="H337">
        <v>2</v>
      </c>
      <c r="I337">
        <f>Table9[[#This Row],[quantity]]*Table9[[#This Row],[unitPrice]]*(1-Table9[[#This Row],[discount]]/100)</f>
        <v>8428</v>
      </c>
      <c r="J337" t="str">
        <f>_xlfn.XLOOKUP(_xlfn.XLOOKUP(A337,orders[orderID],orders[customerID],,0),customers__2[customerID],customers__2[companyName],,0)</f>
        <v>Hungry Owl All-Night Grocers</v>
      </c>
      <c r="K337" t="str">
        <f>_xlfn.XLOOKUP(Table9[[#This Row],[Company Name]],customers__2[companyName],customers__2[country],,0)</f>
        <v>Ireland</v>
      </c>
      <c r="L337">
        <f>MONTH(Table9[[#This Row],[OrderDate ]])</f>
        <v>12</v>
      </c>
      <c r="M337" t="str">
        <f>TEXT(Table9[[#This Row],[OrderDate ]],"mmm")</f>
        <v>Dec</v>
      </c>
      <c r="N337">
        <f>YEAR(Table9[[#This Row],[OrderDate ]])</f>
        <v>2013</v>
      </c>
    </row>
    <row r="338" spans="1:14" x14ac:dyDescent="0.3">
      <c r="A338">
        <v>10374</v>
      </c>
      <c r="B338" s="2">
        <f>_xlfn.XLOOKUP(Table9[[#This Row],[orderID]],orders[orderID],orders[orderDate],,0)</f>
        <v>41613</v>
      </c>
      <c r="C338">
        <f>_xlfn.XLOOKUP(A338,order_details[orderID],order_details[productID],,0)</f>
        <v>31</v>
      </c>
      <c r="D338" t="str">
        <f>_xlfn.XLOOKUP(C338,products[productID],products[productName],,0)</f>
        <v>Gorgonzola Telino</v>
      </c>
      <c r="E338" t="str">
        <f>_xlfn.XLOOKUP(_xlfn.XLOOKUP(Table9[[#This Row],[ProductName ]],products[productName],products[categoryID],,0),categories[categoryID],categories[categoryName],,0)</f>
        <v>Dairy Products</v>
      </c>
      <c r="F338">
        <v>30</v>
      </c>
      <c r="G338">
        <v>10</v>
      </c>
      <c r="H338">
        <v>0</v>
      </c>
      <c r="I338">
        <f>Table9[[#This Row],[quantity]]*Table9[[#This Row],[unitPrice]]*(1-Table9[[#This Row],[discount]]/100)</f>
        <v>300</v>
      </c>
      <c r="J338" t="str">
        <f>_xlfn.XLOOKUP(_xlfn.XLOOKUP(A338,orders[orderID],orders[customerID],,0),customers__2[customerID],customers__2[companyName],,0)</f>
        <v>Wolski  Zajazd</v>
      </c>
      <c r="K338" t="str">
        <f>_xlfn.XLOOKUP(Table9[[#This Row],[Company Name]],customers__2[companyName],customers__2[country],,0)</f>
        <v>Poland</v>
      </c>
      <c r="L338">
        <f>MONTH(Table9[[#This Row],[OrderDate ]])</f>
        <v>12</v>
      </c>
      <c r="M338" t="str">
        <f>TEXT(Table9[[#This Row],[OrderDate ]],"mmm")</f>
        <v>Dec</v>
      </c>
      <c r="N338">
        <f>YEAR(Table9[[#This Row],[OrderDate ]])</f>
        <v>2013</v>
      </c>
    </row>
    <row r="339" spans="1:14" x14ac:dyDescent="0.3">
      <c r="A339">
        <v>10374</v>
      </c>
      <c r="B339" s="2">
        <f>_xlfn.XLOOKUP(Table9[[#This Row],[orderID]],orders[orderID],orders[orderDate],,0)</f>
        <v>41613</v>
      </c>
      <c r="C339">
        <f>_xlfn.XLOOKUP(A339,order_details[orderID],order_details[productID],,0)</f>
        <v>31</v>
      </c>
      <c r="D339" t="str">
        <f>_xlfn.XLOOKUP(C339,products[productID],products[productName],,0)</f>
        <v>Gorgonzola Telino</v>
      </c>
      <c r="E339" t="str">
        <f>_xlfn.XLOOKUP(_xlfn.XLOOKUP(Table9[[#This Row],[ProductName ]],products[productName],products[categoryID],,0),categories[categoryID],categories[categoryName],,0)</f>
        <v>Dairy Products</v>
      </c>
      <c r="F339">
        <v>15</v>
      </c>
      <c r="G339">
        <v>106</v>
      </c>
      <c r="H339">
        <v>0</v>
      </c>
      <c r="I339">
        <f>Table9[[#This Row],[quantity]]*Table9[[#This Row],[unitPrice]]*(1-Table9[[#This Row],[discount]]/100)</f>
        <v>1590</v>
      </c>
      <c r="J339" t="str">
        <f>_xlfn.XLOOKUP(_xlfn.XLOOKUP(A339,orders[orderID],orders[customerID],,0),customers__2[customerID],customers__2[companyName],,0)</f>
        <v>Wolski  Zajazd</v>
      </c>
      <c r="K339" t="str">
        <f>_xlfn.XLOOKUP(Table9[[#This Row],[Company Name]],customers__2[companyName],customers__2[country],,0)</f>
        <v>Poland</v>
      </c>
      <c r="L339">
        <f>MONTH(Table9[[#This Row],[OrderDate ]])</f>
        <v>12</v>
      </c>
      <c r="M339" t="str">
        <f>TEXT(Table9[[#This Row],[OrderDate ]],"mmm")</f>
        <v>Dec</v>
      </c>
      <c r="N339">
        <f>YEAR(Table9[[#This Row],[OrderDate ]])</f>
        <v>2013</v>
      </c>
    </row>
    <row r="340" spans="1:14" x14ac:dyDescent="0.3">
      <c r="A340">
        <v>10375</v>
      </c>
      <c r="B340" s="2">
        <f>_xlfn.XLOOKUP(Table9[[#This Row],[orderID]],orders[orderID],orders[orderDate],,0)</f>
        <v>41614</v>
      </c>
      <c r="C340">
        <f>_xlfn.XLOOKUP(A340,order_details[orderID],order_details[productID],,0)</f>
        <v>14</v>
      </c>
      <c r="D340" t="str">
        <f>_xlfn.XLOOKUP(C340,products[productID],products[productName],,0)</f>
        <v>Tofu</v>
      </c>
      <c r="E340" t="str">
        <f>_xlfn.XLOOKUP(_xlfn.XLOOKUP(Table9[[#This Row],[ProductName ]],products[productName],products[categoryID],,0),categories[categoryID],categories[categoryName],,0)</f>
        <v>Produce</v>
      </c>
      <c r="F340">
        <v>15</v>
      </c>
      <c r="G340">
        <v>186</v>
      </c>
      <c r="H340">
        <v>0</v>
      </c>
      <c r="I340">
        <f>Table9[[#This Row],[quantity]]*Table9[[#This Row],[unitPrice]]*(1-Table9[[#This Row],[discount]]/100)</f>
        <v>2790</v>
      </c>
      <c r="J340" t="str">
        <f>_xlfn.XLOOKUP(_xlfn.XLOOKUP(A340,orders[orderID],orders[customerID],,0),customers__2[customerID],customers__2[companyName],,0)</f>
        <v>Hungry Coyote Import Store</v>
      </c>
      <c r="K340" t="str">
        <f>_xlfn.XLOOKUP(Table9[[#This Row],[Company Name]],customers__2[companyName],customers__2[country],,0)</f>
        <v>USA</v>
      </c>
      <c r="L340">
        <f>MONTH(Table9[[#This Row],[OrderDate ]])</f>
        <v>12</v>
      </c>
      <c r="M340" t="str">
        <f>TEXT(Table9[[#This Row],[OrderDate ]],"mmm")</f>
        <v>Dec</v>
      </c>
      <c r="N340">
        <f>YEAR(Table9[[#This Row],[OrderDate ]])</f>
        <v>2013</v>
      </c>
    </row>
    <row r="341" spans="1:14" x14ac:dyDescent="0.3">
      <c r="A341">
        <v>10375</v>
      </c>
      <c r="B341" s="2">
        <f>_xlfn.XLOOKUP(Table9[[#This Row],[orderID]],orders[orderID],orders[orderDate],,0)</f>
        <v>41614</v>
      </c>
      <c r="C341">
        <f>_xlfn.XLOOKUP(A341,order_details[orderID],order_details[productID],,0)</f>
        <v>14</v>
      </c>
      <c r="D341" t="str">
        <f>_xlfn.XLOOKUP(C341,products[productID],products[productName],,0)</f>
        <v>Tofu</v>
      </c>
      <c r="E341" t="str">
        <f>_xlfn.XLOOKUP(_xlfn.XLOOKUP(Table9[[#This Row],[ProductName ]],products[productName],products[categoryID],,0),categories[categoryID],categories[categoryName],,0)</f>
        <v>Produce</v>
      </c>
      <c r="F341">
        <v>10</v>
      </c>
      <c r="G341">
        <v>59</v>
      </c>
      <c r="H341">
        <v>0</v>
      </c>
      <c r="I341">
        <f>Table9[[#This Row],[quantity]]*Table9[[#This Row],[unitPrice]]*(1-Table9[[#This Row],[discount]]/100)</f>
        <v>590</v>
      </c>
      <c r="J341" t="str">
        <f>_xlfn.XLOOKUP(_xlfn.XLOOKUP(A341,orders[orderID],orders[customerID],,0),customers__2[customerID],customers__2[companyName],,0)</f>
        <v>Hungry Coyote Import Store</v>
      </c>
      <c r="K341" t="str">
        <f>_xlfn.XLOOKUP(Table9[[#This Row],[Company Name]],customers__2[companyName],customers__2[country],,0)</f>
        <v>USA</v>
      </c>
      <c r="L341">
        <f>MONTH(Table9[[#This Row],[OrderDate ]])</f>
        <v>12</v>
      </c>
      <c r="M341" t="str">
        <f>TEXT(Table9[[#This Row],[OrderDate ]],"mmm")</f>
        <v>Dec</v>
      </c>
      <c r="N341">
        <f>YEAR(Table9[[#This Row],[OrderDate ]])</f>
        <v>2013</v>
      </c>
    </row>
    <row r="342" spans="1:14" x14ac:dyDescent="0.3">
      <c r="A342">
        <v>10376</v>
      </c>
      <c r="B342" s="2">
        <f>_xlfn.XLOOKUP(Table9[[#This Row],[orderID]],orders[orderID],orders[orderDate],,0)</f>
        <v>41617</v>
      </c>
      <c r="C342">
        <f>_xlfn.XLOOKUP(A342,order_details[orderID],order_details[productID],,0)</f>
        <v>31</v>
      </c>
      <c r="D342" t="str">
        <f>_xlfn.XLOOKUP(C342,products[productID],products[productName],,0)</f>
        <v>Gorgonzola Telino</v>
      </c>
      <c r="E342" t="str">
        <f>_xlfn.XLOOKUP(_xlfn.XLOOKUP(Table9[[#This Row],[ProductName ]],products[productName],products[categoryID],,0),categories[categoryID],categories[categoryName],,0)</f>
        <v>Dairy Products</v>
      </c>
      <c r="F342">
        <v>42</v>
      </c>
      <c r="G342">
        <v>10</v>
      </c>
      <c r="H342">
        <v>5</v>
      </c>
      <c r="I342">
        <f>Table9[[#This Row],[quantity]]*Table9[[#This Row],[unitPrice]]*(1-Table9[[#This Row],[discount]]/100)</f>
        <v>399</v>
      </c>
      <c r="J342" t="str">
        <f>_xlfn.XLOOKUP(_xlfn.XLOOKUP(A342,orders[orderID],orders[customerID],,0),customers__2[customerID],customers__2[companyName],,0)</f>
        <v>Mère Paillarde</v>
      </c>
      <c r="K342" t="str">
        <f>_xlfn.XLOOKUP(Table9[[#This Row],[Company Name]],customers__2[companyName],customers__2[country],,0)</f>
        <v>Canada</v>
      </c>
      <c r="L342">
        <f>MONTH(Table9[[#This Row],[OrderDate ]])</f>
        <v>12</v>
      </c>
      <c r="M342" t="str">
        <f>TEXT(Table9[[#This Row],[OrderDate ]],"mmm")</f>
        <v>Dec</v>
      </c>
      <c r="N342">
        <f>YEAR(Table9[[#This Row],[OrderDate ]])</f>
        <v>2013</v>
      </c>
    </row>
    <row r="343" spans="1:14" x14ac:dyDescent="0.3">
      <c r="A343">
        <v>10377</v>
      </c>
      <c r="B343" s="2">
        <f>_xlfn.XLOOKUP(Table9[[#This Row],[orderID]],orders[orderID],orders[orderDate],,0)</f>
        <v>41617</v>
      </c>
      <c r="C343">
        <f>_xlfn.XLOOKUP(A343,order_details[orderID],order_details[productID],,0)</f>
        <v>28</v>
      </c>
      <c r="D343" t="str">
        <f>_xlfn.XLOOKUP(C343,products[productID],products[productName],,0)</f>
        <v>Rössle Sauerkraut</v>
      </c>
      <c r="E343" t="str">
        <f>_xlfn.XLOOKUP(_xlfn.XLOOKUP(Table9[[#This Row],[ProductName ]],products[productName],products[categoryID],,0),categories[categoryID],categories[categoryName],,0)</f>
        <v>Produce</v>
      </c>
      <c r="F343">
        <v>20</v>
      </c>
      <c r="G343">
        <v>364</v>
      </c>
      <c r="H343">
        <v>15</v>
      </c>
      <c r="I343">
        <f>Table9[[#This Row],[quantity]]*Table9[[#This Row],[unitPrice]]*(1-Table9[[#This Row],[discount]]/100)</f>
        <v>6188</v>
      </c>
      <c r="J343" t="str">
        <f>_xlfn.XLOOKUP(_xlfn.XLOOKUP(A343,orders[orderID],orders[customerID],,0),customers__2[customerID],customers__2[companyName],,0)</f>
        <v>Seven Seas Imports</v>
      </c>
      <c r="K343" t="str">
        <f>_xlfn.XLOOKUP(Table9[[#This Row],[Company Name]],customers__2[companyName],customers__2[country],,0)</f>
        <v>UK</v>
      </c>
      <c r="L343">
        <f>MONTH(Table9[[#This Row],[OrderDate ]])</f>
        <v>12</v>
      </c>
      <c r="M343" t="str">
        <f>TEXT(Table9[[#This Row],[OrderDate ]],"mmm")</f>
        <v>Dec</v>
      </c>
      <c r="N343">
        <f>YEAR(Table9[[#This Row],[OrderDate ]])</f>
        <v>2013</v>
      </c>
    </row>
    <row r="344" spans="1:14" x14ac:dyDescent="0.3">
      <c r="A344">
        <v>10377</v>
      </c>
      <c r="B344" s="2">
        <f>_xlfn.XLOOKUP(Table9[[#This Row],[orderID]],orders[orderID],orders[orderDate],,0)</f>
        <v>41617</v>
      </c>
      <c r="C344">
        <f>_xlfn.XLOOKUP(A344,order_details[orderID],order_details[productID],,0)</f>
        <v>28</v>
      </c>
      <c r="D344" t="str">
        <f>_xlfn.XLOOKUP(C344,products[productID],products[productName],,0)</f>
        <v>Rössle Sauerkraut</v>
      </c>
      <c r="E344" t="str">
        <f>_xlfn.XLOOKUP(_xlfn.XLOOKUP(Table9[[#This Row],[ProductName ]],products[productName],products[categoryID],,0),categories[categoryID],categories[categoryName],,0)</f>
        <v>Produce</v>
      </c>
      <c r="F344">
        <v>20</v>
      </c>
      <c r="G344">
        <v>144</v>
      </c>
      <c r="H344">
        <v>15</v>
      </c>
      <c r="I344">
        <f>Table9[[#This Row],[quantity]]*Table9[[#This Row],[unitPrice]]*(1-Table9[[#This Row],[discount]]/100)</f>
        <v>2448</v>
      </c>
      <c r="J344" t="str">
        <f>_xlfn.XLOOKUP(_xlfn.XLOOKUP(A344,orders[orderID],orders[customerID],,0),customers__2[customerID],customers__2[companyName],,0)</f>
        <v>Seven Seas Imports</v>
      </c>
      <c r="K344" t="str">
        <f>_xlfn.XLOOKUP(Table9[[#This Row],[Company Name]],customers__2[companyName],customers__2[country],,0)</f>
        <v>UK</v>
      </c>
      <c r="L344">
        <f>MONTH(Table9[[#This Row],[OrderDate ]])</f>
        <v>12</v>
      </c>
      <c r="M344" t="str">
        <f>TEXT(Table9[[#This Row],[OrderDate ]],"mmm")</f>
        <v>Dec</v>
      </c>
      <c r="N344">
        <f>YEAR(Table9[[#This Row],[OrderDate ]])</f>
        <v>2013</v>
      </c>
    </row>
    <row r="345" spans="1:14" x14ac:dyDescent="0.3">
      <c r="A345">
        <v>10378</v>
      </c>
      <c r="B345" s="2">
        <f>_xlfn.XLOOKUP(Table9[[#This Row],[orderID]],orders[orderID],orders[orderDate],,0)</f>
        <v>41618</v>
      </c>
      <c r="C345">
        <f>_xlfn.XLOOKUP(A345,order_details[orderID],order_details[productID],,0)</f>
        <v>71</v>
      </c>
      <c r="D345" t="str">
        <f>_xlfn.XLOOKUP(C345,products[productID],products[productName],,0)</f>
        <v>Flotemysost</v>
      </c>
      <c r="E345" t="str">
        <f>_xlfn.XLOOKUP(_xlfn.XLOOKUP(Table9[[#This Row],[ProductName ]],products[productName],products[categoryID],,0),categories[categoryID],categories[categoryName],,0)</f>
        <v>Dairy Products</v>
      </c>
      <c r="F345">
        <v>6</v>
      </c>
      <c r="G345">
        <v>172</v>
      </c>
      <c r="H345">
        <v>0</v>
      </c>
      <c r="I345">
        <f>Table9[[#This Row],[quantity]]*Table9[[#This Row],[unitPrice]]*(1-Table9[[#This Row],[discount]]/100)</f>
        <v>1032</v>
      </c>
      <c r="J345" t="str">
        <f>_xlfn.XLOOKUP(_xlfn.XLOOKUP(A345,orders[orderID],orders[customerID],,0),customers__2[customerID],customers__2[companyName],,0)</f>
        <v>Folk och fä HB</v>
      </c>
      <c r="K345" t="str">
        <f>_xlfn.XLOOKUP(Table9[[#This Row],[Company Name]],customers__2[companyName],customers__2[country],,0)</f>
        <v>Sweden</v>
      </c>
      <c r="L345">
        <f>MONTH(Table9[[#This Row],[OrderDate ]])</f>
        <v>12</v>
      </c>
      <c r="M345" t="str">
        <f>TEXT(Table9[[#This Row],[OrderDate ]],"mmm")</f>
        <v>Dec</v>
      </c>
      <c r="N345">
        <f>YEAR(Table9[[#This Row],[OrderDate ]])</f>
        <v>2013</v>
      </c>
    </row>
    <row r="346" spans="1:14" x14ac:dyDescent="0.3">
      <c r="A346">
        <v>10379</v>
      </c>
      <c r="B346" s="2">
        <f>_xlfn.XLOOKUP(Table9[[#This Row],[orderID]],orders[orderID],orders[orderDate],,0)</f>
        <v>41619</v>
      </c>
      <c r="C346">
        <f>_xlfn.XLOOKUP(A346,order_details[orderID],order_details[productID],,0)</f>
        <v>41</v>
      </c>
      <c r="D346" t="str">
        <f>_xlfn.XLOOKUP(C346,products[productID],products[productName],,0)</f>
        <v>Jack's New England Clam Chowder</v>
      </c>
      <c r="E346" t="str">
        <f>_xlfn.XLOOKUP(_xlfn.XLOOKUP(Table9[[#This Row],[ProductName ]],products[productName],products[categoryID],,0),categories[categoryID],categories[categoryName],,0)</f>
        <v>Seafood</v>
      </c>
      <c r="F346">
        <v>8</v>
      </c>
      <c r="G346">
        <v>77</v>
      </c>
      <c r="H346">
        <v>1</v>
      </c>
      <c r="I346">
        <f>Table9[[#This Row],[quantity]]*Table9[[#This Row],[unitPrice]]*(1-Table9[[#This Row],[discount]]/100)</f>
        <v>609.84</v>
      </c>
      <c r="J346" t="str">
        <f>_xlfn.XLOOKUP(_xlfn.XLOOKUP(A346,orders[orderID],orders[customerID],,0),customers__2[customerID],customers__2[companyName],,0)</f>
        <v>Que Delícia</v>
      </c>
      <c r="K346" t="str">
        <f>_xlfn.XLOOKUP(Table9[[#This Row],[Company Name]],customers__2[companyName],customers__2[country],,0)</f>
        <v>Brazil</v>
      </c>
      <c r="L346">
        <f>MONTH(Table9[[#This Row],[OrderDate ]])</f>
        <v>12</v>
      </c>
      <c r="M346" t="str">
        <f>TEXT(Table9[[#This Row],[OrderDate ]],"mmm")</f>
        <v>Dec</v>
      </c>
      <c r="N346">
        <f>YEAR(Table9[[#This Row],[OrderDate ]])</f>
        <v>2013</v>
      </c>
    </row>
    <row r="347" spans="1:14" x14ac:dyDescent="0.3">
      <c r="A347">
        <v>10379</v>
      </c>
      <c r="B347" s="2">
        <f>_xlfn.XLOOKUP(Table9[[#This Row],[orderID]],orders[orderID],orders[orderDate],,0)</f>
        <v>41619</v>
      </c>
      <c r="C347">
        <f>_xlfn.XLOOKUP(A347,order_details[orderID],order_details[productID],,0)</f>
        <v>41</v>
      </c>
      <c r="D347" t="str">
        <f>_xlfn.XLOOKUP(C347,products[productID],products[productName],,0)</f>
        <v>Jack's New England Clam Chowder</v>
      </c>
      <c r="E347" t="str">
        <f>_xlfn.XLOOKUP(_xlfn.XLOOKUP(Table9[[#This Row],[ProductName ]],products[productName],products[categoryID],,0),categories[categoryID],categories[categoryName],,0)</f>
        <v>Seafood</v>
      </c>
      <c r="F347">
        <v>16</v>
      </c>
      <c r="G347">
        <v>351</v>
      </c>
      <c r="H347">
        <v>1</v>
      </c>
      <c r="I347">
        <f>Table9[[#This Row],[quantity]]*Table9[[#This Row],[unitPrice]]*(1-Table9[[#This Row],[discount]]/100)</f>
        <v>5559.84</v>
      </c>
      <c r="J347" t="str">
        <f>_xlfn.XLOOKUP(_xlfn.XLOOKUP(A347,orders[orderID],orders[customerID],,0),customers__2[customerID],customers__2[companyName],,0)</f>
        <v>Que Delícia</v>
      </c>
      <c r="K347" t="str">
        <f>_xlfn.XLOOKUP(Table9[[#This Row],[Company Name]],customers__2[companyName],customers__2[country],,0)</f>
        <v>Brazil</v>
      </c>
      <c r="L347">
        <f>MONTH(Table9[[#This Row],[OrderDate ]])</f>
        <v>12</v>
      </c>
      <c r="M347" t="str">
        <f>TEXT(Table9[[#This Row],[OrderDate ]],"mmm")</f>
        <v>Dec</v>
      </c>
      <c r="N347">
        <f>YEAR(Table9[[#This Row],[OrderDate ]])</f>
        <v>2013</v>
      </c>
    </row>
    <row r="348" spans="1:14" x14ac:dyDescent="0.3">
      <c r="A348">
        <v>10379</v>
      </c>
      <c r="B348" s="2">
        <f>_xlfn.XLOOKUP(Table9[[#This Row],[orderID]],orders[orderID],orders[orderDate],,0)</f>
        <v>41619</v>
      </c>
      <c r="C348">
        <f>_xlfn.XLOOKUP(A348,order_details[orderID],order_details[productID],,0)</f>
        <v>41</v>
      </c>
      <c r="D348" t="str">
        <f>_xlfn.XLOOKUP(C348,products[productID],products[productName],,0)</f>
        <v>Jack's New England Clam Chowder</v>
      </c>
      <c r="E348" t="str">
        <f>_xlfn.XLOOKUP(_xlfn.XLOOKUP(Table9[[#This Row],[ProductName ]],products[productName],products[categoryID],,0),categories[categoryID],categories[categoryName],,0)</f>
        <v>Seafood</v>
      </c>
      <c r="F348">
        <v>20</v>
      </c>
      <c r="G348">
        <v>168</v>
      </c>
      <c r="H348">
        <v>1</v>
      </c>
      <c r="I348">
        <f>Table9[[#This Row],[quantity]]*Table9[[#This Row],[unitPrice]]*(1-Table9[[#This Row],[discount]]/100)</f>
        <v>3326.4</v>
      </c>
      <c r="J348" t="str">
        <f>_xlfn.XLOOKUP(_xlfn.XLOOKUP(A348,orders[orderID],orders[customerID],,0),customers__2[customerID],customers__2[companyName],,0)</f>
        <v>Que Delícia</v>
      </c>
      <c r="K348" t="str">
        <f>_xlfn.XLOOKUP(Table9[[#This Row],[Company Name]],customers__2[companyName],customers__2[country],,0)</f>
        <v>Brazil</v>
      </c>
      <c r="L348">
        <f>MONTH(Table9[[#This Row],[OrderDate ]])</f>
        <v>12</v>
      </c>
      <c r="M348" t="str">
        <f>TEXT(Table9[[#This Row],[OrderDate ]],"mmm")</f>
        <v>Dec</v>
      </c>
      <c r="N348">
        <f>YEAR(Table9[[#This Row],[OrderDate ]])</f>
        <v>2013</v>
      </c>
    </row>
    <row r="349" spans="1:14" x14ac:dyDescent="0.3">
      <c r="A349">
        <v>10380</v>
      </c>
      <c r="B349" s="2">
        <f>_xlfn.XLOOKUP(Table9[[#This Row],[orderID]],orders[orderID],orders[orderDate],,0)</f>
        <v>41620</v>
      </c>
      <c r="C349">
        <f>_xlfn.XLOOKUP(A349,order_details[orderID],order_details[productID],,0)</f>
        <v>30</v>
      </c>
      <c r="D349" t="str">
        <f>_xlfn.XLOOKUP(C349,products[productID],products[productName],,0)</f>
        <v>Nord-Ost Matjeshering</v>
      </c>
      <c r="E349" t="str">
        <f>_xlfn.XLOOKUP(_xlfn.XLOOKUP(Table9[[#This Row],[ProductName ]],products[productName],products[categoryID],,0),categories[categoryID],categories[categoryName],,0)</f>
        <v>Seafood</v>
      </c>
      <c r="F349">
        <v>18</v>
      </c>
      <c r="G349">
        <v>207</v>
      </c>
      <c r="H349">
        <v>1</v>
      </c>
      <c r="I349">
        <f>Table9[[#This Row],[quantity]]*Table9[[#This Row],[unitPrice]]*(1-Table9[[#This Row],[discount]]/100)</f>
        <v>3688.74</v>
      </c>
      <c r="J349" t="str">
        <f>_xlfn.XLOOKUP(_xlfn.XLOOKUP(A349,orders[orderID],orders[customerID],,0),customers__2[customerID],customers__2[companyName],,0)</f>
        <v>Hungry Owl All-Night Grocers</v>
      </c>
      <c r="K349" t="str">
        <f>_xlfn.XLOOKUP(Table9[[#This Row],[Company Name]],customers__2[companyName],customers__2[country],,0)</f>
        <v>Ireland</v>
      </c>
      <c r="L349">
        <f>MONTH(Table9[[#This Row],[OrderDate ]])</f>
        <v>12</v>
      </c>
      <c r="M349" t="str">
        <f>TEXT(Table9[[#This Row],[OrderDate ]],"mmm")</f>
        <v>Dec</v>
      </c>
      <c r="N349">
        <f>YEAR(Table9[[#This Row],[OrderDate ]])</f>
        <v>2013</v>
      </c>
    </row>
    <row r="350" spans="1:14" x14ac:dyDescent="0.3">
      <c r="A350">
        <v>10380</v>
      </c>
      <c r="B350" s="2">
        <f>_xlfn.XLOOKUP(Table9[[#This Row],[orderID]],orders[orderID],orders[orderDate],,0)</f>
        <v>41620</v>
      </c>
      <c r="C350">
        <f>_xlfn.XLOOKUP(A350,order_details[orderID],order_details[productID],,0)</f>
        <v>30</v>
      </c>
      <c r="D350" t="str">
        <f>_xlfn.XLOOKUP(C350,products[productID],products[productName],,0)</f>
        <v>Nord-Ost Matjeshering</v>
      </c>
      <c r="E350" t="str">
        <f>_xlfn.XLOOKUP(_xlfn.XLOOKUP(Table9[[#This Row],[ProductName ]],products[productName],products[categoryID],,0),categories[categoryID],categories[categoryName],,0)</f>
        <v>Seafood</v>
      </c>
      <c r="F350">
        <v>20</v>
      </c>
      <c r="G350">
        <v>262</v>
      </c>
      <c r="H350">
        <v>1</v>
      </c>
      <c r="I350">
        <f>Table9[[#This Row],[quantity]]*Table9[[#This Row],[unitPrice]]*(1-Table9[[#This Row],[discount]]/100)</f>
        <v>5187.6000000000004</v>
      </c>
      <c r="J350" t="str">
        <f>_xlfn.XLOOKUP(_xlfn.XLOOKUP(A350,orders[orderID],orders[customerID],,0),customers__2[customerID],customers__2[companyName],,0)</f>
        <v>Hungry Owl All-Night Grocers</v>
      </c>
      <c r="K350" t="str">
        <f>_xlfn.XLOOKUP(Table9[[#This Row],[Company Name]],customers__2[companyName],customers__2[country],,0)</f>
        <v>Ireland</v>
      </c>
      <c r="L350">
        <f>MONTH(Table9[[#This Row],[OrderDate ]])</f>
        <v>12</v>
      </c>
      <c r="M350" t="str">
        <f>TEXT(Table9[[#This Row],[OrderDate ]],"mmm")</f>
        <v>Dec</v>
      </c>
      <c r="N350">
        <f>YEAR(Table9[[#This Row],[OrderDate ]])</f>
        <v>2013</v>
      </c>
    </row>
    <row r="351" spans="1:14" x14ac:dyDescent="0.3">
      <c r="A351">
        <v>10380</v>
      </c>
      <c r="B351" s="2">
        <f>_xlfn.XLOOKUP(Table9[[#This Row],[orderID]],orders[orderID],orders[orderDate],,0)</f>
        <v>41620</v>
      </c>
      <c r="C351">
        <f>_xlfn.XLOOKUP(A351,order_details[orderID],order_details[productID],,0)</f>
        <v>30</v>
      </c>
      <c r="D351" t="str">
        <f>_xlfn.XLOOKUP(C351,products[productID],products[productName],,0)</f>
        <v>Nord-Ost Matjeshering</v>
      </c>
      <c r="E351" t="str">
        <f>_xlfn.XLOOKUP(_xlfn.XLOOKUP(Table9[[#This Row],[ProductName ]],products[productName],products[categoryID],,0),categories[categoryID],categories[categoryName],,0)</f>
        <v>Seafood</v>
      </c>
      <c r="F351">
        <v>6</v>
      </c>
      <c r="G351">
        <v>272</v>
      </c>
      <c r="H351">
        <v>1</v>
      </c>
      <c r="I351">
        <f>Table9[[#This Row],[quantity]]*Table9[[#This Row],[unitPrice]]*(1-Table9[[#This Row],[discount]]/100)</f>
        <v>1615.68</v>
      </c>
      <c r="J351" t="str">
        <f>_xlfn.XLOOKUP(_xlfn.XLOOKUP(A351,orders[orderID],orders[customerID],,0),customers__2[customerID],customers__2[companyName],,0)</f>
        <v>Hungry Owl All-Night Grocers</v>
      </c>
      <c r="K351" t="str">
        <f>_xlfn.XLOOKUP(Table9[[#This Row],[Company Name]],customers__2[companyName],customers__2[country],,0)</f>
        <v>Ireland</v>
      </c>
      <c r="L351">
        <f>MONTH(Table9[[#This Row],[OrderDate ]])</f>
        <v>12</v>
      </c>
      <c r="M351" t="str">
        <f>TEXT(Table9[[#This Row],[OrderDate ]],"mmm")</f>
        <v>Dec</v>
      </c>
      <c r="N351">
        <f>YEAR(Table9[[#This Row],[OrderDate ]])</f>
        <v>2013</v>
      </c>
    </row>
    <row r="352" spans="1:14" x14ac:dyDescent="0.3">
      <c r="A352">
        <v>10380</v>
      </c>
      <c r="B352" s="2">
        <f>_xlfn.XLOOKUP(Table9[[#This Row],[orderID]],orders[orderID],orders[orderDate],,0)</f>
        <v>41620</v>
      </c>
      <c r="C352">
        <f>_xlfn.XLOOKUP(A352,order_details[orderID],order_details[productID],,0)</f>
        <v>30</v>
      </c>
      <c r="D352" t="str">
        <f>_xlfn.XLOOKUP(C352,products[productID],products[productName],,0)</f>
        <v>Nord-Ost Matjeshering</v>
      </c>
      <c r="E352" t="str">
        <f>_xlfn.XLOOKUP(_xlfn.XLOOKUP(Table9[[#This Row],[ProductName ]],products[productName],products[categoryID],,0),categories[categoryID],categories[categoryName],,0)</f>
        <v>Seafood</v>
      </c>
      <c r="F352">
        <v>30</v>
      </c>
      <c r="G352">
        <v>12</v>
      </c>
      <c r="H352">
        <v>0</v>
      </c>
      <c r="I352">
        <f>Table9[[#This Row],[quantity]]*Table9[[#This Row],[unitPrice]]*(1-Table9[[#This Row],[discount]]/100)</f>
        <v>360</v>
      </c>
      <c r="J352" t="str">
        <f>_xlfn.XLOOKUP(_xlfn.XLOOKUP(A352,orders[orderID],orders[customerID],,0),customers__2[customerID],customers__2[companyName],,0)</f>
        <v>Hungry Owl All-Night Grocers</v>
      </c>
      <c r="K352" t="str">
        <f>_xlfn.XLOOKUP(Table9[[#This Row],[Company Name]],customers__2[companyName],customers__2[country],,0)</f>
        <v>Ireland</v>
      </c>
      <c r="L352">
        <f>MONTH(Table9[[#This Row],[OrderDate ]])</f>
        <v>12</v>
      </c>
      <c r="M352" t="str">
        <f>TEXT(Table9[[#This Row],[OrderDate ]],"mmm")</f>
        <v>Dec</v>
      </c>
      <c r="N352">
        <f>YEAR(Table9[[#This Row],[OrderDate ]])</f>
        <v>2013</v>
      </c>
    </row>
    <row r="353" spans="1:14" x14ac:dyDescent="0.3">
      <c r="A353">
        <v>10381</v>
      </c>
      <c r="B353" s="2">
        <f>_xlfn.XLOOKUP(Table9[[#This Row],[orderID]],orders[orderID],orders[orderDate],,0)</f>
        <v>41620</v>
      </c>
      <c r="C353">
        <f>_xlfn.XLOOKUP(A353,order_details[orderID],order_details[productID],,0)</f>
        <v>74</v>
      </c>
      <c r="D353" t="str">
        <f>_xlfn.XLOOKUP(C353,products[productID],products[productName],,0)</f>
        <v>Longlife Tofu</v>
      </c>
      <c r="E353" t="str">
        <f>_xlfn.XLOOKUP(_xlfn.XLOOKUP(Table9[[#This Row],[ProductName ]],products[productName],products[categoryID],,0),categories[categoryID],categories[categoryName],,0)</f>
        <v>Produce</v>
      </c>
      <c r="F353">
        <v>14</v>
      </c>
      <c r="G353">
        <v>8</v>
      </c>
      <c r="H353">
        <v>0</v>
      </c>
      <c r="I353">
        <f>Table9[[#This Row],[quantity]]*Table9[[#This Row],[unitPrice]]*(1-Table9[[#This Row],[discount]]/100)</f>
        <v>112</v>
      </c>
      <c r="J353" t="str">
        <f>_xlfn.XLOOKUP(_xlfn.XLOOKUP(A353,orders[orderID],orders[customerID],,0),customers__2[customerID],customers__2[companyName],,0)</f>
        <v>LILA-Supermercado</v>
      </c>
      <c r="K353" t="str">
        <f>_xlfn.XLOOKUP(Table9[[#This Row],[Company Name]],customers__2[companyName],customers__2[country],,0)</f>
        <v>Venezuela</v>
      </c>
      <c r="L353">
        <f>MONTH(Table9[[#This Row],[OrderDate ]])</f>
        <v>12</v>
      </c>
      <c r="M353" t="str">
        <f>TEXT(Table9[[#This Row],[OrderDate ]],"mmm")</f>
        <v>Dec</v>
      </c>
      <c r="N353">
        <f>YEAR(Table9[[#This Row],[OrderDate ]])</f>
        <v>2013</v>
      </c>
    </row>
    <row r="354" spans="1:14" x14ac:dyDescent="0.3">
      <c r="A354">
        <v>10382</v>
      </c>
      <c r="B354" s="2">
        <f>_xlfn.XLOOKUP(Table9[[#This Row],[orderID]],orders[orderID],orders[orderDate],,0)</f>
        <v>41621</v>
      </c>
      <c r="C354">
        <f>_xlfn.XLOOKUP(A354,order_details[orderID],order_details[productID],,0)</f>
        <v>5</v>
      </c>
      <c r="D354" t="str">
        <f>_xlfn.XLOOKUP(C354,products[productID],products[productName],,0)</f>
        <v>Chef Anton's Gumbo Mix</v>
      </c>
      <c r="E354" t="str">
        <f>_xlfn.XLOOKUP(_xlfn.XLOOKUP(Table9[[#This Row],[ProductName ]],products[productName],products[categoryID],,0),categories[categoryID],categories[categoryName],,0)</f>
        <v>Condiments</v>
      </c>
      <c r="F354">
        <v>32</v>
      </c>
      <c r="G354">
        <v>17</v>
      </c>
      <c r="H354">
        <v>0</v>
      </c>
      <c r="I354">
        <f>Table9[[#This Row],[quantity]]*Table9[[#This Row],[unitPrice]]*(1-Table9[[#This Row],[discount]]/100)</f>
        <v>544</v>
      </c>
      <c r="J354" t="str">
        <f>_xlfn.XLOOKUP(_xlfn.XLOOKUP(A354,orders[orderID],orders[customerID],,0),customers__2[customerID],customers__2[companyName],,0)</f>
        <v>Ernst Handel</v>
      </c>
      <c r="K354" t="str">
        <f>_xlfn.XLOOKUP(Table9[[#This Row],[Company Name]],customers__2[companyName],customers__2[country],,0)</f>
        <v>Austria</v>
      </c>
      <c r="L354">
        <f>MONTH(Table9[[#This Row],[OrderDate ]])</f>
        <v>12</v>
      </c>
      <c r="M354" t="str">
        <f>TEXT(Table9[[#This Row],[OrderDate ]],"mmm")</f>
        <v>Dec</v>
      </c>
      <c r="N354">
        <f>YEAR(Table9[[#This Row],[OrderDate ]])</f>
        <v>2013</v>
      </c>
    </row>
    <row r="355" spans="1:14" x14ac:dyDescent="0.3">
      <c r="A355">
        <v>10382</v>
      </c>
      <c r="B355" s="2">
        <f>_xlfn.XLOOKUP(Table9[[#This Row],[orderID]],orders[orderID],orders[orderDate],,0)</f>
        <v>41621</v>
      </c>
      <c r="C355">
        <f>_xlfn.XLOOKUP(A355,order_details[orderID],order_details[productID],,0)</f>
        <v>5</v>
      </c>
      <c r="D355" t="str">
        <f>_xlfn.XLOOKUP(C355,products[productID],products[productName],,0)</f>
        <v>Chef Anton's Gumbo Mix</v>
      </c>
      <c r="E355" t="str">
        <f>_xlfn.XLOOKUP(_xlfn.XLOOKUP(Table9[[#This Row],[ProductName ]],products[productName],products[categoryID],,0),categories[categoryID],categories[categoryName],,0)</f>
        <v>Condiments</v>
      </c>
      <c r="F355">
        <v>9</v>
      </c>
      <c r="G355">
        <v>50</v>
      </c>
      <c r="H355">
        <v>0</v>
      </c>
      <c r="I355">
        <f>Table9[[#This Row],[quantity]]*Table9[[#This Row],[unitPrice]]*(1-Table9[[#This Row],[discount]]/100)</f>
        <v>450</v>
      </c>
      <c r="J355" t="str">
        <f>_xlfn.XLOOKUP(_xlfn.XLOOKUP(A355,orders[orderID],orders[customerID],,0),customers__2[customerID],customers__2[companyName],,0)</f>
        <v>Ernst Handel</v>
      </c>
      <c r="K355" t="str">
        <f>_xlfn.XLOOKUP(Table9[[#This Row],[Company Name]],customers__2[companyName],customers__2[country],,0)</f>
        <v>Austria</v>
      </c>
      <c r="L355">
        <f>MONTH(Table9[[#This Row],[OrderDate ]])</f>
        <v>12</v>
      </c>
      <c r="M355" t="str">
        <f>TEXT(Table9[[#This Row],[OrderDate ]],"mmm")</f>
        <v>Dec</v>
      </c>
      <c r="N355">
        <f>YEAR(Table9[[#This Row],[OrderDate ]])</f>
        <v>2013</v>
      </c>
    </row>
    <row r="356" spans="1:14" x14ac:dyDescent="0.3">
      <c r="A356">
        <v>10382</v>
      </c>
      <c r="B356" s="2">
        <f>_xlfn.XLOOKUP(Table9[[#This Row],[orderID]],orders[orderID],orders[orderDate],,0)</f>
        <v>41621</v>
      </c>
      <c r="C356">
        <f>_xlfn.XLOOKUP(A356,order_details[orderID],order_details[productID],,0)</f>
        <v>5</v>
      </c>
      <c r="D356" t="str">
        <f>_xlfn.XLOOKUP(C356,products[productID],products[productName],,0)</f>
        <v>Chef Anton's Gumbo Mix</v>
      </c>
      <c r="E356" t="str">
        <f>_xlfn.XLOOKUP(_xlfn.XLOOKUP(Table9[[#This Row],[ProductName ]],products[productName],products[categoryID],,0),categories[categoryID],categories[categoryName],,0)</f>
        <v>Condiments</v>
      </c>
      <c r="F356">
        <v>14</v>
      </c>
      <c r="G356">
        <v>99</v>
      </c>
      <c r="H356">
        <v>0</v>
      </c>
      <c r="I356">
        <f>Table9[[#This Row],[quantity]]*Table9[[#This Row],[unitPrice]]*(1-Table9[[#This Row],[discount]]/100)</f>
        <v>1386</v>
      </c>
      <c r="J356" t="str">
        <f>_xlfn.XLOOKUP(_xlfn.XLOOKUP(A356,orders[orderID],orders[customerID],,0),customers__2[customerID],customers__2[companyName],,0)</f>
        <v>Ernst Handel</v>
      </c>
      <c r="K356" t="str">
        <f>_xlfn.XLOOKUP(Table9[[#This Row],[Company Name]],customers__2[companyName],customers__2[country],,0)</f>
        <v>Austria</v>
      </c>
      <c r="L356">
        <f>MONTH(Table9[[#This Row],[OrderDate ]])</f>
        <v>12</v>
      </c>
      <c r="M356" t="str">
        <f>TEXT(Table9[[#This Row],[OrderDate ]],"mmm")</f>
        <v>Dec</v>
      </c>
      <c r="N356">
        <f>YEAR(Table9[[#This Row],[OrderDate ]])</f>
        <v>2013</v>
      </c>
    </row>
    <row r="357" spans="1:14" x14ac:dyDescent="0.3">
      <c r="A357">
        <v>10382</v>
      </c>
      <c r="B357" s="2">
        <f>_xlfn.XLOOKUP(Table9[[#This Row],[orderID]],orders[orderID],orders[orderDate],,0)</f>
        <v>41621</v>
      </c>
      <c r="C357">
        <f>_xlfn.XLOOKUP(A357,order_details[orderID],order_details[productID],,0)</f>
        <v>5</v>
      </c>
      <c r="D357" t="str">
        <f>_xlfn.XLOOKUP(C357,products[productID],products[productName],,0)</f>
        <v>Chef Anton's Gumbo Mix</v>
      </c>
      <c r="E357" t="str">
        <f>_xlfn.XLOOKUP(_xlfn.XLOOKUP(Table9[[#This Row],[ProductName ]],products[productName],products[categoryID],,0),categories[categoryID],categories[categoryName],,0)</f>
        <v>Condiments</v>
      </c>
      <c r="F357">
        <v>60</v>
      </c>
      <c r="G357">
        <v>2</v>
      </c>
      <c r="H357">
        <v>0</v>
      </c>
      <c r="I357">
        <f>Table9[[#This Row],[quantity]]*Table9[[#This Row],[unitPrice]]*(1-Table9[[#This Row],[discount]]/100)</f>
        <v>120</v>
      </c>
      <c r="J357" t="str">
        <f>_xlfn.XLOOKUP(_xlfn.XLOOKUP(A357,orders[orderID],orders[customerID],,0),customers__2[customerID],customers__2[companyName],,0)</f>
        <v>Ernst Handel</v>
      </c>
      <c r="K357" t="str">
        <f>_xlfn.XLOOKUP(Table9[[#This Row],[Company Name]],customers__2[companyName],customers__2[country],,0)</f>
        <v>Austria</v>
      </c>
      <c r="L357">
        <f>MONTH(Table9[[#This Row],[OrderDate ]])</f>
        <v>12</v>
      </c>
      <c r="M357" t="str">
        <f>TEXT(Table9[[#This Row],[OrderDate ]],"mmm")</f>
        <v>Dec</v>
      </c>
      <c r="N357">
        <f>YEAR(Table9[[#This Row],[OrderDate ]])</f>
        <v>2013</v>
      </c>
    </row>
    <row r="358" spans="1:14" x14ac:dyDescent="0.3">
      <c r="A358">
        <v>10382</v>
      </c>
      <c r="B358" s="2">
        <f>_xlfn.XLOOKUP(Table9[[#This Row],[orderID]],orders[orderID],orders[orderDate],,0)</f>
        <v>41621</v>
      </c>
      <c r="C358">
        <f>_xlfn.XLOOKUP(A358,order_details[orderID],order_details[productID],,0)</f>
        <v>5</v>
      </c>
      <c r="D358" t="str">
        <f>_xlfn.XLOOKUP(C358,products[productID],products[productName],,0)</f>
        <v>Chef Anton's Gumbo Mix</v>
      </c>
      <c r="E358" t="str">
        <f>_xlfn.XLOOKUP(_xlfn.XLOOKUP(Table9[[#This Row],[ProductName ]],products[productName],products[categoryID],,0),categories[categoryID],categories[categoryName],,0)</f>
        <v>Condiments</v>
      </c>
      <c r="F358">
        <v>50</v>
      </c>
      <c r="G358">
        <v>8</v>
      </c>
      <c r="H358">
        <v>0</v>
      </c>
      <c r="I358">
        <f>Table9[[#This Row],[quantity]]*Table9[[#This Row],[unitPrice]]*(1-Table9[[#This Row],[discount]]/100)</f>
        <v>400</v>
      </c>
      <c r="J358" t="str">
        <f>_xlfn.XLOOKUP(_xlfn.XLOOKUP(A358,orders[orderID],orders[customerID],,0),customers__2[customerID],customers__2[companyName],,0)</f>
        <v>Ernst Handel</v>
      </c>
      <c r="K358" t="str">
        <f>_xlfn.XLOOKUP(Table9[[#This Row],[Company Name]],customers__2[companyName],customers__2[country],,0)</f>
        <v>Austria</v>
      </c>
      <c r="L358">
        <f>MONTH(Table9[[#This Row],[OrderDate ]])</f>
        <v>12</v>
      </c>
      <c r="M358" t="str">
        <f>TEXT(Table9[[#This Row],[OrderDate ]],"mmm")</f>
        <v>Dec</v>
      </c>
      <c r="N358">
        <f>YEAR(Table9[[#This Row],[OrderDate ]])</f>
        <v>2013</v>
      </c>
    </row>
    <row r="359" spans="1:14" x14ac:dyDescent="0.3">
      <c r="A359">
        <v>10383</v>
      </c>
      <c r="B359" s="2">
        <f>_xlfn.XLOOKUP(Table9[[#This Row],[orderID]],orders[orderID],orders[orderDate],,0)</f>
        <v>41624</v>
      </c>
      <c r="C359">
        <f>_xlfn.XLOOKUP(A359,order_details[orderID],order_details[productID],,0)</f>
        <v>13</v>
      </c>
      <c r="D359" t="str">
        <f>_xlfn.XLOOKUP(C359,products[productID],products[productName],,0)</f>
        <v>Konbu</v>
      </c>
      <c r="E359" t="str">
        <f>_xlfn.XLOOKUP(_xlfn.XLOOKUP(Table9[[#This Row],[ProductName ]],products[productName],products[categoryID],,0),categories[categoryID],categories[categoryName],,0)</f>
        <v>Seafood</v>
      </c>
      <c r="F359">
        <v>20</v>
      </c>
      <c r="G359">
        <v>48</v>
      </c>
      <c r="H359">
        <v>0</v>
      </c>
      <c r="I359">
        <f>Table9[[#This Row],[quantity]]*Table9[[#This Row],[unitPrice]]*(1-Table9[[#This Row],[discount]]/100)</f>
        <v>960</v>
      </c>
      <c r="J359" t="str">
        <f>_xlfn.XLOOKUP(_xlfn.XLOOKUP(A359,orders[orderID],orders[customerID],,0),customers__2[customerID],customers__2[companyName],,0)</f>
        <v>Around the Horn</v>
      </c>
      <c r="K359" t="str">
        <f>_xlfn.XLOOKUP(Table9[[#This Row],[Company Name]],customers__2[companyName],customers__2[country],,0)</f>
        <v>UK</v>
      </c>
      <c r="L359">
        <f>MONTH(Table9[[#This Row],[OrderDate ]])</f>
        <v>12</v>
      </c>
      <c r="M359" t="str">
        <f>TEXT(Table9[[#This Row],[OrderDate ]],"mmm")</f>
        <v>Dec</v>
      </c>
      <c r="N359">
        <f>YEAR(Table9[[#This Row],[OrderDate ]])</f>
        <v>2013</v>
      </c>
    </row>
    <row r="360" spans="1:14" x14ac:dyDescent="0.3">
      <c r="A360">
        <v>10383</v>
      </c>
      <c r="B360" s="2">
        <f>_xlfn.XLOOKUP(Table9[[#This Row],[orderID]],orders[orderID],orders[orderDate],,0)</f>
        <v>41624</v>
      </c>
      <c r="C360">
        <f>_xlfn.XLOOKUP(A360,order_details[orderID],order_details[productID],,0)</f>
        <v>13</v>
      </c>
      <c r="D360" t="str">
        <f>_xlfn.XLOOKUP(C360,products[productID],products[productName],,0)</f>
        <v>Konbu</v>
      </c>
      <c r="E360" t="str">
        <f>_xlfn.XLOOKUP(_xlfn.XLOOKUP(Table9[[#This Row],[ProductName ]],products[productName],products[categoryID],,0),categories[categoryID],categories[categoryName],,0)</f>
        <v>Seafood</v>
      </c>
      <c r="F360">
        <v>15</v>
      </c>
      <c r="G360">
        <v>13</v>
      </c>
      <c r="H360">
        <v>0</v>
      </c>
      <c r="I360">
        <f>Table9[[#This Row],[quantity]]*Table9[[#This Row],[unitPrice]]*(1-Table9[[#This Row],[discount]]/100)</f>
        <v>195</v>
      </c>
      <c r="J360" t="str">
        <f>_xlfn.XLOOKUP(_xlfn.XLOOKUP(A360,orders[orderID],orders[customerID],,0),customers__2[customerID],customers__2[companyName],,0)</f>
        <v>Around the Horn</v>
      </c>
      <c r="K360" t="str">
        <f>_xlfn.XLOOKUP(Table9[[#This Row],[Company Name]],customers__2[companyName],customers__2[country],,0)</f>
        <v>UK</v>
      </c>
      <c r="L360">
        <f>MONTH(Table9[[#This Row],[OrderDate ]])</f>
        <v>12</v>
      </c>
      <c r="M360" t="str">
        <f>TEXT(Table9[[#This Row],[OrderDate ]],"mmm")</f>
        <v>Dec</v>
      </c>
      <c r="N360">
        <f>YEAR(Table9[[#This Row],[OrderDate ]])</f>
        <v>2013</v>
      </c>
    </row>
    <row r="361" spans="1:14" x14ac:dyDescent="0.3">
      <c r="A361">
        <v>10383</v>
      </c>
      <c r="B361" s="2">
        <f>_xlfn.XLOOKUP(Table9[[#This Row],[orderID]],orders[orderID],orders[orderDate],,0)</f>
        <v>41624</v>
      </c>
      <c r="C361">
        <f>_xlfn.XLOOKUP(A361,order_details[orderID],order_details[productID],,0)</f>
        <v>13</v>
      </c>
      <c r="D361" t="str">
        <f>_xlfn.XLOOKUP(C361,products[productID],products[productName],,0)</f>
        <v>Konbu</v>
      </c>
      <c r="E361" t="str">
        <f>_xlfn.XLOOKUP(_xlfn.XLOOKUP(Table9[[#This Row],[ProductName ]],products[productName],products[categoryID],,0),categories[categoryID],categories[categoryName],,0)</f>
        <v>Seafood</v>
      </c>
      <c r="F361">
        <v>20</v>
      </c>
      <c r="G361">
        <v>304</v>
      </c>
      <c r="H361">
        <v>0</v>
      </c>
      <c r="I361">
        <f>Table9[[#This Row],[quantity]]*Table9[[#This Row],[unitPrice]]*(1-Table9[[#This Row],[discount]]/100)</f>
        <v>6080</v>
      </c>
      <c r="J361" t="str">
        <f>_xlfn.XLOOKUP(_xlfn.XLOOKUP(A361,orders[orderID],orders[customerID],,0),customers__2[customerID],customers__2[companyName],,0)</f>
        <v>Around the Horn</v>
      </c>
      <c r="K361" t="str">
        <f>_xlfn.XLOOKUP(Table9[[#This Row],[Company Name]],customers__2[companyName],customers__2[country],,0)</f>
        <v>UK</v>
      </c>
      <c r="L361">
        <f>MONTH(Table9[[#This Row],[OrderDate ]])</f>
        <v>12</v>
      </c>
      <c r="M361" t="str">
        <f>TEXT(Table9[[#This Row],[OrderDate ]],"mmm")</f>
        <v>Dec</v>
      </c>
      <c r="N361">
        <f>YEAR(Table9[[#This Row],[OrderDate ]])</f>
        <v>2013</v>
      </c>
    </row>
    <row r="362" spans="1:14" x14ac:dyDescent="0.3">
      <c r="A362">
        <v>10384</v>
      </c>
      <c r="B362" s="2">
        <f>_xlfn.XLOOKUP(Table9[[#This Row],[orderID]],orders[orderID],orders[orderDate],,0)</f>
        <v>41624</v>
      </c>
      <c r="C362">
        <f>_xlfn.XLOOKUP(A362,order_details[orderID],order_details[productID],,0)</f>
        <v>20</v>
      </c>
      <c r="D362" t="str">
        <f>_xlfn.XLOOKUP(C362,products[productID],products[productName],,0)</f>
        <v>Sir Rodney's Marmalade</v>
      </c>
      <c r="E362" t="str">
        <f>_xlfn.XLOOKUP(_xlfn.XLOOKUP(Table9[[#This Row],[ProductName ]],products[productName],products[categoryID],,0),categories[categoryID],categories[categoryName],,0)</f>
        <v>Confections</v>
      </c>
      <c r="F362">
        <v>28</v>
      </c>
      <c r="G362">
        <v>648</v>
      </c>
      <c r="H362">
        <v>0</v>
      </c>
      <c r="I362">
        <f>Table9[[#This Row],[quantity]]*Table9[[#This Row],[unitPrice]]*(1-Table9[[#This Row],[discount]]/100)</f>
        <v>18144</v>
      </c>
      <c r="J362" t="str">
        <f>_xlfn.XLOOKUP(_xlfn.XLOOKUP(A362,orders[orderID],orders[customerID],,0),customers__2[customerID],customers__2[companyName],,0)</f>
        <v>Berglunds snabbköp</v>
      </c>
      <c r="K362" t="str">
        <f>_xlfn.XLOOKUP(Table9[[#This Row],[Company Name]],customers__2[companyName],customers__2[country],,0)</f>
        <v>Sweden</v>
      </c>
      <c r="L362">
        <f>MONTH(Table9[[#This Row],[OrderDate ]])</f>
        <v>12</v>
      </c>
      <c r="M362" t="str">
        <f>TEXT(Table9[[#This Row],[OrderDate ]],"mmm")</f>
        <v>Dec</v>
      </c>
      <c r="N362">
        <f>YEAR(Table9[[#This Row],[OrderDate ]])</f>
        <v>2013</v>
      </c>
    </row>
    <row r="363" spans="1:14" x14ac:dyDescent="0.3">
      <c r="A363">
        <v>10384</v>
      </c>
      <c r="B363" s="2">
        <f>_xlfn.XLOOKUP(Table9[[#This Row],[orderID]],orders[orderID],orders[orderDate],,0)</f>
        <v>41624</v>
      </c>
      <c r="C363">
        <f>_xlfn.XLOOKUP(A363,order_details[orderID],order_details[productID],,0)</f>
        <v>20</v>
      </c>
      <c r="D363" t="str">
        <f>_xlfn.XLOOKUP(C363,products[productID],products[productName],,0)</f>
        <v>Sir Rodney's Marmalade</v>
      </c>
      <c r="E363" t="str">
        <f>_xlfn.XLOOKUP(_xlfn.XLOOKUP(Table9[[#This Row],[ProductName ]],products[productName],products[categoryID],,0),categories[categoryID],categories[categoryName],,0)</f>
        <v>Confections</v>
      </c>
      <c r="F363">
        <v>15</v>
      </c>
      <c r="G363">
        <v>272</v>
      </c>
      <c r="H363">
        <v>0</v>
      </c>
      <c r="I363">
        <f>Table9[[#This Row],[quantity]]*Table9[[#This Row],[unitPrice]]*(1-Table9[[#This Row],[discount]]/100)</f>
        <v>4080</v>
      </c>
      <c r="J363" t="str">
        <f>_xlfn.XLOOKUP(_xlfn.XLOOKUP(A363,orders[orderID],orders[customerID],,0),customers__2[customerID],customers__2[companyName],,0)</f>
        <v>Berglunds snabbköp</v>
      </c>
      <c r="K363" t="str">
        <f>_xlfn.XLOOKUP(Table9[[#This Row],[Company Name]],customers__2[companyName],customers__2[country],,0)</f>
        <v>Sweden</v>
      </c>
      <c r="L363">
        <f>MONTH(Table9[[#This Row],[OrderDate ]])</f>
        <v>12</v>
      </c>
      <c r="M363" t="str">
        <f>TEXT(Table9[[#This Row],[OrderDate ]],"mmm")</f>
        <v>Dec</v>
      </c>
      <c r="N363">
        <f>YEAR(Table9[[#This Row],[OrderDate ]])</f>
        <v>2013</v>
      </c>
    </row>
    <row r="364" spans="1:14" x14ac:dyDescent="0.3">
      <c r="A364">
        <v>10385</v>
      </c>
      <c r="B364" s="2">
        <f>_xlfn.XLOOKUP(Table9[[#This Row],[orderID]],orders[orderID],orders[orderDate],,0)</f>
        <v>41625</v>
      </c>
      <c r="C364">
        <f>_xlfn.XLOOKUP(A364,order_details[orderID],order_details[productID],,0)</f>
        <v>7</v>
      </c>
      <c r="D364" t="str">
        <f>_xlfn.XLOOKUP(C364,products[productID],products[productName],,0)</f>
        <v>Uncle Bob's Organic Dried Pears</v>
      </c>
      <c r="E364" t="str">
        <f>_xlfn.XLOOKUP(_xlfn.XLOOKUP(Table9[[#This Row],[ProductName ]],products[productName],products[categoryID],,0),categories[categoryID],categories[categoryName],,0)</f>
        <v>Produce</v>
      </c>
      <c r="F364">
        <v>10</v>
      </c>
      <c r="G364">
        <v>24</v>
      </c>
      <c r="H364">
        <v>2</v>
      </c>
      <c r="I364">
        <f>Table9[[#This Row],[quantity]]*Table9[[#This Row],[unitPrice]]*(1-Table9[[#This Row],[discount]]/100)</f>
        <v>235.2</v>
      </c>
      <c r="J364" t="str">
        <f>_xlfn.XLOOKUP(_xlfn.XLOOKUP(A364,orders[orderID],orders[customerID],,0),customers__2[customerID],customers__2[companyName],,0)</f>
        <v>Split Rail Beer &amp; Ale</v>
      </c>
      <c r="K364" t="str">
        <f>_xlfn.XLOOKUP(Table9[[#This Row],[Company Name]],customers__2[companyName],customers__2[country],,0)</f>
        <v>USA</v>
      </c>
      <c r="L364">
        <f>MONTH(Table9[[#This Row],[OrderDate ]])</f>
        <v>12</v>
      </c>
      <c r="M364" t="str">
        <f>TEXT(Table9[[#This Row],[OrderDate ]],"mmm")</f>
        <v>Dec</v>
      </c>
      <c r="N364">
        <f>YEAR(Table9[[#This Row],[OrderDate ]])</f>
        <v>2013</v>
      </c>
    </row>
    <row r="365" spans="1:14" x14ac:dyDescent="0.3">
      <c r="A365">
        <v>10385</v>
      </c>
      <c r="B365" s="2">
        <f>_xlfn.XLOOKUP(Table9[[#This Row],[orderID]],orders[orderID],orders[orderDate],,0)</f>
        <v>41625</v>
      </c>
      <c r="C365">
        <f>_xlfn.XLOOKUP(A365,order_details[orderID],order_details[productID],,0)</f>
        <v>7</v>
      </c>
      <c r="D365" t="str">
        <f>_xlfn.XLOOKUP(C365,products[productID],products[productName],,0)</f>
        <v>Uncle Bob's Organic Dried Pears</v>
      </c>
      <c r="E365" t="str">
        <f>_xlfn.XLOOKUP(_xlfn.XLOOKUP(Table9[[#This Row],[ProductName ]],products[productName],products[categoryID],,0),categories[categoryID],categories[categoryName],,0)</f>
        <v>Produce</v>
      </c>
      <c r="F365">
        <v>20</v>
      </c>
      <c r="G365">
        <v>272</v>
      </c>
      <c r="H365">
        <v>2</v>
      </c>
      <c r="I365">
        <f>Table9[[#This Row],[quantity]]*Table9[[#This Row],[unitPrice]]*(1-Table9[[#This Row],[discount]]/100)</f>
        <v>5331.2</v>
      </c>
      <c r="J365" t="str">
        <f>_xlfn.XLOOKUP(_xlfn.XLOOKUP(A365,orders[orderID],orders[customerID],,0),customers__2[customerID],customers__2[companyName],,0)</f>
        <v>Split Rail Beer &amp; Ale</v>
      </c>
      <c r="K365" t="str">
        <f>_xlfn.XLOOKUP(Table9[[#This Row],[Company Name]],customers__2[companyName],customers__2[country],,0)</f>
        <v>USA</v>
      </c>
      <c r="L365">
        <f>MONTH(Table9[[#This Row],[OrderDate ]])</f>
        <v>12</v>
      </c>
      <c r="M365" t="str">
        <f>TEXT(Table9[[#This Row],[OrderDate ]],"mmm")</f>
        <v>Dec</v>
      </c>
      <c r="N365">
        <f>YEAR(Table9[[#This Row],[OrderDate ]])</f>
        <v>2013</v>
      </c>
    </row>
    <row r="366" spans="1:14" x14ac:dyDescent="0.3">
      <c r="A366">
        <v>10385</v>
      </c>
      <c r="B366" s="2">
        <f>_xlfn.XLOOKUP(Table9[[#This Row],[orderID]],orders[orderID],orders[orderDate],,0)</f>
        <v>41625</v>
      </c>
      <c r="C366">
        <f>_xlfn.XLOOKUP(A366,order_details[orderID],order_details[productID],,0)</f>
        <v>7</v>
      </c>
      <c r="D366" t="str">
        <f>_xlfn.XLOOKUP(C366,products[productID],products[productName],,0)</f>
        <v>Uncle Bob's Organic Dried Pears</v>
      </c>
      <c r="E366" t="str">
        <f>_xlfn.XLOOKUP(_xlfn.XLOOKUP(Table9[[#This Row],[ProductName ]],products[productName],products[categoryID],,0),categories[categoryID],categories[categoryName],,0)</f>
        <v>Produce</v>
      </c>
      <c r="F366">
        <v>8</v>
      </c>
      <c r="G366">
        <v>10</v>
      </c>
      <c r="H366">
        <v>2</v>
      </c>
      <c r="I366">
        <f>Table9[[#This Row],[quantity]]*Table9[[#This Row],[unitPrice]]*(1-Table9[[#This Row],[discount]]/100)</f>
        <v>78.400000000000006</v>
      </c>
      <c r="J366" t="str">
        <f>_xlfn.XLOOKUP(_xlfn.XLOOKUP(A366,orders[orderID],orders[customerID],,0),customers__2[customerID],customers__2[companyName],,0)</f>
        <v>Split Rail Beer &amp; Ale</v>
      </c>
      <c r="K366" t="str">
        <f>_xlfn.XLOOKUP(Table9[[#This Row],[Company Name]],customers__2[companyName],customers__2[country],,0)</f>
        <v>USA</v>
      </c>
      <c r="L366">
        <f>MONTH(Table9[[#This Row],[OrderDate ]])</f>
        <v>12</v>
      </c>
      <c r="M366" t="str">
        <f>TEXT(Table9[[#This Row],[OrderDate ]],"mmm")</f>
        <v>Dec</v>
      </c>
      <c r="N366">
        <f>YEAR(Table9[[#This Row],[OrderDate ]])</f>
        <v>2013</v>
      </c>
    </row>
    <row r="367" spans="1:14" x14ac:dyDescent="0.3">
      <c r="A367">
        <v>10386</v>
      </c>
      <c r="B367" s="2">
        <f>_xlfn.XLOOKUP(Table9[[#This Row],[orderID]],orders[orderID],orders[orderDate],,0)</f>
        <v>41626</v>
      </c>
      <c r="C367">
        <f>_xlfn.XLOOKUP(A367,order_details[orderID],order_details[productID],,0)</f>
        <v>24</v>
      </c>
      <c r="D367" t="str">
        <f>_xlfn.XLOOKUP(C367,products[productID],products[productName],,0)</f>
        <v>Guarana Fantastica</v>
      </c>
      <c r="E367" t="str">
        <f>_xlfn.XLOOKUP(_xlfn.XLOOKUP(Table9[[#This Row],[ProductName ]],products[productName],products[categoryID],,0),categories[categoryID],categories[categoryName],,0)</f>
        <v>Beverages</v>
      </c>
      <c r="F367">
        <v>15</v>
      </c>
      <c r="G367">
        <v>36</v>
      </c>
      <c r="H367">
        <v>0</v>
      </c>
      <c r="I367">
        <f>Table9[[#This Row],[quantity]]*Table9[[#This Row],[unitPrice]]*(1-Table9[[#This Row],[discount]]/100)</f>
        <v>540</v>
      </c>
      <c r="J367" t="str">
        <f>_xlfn.XLOOKUP(_xlfn.XLOOKUP(A367,orders[orderID],orders[customerID],,0),customers__2[customerID],customers__2[companyName],,0)</f>
        <v>Familia Arquibaldo</v>
      </c>
      <c r="K367" t="str">
        <f>_xlfn.XLOOKUP(Table9[[#This Row],[Company Name]],customers__2[companyName],customers__2[country],,0)</f>
        <v>Brazil</v>
      </c>
      <c r="L367">
        <f>MONTH(Table9[[#This Row],[OrderDate ]])</f>
        <v>12</v>
      </c>
      <c r="M367" t="str">
        <f>TEXT(Table9[[#This Row],[OrderDate ]],"mmm")</f>
        <v>Dec</v>
      </c>
      <c r="N367">
        <f>YEAR(Table9[[#This Row],[OrderDate ]])</f>
        <v>2013</v>
      </c>
    </row>
    <row r="368" spans="1:14" x14ac:dyDescent="0.3">
      <c r="A368">
        <v>10386</v>
      </c>
      <c r="B368" s="2">
        <f>_xlfn.XLOOKUP(Table9[[#This Row],[orderID]],orders[orderID],orders[orderDate],,0)</f>
        <v>41626</v>
      </c>
      <c r="C368">
        <f>_xlfn.XLOOKUP(A368,order_details[orderID],order_details[productID],,0)</f>
        <v>24</v>
      </c>
      <c r="D368" t="str">
        <f>_xlfn.XLOOKUP(C368,products[productID],products[productName],,0)</f>
        <v>Guarana Fantastica</v>
      </c>
      <c r="E368" t="str">
        <f>_xlfn.XLOOKUP(_xlfn.XLOOKUP(Table9[[#This Row],[ProductName ]],products[productName],products[categoryID],,0),categories[categoryID],categories[categoryName],,0)</f>
        <v>Beverages</v>
      </c>
      <c r="F368">
        <v>10</v>
      </c>
      <c r="G368">
        <v>112</v>
      </c>
      <c r="H368">
        <v>0</v>
      </c>
      <c r="I368">
        <f>Table9[[#This Row],[quantity]]*Table9[[#This Row],[unitPrice]]*(1-Table9[[#This Row],[discount]]/100)</f>
        <v>1120</v>
      </c>
      <c r="J368" t="str">
        <f>_xlfn.XLOOKUP(_xlfn.XLOOKUP(A368,orders[orderID],orders[customerID],,0),customers__2[customerID],customers__2[companyName],,0)</f>
        <v>Familia Arquibaldo</v>
      </c>
      <c r="K368" t="str">
        <f>_xlfn.XLOOKUP(Table9[[#This Row],[Company Name]],customers__2[companyName],customers__2[country],,0)</f>
        <v>Brazil</v>
      </c>
      <c r="L368">
        <f>MONTH(Table9[[#This Row],[OrderDate ]])</f>
        <v>12</v>
      </c>
      <c r="M368" t="str">
        <f>TEXT(Table9[[#This Row],[OrderDate ]],"mmm")</f>
        <v>Dec</v>
      </c>
      <c r="N368">
        <f>YEAR(Table9[[#This Row],[OrderDate ]])</f>
        <v>2013</v>
      </c>
    </row>
    <row r="369" spans="1:14" x14ac:dyDescent="0.3">
      <c r="A369">
        <v>10387</v>
      </c>
      <c r="B369" s="2">
        <f>_xlfn.XLOOKUP(Table9[[#This Row],[orderID]],orders[orderID],orders[orderDate],,0)</f>
        <v>41626</v>
      </c>
      <c r="C369">
        <f>_xlfn.XLOOKUP(A369,order_details[orderID],order_details[productID],,0)</f>
        <v>24</v>
      </c>
      <c r="D369" t="str">
        <f>_xlfn.XLOOKUP(C369,products[productID],products[productName],,0)</f>
        <v>Guarana Fantastica</v>
      </c>
      <c r="E369" t="str">
        <f>_xlfn.XLOOKUP(_xlfn.XLOOKUP(Table9[[#This Row],[ProductName ]],products[productName],products[categoryID],,0),categories[categoryID],categories[categoryName],,0)</f>
        <v>Beverages</v>
      </c>
      <c r="F369">
        <v>15</v>
      </c>
      <c r="G369">
        <v>36</v>
      </c>
      <c r="H369">
        <v>0</v>
      </c>
      <c r="I369">
        <f>Table9[[#This Row],[quantity]]*Table9[[#This Row],[unitPrice]]*(1-Table9[[#This Row],[discount]]/100)</f>
        <v>540</v>
      </c>
      <c r="J369" t="str">
        <f>_xlfn.XLOOKUP(_xlfn.XLOOKUP(A369,orders[orderID],orders[customerID],,0),customers__2[customerID],customers__2[companyName],,0)</f>
        <v>Santé Gourmet</v>
      </c>
      <c r="K369" t="str">
        <f>_xlfn.XLOOKUP(Table9[[#This Row],[Company Name]],customers__2[companyName],customers__2[country],,0)</f>
        <v>Norway</v>
      </c>
      <c r="L369">
        <f>MONTH(Table9[[#This Row],[OrderDate ]])</f>
        <v>12</v>
      </c>
      <c r="M369" t="str">
        <f>TEXT(Table9[[#This Row],[OrderDate ]],"mmm")</f>
        <v>Dec</v>
      </c>
      <c r="N369">
        <f>YEAR(Table9[[#This Row],[OrderDate ]])</f>
        <v>2013</v>
      </c>
    </row>
    <row r="370" spans="1:14" x14ac:dyDescent="0.3">
      <c r="A370">
        <v>10387</v>
      </c>
      <c r="B370" s="2">
        <f>_xlfn.XLOOKUP(Table9[[#This Row],[orderID]],orders[orderID],orders[orderDate],,0)</f>
        <v>41626</v>
      </c>
      <c r="C370">
        <f>_xlfn.XLOOKUP(A370,order_details[orderID],order_details[productID],,0)</f>
        <v>24</v>
      </c>
      <c r="D370" t="str">
        <f>_xlfn.XLOOKUP(C370,products[productID],products[productName],,0)</f>
        <v>Guarana Fantastica</v>
      </c>
      <c r="E370" t="str">
        <f>_xlfn.XLOOKUP(_xlfn.XLOOKUP(Table9[[#This Row],[ProductName ]],products[productName],products[categoryID],,0),categories[categoryID],categories[categoryName],,0)</f>
        <v>Beverages</v>
      </c>
      <c r="F370">
        <v>6</v>
      </c>
      <c r="G370">
        <v>364</v>
      </c>
      <c r="H370">
        <v>0</v>
      </c>
      <c r="I370">
        <f>Table9[[#This Row],[quantity]]*Table9[[#This Row],[unitPrice]]*(1-Table9[[#This Row],[discount]]/100)</f>
        <v>2184</v>
      </c>
      <c r="J370" t="str">
        <f>_xlfn.XLOOKUP(_xlfn.XLOOKUP(A370,orders[orderID],orders[customerID],,0),customers__2[customerID],customers__2[companyName],,0)</f>
        <v>Santé Gourmet</v>
      </c>
      <c r="K370" t="str">
        <f>_xlfn.XLOOKUP(Table9[[#This Row],[Company Name]],customers__2[companyName],customers__2[country],,0)</f>
        <v>Norway</v>
      </c>
      <c r="L370">
        <f>MONTH(Table9[[#This Row],[OrderDate ]])</f>
        <v>12</v>
      </c>
      <c r="M370" t="str">
        <f>TEXT(Table9[[#This Row],[OrderDate ]],"mmm")</f>
        <v>Dec</v>
      </c>
      <c r="N370">
        <f>YEAR(Table9[[#This Row],[OrderDate ]])</f>
        <v>2013</v>
      </c>
    </row>
    <row r="371" spans="1:14" x14ac:dyDescent="0.3">
      <c r="A371">
        <v>10387</v>
      </c>
      <c r="B371" s="2">
        <f>_xlfn.XLOOKUP(Table9[[#This Row],[orderID]],orders[orderID],orders[orderDate],,0)</f>
        <v>41626</v>
      </c>
      <c r="C371">
        <f>_xlfn.XLOOKUP(A371,order_details[orderID],order_details[productID],,0)</f>
        <v>24</v>
      </c>
      <c r="D371" t="str">
        <f>_xlfn.XLOOKUP(C371,products[productID],products[productName],,0)</f>
        <v>Guarana Fantastica</v>
      </c>
      <c r="E371" t="str">
        <f>_xlfn.XLOOKUP(_xlfn.XLOOKUP(Table9[[#This Row],[ProductName ]],products[productName],products[categoryID],,0),categories[categoryID],categories[categoryName],,0)</f>
        <v>Beverages</v>
      </c>
      <c r="F371">
        <v>12</v>
      </c>
      <c r="G371">
        <v>44</v>
      </c>
      <c r="H371">
        <v>0</v>
      </c>
      <c r="I371">
        <f>Table9[[#This Row],[quantity]]*Table9[[#This Row],[unitPrice]]*(1-Table9[[#This Row],[discount]]/100)</f>
        <v>528</v>
      </c>
      <c r="J371" t="str">
        <f>_xlfn.XLOOKUP(_xlfn.XLOOKUP(A371,orders[orderID],orders[customerID],,0),customers__2[customerID],customers__2[companyName],,0)</f>
        <v>Santé Gourmet</v>
      </c>
      <c r="K371" t="str">
        <f>_xlfn.XLOOKUP(Table9[[#This Row],[Company Name]],customers__2[companyName],customers__2[country],,0)</f>
        <v>Norway</v>
      </c>
      <c r="L371">
        <f>MONTH(Table9[[#This Row],[OrderDate ]])</f>
        <v>12</v>
      </c>
      <c r="M371" t="str">
        <f>TEXT(Table9[[#This Row],[OrderDate ]],"mmm")</f>
        <v>Dec</v>
      </c>
      <c r="N371">
        <f>YEAR(Table9[[#This Row],[OrderDate ]])</f>
        <v>2013</v>
      </c>
    </row>
    <row r="372" spans="1:14" x14ac:dyDescent="0.3">
      <c r="A372">
        <v>10387</v>
      </c>
      <c r="B372" s="2">
        <f>_xlfn.XLOOKUP(Table9[[#This Row],[orderID]],orders[orderID],orders[orderDate],,0)</f>
        <v>41626</v>
      </c>
      <c r="C372">
        <f>_xlfn.XLOOKUP(A372,order_details[orderID],order_details[productID],,0)</f>
        <v>24</v>
      </c>
      <c r="D372" t="str">
        <f>_xlfn.XLOOKUP(C372,products[productID],products[productName],,0)</f>
        <v>Guarana Fantastica</v>
      </c>
      <c r="E372" t="str">
        <f>_xlfn.XLOOKUP(_xlfn.XLOOKUP(Table9[[#This Row],[ProductName ]],products[productName],products[categoryID],,0),categories[categoryID],categories[categoryName],,0)</f>
        <v>Beverages</v>
      </c>
      <c r="F372">
        <v>15</v>
      </c>
      <c r="G372">
        <v>172</v>
      </c>
      <c r="H372">
        <v>0</v>
      </c>
      <c r="I372">
        <f>Table9[[#This Row],[quantity]]*Table9[[#This Row],[unitPrice]]*(1-Table9[[#This Row],[discount]]/100)</f>
        <v>2580</v>
      </c>
      <c r="J372" t="str">
        <f>_xlfn.XLOOKUP(_xlfn.XLOOKUP(A372,orders[orderID],orders[customerID],,0),customers__2[customerID],customers__2[companyName],,0)</f>
        <v>Santé Gourmet</v>
      </c>
      <c r="K372" t="str">
        <f>_xlfn.XLOOKUP(Table9[[#This Row],[Company Name]],customers__2[companyName],customers__2[country],,0)</f>
        <v>Norway</v>
      </c>
      <c r="L372">
        <f>MONTH(Table9[[#This Row],[OrderDate ]])</f>
        <v>12</v>
      </c>
      <c r="M372" t="str">
        <f>TEXT(Table9[[#This Row],[OrderDate ]],"mmm")</f>
        <v>Dec</v>
      </c>
      <c r="N372">
        <f>YEAR(Table9[[#This Row],[OrderDate ]])</f>
        <v>2013</v>
      </c>
    </row>
    <row r="373" spans="1:14" x14ac:dyDescent="0.3">
      <c r="A373">
        <v>10388</v>
      </c>
      <c r="B373" s="2">
        <f>_xlfn.XLOOKUP(Table9[[#This Row],[orderID]],orders[orderID],orders[orderDate],,0)</f>
        <v>41627</v>
      </c>
      <c r="C373">
        <f>_xlfn.XLOOKUP(A373,order_details[orderID],order_details[productID],,0)</f>
        <v>45</v>
      </c>
      <c r="D373" t="str">
        <f>_xlfn.XLOOKUP(C373,products[productID],products[productName],,0)</f>
        <v>Rogede sild</v>
      </c>
      <c r="E373" t="str">
        <f>_xlfn.XLOOKUP(_xlfn.XLOOKUP(Table9[[#This Row],[ProductName ]],products[productName],products[categoryID],,0),categories[categoryID],categories[categoryName],,0)</f>
        <v>Seafood</v>
      </c>
      <c r="F373">
        <v>15</v>
      </c>
      <c r="G373">
        <v>76</v>
      </c>
      <c r="H373">
        <v>2</v>
      </c>
      <c r="I373">
        <f>Table9[[#This Row],[quantity]]*Table9[[#This Row],[unitPrice]]*(1-Table9[[#This Row],[discount]]/100)</f>
        <v>1117.2</v>
      </c>
      <c r="J373" t="str">
        <f>_xlfn.XLOOKUP(_xlfn.XLOOKUP(A373,orders[orderID],orders[customerID],,0),customers__2[customerID],customers__2[companyName],,0)</f>
        <v>Seven Seas Imports</v>
      </c>
      <c r="K373" t="str">
        <f>_xlfn.XLOOKUP(Table9[[#This Row],[Company Name]],customers__2[companyName],customers__2[country],,0)</f>
        <v>UK</v>
      </c>
      <c r="L373">
        <f>MONTH(Table9[[#This Row],[OrderDate ]])</f>
        <v>12</v>
      </c>
      <c r="M373" t="str">
        <f>TEXT(Table9[[#This Row],[OrderDate ]],"mmm")</f>
        <v>Dec</v>
      </c>
      <c r="N373">
        <f>YEAR(Table9[[#This Row],[OrderDate ]])</f>
        <v>2013</v>
      </c>
    </row>
    <row r="374" spans="1:14" x14ac:dyDescent="0.3">
      <c r="A374">
        <v>10388</v>
      </c>
      <c r="B374" s="2">
        <f>_xlfn.XLOOKUP(Table9[[#This Row],[orderID]],orders[orderID],orders[orderDate],,0)</f>
        <v>41627</v>
      </c>
      <c r="C374">
        <f>_xlfn.XLOOKUP(A374,order_details[orderID],order_details[productID],,0)</f>
        <v>45</v>
      </c>
      <c r="D374" t="str">
        <f>_xlfn.XLOOKUP(C374,products[productID],products[productName],,0)</f>
        <v>Rogede sild</v>
      </c>
      <c r="E374" t="str">
        <f>_xlfn.XLOOKUP(_xlfn.XLOOKUP(Table9[[#This Row],[ProductName ]],products[productName],products[categoryID],,0),categories[categoryID],categories[categoryName],,0)</f>
        <v>Seafood</v>
      </c>
      <c r="F374">
        <v>20</v>
      </c>
      <c r="G374">
        <v>56</v>
      </c>
      <c r="H374">
        <v>2</v>
      </c>
      <c r="I374">
        <f>Table9[[#This Row],[quantity]]*Table9[[#This Row],[unitPrice]]*(1-Table9[[#This Row],[discount]]/100)</f>
        <v>1097.5999999999999</v>
      </c>
      <c r="J374" t="str">
        <f>_xlfn.XLOOKUP(_xlfn.XLOOKUP(A374,orders[orderID],orders[customerID],,0),customers__2[customerID],customers__2[companyName],,0)</f>
        <v>Seven Seas Imports</v>
      </c>
      <c r="K374" t="str">
        <f>_xlfn.XLOOKUP(Table9[[#This Row],[Company Name]],customers__2[companyName],customers__2[country],,0)</f>
        <v>UK</v>
      </c>
      <c r="L374">
        <f>MONTH(Table9[[#This Row],[OrderDate ]])</f>
        <v>12</v>
      </c>
      <c r="M374" t="str">
        <f>TEXT(Table9[[#This Row],[OrderDate ]],"mmm")</f>
        <v>Dec</v>
      </c>
      <c r="N374">
        <f>YEAR(Table9[[#This Row],[OrderDate ]])</f>
        <v>2013</v>
      </c>
    </row>
    <row r="375" spans="1:14" x14ac:dyDescent="0.3">
      <c r="A375">
        <v>10388</v>
      </c>
      <c r="B375" s="2">
        <f>_xlfn.XLOOKUP(Table9[[#This Row],[orderID]],orders[orderID],orders[orderDate],,0)</f>
        <v>41627</v>
      </c>
      <c r="C375">
        <f>_xlfn.XLOOKUP(A375,order_details[orderID],order_details[productID],,0)</f>
        <v>45</v>
      </c>
      <c r="D375" t="str">
        <f>_xlfn.XLOOKUP(C375,products[productID],products[productName],,0)</f>
        <v>Rogede sild</v>
      </c>
      <c r="E375" t="str">
        <f>_xlfn.XLOOKUP(_xlfn.XLOOKUP(Table9[[#This Row],[ProductName ]],products[productName],products[categoryID],,0),categories[categoryID],categories[categoryName],,0)</f>
        <v>Seafood</v>
      </c>
      <c r="F375">
        <v>40</v>
      </c>
      <c r="G375">
        <v>262</v>
      </c>
      <c r="H375">
        <v>0</v>
      </c>
      <c r="I375">
        <f>Table9[[#This Row],[quantity]]*Table9[[#This Row],[unitPrice]]*(1-Table9[[#This Row],[discount]]/100)</f>
        <v>10480</v>
      </c>
      <c r="J375" t="str">
        <f>_xlfn.XLOOKUP(_xlfn.XLOOKUP(A375,orders[orderID],orders[customerID],,0),customers__2[customerID],customers__2[companyName],,0)</f>
        <v>Seven Seas Imports</v>
      </c>
      <c r="K375" t="str">
        <f>_xlfn.XLOOKUP(Table9[[#This Row],[Company Name]],customers__2[companyName],customers__2[country],,0)</f>
        <v>UK</v>
      </c>
      <c r="L375">
        <f>MONTH(Table9[[#This Row],[OrderDate ]])</f>
        <v>12</v>
      </c>
      <c r="M375" t="str">
        <f>TEXT(Table9[[#This Row],[OrderDate ]],"mmm")</f>
        <v>Dec</v>
      </c>
      <c r="N375">
        <f>YEAR(Table9[[#This Row],[OrderDate ]])</f>
        <v>2013</v>
      </c>
    </row>
    <row r="376" spans="1:14" x14ac:dyDescent="0.3">
      <c r="A376">
        <v>10389</v>
      </c>
      <c r="B376" s="2">
        <f>_xlfn.XLOOKUP(Table9[[#This Row],[orderID]],orders[orderID],orders[orderDate],,0)</f>
        <v>41628</v>
      </c>
      <c r="C376">
        <f>_xlfn.XLOOKUP(A376,order_details[orderID],order_details[productID],,0)</f>
        <v>10</v>
      </c>
      <c r="D376" t="str">
        <f>_xlfn.XLOOKUP(C376,products[productID],products[productName],,0)</f>
        <v>Ikura</v>
      </c>
      <c r="E376" t="str">
        <f>_xlfn.XLOOKUP(_xlfn.XLOOKUP(Table9[[#This Row],[ProductName ]],products[productName],products[categoryID],,0),categories[categoryID],categories[categoryName],,0)</f>
        <v>Seafood</v>
      </c>
      <c r="F376">
        <v>16</v>
      </c>
      <c r="G376">
        <v>248</v>
      </c>
      <c r="H376">
        <v>0</v>
      </c>
      <c r="I376">
        <f>Table9[[#This Row],[quantity]]*Table9[[#This Row],[unitPrice]]*(1-Table9[[#This Row],[discount]]/100)</f>
        <v>3968</v>
      </c>
      <c r="J376" t="str">
        <f>_xlfn.XLOOKUP(_xlfn.XLOOKUP(A376,orders[orderID],orders[customerID],,0),customers__2[customerID],customers__2[companyName],,0)</f>
        <v>Bottom-Dollar Markets</v>
      </c>
      <c r="K376" t="str">
        <f>_xlfn.XLOOKUP(Table9[[#This Row],[Company Name]],customers__2[companyName],customers__2[country],,0)</f>
        <v>Canada</v>
      </c>
      <c r="L376">
        <f>MONTH(Table9[[#This Row],[OrderDate ]])</f>
        <v>12</v>
      </c>
      <c r="M376" t="str">
        <f>TEXT(Table9[[#This Row],[OrderDate ]],"mmm")</f>
        <v>Dec</v>
      </c>
      <c r="N376">
        <f>YEAR(Table9[[#This Row],[OrderDate ]])</f>
        <v>2013</v>
      </c>
    </row>
    <row r="377" spans="1:14" x14ac:dyDescent="0.3">
      <c r="A377">
        <v>10389</v>
      </c>
      <c r="B377" s="2">
        <f>_xlfn.XLOOKUP(Table9[[#This Row],[orderID]],orders[orderID],orders[orderDate],,0)</f>
        <v>41628</v>
      </c>
      <c r="C377">
        <f>_xlfn.XLOOKUP(A377,order_details[orderID],order_details[productID],,0)</f>
        <v>10</v>
      </c>
      <c r="D377" t="str">
        <f>_xlfn.XLOOKUP(C377,products[productID],products[productName],,0)</f>
        <v>Ikura</v>
      </c>
      <c r="E377" t="str">
        <f>_xlfn.XLOOKUP(_xlfn.XLOOKUP(Table9[[#This Row],[ProductName ]],products[productName],products[categoryID],,0),categories[categoryID],categories[categoryName],,0)</f>
        <v>Seafood</v>
      </c>
      <c r="F377">
        <v>15</v>
      </c>
      <c r="G377">
        <v>192</v>
      </c>
      <c r="H377">
        <v>0</v>
      </c>
      <c r="I377">
        <f>Table9[[#This Row],[quantity]]*Table9[[#This Row],[unitPrice]]*(1-Table9[[#This Row],[discount]]/100)</f>
        <v>2880</v>
      </c>
      <c r="J377" t="str">
        <f>_xlfn.XLOOKUP(_xlfn.XLOOKUP(A377,orders[orderID],orders[customerID],,0),customers__2[customerID],customers__2[companyName],,0)</f>
        <v>Bottom-Dollar Markets</v>
      </c>
      <c r="K377" t="str">
        <f>_xlfn.XLOOKUP(Table9[[#This Row],[Company Name]],customers__2[companyName],customers__2[country],,0)</f>
        <v>Canada</v>
      </c>
      <c r="L377">
        <f>MONTH(Table9[[#This Row],[OrderDate ]])</f>
        <v>12</v>
      </c>
      <c r="M377" t="str">
        <f>TEXT(Table9[[#This Row],[OrderDate ]],"mmm")</f>
        <v>Dec</v>
      </c>
      <c r="N377">
        <f>YEAR(Table9[[#This Row],[OrderDate ]])</f>
        <v>2013</v>
      </c>
    </row>
    <row r="378" spans="1:14" x14ac:dyDescent="0.3">
      <c r="A378">
        <v>10389</v>
      </c>
      <c r="B378" s="2">
        <f>_xlfn.XLOOKUP(Table9[[#This Row],[orderID]],orders[orderID],orders[orderDate],,0)</f>
        <v>41628</v>
      </c>
      <c r="C378">
        <f>_xlfn.XLOOKUP(A378,order_details[orderID],order_details[productID],,0)</f>
        <v>10</v>
      </c>
      <c r="D378" t="str">
        <f>_xlfn.XLOOKUP(C378,products[productID],products[productName],,0)</f>
        <v>Ikura</v>
      </c>
      <c r="E378" t="str">
        <f>_xlfn.XLOOKUP(_xlfn.XLOOKUP(Table9[[#This Row],[ProductName ]],products[productName],products[categoryID],,0),categories[categoryID],categories[categoryName],,0)</f>
        <v>Seafood</v>
      </c>
      <c r="F378">
        <v>20</v>
      </c>
      <c r="G378">
        <v>394</v>
      </c>
      <c r="H378">
        <v>0</v>
      </c>
      <c r="I378">
        <f>Table9[[#This Row],[quantity]]*Table9[[#This Row],[unitPrice]]*(1-Table9[[#This Row],[discount]]/100)</f>
        <v>7880</v>
      </c>
      <c r="J378" t="str">
        <f>_xlfn.XLOOKUP(_xlfn.XLOOKUP(A378,orders[orderID],orders[customerID],,0),customers__2[customerID],customers__2[companyName],,0)</f>
        <v>Bottom-Dollar Markets</v>
      </c>
      <c r="K378" t="str">
        <f>_xlfn.XLOOKUP(Table9[[#This Row],[Company Name]],customers__2[companyName],customers__2[country],,0)</f>
        <v>Canada</v>
      </c>
      <c r="L378">
        <f>MONTH(Table9[[#This Row],[OrderDate ]])</f>
        <v>12</v>
      </c>
      <c r="M378" t="str">
        <f>TEXT(Table9[[#This Row],[OrderDate ]],"mmm")</f>
        <v>Dec</v>
      </c>
      <c r="N378">
        <f>YEAR(Table9[[#This Row],[OrderDate ]])</f>
        <v>2013</v>
      </c>
    </row>
    <row r="379" spans="1:14" x14ac:dyDescent="0.3">
      <c r="A379">
        <v>10389</v>
      </c>
      <c r="B379" s="2">
        <f>_xlfn.XLOOKUP(Table9[[#This Row],[orderID]],orders[orderID],orders[orderDate],,0)</f>
        <v>41628</v>
      </c>
      <c r="C379">
        <f>_xlfn.XLOOKUP(A379,order_details[orderID],order_details[productID],,0)</f>
        <v>10</v>
      </c>
      <c r="D379" t="str">
        <f>_xlfn.XLOOKUP(C379,products[productID],products[productName],,0)</f>
        <v>Ikura</v>
      </c>
      <c r="E379" t="str">
        <f>_xlfn.XLOOKUP(_xlfn.XLOOKUP(Table9[[#This Row],[ProductName ]],products[productName],products[categoryID],,0),categories[categoryID],categories[categoryName],,0)</f>
        <v>Seafood</v>
      </c>
      <c r="F379">
        <v>30</v>
      </c>
      <c r="G379">
        <v>12</v>
      </c>
      <c r="H379">
        <v>0</v>
      </c>
      <c r="I379">
        <f>Table9[[#This Row],[quantity]]*Table9[[#This Row],[unitPrice]]*(1-Table9[[#This Row],[discount]]/100)</f>
        <v>360</v>
      </c>
      <c r="J379" t="str">
        <f>_xlfn.XLOOKUP(_xlfn.XLOOKUP(A379,orders[orderID],orders[customerID],,0),customers__2[customerID],customers__2[companyName],,0)</f>
        <v>Bottom-Dollar Markets</v>
      </c>
      <c r="K379" t="str">
        <f>_xlfn.XLOOKUP(Table9[[#This Row],[Company Name]],customers__2[companyName],customers__2[country],,0)</f>
        <v>Canada</v>
      </c>
      <c r="L379">
        <f>MONTH(Table9[[#This Row],[OrderDate ]])</f>
        <v>12</v>
      </c>
      <c r="M379" t="str">
        <f>TEXT(Table9[[#This Row],[OrderDate ]],"mmm")</f>
        <v>Dec</v>
      </c>
      <c r="N379">
        <f>YEAR(Table9[[#This Row],[OrderDate ]])</f>
        <v>2013</v>
      </c>
    </row>
    <row r="380" spans="1:14" x14ac:dyDescent="0.3">
      <c r="A380">
        <v>10390</v>
      </c>
      <c r="B380" s="2">
        <f>_xlfn.XLOOKUP(Table9[[#This Row],[orderID]],orders[orderID],orders[orderDate],,0)</f>
        <v>41631</v>
      </c>
      <c r="C380">
        <f>_xlfn.XLOOKUP(A380,order_details[orderID],order_details[productID],,0)</f>
        <v>31</v>
      </c>
      <c r="D380" t="str">
        <f>_xlfn.XLOOKUP(C380,products[productID],products[productName],,0)</f>
        <v>Gorgonzola Telino</v>
      </c>
      <c r="E380" t="str">
        <f>_xlfn.XLOOKUP(_xlfn.XLOOKUP(Table9[[#This Row],[ProductName ]],products[productName],products[categoryID],,0),categories[categoryID],categories[categoryName],,0)</f>
        <v>Dairy Products</v>
      </c>
      <c r="F380">
        <v>60</v>
      </c>
      <c r="G380">
        <v>10</v>
      </c>
      <c r="H380">
        <v>1</v>
      </c>
      <c r="I380">
        <f>Table9[[#This Row],[quantity]]*Table9[[#This Row],[unitPrice]]*(1-Table9[[#This Row],[discount]]/100)</f>
        <v>594</v>
      </c>
      <c r="J380" t="str">
        <f>_xlfn.XLOOKUP(_xlfn.XLOOKUP(A380,orders[orderID],orders[customerID],,0),customers__2[customerID],customers__2[companyName],,0)</f>
        <v>Ernst Handel</v>
      </c>
      <c r="K380" t="str">
        <f>_xlfn.XLOOKUP(Table9[[#This Row],[Company Name]],customers__2[companyName],customers__2[country],,0)</f>
        <v>Austria</v>
      </c>
      <c r="L380">
        <f>MONTH(Table9[[#This Row],[OrderDate ]])</f>
        <v>12</v>
      </c>
      <c r="M380" t="str">
        <f>TEXT(Table9[[#This Row],[OrderDate ]],"mmm")</f>
        <v>Dec</v>
      </c>
      <c r="N380">
        <f>YEAR(Table9[[#This Row],[OrderDate ]])</f>
        <v>2013</v>
      </c>
    </row>
    <row r="381" spans="1:14" x14ac:dyDescent="0.3">
      <c r="A381">
        <v>10390</v>
      </c>
      <c r="B381" s="2">
        <f>_xlfn.XLOOKUP(Table9[[#This Row],[orderID]],orders[orderID],orders[orderDate],,0)</f>
        <v>41631</v>
      </c>
      <c r="C381">
        <f>_xlfn.XLOOKUP(A381,order_details[orderID],order_details[productID],,0)</f>
        <v>31</v>
      </c>
      <c r="D381" t="str">
        <f>_xlfn.XLOOKUP(C381,products[productID],products[productName],,0)</f>
        <v>Gorgonzola Telino</v>
      </c>
      <c r="E381" t="str">
        <f>_xlfn.XLOOKUP(_xlfn.XLOOKUP(Table9[[#This Row],[ProductName ]],products[productName],products[categoryID],,0),categories[categoryID],categories[categoryName],,0)</f>
        <v>Dairy Products</v>
      </c>
      <c r="F381">
        <v>40</v>
      </c>
      <c r="G381">
        <v>144</v>
      </c>
      <c r="H381">
        <v>1</v>
      </c>
      <c r="I381">
        <f>Table9[[#This Row],[quantity]]*Table9[[#This Row],[unitPrice]]*(1-Table9[[#This Row],[discount]]/100)</f>
        <v>5702.4</v>
      </c>
      <c r="J381" t="str">
        <f>_xlfn.XLOOKUP(_xlfn.XLOOKUP(A381,orders[orderID],orders[customerID],,0),customers__2[customerID],customers__2[companyName],,0)</f>
        <v>Ernst Handel</v>
      </c>
      <c r="K381" t="str">
        <f>_xlfn.XLOOKUP(Table9[[#This Row],[Company Name]],customers__2[companyName],customers__2[country],,0)</f>
        <v>Austria</v>
      </c>
      <c r="L381">
        <f>MONTH(Table9[[#This Row],[OrderDate ]])</f>
        <v>12</v>
      </c>
      <c r="M381" t="str">
        <f>TEXT(Table9[[#This Row],[OrderDate ]],"mmm")</f>
        <v>Dec</v>
      </c>
      <c r="N381">
        <f>YEAR(Table9[[#This Row],[OrderDate ]])</f>
        <v>2013</v>
      </c>
    </row>
    <row r="382" spans="1:14" x14ac:dyDescent="0.3">
      <c r="A382">
        <v>10390</v>
      </c>
      <c r="B382" s="2">
        <f>_xlfn.XLOOKUP(Table9[[#This Row],[orderID]],orders[orderID],orders[orderDate],,0)</f>
        <v>41631</v>
      </c>
      <c r="C382">
        <f>_xlfn.XLOOKUP(A382,order_details[orderID],order_details[productID],,0)</f>
        <v>31</v>
      </c>
      <c r="D382" t="str">
        <f>_xlfn.XLOOKUP(C382,products[productID],products[productName],,0)</f>
        <v>Gorgonzola Telino</v>
      </c>
      <c r="E382" t="str">
        <f>_xlfn.XLOOKUP(_xlfn.XLOOKUP(Table9[[#This Row],[ProductName ]],products[productName],products[categoryID],,0),categories[categoryID],categories[categoryName],,0)</f>
        <v>Dairy Products</v>
      </c>
      <c r="F382">
        <v>45</v>
      </c>
      <c r="G382">
        <v>96</v>
      </c>
      <c r="H382">
        <v>0</v>
      </c>
      <c r="I382">
        <f>Table9[[#This Row],[quantity]]*Table9[[#This Row],[unitPrice]]*(1-Table9[[#This Row],[discount]]/100)</f>
        <v>4320</v>
      </c>
      <c r="J382" t="str">
        <f>_xlfn.XLOOKUP(_xlfn.XLOOKUP(A382,orders[orderID],orders[customerID],,0),customers__2[customerID],customers__2[companyName],,0)</f>
        <v>Ernst Handel</v>
      </c>
      <c r="K382" t="str">
        <f>_xlfn.XLOOKUP(Table9[[#This Row],[Company Name]],customers__2[companyName],customers__2[country],,0)</f>
        <v>Austria</v>
      </c>
      <c r="L382">
        <f>MONTH(Table9[[#This Row],[OrderDate ]])</f>
        <v>12</v>
      </c>
      <c r="M382" t="str">
        <f>TEXT(Table9[[#This Row],[OrderDate ]],"mmm")</f>
        <v>Dec</v>
      </c>
      <c r="N382">
        <f>YEAR(Table9[[#This Row],[OrderDate ]])</f>
        <v>2013</v>
      </c>
    </row>
    <row r="383" spans="1:14" x14ac:dyDescent="0.3">
      <c r="A383">
        <v>10390</v>
      </c>
      <c r="B383" s="2">
        <f>_xlfn.XLOOKUP(Table9[[#This Row],[orderID]],orders[orderID],orders[orderDate],,0)</f>
        <v>41631</v>
      </c>
      <c r="C383">
        <f>_xlfn.XLOOKUP(A383,order_details[orderID],order_details[productID],,0)</f>
        <v>31</v>
      </c>
      <c r="D383" t="str">
        <f>_xlfn.XLOOKUP(C383,products[productID],products[productName],,0)</f>
        <v>Gorgonzola Telino</v>
      </c>
      <c r="E383" t="str">
        <f>_xlfn.XLOOKUP(_xlfn.XLOOKUP(Table9[[#This Row],[ProductName ]],products[productName],products[categoryID],,0),categories[categoryID],categories[categoryName],,0)</f>
        <v>Dairy Products</v>
      </c>
      <c r="F383">
        <v>24</v>
      </c>
      <c r="G383">
        <v>278</v>
      </c>
      <c r="H383">
        <v>1</v>
      </c>
      <c r="I383">
        <f>Table9[[#This Row],[quantity]]*Table9[[#This Row],[unitPrice]]*(1-Table9[[#This Row],[discount]]/100)</f>
        <v>6605.28</v>
      </c>
      <c r="J383" t="str">
        <f>_xlfn.XLOOKUP(_xlfn.XLOOKUP(A383,orders[orderID],orders[customerID],,0),customers__2[customerID],customers__2[companyName],,0)</f>
        <v>Ernst Handel</v>
      </c>
      <c r="K383" t="str">
        <f>_xlfn.XLOOKUP(Table9[[#This Row],[Company Name]],customers__2[companyName],customers__2[country],,0)</f>
        <v>Austria</v>
      </c>
      <c r="L383">
        <f>MONTH(Table9[[#This Row],[OrderDate ]])</f>
        <v>12</v>
      </c>
      <c r="M383" t="str">
        <f>TEXT(Table9[[#This Row],[OrderDate ]],"mmm")</f>
        <v>Dec</v>
      </c>
      <c r="N383">
        <f>YEAR(Table9[[#This Row],[OrderDate ]])</f>
        <v>2013</v>
      </c>
    </row>
    <row r="384" spans="1:14" x14ac:dyDescent="0.3">
      <c r="A384">
        <v>10391</v>
      </c>
      <c r="B384" s="2">
        <f>_xlfn.XLOOKUP(Table9[[#This Row],[orderID]],orders[orderID],orders[orderDate],,0)</f>
        <v>41631</v>
      </c>
      <c r="C384">
        <f>_xlfn.XLOOKUP(A384,order_details[orderID],order_details[productID],,0)</f>
        <v>13</v>
      </c>
      <c r="D384" t="str">
        <f>_xlfn.XLOOKUP(C384,products[productID],products[productName],,0)</f>
        <v>Konbu</v>
      </c>
      <c r="E384" t="str">
        <f>_xlfn.XLOOKUP(_xlfn.XLOOKUP(Table9[[#This Row],[ProductName ]],products[productName],products[categoryID],,0),categories[categoryID],categories[categoryName],,0)</f>
        <v>Seafood</v>
      </c>
      <c r="F384">
        <v>18</v>
      </c>
      <c r="G384">
        <v>48</v>
      </c>
      <c r="H384">
        <v>0</v>
      </c>
      <c r="I384">
        <f>Table9[[#This Row],[quantity]]*Table9[[#This Row],[unitPrice]]*(1-Table9[[#This Row],[discount]]/100)</f>
        <v>864</v>
      </c>
      <c r="J384" t="str">
        <f>_xlfn.XLOOKUP(_xlfn.XLOOKUP(A384,orders[orderID],orders[customerID],,0),customers__2[customerID],customers__2[companyName],,0)</f>
        <v>Drachenblut Delikatessen</v>
      </c>
      <c r="K384" t="str">
        <f>_xlfn.XLOOKUP(Table9[[#This Row],[Company Name]],customers__2[companyName],customers__2[country],,0)</f>
        <v>Germany</v>
      </c>
      <c r="L384">
        <f>MONTH(Table9[[#This Row],[OrderDate ]])</f>
        <v>12</v>
      </c>
      <c r="M384" t="str">
        <f>TEXT(Table9[[#This Row],[OrderDate ]],"mmm")</f>
        <v>Dec</v>
      </c>
      <c r="N384">
        <f>YEAR(Table9[[#This Row],[OrderDate ]])</f>
        <v>2013</v>
      </c>
    </row>
    <row r="385" spans="1:14" x14ac:dyDescent="0.3">
      <c r="A385">
        <v>10392</v>
      </c>
      <c r="B385" s="2">
        <f>_xlfn.XLOOKUP(Table9[[#This Row],[orderID]],orders[orderID],orders[orderDate],,0)</f>
        <v>41632</v>
      </c>
      <c r="C385">
        <f>_xlfn.XLOOKUP(A385,order_details[orderID],order_details[productID],,0)</f>
        <v>69</v>
      </c>
      <c r="D385" t="str">
        <f>_xlfn.XLOOKUP(C385,products[productID],products[productName],,0)</f>
        <v>Gudbrandsdalsost</v>
      </c>
      <c r="E385" t="str">
        <f>_xlfn.XLOOKUP(_xlfn.XLOOKUP(Table9[[#This Row],[ProductName ]],products[productName],products[categoryID],,0),categories[categoryID],categories[categoryName],,0)</f>
        <v>Dairy Products</v>
      </c>
      <c r="F385">
        <v>50</v>
      </c>
      <c r="G385">
        <v>288</v>
      </c>
      <c r="H385">
        <v>0</v>
      </c>
      <c r="I385">
        <f>Table9[[#This Row],[quantity]]*Table9[[#This Row],[unitPrice]]*(1-Table9[[#This Row],[discount]]/100)</f>
        <v>14400</v>
      </c>
      <c r="J385" t="str">
        <f>_xlfn.XLOOKUP(_xlfn.XLOOKUP(A385,orders[orderID],orders[customerID],,0),customers__2[customerID],customers__2[companyName],,0)</f>
        <v>Piccolo und mehr</v>
      </c>
      <c r="K385" t="str">
        <f>_xlfn.XLOOKUP(Table9[[#This Row],[Company Name]],customers__2[companyName],customers__2[country],,0)</f>
        <v>Austria</v>
      </c>
      <c r="L385">
        <f>MONTH(Table9[[#This Row],[OrderDate ]])</f>
        <v>12</v>
      </c>
      <c r="M385" t="str">
        <f>TEXT(Table9[[#This Row],[OrderDate ]],"mmm")</f>
        <v>Dec</v>
      </c>
      <c r="N385">
        <f>YEAR(Table9[[#This Row],[OrderDate ]])</f>
        <v>2013</v>
      </c>
    </row>
    <row r="386" spans="1:14" x14ac:dyDescent="0.3">
      <c r="A386">
        <v>10393</v>
      </c>
      <c r="B386" s="2">
        <f>_xlfn.XLOOKUP(Table9[[#This Row],[orderID]],orders[orderID],orders[orderDate],,0)</f>
        <v>41633</v>
      </c>
      <c r="C386">
        <f>_xlfn.XLOOKUP(A386,order_details[orderID],order_details[productID],,0)</f>
        <v>2</v>
      </c>
      <c r="D386" t="str">
        <f>_xlfn.XLOOKUP(C386,products[productID],products[productName],,0)</f>
        <v>Chang</v>
      </c>
      <c r="E386" t="str">
        <f>_xlfn.XLOOKUP(_xlfn.XLOOKUP(Table9[[#This Row],[ProductName ]],products[productName],products[categoryID],,0),categories[categoryID],categories[categoryName],,0)</f>
        <v>Beverages</v>
      </c>
      <c r="F386">
        <v>25</v>
      </c>
      <c r="G386">
        <v>152</v>
      </c>
      <c r="H386">
        <v>25</v>
      </c>
      <c r="I386">
        <f>Table9[[#This Row],[quantity]]*Table9[[#This Row],[unitPrice]]*(1-Table9[[#This Row],[discount]]/100)</f>
        <v>2850</v>
      </c>
      <c r="J386" t="str">
        <f>_xlfn.XLOOKUP(_xlfn.XLOOKUP(A386,orders[orderID],orders[customerID],,0),customers__2[customerID],customers__2[companyName],,0)</f>
        <v>Save-a-lot Markets</v>
      </c>
      <c r="K386" t="str">
        <f>_xlfn.XLOOKUP(Table9[[#This Row],[Company Name]],customers__2[companyName],customers__2[country],,0)</f>
        <v>USA</v>
      </c>
      <c r="L386">
        <f>MONTH(Table9[[#This Row],[OrderDate ]])</f>
        <v>12</v>
      </c>
      <c r="M386" t="str">
        <f>TEXT(Table9[[#This Row],[OrderDate ]],"mmm")</f>
        <v>Dec</v>
      </c>
      <c r="N386">
        <f>YEAR(Table9[[#This Row],[OrderDate ]])</f>
        <v>2013</v>
      </c>
    </row>
    <row r="387" spans="1:14" x14ac:dyDescent="0.3">
      <c r="A387">
        <v>10393</v>
      </c>
      <c r="B387" s="2">
        <f>_xlfn.XLOOKUP(Table9[[#This Row],[orderID]],orders[orderID],orders[orderDate],,0)</f>
        <v>41633</v>
      </c>
      <c r="C387">
        <f>_xlfn.XLOOKUP(A387,order_details[orderID],order_details[productID],,0)</f>
        <v>2</v>
      </c>
      <c r="D387" t="str">
        <f>_xlfn.XLOOKUP(C387,products[productID],products[productName],,0)</f>
        <v>Chang</v>
      </c>
      <c r="E387" t="str">
        <f>_xlfn.XLOOKUP(_xlfn.XLOOKUP(Table9[[#This Row],[ProductName ]],products[productName],products[categoryID],,0),categories[categoryID],categories[categoryName],,0)</f>
        <v>Beverages</v>
      </c>
      <c r="F387">
        <v>42</v>
      </c>
      <c r="G387">
        <v>186</v>
      </c>
      <c r="H387">
        <v>25</v>
      </c>
      <c r="I387">
        <f>Table9[[#This Row],[quantity]]*Table9[[#This Row],[unitPrice]]*(1-Table9[[#This Row],[discount]]/100)</f>
        <v>5859</v>
      </c>
      <c r="J387" t="str">
        <f>_xlfn.XLOOKUP(_xlfn.XLOOKUP(A387,orders[orderID],orders[customerID],,0),customers__2[customerID],customers__2[companyName],,0)</f>
        <v>Save-a-lot Markets</v>
      </c>
      <c r="K387" t="str">
        <f>_xlfn.XLOOKUP(Table9[[#This Row],[Company Name]],customers__2[companyName],customers__2[country],,0)</f>
        <v>USA</v>
      </c>
      <c r="L387">
        <f>MONTH(Table9[[#This Row],[OrderDate ]])</f>
        <v>12</v>
      </c>
      <c r="M387" t="str">
        <f>TEXT(Table9[[#This Row],[OrderDate ]],"mmm")</f>
        <v>Dec</v>
      </c>
      <c r="N387">
        <f>YEAR(Table9[[#This Row],[OrderDate ]])</f>
        <v>2013</v>
      </c>
    </row>
    <row r="388" spans="1:14" x14ac:dyDescent="0.3">
      <c r="A388">
        <v>10393</v>
      </c>
      <c r="B388" s="2">
        <f>_xlfn.XLOOKUP(Table9[[#This Row],[orderID]],orders[orderID],orders[orderDate],,0)</f>
        <v>41633</v>
      </c>
      <c r="C388">
        <f>_xlfn.XLOOKUP(A388,order_details[orderID],order_details[productID],,0)</f>
        <v>2</v>
      </c>
      <c r="D388" t="str">
        <f>_xlfn.XLOOKUP(C388,products[productID],products[productName],,0)</f>
        <v>Chang</v>
      </c>
      <c r="E388" t="str">
        <f>_xlfn.XLOOKUP(_xlfn.XLOOKUP(Table9[[#This Row],[ProductName ]],products[productName],products[categoryID],,0),categories[categoryID],categories[categoryName],,0)</f>
        <v>Beverages</v>
      </c>
      <c r="F388">
        <v>7</v>
      </c>
      <c r="G388">
        <v>112</v>
      </c>
      <c r="H388">
        <v>25</v>
      </c>
      <c r="I388">
        <f>Table9[[#This Row],[quantity]]*Table9[[#This Row],[unitPrice]]*(1-Table9[[#This Row],[discount]]/100)</f>
        <v>588</v>
      </c>
      <c r="J388" t="str">
        <f>_xlfn.XLOOKUP(_xlfn.XLOOKUP(A388,orders[orderID],orders[customerID],,0),customers__2[customerID],customers__2[companyName],,0)</f>
        <v>Save-a-lot Markets</v>
      </c>
      <c r="K388" t="str">
        <f>_xlfn.XLOOKUP(Table9[[#This Row],[Company Name]],customers__2[companyName],customers__2[country],,0)</f>
        <v>USA</v>
      </c>
      <c r="L388">
        <f>MONTH(Table9[[#This Row],[OrderDate ]])</f>
        <v>12</v>
      </c>
      <c r="M388" t="str">
        <f>TEXT(Table9[[#This Row],[OrderDate ]],"mmm")</f>
        <v>Dec</v>
      </c>
      <c r="N388">
        <f>YEAR(Table9[[#This Row],[OrderDate ]])</f>
        <v>2013</v>
      </c>
    </row>
    <row r="389" spans="1:14" x14ac:dyDescent="0.3">
      <c r="A389">
        <v>10393</v>
      </c>
      <c r="B389" s="2">
        <f>_xlfn.XLOOKUP(Table9[[#This Row],[orderID]],orders[orderID],orders[orderDate],,0)</f>
        <v>41633</v>
      </c>
      <c r="C389">
        <f>_xlfn.XLOOKUP(A389,order_details[orderID],order_details[productID],,0)</f>
        <v>2</v>
      </c>
      <c r="D389" t="str">
        <f>_xlfn.XLOOKUP(C389,products[productID],products[productName],,0)</f>
        <v>Chang</v>
      </c>
      <c r="E389" t="str">
        <f>_xlfn.XLOOKUP(_xlfn.XLOOKUP(Table9[[#This Row],[ProductName ]],products[productName],products[categoryID],,0),categories[categoryID],categories[categoryName],,0)</f>
        <v>Beverages</v>
      </c>
      <c r="F389">
        <v>70</v>
      </c>
      <c r="G389">
        <v>249</v>
      </c>
      <c r="H389">
        <v>25</v>
      </c>
      <c r="I389">
        <f>Table9[[#This Row],[quantity]]*Table9[[#This Row],[unitPrice]]*(1-Table9[[#This Row],[discount]]/100)</f>
        <v>13072.5</v>
      </c>
      <c r="J389" t="str">
        <f>_xlfn.XLOOKUP(_xlfn.XLOOKUP(A389,orders[orderID],orders[customerID],,0),customers__2[customerID],customers__2[companyName],,0)</f>
        <v>Save-a-lot Markets</v>
      </c>
      <c r="K389" t="str">
        <f>_xlfn.XLOOKUP(Table9[[#This Row],[Company Name]],customers__2[companyName],customers__2[country],,0)</f>
        <v>USA</v>
      </c>
      <c r="L389">
        <f>MONTH(Table9[[#This Row],[OrderDate ]])</f>
        <v>12</v>
      </c>
      <c r="M389" t="str">
        <f>TEXT(Table9[[#This Row],[OrderDate ]],"mmm")</f>
        <v>Dec</v>
      </c>
      <c r="N389">
        <f>YEAR(Table9[[#This Row],[OrderDate ]])</f>
        <v>2013</v>
      </c>
    </row>
    <row r="390" spans="1:14" x14ac:dyDescent="0.3">
      <c r="A390">
        <v>10393</v>
      </c>
      <c r="B390" s="2">
        <f>_xlfn.XLOOKUP(Table9[[#This Row],[orderID]],orders[orderID],orders[orderDate],,0)</f>
        <v>41633</v>
      </c>
      <c r="C390">
        <f>_xlfn.XLOOKUP(A390,order_details[orderID],order_details[productID],,0)</f>
        <v>2</v>
      </c>
      <c r="D390" t="str">
        <f>_xlfn.XLOOKUP(C390,products[productID],products[productName],,0)</f>
        <v>Chang</v>
      </c>
      <c r="E390" t="str">
        <f>_xlfn.XLOOKUP(_xlfn.XLOOKUP(Table9[[#This Row],[ProductName ]],products[productName],products[categoryID],,0),categories[categoryID],categories[categoryName],,0)</f>
        <v>Beverages</v>
      </c>
      <c r="F390">
        <v>32</v>
      </c>
      <c r="G390">
        <v>10</v>
      </c>
      <c r="H390">
        <v>0</v>
      </c>
      <c r="I390">
        <f>Table9[[#This Row],[quantity]]*Table9[[#This Row],[unitPrice]]*(1-Table9[[#This Row],[discount]]/100)</f>
        <v>320</v>
      </c>
      <c r="J390" t="str">
        <f>_xlfn.XLOOKUP(_xlfn.XLOOKUP(A390,orders[orderID],orders[customerID],,0),customers__2[customerID],customers__2[companyName],,0)</f>
        <v>Save-a-lot Markets</v>
      </c>
      <c r="K390" t="str">
        <f>_xlfn.XLOOKUP(Table9[[#This Row],[Company Name]],customers__2[companyName],customers__2[country],,0)</f>
        <v>USA</v>
      </c>
      <c r="L390">
        <f>MONTH(Table9[[#This Row],[OrderDate ]])</f>
        <v>12</v>
      </c>
      <c r="M390" t="str">
        <f>TEXT(Table9[[#This Row],[OrderDate ]],"mmm")</f>
        <v>Dec</v>
      </c>
      <c r="N390">
        <f>YEAR(Table9[[#This Row],[OrderDate ]])</f>
        <v>2013</v>
      </c>
    </row>
    <row r="391" spans="1:14" x14ac:dyDescent="0.3">
      <c r="A391">
        <v>10394</v>
      </c>
      <c r="B391" s="2">
        <f>_xlfn.XLOOKUP(Table9[[#This Row],[orderID]],orders[orderID],orders[orderDate],,0)</f>
        <v>41633</v>
      </c>
      <c r="C391">
        <f>_xlfn.XLOOKUP(A391,order_details[orderID],order_details[productID],,0)</f>
        <v>13</v>
      </c>
      <c r="D391" t="str">
        <f>_xlfn.XLOOKUP(C391,products[productID],products[productName],,0)</f>
        <v>Konbu</v>
      </c>
      <c r="E391" t="str">
        <f>_xlfn.XLOOKUP(_xlfn.XLOOKUP(Table9[[#This Row],[ProductName ]],products[productName],products[categoryID],,0),categories[categoryID],categories[categoryName],,0)</f>
        <v>Seafood</v>
      </c>
      <c r="F391">
        <v>10</v>
      </c>
      <c r="G391">
        <v>48</v>
      </c>
      <c r="H391">
        <v>0</v>
      </c>
      <c r="I391">
        <f>Table9[[#This Row],[quantity]]*Table9[[#This Row],[unitPrice]]*(1-Table9[[#This Row],[discount]]/100)</f>
        <v>480</v>
      </c>
      <c r="J391" t="str">
        <f>_xlfn.XLOOKUP(_xlfn.XLOOKUP(A391,orders[orderID],orders[customerID],,0),customers__2[customerID],customers__2[companyName],,0)</f>
        <v>Hungry Coyote Import Store</v>
      </c>
      <c r="K391" t="str">
        <f>_xlfn.XLOOKUP(Table9[[#This Row],[Company Name]],customers__2[companyName],customers__2[country],,0)</f>
        <v>USA</v>
      </c>
      <c r="L391">
        <f>MONTH(Table9[[#This Row],[OrderDate ]])</f>
        <v>12</v>
      </c>
      <c r="M391" t="str">
        <f>TEXT(Table9[[#This Row],[OrderDate ]],"mmm")</f>
        <v>Dec</v>
      </c>
      <c r="N391">
        <f>YEAR(Table9[[#This Row],[OrderDate ]])</f>
        <v>2013</v>
      </c>
    </row>
    <row r="392" spans="1:14" x14ac:dyDescent="0.3">
      <c r="A392">
        <v>10394</v>
      </c>
      <c r="B392" s="2">
        <f>_xlfn.XLOOKUP(Table9[[#This Row],[orderID]],orders[orderID],orders[orderDate],,0)</f>
        <v>41633</v>
      </c>
      <c r="C392">
        <f>_xlfn.XLOOKUP(A392,order_details[orderID],order_details[productID],,0)</f>
        <v>13</v>
      </c>
      <c r="D392" t="str">
        <f>_xlfn.XLOOKUP(C392,products[productID],products[productName],,0)</f>
        <v>Konbu</v>
      </c>
      <c r="E392" t="str">
        <f>_xlfn.XLOOKUP(_xlfn.XLOOKUP(Table9[[#This Row],[ProductName ]],products[productName],products[categoryID],,0),categories[categoryID],categories[categoryName],,0)</f>
        <v>Seafood</v>
      </c>
      <c r="F392">
        <v>10</v>
      </c>
      <c r="G392">
        <v>394</v>
      </c>
      <c r="H392">
        <v>0</v>
      </c>
      <c r="I392">
        <f>Table9[[#This Row],[quantity]]*Table9[[#This Row],[unitPrice]]*(1-Table9[[#This Row],[discount]]/100)</f>
        <v>3940</v>
      </c>
      <c r="J392" t="str">
        <f>_xlfn.XLOOKUP(_xlfn.XLOOKUP(A392,orders[orderID],orders[customerID],,0),customers__2[customerID],customers__2[companyName],,0)</f>
        <v>Hungry Coyote Import Store</v>
      </c>
      <c r="K392" t="str">
        <f>_xlfn.XLOOKUP(Table9[[#This Row],[Company Name]],customers__2[companyName],customers__2[country],,0)</f>
        <v>USA</v>
      </c>
      <c r="L392">
        <f>MONTH(Table9[[#This Row],[OrderDate ]])</f>
        <v>12</v>
      </c>
      <c r="M392" t="str">
        <f>TEXT(Table9[[#This Row],[OrderDate ]],"mmm")</f>
        <v>Dec</v>
      </c>
      <c r="N392">
        <f>YEAR(Table9[[#This Row],[OrderDate ]])</f>
        <v>2013</v>
      </c>
    </row>
    <row r="393" spans="1:14" x14ac:dyDescent="0.3">
      <c r="A393">
        <v>10395</v>
      </c>
      <c r="B393" s="2">
        <f>_xlfn.XLOOKUP(Table9[[#This Row],[orderID]],orders[orderID],orders[orderDate],,0)</f>
        <v>41634</v>
      </c>
      <c r="C393">
        <f>_xlfn.XLOOKUP(A393,order_details[orderID],order_details[productID],,0)</f>
        <v>46</v>
      </c>
      <c r="D393" t="str">
        <f>_xlfn.XLOOKUP(C393,products[productID],products[productName],,0)</f>
        <v>Spegesild</v>
      </c>
      <c r="E393" t="str">
        <f>_xlfn.XLOOKUP(_xlfn.XLOOKUP(Table9[[#This Row],[ProductName ]],products[productName],products[categoryID],,0),categories[categoryID],categories[categoryName],,0)</f>
        <v>Seafood</v>
      </c>
      <c r="F393">
        <v>28</v>
      </c>
      <c r="G393">
        <v>96</v>
      </c>
      <c r="H393">
        <v>1</v>
      </c>
      <c r="I393">
        <f>Table9[[#This Row],[quantity]]*Table9[[#This Row],[unitPrice]]*(1-Table9[[#This Row],[discount]]/100)</f>
        <v>2661.12</v>
      </c>
      <c r="J393" t="str">
        <f>_xlfn.XLOOKUP(_xlfn.XLOOKUP(A393,orders[orderID],orders[customerID],,0),customers__2[customerID],customers__2[companyName],,0)</f>
        <v>HILARION-Abastos</v>
      </c>
      <c r="K393" t="str">
        <f>_xlfn.XLOOKUP(Table9[[#This Row],[Company Name]],customers__2[companyName],customers__2[country],,0)</f>
        <v>Venezuela</v>
      </c>
      <c r="L393">
        <f>MONTH(Table9[[#This Row],[OrderDate ]])</f>
        <v>12</v>
      </c>
      <c r="M393" t="str">
        <f>TEXT(Table9[[#This Row],[OrderDate ]],"mmm")</f>
        <v>Dec</v>
      </c>
      <c r="N393">
        <f>YEAR(Table9[[#This Row],[OrderDate ]])</f>
        <v>2013</v>
      </c>
    </row>
    <row r="394" spans="1:14" x14ac:dyDescent="0.3">
      <c r="A394">
        <v>10395</v>
      </c>
      <c r="B394" s="2">
        <f>_xlfn.XLOOKUP(Table9[[#This Row],[orderID]],orders[orderID],orders[orderDate],,0)</f>
        <v>41634</v>
      </c>
      <c r="C394">
        <f>_xlfn.XLOOKUP(A394,order_details[orderID],order_details[productID],,0)</f>
        <v>46</v>
      </c>
      <c r="D394" t="str">
        <f>_xlfn.XLOOKUP(C394,products[productID],products[productName],,0)</f>
        <v>Spegesild</v>
      </c>
      <c r="E394" t="str">
        <f>_xlfn.XLOOKUP(_xlfn.XLOOKUP(Table9[[#This Row],[ProductName ]],products[productName],products[categoryID],,0),categories[categoryID],categories[categoryName],,0)</f>
        <v>Seafood</v>
      </c>
      <c r="F394">
        <v>70</v>
      </c>
      <c r="G394">
        <v>262</v>
      </c>
      <c r="H394">
        <v>1</v>
      </c>
      <c r="I394">
        <f>Table9[[#This Row],[quantity]]*Table9[[#This Row],[unitPrice]]*(1-Table9[[#This Row],[discount]]/100)</f>
        <v>18156.599999999999</v>
      </c>
      <c r="J394" t="str">
        <f>_xlfn.XLOOKUP(_xlfn.XLOOKUP(A394,orders[orderID],orders[customerID],,0),customers__2[customerID],customers__2[companyName],,0)</f>
        <v>HILARION-Abastos</v>
      </c>
      <c r="K394" t="str">
        <f>_xlfn.XLOOKUP(Table9[[#This Row],[Company Name]],customers__2[companyName],customers__2[country],,0)</f>
        <v>Venezuela</v>
      </c>
      <c r="L394">
        <f>MONTH(Table9[[#This Row],[OrderDate ]])</f>
        <v>12</v>
      </c>
      <c r="M394" t="str">
        <f>TEXT(Table9[[#This Row],[OrderDate ]],"mmm")</f>
        <v>Dec</v>
      </c>
      <c r="N394">
        <f>YEAR(Table9[[#This Row],[OrderDate ]])</f>
        <v>2013</v>
      </c>
    </row>
    <row r="395" spans="1:14" x14ac:dyDescent="0.3">
      <c r="A395">
        <v>10395</v>
      </c>
      <c r="B395" s="2">
        <f>_xlfn.XLOOKUP(Table9[[#This Row],[orderID]],orders[orderID],orders[orderDate],,0)</f>
        <v>41634</v>
      </c>
      <c r="C395">
        <f>_xlfn.XLOOKUP(A395,order_details[orderID],order_details[productID],,0)</f>
        <v>46</v>
      </c>
      <c r="D395" t="str">
        <f>_xlfn.XLOOKUP(C395,products[productID],products[productName],,0)</f>
        <v>Spegesild</v>
      </c>
      <c r="E395" t="str">
        <f>_xlfn.XLOOKUP(_xlfn.XLOOKUP(Table9[[#This Row],[ProductName ]],products[productName],products[categoryID],,0),categories[categoryID],categories[categoryName],,0)</f>
        <v>Seafood</v>
      </c>
      <c r="F395">
        <v>8</v>
      </c>
      <c r="G395">
        <v>288</v>
      </c>
      <c r="H395">
        <v>0</v>
      </c>
      <c r="I395">
        <f>Table9[[#This Row],[quantity]]*Table9[[#This Row],[unitPrice]]*(1-Table9[[#This Row],[discount]]/100)</f>
        <v>2304</v>
      </c>
      <c r="J395" t="str">
        <f>_xlfn.XLOOKUP(_xlfn.XLOOKUP(A395,orders[orderID],orders[customerID],,0),customers__2[customerID],customers__2[companyName],,0)</f>
        <v>HILARION-Abastos</v>
      </c>
      <c r="K395" t="str">
        <f>_xlfn.XLOOKUP(Table9[[#This Row],[Company Name]],customers__2[companyName],customers__2[country],,0)</f>
        <v>Venezuela</v>
      </c>
      <c r="L395">
        <f>MONTH(Table9[[#This Row],[OrderDate ]])</f>
        <v>12</v>
      </c>
      <c r="M395" t="str">
        <f>TEXT(Table9[[#This Row],[OrderDate ]],"mmm")</f>
        <v>Dec</v>
      </c>
      <c r="N395">
        <f>YEAR(Table9[[#This Row],[OrderDate ]])</f>
        <v>2013</v>
      </c>
    </row>
    <row r="396" spans="1:14" x14ac:dyDescent="0.3">
      <c r="A396">
        <v>10396</v>
      </c>
      <c r="B396" s="2">
        <f>_xlfn.XLOOKUP(Table9[[#This Row],[orderID]],orders[orderID],orders[orderDate],,0)</f>
        <v>41635</v>
      </c>
      <c r="C396">
        <f>_xlfn.XLOOKUP(A396,order_details[orderID],order_details[productID],,0)</f>
        <v>23</v>
      </c>
      <c r="D396" t="str">
        <f>_xlfn.XLOOKUP(C396,products[productID],products[productName],,0)</f>
        <v>Tunnbröd</v>
      </c>
      <c r="E396" t="str">
        <f>_xlfn.XLOOKUP(_xlfn.XLOOKUP(Table9[[#This Row],[ProductName ]],products[productName],products[categoryID],,0),categories[categoryID],categories[categoryName],,0)</f>
        <v>Grains &amp; Cereals</v>
      </c>
      <c r="F396">
        <v>40</v>
      </c>
      <c r="G396">
        <v>72</v>
      </c>
      <c r="H396">
        <v>0</v>
      </c>
      <c r="I396">
        <f>Table9[[#This Row],[quantity]]*Table9[[#This Row],[unitPrice]]*(1-Table9[[#This Row],[discount]]/100)</f>
        <v>2880</v>
      </c>
      <c r="J396" t="str">
        <f>_xlfn.XLOOKUP(_xlfn.XLOOKUP(A396,orders[orderID],orders[customerID],,0),customers__2[customerID],customers__2[companyName],,0)</f>
        <v>Frankenversand</v>
      </c>
      <c r="K396" t="str">
        <f>_xlfn.XLOOKUP(Table9[[#This Row],[Company Name]],customers__2[companyName],customers__2[country],,0)</f>
        <v>Germany</v>
      </c>
      <c r="L396">
        <f>MONTH(Table9[[#This Row],[OrderDate ]])</f>
        <v>12</v>
      </c>
      <c r="M396" t="str">
        <f>TEXT(Table9[[#This Row],[OrderDate ]],"mmm")</f>
        <v>Dec</v>
      </c>
      <c r="N396">
        <f>YEAR(Table9[[#This Row],[OrderDate ]])</f>
        <v>2013</v>
      </c>
    </row>
    <row r="397" spans="1:14" x14ac:dyDescent="0.3">
      <c r="A397">
        <v>10396</v>
      </c>
      <c r="B397" s="2">
        <f>_xlfn.XLOOKUP(Table9[[#This Row],[orderID]],orders[orderID],orders[orderDate],,0)</f>
        <v>41635</v>
      </c>
      <c r="C397">
        <f>_xlfn.XLOOKUP(A397,order_details[orderID],order_details[productID],,0)</f>
        <v>23</v>
      </c>
      <c r="D397" t="str">
        <f>_xlfn.XLOOKUP(C397,products[productID],products[productName],,0)</f>
        <v>Tunnbröd</v>
      </c>
      <c r="E397" t="str">
        <f>_xlfn.XLOOKUP(_xlfn.XLOOKUP(Table9[[#This Row],[ProductName ]],products[productName],products[categoryID],,0),categories[categoryID],categories[categoryName],,0)</f>
        <v>Grains &amp; Cereals</v>
      </c>
      <c r="F397">
        <v>60</v>
      </c>
      <c r="G397">
        <v>172</v>
      </c>
      <c r="H397">
        <v>0</v>
      </c>
      <c r="I397">
        <f>Table9[[#This Row],[quantity]]*Table9[[#This Row],[unitPrice]]*(1-Table9[[#This Row],[discount]]/100)</f>
        <v>10320</v>
      </c>
      <c r="J397" t="str">
        <f>_xlfn.XLOOKUP(_xlfn.XLOOKUP(A397,orders[orderID],orders[customerID],,0),customers__2[customerID],customers__2[companyName],,0)</f>
        <v>Frankenversand</v>
      </c>
      <c r="K397" t="str">
        <f>_xlfn.XLOOKUP(Table9[[#This Row],[Company Name]],customers__2[companyName],customers__2[country],,0)</f>
        <v>Germany</v>
      </c>
      <c r="L397">
        <f>MONTH(Table9[[#This Row],[OrderDate ]])</f>
        <v>12</v>
      </c>
      <c r="M397" t="str">
        <f>TEXT(Table9[[#This Row],[OrderDate ]],"mmm")</f>
        <v>Dec</v>
      </c>
      <c r="N397">
        <f>YEAR(Table9[[#This Row],[OrderDate ]])</f>
        <v>2013</v>
      </c>
    </row>
    <row r="398" spans="1:14" x14ac:dyDescent="0.3">
      <c r="A398">
        <v>10396</v>
      </c>
      <c r="B398" s="2">
        <f>_xlfn.XLOOKUP(Table9[[#This Row],[orderID]],orders[orderID],orders[orderDate],,0)</f>
        <v>41635</v>
      </c>
      <c r="C398">
        <f>_xlfn.XLOOKUP(A398,order_details[orderID],order_details[productID],,0)</f>
        <v>23</v>
      </c>
      <c r="D398" t="str">
        <f>_xlfn.XLOOKUP(C398,products[productID],products[productName],,0)</f>
        <v>Tunnbröd</v>
      </c>
      <c r="E398" t="str">
        <f>_xlfn.XLOOKUP(_xlfn.XLOOKUP(Table9[[#This Row],[ProductName ]],products[productName],products[categoryID],,0),categories[categoryID],categories[categoryName],,0)</f>
        <v>Grains &amp; Cereals</v>
      </c>
      <c r="F398">
        <v>21</v>
      </c>
      <c r="G398">
        <v>278</v>
      </c>
      <c r="H398">
        <v>0</v>
      </c>
      <c r="I398">
        <f>Table9[[#This Row],[quantity]]*Table9[[#This Row],[unitPrice]]*(1-Table9[[#This Row],[discount]]/100)</f>
        <v>5838</v>
      </c>
      <c r="J398" t="str">
        <f>_xlfn.XLOOKUP(_xlfn.XLOOKUP(A398,orders[orderID],orders[customerID],,0),customers__2[customerID],customers__2[companyName],,0)</f>
        <v>Frankenversand</v>
      </c>
      <c r="K398" t="str">
        <f>_xlfn.XLOOKUP(Table9[[#This Row],[Company Name]],customers__2[companyName],customers__2[country],,0)</f>
        <v>Germany</v>
      </c>
      <c r="L398">
        <f>MONTH(Table9[[#This Row],[OrderDate ]])</f>
        <v>12</v>
      </c>
      <c r="M398" t="str">
        <f>TEXT(Table9[[#This Row],[OrderDate ]],"mmm")</f>
        <v>Dec</v>
      </c>
      <c r="N398">
        <f>YEAR(Table9[[#This Row],[OrderDate ]])</f>
        <v>2013</v>
      </c>
    </row>
    <row r="399" spans="1:14" x14ac:dyDescent="0.3">
      <c r="A399">
        <v>10397</v>
      </c>
      <c r="B399" s="2">
        <f>_xlfn.XLOOKUP(Table9[[#This Row],[orderID]],orders[orderID],orders[orderDate],,0)</f>
        <v>41635</v>
      </c>
      <c r="C399">
        <f>_xlfn.XLOOKUP(A399,order_details[orderID],order_details[productID],,0)</f>
        <v>21</v>
      </c>
      <c r="D399" t="str">
        <f>_xlfn.XLOOKUP(C399,products[productID],products[productName],,0)</f>
        <v>Sir Rodney's Scones</v>
      </c>
      <c r="E399" t="str">
        <f>_xlfn.XLOOKUP(_xlfn.XLOOKUP(Table9[[#This Row],[ProductName ]],products[productName],products[categoryID],,0),categories[categoryID],categories[categoryName],,0)</f>
        <v>Confections</v>
      </c>
      <c r="F399">
        <v>10</v>
      </c>
      <c r="G399">
        <v>8</v>
      </c>
      <c r="H399">
        <v>15</v>
      </c>
      <c r="I399">
        <f>Table9[[#This Row],[quantity]]*Table9[[#This Row],[unitPrice]]*(1-Table9[[#This Row],[discount]]/100)</f>
        <v>68</v>
      </c>
      <c r="J399" t="str">
        <f>_xlfn.XLOOKUP(_xlfn.XLOOKUP(A399,orders[orderID],orders[customerID],,0),customers__2[customerID],customers__2[companyName],,0)</f>
        <v>Princesa Isabel Vinhos</v>
      </c>
      <c r="K399" t="str">
        <f>_xlfn.XLOOKUP(Table9[[#This Row],[Company Name]],customers__2[companyName],customers__2[country],,0)</f>
        <v>Portugal</v>
      </c>
      <c r="L399">
        <f>MONTH(Table9[[#This Row],[OrderDate ]])</f>
        <v>12</v>
      </c>
      <c r="M399" t="str">
        <f>TEXT(Table9[[#This Row],[OrderDate ]],"mmm")</f>
        <v>Dec</v>
      </c>
      <c r="N399">
        <f>YEAR(Table9[[#This Row],[OrderDate ]])</f>
        <v>2013</v>
      </c>
    </row>
    <row r="400" spans="1:14" x14ac:dyDescent="0.3">
      <c r="A400">
        <v>10397</v>
      </c>
      <c r="B400" s="2">
        <f>_xlfn.XLOOKUP(Table9[[#This Row],[orderID]],orders[orderID],orders[orderDate],,0)</f>
        <v>41635</v>
      </c>
      <c r="C400">
        <f>_xlfn.XLOOKUP(A400,order_details[orderID],order_details[productID],,0)</f>
        <v>21</v>
      </c>
      <c r="D400" t="str">
        <f>_xlfn.XLOOKUP(C400,products[productID],products[productName],,0)</f>
        <v>Sir Rodney's Scones</v>
      </c>
      <c r="E400" t="str">
        <f>_xlfn.XLOOKUP(_xlfn.XLOOKUP(Table9[[#This Row],[ProductName ]],products[productName],products[categoryID],,0),categories[categoryID],categories[categoryName],,0)</f>
        <v>Confections</v>
      </c>
      <c r="F400">
        <v>18</v>
      </c>
      <c r="G400">
        <v>424</v>
      </c>
      <c r="H400">
        <v>15</v>
      </c>
      <c r="I400">
        <f>Table9[[#This Row],[quantity]]*Table9[[#This Row],[unitPrice]]*(1-Table9[[#This Row],[discount]]/100)</f>
        <v>6487.2</v>
      </c>
      <c r="J400" t="str">
        <f>_xlfn.XLOOKUP(_xlfn.XLOOKUP(A400,orders[orderID],orders[customerID],,0),customers__2[customerID],customers__2[companyName],,0)</f>
        <v>Princesa Isabel Vinhos</v>
      </c>
      <c r="K400" t="str">
        <f>_xlfn.XLOOKUP(Table9[[#This Row],[Company Name]],customers__2[companyName],customers__2[country],,0)</f>
        <v>Portugal</v>
      </c>
      <c r="L400">
        <f>MONTH(Table9[[#This Row],[OrderDate ]])</f>
        <v>12</v>
      </c>
      <c r="M400" t="str">
        <f>TEXT(Table9[[#This Row],[OrderDate ]],"mmm")</f>
        <v>Dec</v>
      </c>
      <c r="N400">
        <f>YEAR(Table9[[#This Row],[OrderDate ]])</f>
        <v>2013</v>
      </c>
    </row>
    <row r="401" spans="1:14" x14ac:dyDescent="0.3">
      <c r="A401">
        <v>10398</v>
      </c>
      <c r="B401" s="2">
        <f>_xlfn.XLOOKUP(Table9[[#This Row],[orderID]],orders[orderID],orders[orderDate],,0)</f>
        <v>41638</v>
      </c>
      <c r="C401">
        <f>_xlfn.XLOOKUP(A401,order_details[orderID],order_details[productID],,0)</f>
        <v>35</v>
      </c>
      <c r="D401" t="str">
        <f>_xlfn.XLOOKUP(C401,products[productID],products[productName],,0)</f>
        <v>Steeleye Stout</v>
      </c>
      <c r="E401" t="str">
        <f>_xlfn.XLOOKUP(_xlfn.XLOOKUP(Table9[[#This Row],[ProductName ]],products[productName],products[categoryID],,0),categories[categoryID],categories[categoryName],,0)</f>
        <v>Beverages</v>
      </c>
      <c r="F401">
        <v>30</v>
      </c>
      <c r="G401">
        <v>144</v>
      </c>
      <c r="H401">
        <v>0</v>
      </c>
      <c r="I401">
        <f>Table9[[#This Row],[quantity]]*Table9[[#This Row],[unitPrice]]*(1-Table9[[#This Row],[discount]]/100)</f>
        <v>4320</v>
      </c>
      <c r="J401" t="str">
        <f>_xlfn.XLOOKUP(_xlfn.XLOOKUP(A401,orders[orderID],orders[customerID],,0),customers__2[customerID],customers__2[companyName],,0)</f>
        <v>Save-a-lot Markets</v>
      </c>
      <c r="K401" t="str">
        <f>_xlfn.XLOOKUP(Table9[[#This Row],[Company Name]],customers__2[companyName],customers__2[country],,0)</f>
        <v>USA</v>
      </c>
      <c r="L401">
        <f>MONTH(Table9[[#This Row],[OrderDate ]])</f>
        <v>12</v>
      </c>
      <c r="M401" t="str">
        <f>TEXT(Table9[[#This Row],[OrderDate ]],"mmm")</f>
        <v>Dec</v>
      </c>
      <c r="N401">
        <f>YEAR(Table9[[#This Row],[OrderDate ]])</f>
        <v>2013</v>
      </c>
    </row>
    <row r="402" spans="1:14" x14ac:dyDescent="0.3">
      <c r="A402">
        <v>10398</v>
      </c>
      <c r="B402" s="2">
        <f>_xlfn.XLOOKUP(Table9[[#This Row],[orderID]],orders[orderID],orders[orderDate],,0)</f>
        <v>41638</v>
      </c>
      <c r="C402">
        <f>_xlfn.XLOOKUP(A402,order_details[orderID],order_details[productID],,0)</f>
        <v>35</v>
      </c>
      <c r="D402" t="str">
        <f>_xlfn.XLOOKUP(C402,products[productID],products[productName],,0)</f>
        <v>Steeleye Stout</v>
      </c>
      <c r="E402" t="str">
        <f>_xlfn.XLOOKUP(_xlfn.XLOOKUP(Table9[[#This Row],[ProductName ]],products[productName],products[categoryID],,0),categories[categoryID],categories[categoryName],,0)</f>
        <v>Beverages</v>
      </c>
      <c r="F402">
        <v>120</v>
      </c>
      <c r="G402">
        <v>192</v>
      </c>
      <c r="H402">
        <v>1</v>
      </c>
      <c r="I402">
        <f>Table9[[#This Row],[quantity]]*Table9[[#This Row],[unitPrice]]*(1-Table9[[#This Row],[discount]]/100)</f>
        <v>22809.599999999999</v>
      </c>
      <c r="J402" t="str">
        <f>_xlfn.XLOOKUP(_xlfn.XLOOKUP(A402,orders[orderID],orders[customerID],,0),customers__2[customerID],customers__2[companyName],,0)</f>
        <v>Save-a-lot Markets</v>
      </c>
      <c r="K402" t="str">
        <f>_xlfn.XLOOKUP(Table9[[#This Row],[Company Name]],customers__2[companyName],customers__2[country],,0)</f>
        <v>USA</v>
      </c>
      <c r="L402">
        <f>MONTH(Table9[[#This Row],[OrderDate ]])</f>
        <v>12</v>
      </c>
      <c r="M402" t="str">
        <f>TEXT(Table9[[#This Row],[OrderDate ]],"mmm")</f>
        <v>Dec</v>
      </c>
      <c r="N402">
        <f>YEAR(Table9[[#This Row],[OrderDate ]])</f>
        <v>2013</v>
      </c>
    </row>
    <row r="403" spans="1:14" x14ac:dyDescent="0.3">
      <c r="A403">
        <v>10399</v>
      </c>
      <c r="B403" s="2">
        <f>_xlfn.XLOOKUP(Table9[[#This Row],[orderID]],orders[orderID],orders[orderDate],,0)</f>
        <v>41639</v>
      </c>
      <c r="C403">
        <f>_xlfn.XLOOKUP(A403,order_details[orderID],order_details[productID],,0)</f>
        <v>68</v>
      </c>
      <c r="D403" t="str">
        <f>_xlfn.XLOOKUP(C403,products[productID],products[productName],,0)</f>
        <v>Scottish Longbreads</v>
      </c>
      <c r="E403" t="str">
        <f>_xlfn.XLOOKUP(_xlfn.XLOOKUP(Table9[[#This Row],[ProductName ]],products[productName],products[categoryID],,0),categories[categoryID],categories[categoryName],,0)</f>
        <v>Confections</v>
      </c>
      <c r="F403">
        <v>60</v>
      </c>
      <c r="G403">
        <v>10</v>
      </c>
      <c r="H403">
        <v>0</v>
      </c>
      <c r="I403">
        <f>Table9[[#This Row],[quantity]]*Table9[[#This Row],[unitPrice]]*(1-Table9[[#This Row],[discount]]/100)</f>
        <v>600</v>
      </c>
      <c r="J403" t="str">
        <f>_xlfn.XLOOKUP(_xlfn.XLOOKUP(A403,orders[orderID],orders[customerID],,0),customers__2[customerID],customers__2[companyName],,0)</f>
        <v>Vaffeljernet</v>
      </c>
      <c r="K403" t="str">
        <f>_xlfn.XLOOKUP(Table9[[#This Row],[Company Name]],customers__2[companyName],customers__2[country],,0)</f>
        <v>Denmark</v>
      </c>
      <c r="L403">
        <f>MONTH(Table9[[#This Row],[OrderDate ]])</f>
        <v>12</v>
      </c>
      <c r="M403" t="str">
        <f>TEXT(Table9[[#This Row],[OrderDate ]],"mmm")</f>
        <v>Dec</v>
      </c>
      <c r="N403">
        <f>YEAR(Table9[[#This Row],[OrderDate ]])</f>
        <v>2013</v>
      </c>
    </row>
    <row r="404" spans="1:14" x14ac:dyDescent="0.3">
      <c r="A404">
        <v>10399</v>
      </c>
      <c r="B404" s="2">
        <f>_xlfn.XLOOKUP(Table9[[#This Row],[orderID]],orders[orderID],orders[orderDate],,0)</f>
        <v>41639</v>
      </c>
      <c r="C404">
        <f>_xlfn.XLOOKUP(A404,order_details[orderID],order_details[productID],,0)</f>
        <v>68</v>
      </c>
      <c r="D404" t="str">
        <f>_xlfn.XLOOKUP(C404,products[productID],products[productName],,0)</f>
        <v>Scottish Longbreads</v>
      </c>
      <c r="E404" t="str">
        <f>_xlfn.XLOOKUP(_xlfn.XLOOKUP(Table9[[#This Row],[ProductName ]],products[productName],products[categoryID],,0),categories[categoryID],categories[categoryName],,0)</f>
        <v>Confections</v>
      </c>
      <c r="F404">
        <v>30</v>
      </c>
      <c r="G404">
        <v>172</v>
      </c>
      <c r="H404">
        <v>0</v>
      </c>
      <c r="I404">
        <f>Table9[[#This Row],[quantity]]*Table9[[#This Row],[unitPrice]]*(1-Table9[[#This Row],[discount]]/100)</f>
        <v>5160</v>
      </c>
      <c r="J404" t="str">
        <f>_xlfn.XLOOKUP(_xlfn.XLOOKUP(A404,orders[orderID],orders[customerID],,0),customers__2[customerID],customers__2[companyName],,0)</f>
        <v>Vaffeljernet</v>
      </c>
      <c r="K404" t="str">
        <f>_xlfn.XLOOKUP(Table9[[#This Row],[Company Name]],customers__2[companyName],customers__2[country],,0)</f>
        <v>Denmark</v>
      </c>
      <c r="L404">
        <f>MONTH(Table9[[#This Row],[OrderDate ]])</f>
        <v>12</v>
      </c>
      <c r="M404" t="str">
        <f>TEXT(Table9[[#This Row],[OrderDate ]],"mmm")</f>
        <v>Dec</v>
      </c>
      <c r="N404">
        <f>YEAR(Table9[[#This Row],[OrderDate ]])</f>
        <v>2013</v>
      </c>
    </row>
    <row r="405" spans="1:14" x14ac:dyDescent="0.3">
      <c r="A405">
        <v>10399</v>
      </c>
      <c r="B405" s="2">
        <f>_xlfn.XLOOKUP(Table9[[#This Row],[orderID]],orders[orderID],orders[orderDate],,0)</f>
        <v>41639</v>
      </c>
      <c r="C405">
        <f>_xlfn.XLOOKUP(A405,order_details[orderID],order_details[productID],,0)</f>
        <v>68</v>
      </c>
      <c r="D405" t="str">
        <f>_xlfn.XLOOKUP(C405,products[productID],products[productName],,0)</f>
        <v>Scottish Longbreads</v>
      </c>
      <c r="E405" t="str">
        <f>_xlfn.XLOOKUP(_xlfn.XLOOKUP(Table9[[#This Row],[ProductName ]],products[productName],products[categoryID],,0),categories[categoryID],categories[categoryName],,0)</f>
        <v>Confections</v>
      </c>
      <c r="F405">
        <v>35</v>
      </c>
      <c r="G405">
        <v>144</v>
      </c>
      <c r="H405">
        <v>0</v>
      </c>
      <c r="I405">
        <f>Table9[[#This Row],[quantity]]*Table9[[#This Row],[unitPrice]]*(1-Table9[[#This Row],[discount]]/100)</f>
        <v>5040</v>
      </c>
      <c r="J405" t="str">
        <f>_xlfn.XLOOKUP(_xlfn.XLOOKUP(A405,orders[orderID],orders[customerID],,0),customers__2[customerID],customers__2[companyName],,0)</f>
        <v>Vaffeljernet</v>
      </c>
      <c r="K405" t="str">
        <f>_xlfn.XLOOKUP(Table9[[#This Row],[Company Name]],customers__2[companyName],customers__2[country],,0)</f>
        <v>Denmark</v>
      </c>
      <c r="L405">
        <f>MONTH(Table9[[#This Row],[OrderDate ]])</f>
        <v>12</v>
      </c>
      <c r="M405" t="str">
        <f>TEXT(Table9[[#This Row],[OrderDate ]],"mmm")</f>
        <v>Dec</v>
      </c>
      <c r="N405">
        <f>YEAR(Table9[[#This Row],[OrderDate ]])</f>
        <v>2013</v>
      </c>
    </row>
    <row r="406" spans="1:14" x14ac:dyDescent="0.3">
      <c r="A406">
        <v>10399</v>
      </c>
      <c r="B406" s="2">
        <f>_xlfn.XLOOKUP(Table9[[#This Row],[orderID]],orders[orderID],orders[orderDate],,0)</f>
        <v>41639</v>
      </c>
      <c r="C406">
        <f>_xlfn.XLOOKUP(A406,order_details[orderID],order_details[productID],,0)</f>
        <v>68</v>
      </c>
      <c r="D406" t="str">
        <f>_xlfn.XLOOKUP(C406,products[productID],products[productName],,0)</f>
        <v>Scottish Longbreads</v>
      </c>
      <c r="E406" t="str">
        <f>_xlfn.XLOOKUP(_xlfn.XLOOKUP(Table9[[#This Row],[ProductName ]],products[productName],products[categoryID],,0),categories[categoryID],categories[categoryName],,0)</f>
        <v>Confections</v>
      </c>
      <c r="F406">
        <v>14</v>
      </c>
      <c r="G406">
        <v>104</v>
      </c>
      <c r="H406">
        <v>0</v>
      </c>
      <c r="I406">
        <f>Table9[[#This Row],[quantity]]*Table9[[#This Row],[unitPrice]]*(1-Table9[[#This Row],[discount]]/100)</f>
        <v>1456</v>
      </c>
      <c r="J406" t="str">
        <f>_xlfn.XLOOKUP(_xlfn.XLOOKUP(A406,orders[orderID],orders[customerID],,0),customers__2[customerID],customers__2[companyName],,0)</f>
        <v>Vaffeljernet</v>
      </c>
      <c r="K406" t="str">
        <f>_xlfn.XLOOKUP(Table9[[#This Row],[Company Name]],customers__2[companyName],customers__2[country],,0)</f>
        <v>Denmark</v>
      </c>
      <c r="L406">
        <f>MONTH(Table9[[#This Row],[OrderDate ]])</f>
        <v>12</v>
      </c>
      <c r="M406" t="str">
        <f>TEXT(Table9[[#This Row],[OrderDate ]],"mmm")</f>
        <v>Dec</v>
      </c>
      <c r="N406">
        <f>YEAR(Table9[[#This Row],[OrderDate ]])</f>
        <v>2013</v>
      </c>
    </row>
    <row r="407" spans="1:14" x14ac:dyDescent="0.3">
      <c r="A407">
        <v>10400</v>
      </c>
      <c r="B407" s="2">
        <f>_xlfn.XLOOKUP(Table9[[#This Row],[orderID]],orders[orderID],orders[orderDate],,0)</f>
        <v>41640</v>
      </c>
      <c r="C407">
        <f>_xlfn.XLOOKUP(A407,order_details[orderID],order_details[productID],,0)</f>
        <v>29</v>
      </c>
      <c r="D407" t="str">
        <f>_xlfn.XLOOKUP(C407,products[productID],products[productName],,0)</f>
        <v>Thüringer Rostbratwurst</v>
      </c>
      <c r="E407" t="str">
        <f>_xlfn.XLOOKUP(_xlfn.XLOOKUP(Table9[[#This Row],[ProductName ]],products[productName],products[categoryID],,0),categories[categoryID],categories[categoryName],,0)</f>
        <v>Meat &amp; Poultry</v>
      </c>
      <c r="F407">
        <v>21</v>
      </c>
      <c r="G407">
        <v>99</v>
      </c>
      <c r="H407">
        <v>0</v>
      </c>
      <c r="I407">
        <f>Table9[[#This Row],[quantity]]*Table9[[#This Row],[unitPrice]]*(1-Table9[[#This Row],[discount]]/100)</f>
        <v>2079</v>
      </c>
      <c r="J407" t="str">
        <f>_xlfn.XLOOKUP(_xlfn.XLOOKUP(A407,orders[orderID],orders[customerID],,0),customers__2[customerID],customers__2[companyName],,0)</f>
        <v>Eastern Connection</v>
      </c>
      <c r="K407" t="str">
        <f>_xlfn.XLOOKUP(Table9[[#This Row],[Company Name]],customers__2[companyName],customers__2[country],,0)</f>
        <v>UK</v>
      </c>
      <c r="L407">
        <f>MONTH(Table9[[#This Row],[OrderDate ]])</f>
        <v>1</v>
      </c>
      <c r="M407" t="str">
        <f>TEXT(Table9[[#This Row],[OrderDate ]],"mmm")</f>
        <v>Jan</v>
      </c>
      <c r="N407">
        <f>YEAR(Table9[[#This Row],[OrderDate ]])</f>
        <v>2014</v>
      </c>
    </row>
    <row r="408" spans="1:14" x14ac:dyDescent="0.3">
      <c r="A408">
        <v>10400</v>
      </c>
      <c r="B408" s="2">
        <f>_xlfn.XLOOKUP(Table9[[#This Row],[orderID]],orders[orderID],orders[orderDate],,0)</f>
        <v>41640</v>
      </c>
      <c r="C408">
        <f>_xlfn.XLOOKUP(A408,order_details[orderID],order_details[productID],,0)</f>
        <v>29</v>
      </c>
      <c r="D408" t="str">
        <f>_xlfn.XLOOKUP(C408,products[productID],products[productName],,0)</f>
        <v>Thüringer Rostbratwurst</v>
      </c>
      <c r="E408" t="str">
        <f>_xlfn.XLOOKUP(_xlfn.XLOOKUP(Table9[[#This Row],[ProductName ]],products[productName],products[categoryID],,0),categories[categoryID],categories[categoryName],,0)</f>
        <v>Meat &amp; Poultry</v>
      </c>
      <c r="F408">
        <v>35</v>
      </c>
      <c r="G408">
        <v>144</v>
      </c>
      <c r="H408">
        <v>0</v>
      </c>
      <c r="I408">
        <f>Table9[[#This Row],[quantity]]*Table9[[#This Row],[unitPrice]]*(1-Table9[[#This Row],[discount]]/100)</f>
        <v>5040</v>
      </c>
      <c r="J408" t="str">
        <f>_xlfn.XLOOKUP(_xlfn.XLOOKUP(A408,orders[orderID],orders[customerID],,0),customers__2[customerID],customers__2[companyName],,0)</f>
        <v>Eastern Connection</v>
      </c>
      <c r="K408" t="str">
        <f>_xlfn.XLOOKUP(Table9[[#This Row],[Company Name]],customers__2[companyName],customers__2[country],,0)</f>
        <v>UK</v>
      </c>
      <c r="L408">
        <f>MONTH(Table9[[#This Row],[OrderDate ]])</f>
        <v>1</v>
      </c>
      <c r="M408" t="str">
        <f>TEXT(Table9[[#This Row],[OrderDate ]],"mmm")</f>
        <v>Jan</v>
      </c>
      <c r="N408">
        <f>YEAR(Table9[[#This Row],[OrderDate ]])</f>
        <v>2014</v>
      </c>
    </row>
    <row r="409" spans="1:14" x14ac:dyDescent="0.3">
      <c r="A409">
        <v>10400</v>
      </c>
      <c r="B409" s="2">
        <f>_xlfn.XLOOKUP(Table9[[#This Row],[orderID]],orders[orderID],orders[orderDate],,0)</f>
        <v>41640</v>
      </c>
      <c r="C409">
        <f>_xlfn.XLOOKUP(A409,order_details[orderID],order_details[productID],,0)</f>
        <v>29</v>
      </c>
      <c r="D409" t="str">
        <f>_xlfn.XLOOKUP(C409,products[productID],products[productName],,0)</f>
        <v>Thüringer Rostbratwurst</v>
      </c>
      <c r="E409" t="str">
        <f>_xlfn.XLOOKUP(_xlfn.XLOOKUP(Table9[[#This Row],[ProductName ]],products[productName],products[categoryID],,0),categories[categoryID],categories[categoryName],,0)</f>
        <v>Meat &amp; Poultry</v>
      </c>
      <c r="F409">
        <v>30</v>
      </c>
      <c r="G409">
        <v>16</v>
      </c>
      <c r="H409">
        <v>0</v>
      </c>
      <c r="I409">
        <f>Table9[[#This Row],[quantity]]*Table9[[#This Row],[unitPrice]]*(1-Table9[[#This Row],[discount]]/100)</f>
        <v>480</v>
      </c>
      <c r="J409" t="str">
        <f>_xlfn.XLOOKUP(_xlfn.XLOOKUP(A409,orders[orderID],orders[customerID],,0),customers__2[customerID],customers__2[companyName],,0)</f>
        <v>Eastern Connection</v>
      </c>
      <c r="K409" t="str">
        <f>_xlfn.XLOOKUP(Table9[[#This Row],[Company Name]],customers__2[companyName],customers__2[country],,0)</f>
        <v>UK</v>
      </c>
      <c r="L409">
        <f>MONTH(Table9[[#This Row],[OrderDate ]])</f>
        <v>1</v>
      </c>
      <c r="M409" t="str">
        <f>TEXT(Table9[[#This Row],[OrderDate ]],"mmm")</f>
        <v>Jan</v>
      </c>
      <c r="N409">
        <f>YEAR(Table9[[#This Row],[OrderDate ]])</f>
        <v>2014</v>
      </c>
    </row>
    <row r="410" spans="1:14" x14ac:dyDescent="0.3">
      <c r="A410">
        <v>10401</v>
      </c>
      <c r="B410" s="2">
        <f>_xlfn.XLOOKUP(Table9[[#This Row],[orderID]],orders[orderID],orders[orderDate],,0)</f>
        <v>41640</v>
      </c>
      <c r="C410">
        <f>_xlfn.XLOOKUP(A410,order_details[orderID],order_details[productID],,0)</f>
        <v>30</v>
      </c>
      <c r="D410" t="str">
        <f>_xlfn.XLOOKUP(C410,products[productID],products[productName],,0)</f>
        <v>Nord-Ost Matjeshering</v>
      </c>
      <c r="E410" t="str">
        <f>_xlfn.XLOOKUP(_xlfn.XLOOKUP(Table9[[#This Row],[ProductName ]],products[productName],products[categoryID],,0),categories[categoryID],categories[categoryName],,0)</f>
        <v>Seafood</v>
      </c>
      <c r="F410">
        <v>18</v>
      </c>
      <c r="G410">
        <v>207</v>
      </c>
      <c r="H410">
        <v>0</v>
      </c>
      <c r="I410">
        <f>Table9[[#This Row],[quantity]]*Table9[[#This Row],[unitPrice]]*(1-Table9[[#This Row],[discount]]/100)</f>
        <v>3726</v>
      </c>
      <c r="J410" t="str">
        <f>_xlfn.XLOOKUP(_xlfn.XLOOKUP(A410,orders[orderID],orders[customerID],,0),customers__2[customerID],customers__2[companyName],,0)</f>
        <v>Rattlesnake Canyon Grocery</v>
      </c>
      <c r="K410" t="str">
        <f>_xlfn.XLOOKUP(Table9[[#This Row],[Company Name]],customers__2[companyName],customers__2[country],,0)</f>
        <v>USA</v>
      </c>
      <c r="L410">
        <f>MONTH(Table9[[#This Row],[OrderDate ]])</f>
        <v>1</v>
      </c>
      <c r="M410" t="str">
        <f>TEXT(Table9[[#This Row],[OrderDate ]],"mmm")</f>
        <v>Jan</v>
      </c>
      <c r="N410">
        <f>YEAR(Table9[[#This Row],[OrderDate ]])</f>
        <v>2014</v>
      </c>
    </row>
    <row r="411" spans="1:14" x14ac:dyDescent="0.3">
      <c r="A411">
        <v>10401</v>
      </c>
      <c r="B411" s="2">
        <f>_xlfn.XLOOKUP(Table9[[#This Row],[orderID]],orders[orderID],orders[orderDate],,0)</f>
        <v>41640</v>
      </c>
      <c r="C411">
        <f>_xlfn.XLOOKUP(A411,order_details[orderID],order_details[productID],,0)</f>
        <v>30</v>
      </c>
      <c r="D411" t="str">
        <f>_xlfn.XLOOKUP(C411,products[productID],products[productName],,0)</f>
        <v>Nord-Ost Matjeshering</v>
      </c>
      <c r="E411" t="str">
        <f>_xlfn.XLOOKUP(_xlfn.XLOOKUP(Table9[[#This Row],[ProductName ]],products[productName],products[categoryID],,0),categories[categoryID],categories[categoryName],,0)</f>
        <v>Seafood</v>
      </c>
      <c r="F411">
        <v>70</v>
      </c>
      <c r="G411">
        <v>304</v>
      </c>
      <c r="H411">
        <v>0</v>
      </c>
      <c r="I411">
        <f>Table9[[#This Row],[quantity]]*Table9[[#This Row],[unitPrice]]*(1-Table9[[#This Row],[discount]]/100)</f>
        <v>21280</v>
      </c>
      <c r="J411" t="str">
        <f>_xlfn.XLOOKUP(_xlfn.XLOOKUP(A411,orders[orderID],orders[customerID],,0),customers__2[customerID],customers__2[companyName],,0)</f>
        <v>Rattlesnake Canyon Grocery</v>
      </c>
      <c r="K411" t="str">
        <f>_xlfn.XLOOKUP(Table9[[#This Row],[Company Name]],customers__2[companyName],customers__2[country],,0)</f>
        <v>USA</v>
      </c>
      <c r="L411">
        <f>MONTH(Table9[[#This Row],[OrderDate ]])</f>
        <v>1</v>
      </c>
      <c r="M411" t="str">
        <f>TEXT(Table9[[#This Row],[OrderDate ]],"mmm")</f>
        <v>Jan</v>
      </c>
      <c r="N411">
        <f>YEAR(Table9[[#This Row],[OrderDate ]])</f>
        <v>2014</v>
      </c>
    </row>
    <row r="412" spans="1:14" x14ac:dyDescent="0.3">
      <c r="A412">
        <v>10401</v>
      </c>
      <c r="B412" s="2">
        <f>_xlfn.XLOOKUP(Table9[[#This Row],[orderID]],orders[orderID],orders[orderDate],,0)</f>
        <v>41640</v>
      </c>
      <c r="C412">
        <f>_xlfn.XLOOKUP(A412,order_details[orderID],order_details[productID],,0)</f>
        <v>30</v>
      </c>
      <c r="D412" t="str">
        <f>_xlfn.XLOOKUP(C412,products[productID],products[productName],,0)</f>
        <v>Nord-Ost Matjeshering</v>
      </c>
      <c r="E412" t="str">
        <f>_xlfn.XLOOKUP(_xlfn.XLOOKUP(Table9[[#This Row],[ProductName ]],products[productName],products[categoryID],,0),categories[categoryID],categories[categoryName],,0)</f>
        <v>Seafood</v>
      </c>
      <c r="F412">
        <v>20</v>
      </c>
      <c r="G412">
        <v>168</v>
      </c>
      <c r="H412">
        <v>0</v>
      </c>
      <c r="I412">
        <f>Table9[[#This Row],[quantity]]*Table9[[#This Row],[unitPrice]]*(1-Table9[[#This Row],[discount]]/100)</f>
        <v>3360</v>
      </c>
      <c r="J412" t="str">
        <f>_xlfn.XLOOKUP(_xlfn.XLOOKUP(A412,orders[orderID],orders[customerID],,0),customers__2[customerID],customers__2[companyName],,0)</f>
        <v>Rattlesnake Canyon Grocery</v>
      </c>
      <c r="K412" t="str">
        <f>_xlfn.XLOOKUP(Table9[[#This Row],[Company Name]],customers__2[companyName],customers__2[country],,0)</f>
        <v>USA</v>
      </c>
      <c r="L412">
        <f>MONTH(Table9[[#This Row],[OrderDate ]])</f>
        <v>1</v>
      </c>
      <c r="M412" t="str">
        <f>TEXT(Table9[[#This Row],[OrderDate ]],"mmm")</f>
        <v>Jan</v>
      </c>
      <c r="N412">
        <f>YEAR(Table9[[#This Row],[OrderDate ]])</f>
        <v>2014</v>
      </c>
    </row>
    <row r="413" spans="1:14" x14ac:dyDescent="0.3">
      <c r="A413">
        <v>10401</v>
      </c>
      <c r="B413" s="2">
        <f>_xlfn.XLOOKUP(Table9[[#This Row],[orderID]],orders[orderID],orders[orderDate],,0)</f>
        <v>41640</v>
      </c>
      <c r="C413">
        <f>_xlfn.XLOOKUP(A413,order_details[orderID],order_details[productID],,0)</f>
        <v>30</v>
      </c>
      <c r="D413" t="str">
        <f>_xlfn.XLOOKUP(C413,products[productID],products[productName],,0)</f>
        <v>Nord-Ost Matjeshering</v>
      </c>
      <c r="E413" t="str">
        <f>_xlfn.XLOOKUP(_xlfn.XLOOKUP(Table9[[#This Row],[ProductName ]],products[productName],products[categoryID],,0),categories[categoryID],categories[categoryName],,0)</f>
        <v>Seafood</v>
      </c>
      <c r="F413">
        <v>60</v>
      </c>
      <c r="G413">
        <v>172</v>
      </c>
      <c r="H413">
        <v>0</v>
      </c>
      <c r="I413">
        <f>Table9[[#This Row],[quantity]]*Table9[[#This Row],[unitPrice]]*(1-Table9[[#This Row],[discount]]/100)</f>
        <v>10320</v>
      </c>
      <c r="J413" t="str">
        <f>_xlfn.XLOOKUP(_xlfn.XLOOKUP(A413,orders[orderID],orders[customerID],,0),customers__2[customerID],customers__2[companyName],,0)</f>
        <v>Rattlesnake Canyon Grocery</v>
      </c>
      <c r="K413" t="str">
        <f>_xlfn.XLOOKUP(Table9[[#This Row],[Company Name]],customers__2[companyName],customers__2[country],,0)</f>
        <v>USA</v>
      </c>
      <c r="L413">
        <f>MONTH(Table9[[#This Row],[OrderDate ]])</f>
        <v>1</v>
      </c>
      <c r="M413" t="str">
        <f>TEXT(Table9[[#This Row],[OrderDate ]],"mmm")</f>
        <v>Jan</v>
      </c>
      <c r="N413">
        <f>YEAR(Table9[[#This Row],[OrderDate ]])</f>
        <v>2014</v>
      </c>
    </row>
    <row r="414" spans="1:14" x14ac:dyDescent="0.3">
      <c r="A414">
        <v>10402</v>
      </c>
      <c r="B414" s="2">
        <f>_xlfn.XLOOKUP(Table9[[#This Row],[orderID]],orders[orderID],orders[orderDate],,0)</f>
        <v>41641</v>
      </c>
      <c r="C414">
        <f>_xlfn.XLOOKUP(A414,order_details[orderID],order_details[productID],,0)</f>
        <v>23</v>
      </c>
      <c r="D414" t="str">
        <f>_xlfn.XLOOKUP(C414,products[productID],products[productName],,0)</f>
        <v>Tunnbröd</v>
      </c>
      <c r="E414" t="str">
        <f>_xlfn.XLOOKUP(_xlfn.XLOOKUP(Table9[[#This Row],[ProductName ]],products[productName],products[categoryID],,0),categories[categoryID],categories[categoryName],,0)</f>
        <v>Grains &amp; Cereals</v>
      </c>
      <c r="F414">
        <v>60</v>
      </c>
      <c r="G414">
        <v>72</v>
      </c>
      <c r="H414">
        <v>0</v>
      </c>
      <c r="I414">
        <f>Table9[[#This Row],[quantity]]*Table9[[#This Row],[unitPrice]]*(1-Table9[[#This Row],[discount]]/100)</f>
        <v>4320</v>
      </c>
      <c r="J414" t="str">
        <f>_xlfn.XLOOKUP(_xlfn.XLOOKUP(A414,orders[orderID],orders[customerID],,0),customers__2[customerID],customers__2[companyName],,0)</f>
        <v>Ernst Handel</v>
      </c>
      <c r="K414" t="str">
        <f>_xlfn.XLOOKUP(Table9[[#This Row],[Company Name]],customers__2[companyName],customers__2[country],,0)</f>
        <v>Austria</v>
      </c>
      <c r="L414">
        <f>MONTH(Table9[[#This Row],[OrderDate ]])</f>
        <v>1</v>
      </c>
      <c r="M414" t="str">
        <f>TEXT(Table9[[#This Row],[OrderDate ]],"mmm")</f>
        <v>Jan</v>
      </c>
      <c r="N414">
        <f>YEAR(Table9[[#This Row],[OrderDate ]])</f>
        <v>2014</v>
      </c>
    </row>
    <row r="415" spans="1:14" x14ac:dyDescent="0.3">
      <c r="A415">
        <v>10402</v>
      </c>
      <c r="B415" s="2">
        <f>_xlfn.XLOOKUP(Table9[[#This Row],[orderID]],orders[orderID],orders[orderDate],,0)</f>
        <v>41641</v>
      </c>
      <c r="C415">
        <f>_xlfn.XLOOKUP(A415,order_details[orderID],order_details[productID],,0)</f>
        <v>23</v>
      </c>
      <c r="D415" t="str">
        <f>_xlfn.XLOOKUP(C415,products[productID],products[productName],,0)</f>
        <v>Tunnbröd</v>
      </c>
      <c r="E415" t="str">
        <f>_xlfn.XLOOKUP(_xlfn.XLOOKUP(Table9[[#This Row],[ProductName ]],products[productName],products[categoryID],,0),categories[categoryID],categories[categoryName],,0)</f>
        <v>Grains &amp; Cereals</v>
      </c>
      <c r="F415">
        <v>65</v>
      </c>
      <c r="G415">
        <v>351</v>
      </c>
      <c r="H415">
        <v>0</v>
      </c>
      <c r="I415">
        <f>Table9[[#This Row],[quantity]]*Table9[[#This Row],[unitPrice]]*(1-Table9[[#This Row],[discount]]/100)</f>
        <v>22815</v>
      </c>
      <c r="J415" t="str">
        <f>_xlfn.XLOOKUP(_xlfn.XLOOKUP(A415,orders[orderID],orders[customerID],,0),customers__2[customerID],customers__2[companyName],,0)</f>
        <v>Ernst Handel</v>
      </c>
      <c r="K415" t="str">
        <f>_xlfn.XLOOKUP(Table9[[#This Row],[Company Name]],customers__2[companyName],customers__2[country],,0)</f>
        <v>Austria</v>
      </c>
      <c r="L415">
        <f>MONTH(Table9[[#This Row],[OrderDate ]])</f>
        <v>1</v>
      </c>
      <c r="M415" t="str">
        <f>TEXT(Table9[[#This Row],[OrderDate ]],"mmm")</f>
        <v>Jan</v>
      </c>
      <c r="N415">
        <f>YEAR(Table9[[#This Row],[OrderDate ]])</f>
        <v>2014</v>
      </c>
    </row>
    <row r="416" spans="1:14" x14ac:dyDescent="0.3">
      <c r="A416">
        <v>10403</v>
      </c>
      <c r="B416" s="2">
        <f>_xlfn.XLOOKUP(Table9[[#This Row],[orderID]],orders[orderID],orders[orderDate],,0)</f>
        <v>41642</v>
      </c>
      <c r="C416">
        <f>_xlfn.XLOOKUP(A416,order_details[orderID],order_details[productID],,0)</f>
        <v>16</v>
      </c>
      <c r="D416" t="str">
        <f>_xlfn.XLOOKUP(C416,products[productID],products[productName],,0)</f>
        <v>Pavlova</v>
      </c>
      <c r="E416" t="str">
        <f>_xlfn.XLOOKUP(_xlfn.XLOOKUP(Table9[[#This Row],[ProductName ]],products[productName],products[categoryID],,0),categories[categoryID],categories[categoryName],,0)</f>
        <v>Confections</v>
      </c>
      <c r="F416">
        <v>21</v>
      </c>
      <c r="G416">
        <v>139</v>
      </c>
      <c r="H416">
        <v>15</v>
      </c>
      <c r="I416">
        <f>Table9[[#This Row],[quantity]]*Table9[[#This Row],[unitPrice]]*(1-Table9[[#This Row],[discount]]/100)</f>
        <v>2481.15</v>
      </c>
      <c r="J416" t="str">
        <f>_xlfn.XLOOKUP(_xlfn.XLOOKUP(A416,orders[orderID],orders[customerID],,0),customers__2[customerID],customers__2[companyName],,0)</f>
        <v>Ernst Handel</v>
      </c>
      <c r="K416" t="str">
        <f>_xlfn.XLOOKUP(Table9[[#This Row],[Company Name]],customers__2[companyName],customers__2[country],,0)</f>
        <v>Austria</v>
      </c>
      <c r="L416">
        <f>MONTH(Table9[[#This Row],[OrderDate ]])</f>
        <v>1</v>
      </c>
      <c r="M416" t="str">
        <f>TEXT(Table9[[#This Row],[OrderDate ]],"mmm")</f>
        <v>Jan</v>
      </c>
      <c r="N416">
        <f>YEAR(Table9[[#This Row],[OrderDate ]])</f>
        <v>2014</v>
      </c>
    </row>
    <row r="417" spans="1:14" x14ac:dyDescent="0.3">
      <c r="A417">
        <v>10403</v>
      </c>
      <c r="B417" s="2">
        <f>_xlfn.XLOOKUP(Table9[[#This Row],[orderID]],orders[orderID],orders[orderDate],,0)</f>
        <v>41642</v>
      </c>
      <c r="C417">
        <f>_xlfn.XLOOKUP(A417,order_details[orderID],order_details[productID],,0)</f>
        <v>16</v>
      </c>
      <c r="D417" t="str">
        <f>_xlfn.XLOOKUP(C417,products[productID],products[productName],,0)</f>
        <v>Pavlova</v>
      </c>
      <c r="E417" t="str">
        <f>_xlfn.XLOOKUP(_xlfn.XLOOKUP(Table9[[#This Row],[ProductName ]],products[productName],products[categoryID],,0),categories[categoryID],categories[categoryName],,0)</f>
        <v>Confections</v>
      </c>
      <c r="F417">
        <v>70</v>
      </c>
      <c r="G417">
        <v>102</v>
      </c>
      <c r="H417">
        <v>15</v>
      </c>
      <c r="I417">
        <f>Table9[[#This Row],[quantity]]*Table9[[#This Row],[unitPrice]]*(1-Table9[[#This Row],[discount]]/100)</f>
        <v>6069</v>
      </c>
      <c r="J417" t="str">
        <f>_xlfn.XLOOKUP(_xlfn.XLOOKUP(A417,orders[orderID],orders[customerID],,0),customers__2[customerID],customers__2[companyName],,0)</f>
        <v>Ernst Handel</v>
      </c>
      <c r="K417" t="str">
        <f>_xlfn.XLOOKUP(Table9[[#This Row],[Company Name]],customers__2[companyName],customers__2[country],,0)</f>
        <v>Austria</v>
      </c>
      <c r="L417">
        <f>MONTH(Table9[[#This Row],[OrderDate ]])</f>
        <v>1</v>
      </c>
      <c r="M417" t="str">
        <f>TEXT(Table9[[#This Row],[OrderDate ]],"mmm")</f>
        <v>Jan</v>
      </c>
      <c r="N417">
        <f>YEAR(Table9[[#This Row],[OrderDate ]])</f>
        <v>2014</v>
      </c>
    </row>
    <row r="418" spans="1:14" x14ac:dyDescent="0.3">
      <c r="A418">
        <v>10404</v>
      </c>
      <c r="B418" s="2">
        <f>_xlfn.XLOOKUP(Table9[[#This Row],[orderID]],orders[orderID],orders[orderDate],,0)</f>
        <v>41642</v>
      </c>
      <c r="C418">
        <f>_xlfn.XLOOKUP(A418,order_details[orderID],order_details[productID],,0)</f>
        <v>26</v>
      </c>
      <c r="D418" t="str">
        <f>_xlfn.XLOOKUP(C418,products[productID],products[productName],,0)</f>
        <v>Gumbär Gummibärchen</v>
      </c>
      <c r="E418" t="str">
        <f>_xlfn.XLOOKUP(_xlfn.XLOOKUP(Table9[[#This Row],[ProductName ]],products[productName],products[categoryID],,0),categories[categoryID],categories[categoryName],,0)</f>
        <v>Confections</v>
      </c>
      <c r="F418">
        <v>30</v>
      </c>
      <c r="G418">
        <v>249</v>
      </c>
      <c r="H418">
        <v>5</v>
      </c>
      <c r="I418">
        <f>Table9[[#This Row],[quantity]]*Table9[[#This Row],[unitPrice]]*(1-Table9[[#This Row],[discount]]/100)</f>
        <v>7096.5</v>
      </c>
      <c r="J418" t="str">
        <f>_xlfn.XLOOKUP(_xlfn.XLOOKUP(A418,orders[orderID],orders[customerID],,0),customers__2[customerID],customers__2[companyName],,0)</f>
        <v>Magazzini Alimentari Riuniti</v>
      </c>
      <c r="K418" t="str">
        <f>_xlfn.XLOOKUP(Table9[[#This Row],[Company Name]],customers__2[companyName],customers__2[country],,0)</f>
        <v>Italy</v>
      </c>
      <c r="L418">
        <f>MONTH(Table9[[#This Row],[OrderDate ]])</f>
        <v>1</v>
      </c>
      <c r="M418" t="str">
        <f>TEXT(Table9[[#This Row],[OrderDate ]],"mmm")</f>
        <v>Jan</v>
      </c>
      <c r="N418">
        <f>YEAR(Table9[[#This Row],[OrderDate ]])</f>
        <v>2014</v>
      </c>
    </row>
    <row r="419" spans="1:14" x14ac:dyDescent="0.3">
      <c r="A419">
        <v>10404</v>
      </c>
      <c r="B419" s="2">
        <f>_xlfn.XLOOKUP(Table9[[#This Row],[orderID]],orders[orderID],orders[orderDate],,0)</f>
        <v>41642</v>
      </c>
      <c r="C419">
        <f>_xlfn.XLOOKUP(A419,order_details[orderID],order_details[productID],,0)</f>
        <v>26</v>
      </c>
      <c r="D419" t="str">
        <f>_xlfn.XLOOKUP(C419,products[productID],products[productName],,0)</f>
        <v>Gumbär Gummibärchen</v>
      </c>
      <c r="E419" t="str">
        <f>_xlfn.XLOOKUP(_xlfn.XLOOKUP(Table9[[#This Row],[ProductName ]],products[productName],products[categoryID],,0),categories[categoryID],categories[categoryName],,0)</f>
        <v>Confections</v>
      </c>
      <c r="F419">
        <v>40</v>
      </c>
      <c r="G419">
        <v>112</v>
      </c>
      <c r="H419">
        <v>5</v>
      </c>
      <c r="I419">
        <f>Table9[[#This Row],[quantity]]*Table9[[#This Row],[unitPrice]]*(1-Table9[[#This Row],[discount]]/100)</f>
        <v>4256</v>
      </c>
      <c r="J419" t="str">
        <f>_xlfn.XLOOKUP(_xlfn.XLOOKUP(A419,orders[orderID],orders[customerID],,0),customers__2[customerID],customers__2[companyName],,0)</f>
        <v>Magazzini Alimentari Riuniti</v>
      </c>
      <c r="K419" t="str">
        <f>_xlfn.XLOOKUP(Table9[[#This Row],[Company Name]],customers__2[companyName],customers__2[country],,0)</f>
        <v>Italy</v>
      </c>
      <c r="L419">
        <f>MONTH(Table9[[#This Row],[OrderDate ]])</f>
        <v>1</v>
      </c>
      <c r="M419" t="str">
        <f>TEXT(Table9[[#This Row],[OrderDate ]],"mmm")</f>
        <v>Jan</v>
      </c>
      <c r="N419">
        <f>YEAR(Table9[[#This Row],[OrderDate ]])</f>
        <v>2014</v>
      </c>
    </row>
    <row r="420" spans="1:14" x14ac:dyDescent="0.3">
      <c r="A420">
        <v>10404</v>
      </c>
      <c r="B420" s="2">
        <f>_xlfn.XLOOKUP(Table9[[#This Row],[orderID]],orders[orderID],orders[orderDate],,0)</f>
        <v>41642</v>
      </c>
      <c r="C420">
        <f>_xlfn.XLOOKUP(A420,order_details[orderID],order_details[productID],,0)</f>
        <v>26</v>
      </c>
      <c r="D420" t="str">
        <f>_xlfn.XLOOKUP(C420,products[productID],products[productName],,0)</f>
        <v>Gumbär Gummibärchen</v>
      </c>
      <c r="E420" t="str">
        <f>_xlfn.XLOOKUP(_xlfn.XLOOKUP(Table9[[#This Row],[ProductName ]],products[productName],products[categoryID],,0),categories[categoryID],categories[categoryName],,0)</f>
        <v>Confections</v>
      </c>
      <c r="F420">
        <v>30</v>
      </c>
      <c r="G420">
        <v>16</v>
      </c>
      <c r="H420">
        <v>5</v>
      </c>
      <c r="I420">
        <f>Table9[[#This Row],[quantity]]*Table9[[#This Row],[unitPrice]]*(1-Table9[[#This Row],[discount]]/100)</f>
        <v>456</v>
      </c>
      <c r="J420" t="str">
        <f>_xlfn.XLOOKUP(_xlfn.XLOOKUP(A420,orders[orderID],orders[customerID],,0),customers__2[customerID],customers__2[companyName],,0)</f>
        <v>Magazzini Alimentari Riuniti</v>
      </c>
      <c r="K420" t="str">
        <f>_xlfn.XLOOKUP(Table9[[#This Row],[Company Name]],customers__2[companyName],customers__2[country],,0)</f>
        <v>Italy</v>
      </c>
      <c r="L420">
        <f>MONTH(Table9[[#This Row],[OrderDate ]])</f>
        <v>1</v>
      </c>
      <c r="M420" t="str">
        <f>TEXT(Table9[[#This Row],[OrderDate ]],"mmm")</f>
        <v>Jan</v>
      </c>
      <c r="N420">
        <f>YEAR(Table9[[#This Row],[OrderDate ]])</f>
        <v>2014</v>
      </c>
    </row>
    <row r="421" spans="1:14" x14ac:dyDescent="0.3">
      <c r="A421">
        <v>10405</v>
      </c>
      <c r="B421" s="2">
        <f>_xlfn.XLOOKUP(Table9[[#This Row],[orderID]],orders[orderID],orders[orderDate],,0)</f>
        <v>41645</v>
      </c>
      <c r="C421">
        <f>_xlfn.XLOOKUP(A421,order_details[orderID],order_details[productID],,0)</f>
        <v>3</v>
      </c>
      <c r="D421" t="str">
        <f>_xlfn.XLOOKUP(C421,products[productID],products[productName],,0)</f>
        <v>Aniseed Syrup</v>
      </c>
      <c r="E421" t="str">
        <f>_xlfn.XLOOKUP(_xlfn.XLOOKUP(Table9[[#This Row],[ProductName ]],products[productName],products[categoryID],,0),categories[categoryID],categories[categoryName],,0)</f>
        <v>Condiments</v>
      </c>
      <c r="F421">
        <v>50</v>
      </c>
      <c r="G421">
        <v>8</v>
      </c>
      <c r="H421">
        <v>0</v>
      </c>
      <c r="I421">
        <f>Table9[[#This Row],[quantity]]*Table9[[#This Row],[unitPrice]]*(1-Table9[[#This Row],[discount]]/100)</f>
        <v>400</v>
      </c>
      <c r="J421" t="str">
        <f>_xlfn.XLOOKUP(_xlfn.XLOOKUP(A421,orders[orderID],orders[customerID],,0),customers__2[customerID],customers__2[companyName],,0)</f>
        <v>LINO-Delicateses</v>
      </c>
      <c r="K421" t="str">
        <f>_xlfn.XLOOKUP(Table9[[#This Row],[Company Name]],customers__2[companyName],customers__2[country],,0)</f>
        <v>Venezuela</v>
      </c>
      <c r="L421">
        <f>MONTH(Table9[[#This Row],[OrderDate ]])</f>
        <v>1</v>
      </c>
      <c r="M421" t="str">
        <f>TEXT(Table9[[#This Row],[OrderDate ]],"mmm")</f>
        <v>Jan</v>
      </c>
      <c r="N421">
        <f>YEAR(Table9[[#This Row],[OrderDate ]])</f>
        <v>2014</v>
      </c>
    </row>
    <row r="422" spans="1:14" x14ac:dyDescent="0.3">
      <c r="A422">
        <v>10406</v>
      </c>
      <c r="B422" s="2">
        <f>_xlfn.XLOOKUP(Table9[[#This Row],[orderID]],orders[orderID],orders[orderDate],,0)</f>
        <v>41646</v>
      </c>
      <c r="C422">
        <f>_xlfn.XLOOKUP(A422,order_details[orderID],order_details[productID],,0)</f>
        <v>1</v>
      </c>
      <c r="D422" t="str">
        <f>_xlfn.XLOOKUP(C422,products[productID],products[productName],,0)</f>
        <v>Chai</v>
      </c>
      <c r="E422" t="str">
        <f>_xlfn.XLOOKUP(_xlfn.XLOOKUP(Table9[[#This Row],[ProductName ]],products[productName],products[categoryID],,0),categories[categoryID],categories[categoryName],,0)</f>
        <v>Beverages</v>
      </c>
      <c r="F422">
        <v>10</v>
      </c>
      <c r="G422">
        <v>144</v>
      </c>
      <c r="H422">
        <v>0</v>
      </c>
      <c r="I422">
        <f>Table9[[#This Row],[quantity]]*Table9[[#This Row],[unitPrice]]*(1-Table9[[#This Row],[discount]]/100)</f>
        <v>1440</v>
      </c>
      <c r="J422" t="str">
        <f>_xlfn.XLOOKUP(_xlfn.XLOOKUP(A422,orders[orderID],orders[customerID],,0),customers__2[customerID],customers__2[companyName],,0)</f>
        <v>Queen Cozinha</v>
      </c>
      <c r="K422" t="str">
        <f>_xlfn.XLOOKUP(Table9[[#This Row],[Company Name]],customers__2[companyName],customers__2[country],,0)</f>
        <v>Brazil</v>
      </c>
      <c r="L422">
        <f>MONTH(Table9[[#This Row],[OrderDate ]])</f>
        <v>1</v>
      </c>
      <c r="M422" t="str">
        <f>TEXT(Table9[[#This Row],[OrderDate ]],"mmm")</f>
        <v>Jan</v>
      </c>
      <c r="N422">
        <f>YEAR(Table9[[#This Row],[OrderDate ]])</f>
        <v>2014</v>
      </c>
    </row>
    <row r="423" spans="1:14" x14ac:dyDescent="0.3">
      <c r="A423">
        <v>10406</v>
      </c>
      <c r="B423" s="2">
        <f>_xlfn.XLOOKUP(Table9[[#This Row],[orderID]],orders[orderID],orders[orderDate],,0)</f>
        <v>41646</v>
      </c>
      <c r="C423">
        <f>_xlfn.XLOOKUP(A423,order_details[orderID],order_details[productID],,0)</f>
        <v>1</v>
      </c>
      <c r="D423" t="str">
        <f>_xlfn.XLOOKUP(C423,products[productID],products[productName],,0)</f>
        <v>Chai</v>
      </c>
      <c r="E423" t="str">
        <f>_xlfn.XLOOKUP(_xlfn.XLOOKUP(Table9[[#This Row],[ProductName ]],products[productName],products[categoryID],,0),categories[categoryID],categories[categoryName],,0)</f>
        <v>Beverages</v>
      </c>
      <c r="F423">
        <v>30</v>
      </c>
      <c r="G423">
        <v>8</v>
      </c>
      <c r="H423">
        <v>1</v>
      </c>
      <c r="I423">
        <f>Table9[[#This Row],[quantity]]*Table9[[#This Row],[unitPrice]]*(1-Table9[[#This Row],[discount]]/100)</f>
        <v>237.6</v>
      </c>
      <c r="J423" t="str">
        <f>_xlfn.XLOOKUP(_xlfn.XLOOKUP(A423,orders[orderID],orders[customerID],,0),customers__2[customerID],customers__2[companyName],,0)</f>
        <v>Queen Cozinha</v>
      </c>
      <c r="K423" t="str">
        <f>_xlfn.XLOOKUP(Table9[[#This Row],[Company Name]],customers__2[companyName],customers__2[country],,0)</f>
        <v>Brazil</v>
      </c>
      <c r="L423">
        <f>MONTH(Table9[[#This Row],[OrderDate ]])</f>
        <v>1</v>
      </c>
      <c r="M423" t="str">
        <f>TEXT(Table9[[#This Row],[OrderDate ]],"mmm")</f>
        <v>Jan</v>
      </c>
      <c r="N423">
        <f>YEAR(Table9[[#This Row],[OrderDate ]])</f>
        <v>2014</v>
      </c>
    </row>
    <row r="424" spans="1:14" x14ac:dyDescent="0.3">
      <c r="A424">
        <v>10406</v>
      </c>
      <c r="B424" s="2">
        <f>_xlfn.XLOOKUP(Table9[[#This Row],[orderID]],orders[orderID],orders[orderDate],,0)</f>
        <v>41646</v>
      </c>
      <c r="C424">
        <f>_xlfn.XLOOKUP(A424,order_details[orderID],order_details[productID],,0)</f>
        <v>1</v>
      </c>
      <c r="D424" t="str">
        <f>_xlfn.XLOOKUP(C424,products[productID],products[productName],,0)</f>
        <v>Chai</v>
      </c>
      <c r="E424" t="str">
        <f>_xlfn.XLOOKUP(_xlfn.XLOOKUP(Table9[[#This Row],[ProductName ]],products[productName],products[categoryID],,0),categories[categoryID],categories[categoryName],,0)</f>
        <v>Beverages</v>
      </c>
      <c r="F424">
        <v>42</v>
      </c>
      <c r="G424">
        <v>364</v>
      </c>
      <c r="H424">
        <v>1</v>
      </c>
      <c r="I424">
        <f>Table9[[#This Row],[quantity]]*Table9[[#This Row],[unitPrice]]*(1-Table9[[#This Row],[discount]]/100)</f>
        <v>15135.119999999999</v>
      </c>
      <c r="J424" t="str">
        <f>_xlfn.XLOOKUP(_xlfn.XLOOKUP(A424,orders[orderID],orders[customerID],,0),customers__2[customerID],customers__2[companyName],,0)</f>
        <v>Queen Cozinha</v>
      </c>
      <c r="K424" t="str">
        <f>_xlfn.XLOOKUP(Table9[[#This Row],[Company Name]],customers__2[companyName],customers__2[country],,0)</f>
        <v>Brazil</v>
      </c>
      <c r="L424">
        <f>MONTH(Table9[[#This Row],[OrderDate ]])</f>
        <v>1</v>
      </c>
      <c r="M424" t="str">
        <f>TEXT(Table9[[#This Row],[OrderDate ]],"mmm")</f>
        <v>Jan</v>
      </c>
      <c r="N424">
        <f>YEAR(Table9[[#This Row],[OrderDate ]])</f>
        <v>2014</v>
      </c>
    </row>
    <row r="425" spans="1:14" x14ac:dyDescent="0.3">
      <c r="A425">
        <v>10406</v>
      </c>
      <c r="B425" s="2">
        <f>_xlfn.XLOOKUP(Table9[[#This Row],[orderID]],orders[orderID],orders[orderDate],,0)</f>
        <v>41646</v>
      </c>
      <c r="C425">
        <f>_xlfn.XLOOKUP(A425,order_details[orderID],order_details[productID],,0)</f>
        <v>1</v>
      </c>
      <c r="D425" t="str">
        <f>_xlfn.XLOOKUP(C425,products[productID],products[productName],,0)</f>
        <v>Chai</v>
      </c>
      <c r="E425" t="str">
        <f>_xlfn.XLOOKUP(_xlfn.XLOOKUP(Table9[[#This Row],[ProductName ]],products[productName],products[categoryID],,0),categories[categoryID],categories[categoryName],,0)</f>
        <v>Beverages</v>
      </c>
      <c r="F425">
        <v>5</v>
      </c>
      <c r="G425">
        <v>152</v>
      </c>
      <c r="H425">
        <v>1</v>
      </c>
      <c r="I425">
        <f>Table9[[#This Row],[quantity]]*Table9[[#This Row],[unitPrice]]*(1-Table9[[#This Row],[discount]]/100)</f>
        <v>752.4</v>
      </c>
      <c r="J425" t="str">
        <f>_xlfn.XLOOKUP(_xlfn.XLOOKUP(A425,orders[orderID],orders[customerID],,0),customers__2[customerID],customers__2[companyName],,0)</f>
        <v>Queen Cozinha</v>
      </c>
      <c r="K425" t="str">
        <f>_xlfn.XLOOKUP(Table9[[#This Row],[Company Name]],customers__2[companyName],customers__2[country],,0)</f>
        <v>Brazil</v>
      </c>
      <c r="L425">
        <f>MONTH(Table9[[#This Row],[OrderDate ]])</f>
        <v>1</v>
      </c>
      <c r="M425" t="str">
        <f>TEXT(Table9[[#This Row],[OrderDate ]],"mmm")</f>
        <v>Jan</v>
      </c>
      <c r="N425">
        <f>YEAR(Table9[[#This Row],[OrderDate ]])</f>
        <v>2014</v>
      </c>
    </row>
    <row r="426" spans="1:14" x14ac:dyDescent="0.3">
      <c r="A426">
        <v>10406</v>
      </c>
      <c r="B426" s="2">
        <f>_xlfn.XLOOKUP(Table9[[#This Row],[orderID]],orders[orderID],orders[orderDate],,0)</f>
        <v>41646</v>
      </c>
      <c r="C426">
        <f>_xlfn.XLOOKUP(A426,order_details[orderID],order_details[productID],,0)</f>
        <v>1</v>
      </c>
      <c r="D426" t="str">
        <f>_xlfn.XLOOKUP(C426,products[productID],products[productName],,0)</f>
        <v>Chai</v>
      </c>
      <c r="E426" t="str">
        <f>_xlfn.XLOOKUP(_xlfn.XLOOKUP(Table9[[#This Row],[ProductName ]],products[productName],products[categoryID],,0),categories[categoryID],categories[categoryName],,0)</f>
        <v>Beverages</v>
      </c>
      <c r="F426">
        <v>2</v>
      </c>
      <c r="G426">
        <v>147</v>
      </c>
      <c r="H426">
        <v>1</v>
      </c>
      <c r="I426">
        <f>Table9[[#This Row],[quantity]]*Table9[[#This Row],[unitPrice]]*(1-Table9[[#This Row],[discount]]/100)</f>
        <v>291.06</v>
      </c>
      <c r="J426" t="str">
        <f>_xlfn.XLOOKUP(_xlfn.XLOOKUP(A426,orders[orderID],orders[customerID],,0),customers__2[customerID],customers__2[companyName],,0)</f>
        <v>Queen Cozinha</v>
      </c>
      <c r="K426" t="str">
        <f>_xlfn.XLOOKUP(Table9[[#This Row],[Company Name]],customers__2[companyName],customers__2[country],,0)</f>
        <v>Brazil</v>
      </c>
      <c r="L426">
        <f>MONTH(Table9[[#This Row],[OrderDate ]])</f>
        <v>1</v>
      </c>
      <c r="M426" t="str">
        <f>TEXT(Table9[[#This Row],[OrderDate ]],"mmm")</f>
        <v>Jan</v>
      </c>
      <c r="N426">
        <f>YEAR(Table9[[#This Row],[OrderDate ]])</f>
        <v>2014</v>
      </c>
    </row>
    <row r="427" spans="1:14" x14ac:dyDescent="0.3">
      <c r="A427">
        <v>10407</v>
      </c>
      <c r="B427" s="2">
        <f>_xlfn.XLOOKUP(Table9[[#This Row],[orderID]],orders[orderID],orders[orderDate],,0)</f>
        <v>41646</v>
      </c>
      <c r="C427">
        <f>_xlfn.XLOOKUP(A427,order_details[orderID],order_details[productID],,0)</f>
        <v>11</v>
      </c>
      <c r="D427" t="str">
        <f>_xlfn.XLOOKUP(C427,products[productID],products[productName],,0)</f>
        <v>Queso Cabrales</v>
      </c>
      <c r="E427" t="str">
        <f>_xlfn.XLOOKUP(_xlfn.XLOOKUP(Table9[[#This Row],[ProductName ]],products[productName],products[categoryID],,0),categories[categoryID],categories[categoryName],,0)</f>
        <v>Dairy Products</v>
      </c>
      <c r="F427">
        <v>30</v>
      </c>
      <c r="G427">
        <v>168</v>
      </c>
      <c r="H427">
        <v>0</v>
      </c>
      <c r="I427">
        <f>Table9[[#This Row],[quantity]]*Table9[[#This Row],[unitPrice]]*(1-Table9[[#This Row],[discount]]/100)</f>
        <v>5040</v>
      </c>
      <c r="J427" t="str">
        <f>_xlfn.XLOOKUP(_xlfn.XLOOKUP(A427,orders[orderID],orders[customerID],,0),customers__2[customerID],customers__2[companyName],,0)</f>
        <v>Ottilies Käseladen</v>
      </c>
      <c r="K427" t="str">
        <f>_xlfn.XLOOKUP(Table9[[#This Row],[Company Name]],customers__2[companyName],customers__2[country],,0)</f>
        <v>Germany</v>
      </c>
      <c r="L427">
        <f>MONTH(Table9[[#This Row],[OrderDate ]])</f>
        <v>1</v>
      </c>
      <c r="M427" t="str">
        <f>TEXT(Table9[[#This Row],[OrderDate ]],"mmm")</f>
        <v>Jan</v>
      </c>
      <c r="N427">
        <f>YEAR(Table9[[#This Row],[OrderDate ]])</f>
        <v>2014</v>
      </c>
    </row>
    <row r="428" spans="1:14" x14ac:dyDescent="0.3">
      <c r="A428">
        <v>10407</v>
      </c>
      <c r="B428" s="2">
        <f>_xlfn.XLOOKUP(Table9[[#This Row],[orderID]],orders[orderID],orders[orderDate],,0)</f>
        <v>41646</v>
      </c>
      <c r="C428">
        <f>_xlfn.XLOOKUP(A428,order_details[orderID],order_details[productID],,0)</f>
        <v>11</v>
      </c>
      <c r="D428" t="str">
        <f>_xlfn.XLOOKUP(C428,products[productID],products[productName],,0)</f>
        <v>Queso Cabrales</v>
      </c>
      <c r="E428" t="str">
        <f>_xlfn.XLOOKUP(_xlfn.XLOOKUP(Table9[[#This Row],[ProductName ]],products[productName],products[categoryID],,0),categories[categoryID],categories[categoryName],,0)</f>
        <v>Dairy Products</v>
      </c>
      <c r="F428">
        <v>15</v>
      </c>
      <c r="G428">
        <v>288</v>
      </c>
      <c r="H428">
        <v>0</v>
      </c>
      <c r="I428">
        <f>Table9[[#This Row],[quantity]]*Table9[[#This Row],[unitPrice]]*(1-Table9[[#This Row],[discount]]/100)</f>
        <v>4320</v>
      </c>
      <c r="J428" t="str">
        <f>_xlfn.XLOOKUP(_xlfn.XLOOKUP(A428,orders[orderID],orders[customerID],,0),customers__2[customerID],customers__2[companyName],,0)</f>
        <v>Ottilies Käseladen</v>
      </c>
      <c r="K428" t="str">
        <f>_xlfn.XLOOKUP(Table9[[#This Row],[Company Name]],customers__2[companyName],customers__2[country],,0)</f>
        <v>Germany</v>
      </c>
      <c r="L428">
        <f>MONTH(Table9[[#This Row],[OrderDate ]])</f>
        <v>1</v>
      </c>
      <c r="M428" t="str">
        <f>TEXT(Table9[[#This Row],[OrderDate ]],"mmm")</f>
        <v>Jan</v>
      </c>
      <c r="N428">
        <f>YEAR(Table9[[#This Row],[OrderDate ]])</f>
        <v>2014</v>
      </c>
    </row>
    <row r="429" spans="1:14" x14ac:dyDescent="0.3">
      <c r="A429">
        <v>10407</v>
      </c>
      <c r="B429" s="2">
        <f>_xlfn.XLOOKUP(Table9[[#This Row],[orderID]],orders[orderID],orders[orderDate],,0)</f>
        <v>41646</v>
      </c>
      <c r="C429">
        <f>_xlfn.XLOOKUP(A429,order_details[orderID],order_details[productID],,0)</f>
        <v>11</v>
      </c>
      <c r="D429" t="str">
        <f>_xlfn.XLOOKUP(C429,products[productID],products[productName],,0)</f>
        <v>Queso Cabrales</v>
      </c>
      <c r="E429" t="str">
        <f>_xlfn.XLOOKUP(_xlfn.XLOOKUP(Table9[[#This Row],[ProductName ]],products[productName],products[categoryID],,0),categories[categoryID],categories[categoryName],,0)</f>
        <v>Dairy Products</v>
      </c>
      <c r="F429">
        <v>15</v>
      </c>
      <c r="G429">
        <v>172</v>
      </c>
      <c r="H429">
        <v>0</v>
      </c>
      <c r="I429">
        <f>Table9[[#This Row],[quantity]]*Table9[[#This Row],[unitPrice]]*(1-Table9[[#This Row],[discount]]/100)</f>
        <v>2580</v>
      </c>
      <c r="J429" t="str">
        <f>_xlfn.XLOOKUP(_xlfn.XLOOKUP(A429,orders[orderID],orders[customerID],,0),customers__2[customerID],customers__2[companyName],,0)</f>
        <v>Ottilies Käseladen</v>
      </c>
      <c r="K429" t="str">
        <f>_xlfn.XLOOKUP(Table9[[#This Row],[Company Name]],customers__2[companyName],customers__2[country],,0)</f>
        <v>Germany</v>
      </c>
      <c r="L429">
        <f>MONTH(Table9[[#This Row],[OrderDate ]])</f>
        <v>1</v>
      </c>
      <c r="M429" t="str">
        <f>TEXT(Table9[[#This Row],[OrderDate ]],"mmm")</f>
        <v>Jan</v>
      </c>
      <c r="N429">
        <f>YEAR(Table9[[#This Row],[OrderDate ]])</f>
        <v>2014</v>
      </c>
    </row>
    <row r="430" spans="1:14" x14ac:dyDescent="0.3">
      <c r="A430">
        <v>10408</v>
      </c>
      <c r="B430" s="2">
        <f>_xlfn.XLOOKUP(Table9[[#This Row],[orderID]],orders[orderID],orders[orderDate],,0)</f>
        <v>41647</v>
      </c>
      <c r="C430">
        <f>_xlfn.XLOOKUP(A430,order_details[orderID],order_details[productID],,0)</f>
        <v>37</v>
      </c>
      <c r="D430" t="str">
        <f>_xlfn.XLOOKUP(C430,products[productID],products[productName],,0)</f>
        <v>Gravad lax</v>
      </c>
      <c r="E430" t="str">
        <f>_xlfn.XLOOKUP(_xlfn.XLOOKUP(Table9[[#This Row],[ProductName ]],products[productName],products[categoryID],,0),categories[categoryID],categories[categoryName],,0)</f>
        <v>Seafood</v>
      </c>
      <c r="F430">
        <v>10</v>
      </c>
      <c r="G430">
        <v>208</v>
      </c>
      <c r="H430">
        <v>0</v>
      </c>
      <c r="I430">
        <f>Table9[[#This Row],[quantity]]*Table9[[#This Row],[unitPrice]]*(1-Table9[[#This Row],[discount]]/100)</f>
        <v>2080</v>
      </c>
      <c r="J430" t="str">
        <f>_xlfn.XLOOKUP(_xlfn.XLOOKUP(A430,orders[orderID],orders[customerID],,0),customers__2[customerID],customers__2[companyName],,0)</f>
        <v>Folies gourmandes</v>
      </c>
      <c r="K430" t="str">
        <f>_xlfn.XLOOKUP(Table9[[#This Row],[Company Name]],customers__2[companyName],customers__2[country],,0)</f>
        <v>France</v>
      </c>
      <c r="L430">
        <f>MONTH(Table9[[#This Row],[OrderDate ]])</f>
        <v>1</v>
      </c>
      <c r="M430" t="str">
        <f>TEXT(Table9[[#This Row],[OrderDate ]],"mmm")</f>
        <v>Jan</v>
      </c>
      <c r="N430">
        <f>YEAR(Table9[[#This Row],[OrderDate ]])</f>
        <v>2014</v>
      </c>
    </row>
    <row r="431" spans="1:14" x14ac:dyDescent="0.3">
      <c r="A431">
        <v>10408</v>
      </c>
      <c r="B431" s="2">
        <f>_xlfn.XLOOKUP(Table9[[#This Row],[orderID]],orders[orderID],orders[orderDate],,0)</f>
        <v>41647</v>
      </c>
      <c r="C431">
        <f>_xlfn.XLOOKUP(A431,order_details[orderID],order_details[productID],,0)</f>
        <v>37</v>
      </c>
      <c r="D431" t="str">
        <f>_xlfn.XLOOKUP(C431,products[productID],products[productName],,0)</f>
        <v>Gravad lax</v>
      </c>
      <c r="E431" t="str">
        <f>_xlfn.XLOOKUP(_xlfn.XLOOKUP(Table9[[#This Row],[ProductName ]],products[productName],products[categoryID],,0),categories[categoryID],categories[categoryName],,0)</f>
        <v>Seafood</v>
      </c>
      <c r="F431">
        <v>6</v>
      </c>
      <c r="G431">
        <v>59</v>
      </c>
      <c r="H431">
        <v>0</v>
      </c>
      <c r="I431">
        <f>Table9[[#This Row],[quantity]]*Table9[[#This Row],[unitPrice]]*(1-Table9[[#This Row],[discount]]/100)</f>
        <v>354</v>
      </c>
      <c r="J431" t="str">
        <f>_xlfn.XLOOKUP(_xlfn.XLOOKUP(A431,orders[orderID],orders[customerID],,0),customers__2[customerID],customers__2[companyName],,0)</f>
        <v>Folies gourmandes</v>
      </c>
      <c r="K431" t="str">
        <f>_xlfn.XLOOKUP(Table9[[#This Row],[Company Name]],customers__2[companyName],customers__2[country],,0)</f>
        <v>France</v>
      </c>
      <c r="L431">
        <f>MONTH(Table9[[#This Row],[OrderDate ]])</f>
        <v>1</v>
      </c>
      <c r="M431" t="str">
        <f>TEXT(Table9[[#This Row],[OrderDate ]],"mmm")</f>
        <v>Jan</v>
      </c>
      <c r="N431">
        <f>YEAR(Table9[[#This Row],[OrderDate ]])</f>
        <v>2014</v>
      </c>
    </row>
    <row r="432" spans="1:14" x14ac:dyDescent="0.3">
      <c r="A432">
        <v>10408</v>
      </c>
      <c r="B432" s="2">
        <f>_xlfn.XLOOKUP(Table9[[#This Row],[orderID]],orders[orderID],orders[orderDate],,0)</f>
        <v>41647</v>
      </c>
      <c r="C432">
        <f>_xlfn.XLOOKUP(A432,order_details[orderID],order_details[productID],,0)</f>
        <v>37</v>
      </c>
      <c r="D432" t="str">
        <f>_xlfn.XLOOKUP(C432,products[productID],products[productName],,0)</f>
        <v>Gravad lax</v>
      </c>
      <c r="E432" t="str">
        <f>_xlfn.XLOOKUP(_xlfn.XLOOKUP(Table9[[#This Row],[ProductName ]],products[productName],products[categoryID],,0),categories[categoryID],categories[categoryName],,0)</f>
        <v>Seafood</v>
      </c>
      <c r="F432">
        <v>35</v>
      </c>
      <c r="G432">
        <v>394</v>
      </c>
      <c r="H432">
        <v>0</v>
      </c>
      <c r="I432">
        <f>Table9[[#This Row],[quantity]]*Table9[[#This Row],[unitPrice]]*(1-Table9[[#This Row],[discount]]/100)</f>
        <v>13790</v>
      </c>
      <c r="J432" t="str">
        <f>_xlfn.XLOOKUP(_xlfn.XLOOKUP(A432,orders[orderID],orders[customerID],,0),customers__2[customerID],customers__2[companyName],,0)</f>
        <v>Folies gourmandes</v>
      </c>
      <c r="K432" t="str">
        <f>_xlfn.XLOOKUP(Table9[[#This Row],[Company Name]],customers__2[companyName],customers__2[country],,0)</f>
        <v>France</v>
      </c>
      <c r="L432">
        <f>MONTH(Table9[[#This Row],[OrderDate ]])</f>
        <v>1</v>
      </c>
      <c r="M432" t="str">
        <f>TEXT(Table9[[#This Row],[OrderDate ]],"mmm")</f>
        <v>Jan</v>
      </c>
      <c r="N432">
        <f>YEAR(Table9[[#This Row],[OrderDate ]])</f>
        <v>2014</v>
      </c>
    </row>
    <row r="433" spans="1:14" x14ac:dyDescent="0.3">
      <c r="A433">
        <v>10409</v>
      </c>
      <c r="B433" s="2">
        <f>_xlfn.XLOOKUP(Table9[[#This Row],[orderID]],orders[orderID],orders[orderDate],,0)</f>
        <v>41648</v>
      </c>
      <c r="C433">
        <f>_xlfn.XLOOKUP(A433,order_details[orderID],order_details[productID],,0)</f>
        <v>14</v>
      </c>
      <c r="D433" t="str">
        <f>_xlfn.XLOOKUP(C433,products[productID],products[productName],,0)</f>
        <v>Tofu</v>
      </c>
      <c r="E433" t="str">
        <f>_xlfn.XLOOKUP(_xlfn.XLOOKUP(Table9[[#This Row],[ProductName ]],products[productName],products[categoryID],,0),categories[categoryID],categories[categoryName],,0)</f>
        <v>Produce</v>
      </c>
      <c r="F433">
        <v>12</v>
      </c>
      <c r="G433">
        <v>186</v>
      </c>
      <c r="H433">
        <v>0</v>
      </c>
      <c r="I433">
        <f>Table9[[#This Row],[quantity]]*Table9[[#This Row],[unitPrice]]*(1-Table9[[#This Row],[discount]]/100)</f>
        <v>2232</v>
      </c>
      <c r="J433" t="str">
        <f>_xlfn.XLOOKUP(_xlfn.XLOOKUP(A433,orders[orderID],orders[customerID],,0),customers__2[customerID],customers__2[companyName],,0)</f>
        <v>Océano Atlántico Ltda.</v>
      </c>
      <c r="K433" t="str">
        <f>_xlfn.XLOOKUP(Table9[[#This Row],[Company Name]],customers__2[companyName],customers__2[country],,0)</f>
        <v>Argentina</v>
      </c>
      <c r="L433">
        <f>MONTH(Table9[[#This Row],[OrderDate ]])</f>
        <v>1</v>
      </c>
      <c r="M433" t="str">
        <f>TEXT(Table9[[#This Row],[OrderDate ]],"mmm")</f>
        <v>Jan</v>
      </c>
      <c r="N433">
        <f>YEAR(Table9[[#This Row],[OrderDate ]])</f>
        <v>2014</v>
      </c>
    </row>
    <row r="434" spans="1:14" x14ac:dyDescent="0.3">
      <c r="A434">
        <v>10409</v>
      </c>
      <c r="B434" s="2">
        <f>_xlfn.XLOOKUP(Table9[[#This Row],[orderID]],orders[orderID],orders[orderDate],,0)</f>
        <v>41648</v>
      </c>
      <c r="C434">
        <f>_xlfn.XLOOKUP(A434,order_details[orderID],order_details[productID],,0)</f>
        <v>14</v>
      </c>
      <c r="D434" t="str">
        <f>_xlfn.XLOOKUP(C434,products[productID],products[productName],,0)</f>
        <v>Tofu</v>
      </c>
      <c r="E434" t="str">
        <f>_xlfn.XLOOKUP(_xlfn.XLOOKUP(Table9[[#This Row],[ProductName ]],products[productName],products[categoryID],,0),categories[categoryID],categories[categoryName],,0)</f>
        <v>Produce</v>
      </c>
      <c r="F434">
        <v>12</v>
      </c>
      <c r="G434">
        <v>8</v>
      </c>
      <c r="H434">
        <v>0</v>
      </c>
      <c r="I434">
        <f>Table9[[#This Row],[quantity]]*Table9[[#This Row],[unitPrice]]*(1-Table9[[#This Row],[discount]]/100)</f>
        <v>96</v>
      </c>
      <c r="J434" t="str">
        <f>_xlfn.XLOOKUP(_xlfn.XLOOKUP(A434,orders[orderID],orders[customerID],,0),customers__2[customerID],customers__2[companyName],,0)</f>
        <v>Océano Atlántico Ltda.</v>
      </c>
      <c r="K434" t="str">
        <f>_xlfn.XLOOKUP(Table9[[#This Row],[Company Name]],customers__2[companyName],customers__2[country],,0)</f>
        <v>Argentina</v>
      </c>
      <c r="L434">
        <f>MONTH(Table9[[#This Row],[OrderDate ]])</f>
        <v>1</v>
      </c>
      <c r="M434" t="str">
        <f>TEXT(Table9[[#This Row],[OrderDate ]],"mmm")</f>
        <v>Jan</v>
      </c>
      <c r="N434">
        <f>YEAR(Table9[[#This Row],[OrderDate ]])</f>
        <v>2014</v>
      </c>
    </row>
    <row r="435" spans="1:14" x14ac:dyDescent="0.3">
      <c r="A435">
        <v>10410</v>
      </c>
      <c r="B435" s="2">
        <f>_xlfn.XLOOKUP(Table9[[#This Row],[orderID]],orders[orderID],orders[orderDate],,0)</f>
        <v>41649</v>
      </c>
      <c r="C435">
        <f>_xlfn.XLOOKUP(A435,order_details[orderID],order_details[productID],,0)</f>
        <v>33</v>
      </c>
      <c r="D435" t="str">
        <f>_xlfn.XLOOKUP(C435,products[productID],products[productName],,0)</f>
        <v>Geitost</v>
      </c>
      <c r="E435" t="str">
        <f>_xlfn.XLOOKUP(_xlfn.XLOOKUP(Table9[[#This Row],[ProductName ]],products[productName],products[categoryID],,0),categories[categoryID],categories[categoryName],,0)</f>
        <v>Dairy Products</v>
      </c>
      <c r="F435">
        <v>49</v>
      </c>
      <c r="G435">
        <v>2</v>
      </c>
      <c r="H435">
        <v>0</v>
      </c>
      <c r="I435">
        <f>Table9[[#This Row],[quantity]]*Table9[[#This Row],[unitPrice]]*(1-Table9[[#This Row],[discount]]/100)</f>
        <v>98</v>
      </c>
      <c r="J435" t="str">
        <f>_xlfn.XLOOKUP(_xlfn.XLOOKUP(A435,orders[orderID],orders[customerID],,0),customers__2[customerID],customers__2[companyName],,0)</f>
        <v>Bottom-Dollar Markets</v>
      </c>
      <c r="K435" t="str">
        <f>_xlfn.XLOOKUP(Table9[[#This Row],[Company Name]],customers__2[companyName],customers__2[country],,0)</f>
        <v>Canada</v>
      </c>
      <c r="L435">
        <f>MONTH(Table9[[#This Row],[OrderDate ]])</f>
        <v>1</v>
      </c>
      <c r="M435" t="str">
        <f>TEXT(Table9[[#This Row],[OrderDate ]],"mmm")</f>
        <v>Jan</v>
      </c>
      <c r="N435">
        <f>YEAR(Table9[[#This Row],[OrderDate ]])</f>
        <v>2014</v>
      </c>
    </row>
    <row r="436" spans="1:14" x14ac:dyDescent="0.3">
      <c r="A436">
        <v>10410</v>
      </c>
      <c r="B436" s="2">
        <f>_xlfn.XLOOKUP(Table9[[#This Row],[orderID]],orders[orderID],orders[orderDate],,0)</f>
        <v>41649</v>
      </c>
      <c r="C436">
        <f>_xlfn.XLOOKUP(A436,order_details[orderID],order_details[productID],,0)</f>
        <v>33</v>
      </c>
      <c r="D436" t="str">
        <f>_xlfn.XLOOKUP(C436,products[productID],products[productName],,0)</f>
        <v>Geitost</v>
      </c>
      <c r="E436" t="str">
        <f>_xlfn.XLOOKUP(_xlfn.XLOOKUP(Table9[[#This Row],[ProductName ]],products[productName],products[categoryID],,0),categories[categoryID],categories[categoryName],,0)</f>
        <v>Dairy Products</v>
      </c>
      <c r="F436">
        <v>16</v>
      </c>
      <c r="G436">
        <v>44</v>
      </c>
      <c r="H436">
        <v>0</v>
      </c>
      <c r="I436">
        <f>Table9[[#This Row],[quantity]]*Table9[[#This Row],[unitPrice]]*(1-Table9[[#This Row],[discount]]/100)</f>
        <v>704</v>
      </c>
      <c r="J436" t="str">
        <f>_xlfn.XLOOKUP(_xlfn.XLOOKUP(A436,orders[orderID],orders[customerID],,0),customers__2[customerID],customers__2[companyName],,0)</f>
        <v>Bottom-Dollar Markets</v>
      </c>
      <c r="K436" t="str">
        <f>_xlfn.XLOOKUP(Table9[[#This Row],[Company Name]],customers__2[companyName],customers__2[country],,0)</f>
        <v>Canada</v>
      </c>
      <c r="L436">
        <f>MONTH(Table9[[#This Row],[OrderDate ]])</f>
        <v>1</v>
      </c>
      <c r="M436" t="str">
        <f>TEXT(Table9[[#This Row],[OrderDate ]],"mmm")</f>
        <v>Jan</v>
      </c>
      <c r="N436">
        <f>YEAR(Table9[[#This Row],[OrderDate ]])</f>
        <v>2014</v>
      </c>
    </row>
    <row r="437" spans="1:14" x14ac:dyDescent="0.3">
      <c r="A437">
        <v>10411</v>
      </c>
      <c r="B437" s="2">
        <f>_xlfn.XLOOKUP(Table9[[#This Row],[orderID]],orders[orderID],orders[orderDate],,0)</f>
        <v>41649</v>
      </c>
      <c r="C437">
        <f>_xlfn.XLOOKUP(A437,order_details[orderID],order_details[productID],,0)</f>
        <v>41</v>
      </c>
      <c r="D437" t="str">
        <f>_xlfn.XLOOKUP(C437,products[productID],products[productName],,0)</f>
        <v>Jack's New England Clam Chowder</v>
      </c>
      <c r="E437" t="str">
        <f>_xlfn.XLOOKUP(_xlfn.XLOOKUP(Table9[[#This Row],[ProductName ]],products[productName],products[categoryID],,0),categories[categoryID],categories[categoryName],,0)</f>
        <v>Seafood</v>
      </c>
      <c r="F437">
        <v>25</v>
      </c>
      <c r="G437">
        <v>77</v>
      </c>
      <c r="H437">
        <v>2</v>
      </c>
      <c r="I437">
        <f>Table9[[#This Row],[quantity]]*Table9[[#This Row],[unitPrice]]*(1-Table9[[#This Row],[discount]]/100)</f>
        <v>1886.5</v>
      </c>
      <c r="J437" t="str">
        <f>_xlfn.XLOOKUP(_xlfn.XLOOKUP(A437,orders[orderID],orders[customerID],,0),customers__2[customerID],customers__2[companyName],,0)</f>
        <v>Bottom-Dollar Markets</v>
      </c>
      <c r="K437" t="str">
        <f>_xlfn.XLOOKUP(Table9[[#This Row],[Company Name]],customers__2[companyName],customers__2[country],,0)</f>
        <v>Canada</v>
      </c>
      <c r="L437">
        <f>MONTH(Table9[[#This Row],[OrderDate ]])</f>
        <v>1</v>
      </c>
      <c r="M437" t="str">
        <f>TEXT(Table9[[#This Row],[OrderDate ]],"mmm")</f>
        <v>Jan</v>
      </c>
      <c r="N437">
        <f>YEAR(Table9[[#This Row],[OrderDate ]])</f>
        <v>2014</v>
      </c>
    </row>
    <row r="438" spans="1:14" x14ac:dyDescent="0.3">
      <c r="A438">
        <v>10411</v>
      </c>
      <c r="B438" s="2">
        <f>_xlfn.XLOOKUP(Table9[[#This Row],[orderID]],orders[orderID],orders[orderDate],,0)</f>
        <v>41649</v>
      </c>
      <c r="C438">
        <f>_xlfn.XLOOKUP(A438,order_details[orderID],order_details[productID],,0)</f>
        <v>41</v>
      </c>
      <c r="D438" t="str">
        <f>_xlfn.XLOOKUP(C438,products[productID],products[productName],,0)</f>
        <v>Jack's New England Clam Chowder</v>
      </c>
      <c r="E438" t="str">
        <f>_xlfn.XLOOKUP(_xlfn.XLOOKUP(Table9[[#This Row],[ProductName ]],products[productName],products[categoryID],,0),categories[categoryID],categories[categoryName],,0)</f>
        <v>Seafood</v>
      </c>
      <c r="F438">
        <v>40</v>
      </c>
      <c r="G438">
        <v>155</v>
      </c>
      <c r="H438">
        <v>2</v>
      </c>
      <c r="I438">
        <f>Table9[[#This Row],[quantity]]*Table9[[#This Row],[unitPrice]]*(1-Table9[[#This Row],[discount]]/100)</f>
        <v>6076</v>
      </c>
      <c r="J438" t="str">
        <f>_xlfn.XLOOKUP(_xlfn.XLOOKUP(A438,orders[orderID],orders[customerID],,0),customers__2[customerID],customers__2[companyName],,0)</f>
        <v>Bottom-Dollar Markets</v>
      </c>
      <c r="K438" t="str">
        <f>_xlfn.XLOOKUP(Table9[[#This Row],[Company Name]],customers__2[companyName],customers__2[country],,0)</f>
        <v>Canada</v>
      </c>
      <c r="L438">
        <f>MONTH(Table9[[#This Row],[OrderDate ]])</f>
        <v>1</v>
      </c>
      <c r="M438" t="str">
        <f>TEXT(Table9[[#This Row],[OrderDate ]],"mmm")</f>
        <v>Jan</v>
      </c>
      <c r="N438">
        <f>YEAR(Table9[[#This Row],[OrderDate ]])</f>
        <v>2014</v>
      </c>
    </row>
    <row r="439" spans="1:14" x14ac:dyDescent="0.3">
      <c r="A439">
        <v>10411</v>
      </c>
      <c r="B439" s="2">
        <f>_xlfn.XLOOKUP(Table9[[#This Row],[orderID]],orders[orderID],orders[orderDate],,0)</f>
        <v>41649</v>
      </c>
      <c r="C439">
        <f>_xlfn.XLOOKUP(A439,order_details[orderID],order_details[productID],,0)</f>
        <v>41</v>
      </c>
      <c r="D439" t="str">
        <f>_xlfn.XLOOKUP(C439,products[productID],products[productName],,0)</f>
        <v>Jack's New England Clam Chowder</v>
      </c>
      <c r="E439" t="str">
        <f>_xlfn.XLOOKUP(_xlfn.XLOOKUP(Table9[[#This Row],[ProductName ]],products[productName],products[categoryID],,0),categories[categoryID],categories[categoryName],,0)</f>
        <v>Seafood</v>
      </c>
      <c r="F439">
        <v>9</v>
      </c>
      <c r="G439">
        <v>44</v>
      </c>
      <c r="H439">
        <v>2</v>
      </c>
      <c r="I439">
        <f>Table9[[#This Row],[quantity]]*Table9[[#This Row],[unitPrice]]*(1-Table9[[#This Row],[discount]]/100)</f>
        <v>388.08</v>
      </c>
      <c r="J439" t="str">
        <f>_xlfn.XLOOKUP(_xlfn.XLOOKUP(A439,orders[orderID],orders[customerID],,0),customers__2[customerID],customers__2[companyName],,0)</f>
        <v>Bottom-Dollar Markets</v>
      </c>
      <c r="K439" t="str">
        <f>_xlfn.XLOOKUP(Table9[[#This Row],[Company Name]],customers__2[companyName],customers__2[country],,0)</f>
        <v>Canada</v>
      </c>
      <c r="L439">
        <f>MONTH(Table9[[#This Row],[OrderDate ]])</f>
        <v>1</v>
      </c>
      <c r="M439" t="str">
        <f>TEXT(Table9[[#This Row],[OrderDate ]],"mmm")</f>
        <v>Jan</v>
      </c>
      <c r="N439">
        <f>YEAR(Table9[[#This Row],[OrderDate ]])</f>
        <v>2014</v>
      </c>
    </row>
    <row r="440" spans="1:14" x14ac:dyDescent="0.3">
      <c r="A440">
        <v>10412</v>
      </c>
      <c r="B440" s="2">
        <f>_xlfn.XLOOKUP(Table9[[#This Row],[orderID]],orders[orderID],orders[orderDate],,0)</f>
        <v>41652</v>
      </c>
      <c r="C440">
        <f>_xlfn.XLOOKUP(A440,order_details[orderID],order_details[productID],,0)</f>
        <v>14</v>
      </c>
      <c r="D440" t="str">
        <f>_xlfn.XLOOKUP(C440,products[productID],products[productName],,0)</f>
        <v>Tofu</v>
      </c>
      <c r="E440" t="str">
        <f>_xlfn.XLOOKUP(_xlfn.XLOOKUP(Table9[[#This Row],[ProductName ]],products[productName],products[categoryID],,0),categories[categoryID],categories[categoryName],,0)</f>
        <v>Produce</v>
      </c>
      <c r="F440">
        <v>20</v>
      </c>
      <c r="G440">
        <v>186</v>
      </c>
      <c r="H440">
        <v>1</v>
      </c>
      <c r="I440">
        <f>Table9[[#This Row],[quantity]]*Table9[[#This Row],[unitPrice]]*(1-Table9[[#This Row],[discount]]/100)</f>
        <v>3682.8</v>
      </c>
      <c r="J440" t="str">
        <f>_xlfn.XLOOKUP(_xlfn.XLOOKUP(A440,orders[orderID],orders[customerID],,0),customers__2[customerID],customers__2[companyName],,0)</f>
        <v>Wartian Herkku</v>
      </c>
      <c r="K440" t="str">
        <f>_xlfn.XLOOKUP(Table9[[#This Row],[Company Name]],customers__2[companyName],customers__2[country],,0)</f>
        <v>Finland</v>
      </c>
      <c r="L440">
        <f>MONTH(Table9[[#This Row],[OrderDate ]])</f>
        <v>1</v>
      </c>
      <c r="M440" t="str">
        <f>TEXT(Table9[[#This Row],[OrderDate ]],"mmm")</f>
        <v>Jan</v>
      </c>
      <c r="N440">
        <f>YEAR(Table9[[#This Row],[OrderDate ]])</f>
        <v>2014</v>
      </c>
    </row>
    <row r="441" spans="1:14" x14ac:dyDescent="0.3">
      <c r="A441">
        <v>10413</v>
      </c>
      <c r="B441" s="2">
        <f>_xlfn.XLOOKUP(Table9[[#This Row],[orderID]],orders[orderID],orders[orderDate],,0)</f>
        <v>41653</v>
      </c>
      <c r="C441">
        <f>_xlfn.XLOOKUP(A441,order_details[orderID],order_details[productID],,0)</f>
        <v>1</v>
      </c>
      <c r="D441" t="str">
        <f>_xlfn.XLOOKUP(C441,products[productID],products[productName],,0)</f>
        <v>Chai</v>
      </c>
      <c r="E441" t="str">
        <f>_xlfn.XLOOKUP(_xlfn.XLOOKUP(Table9[[#This Row],[ProductName ]],products[productName],products[categoryID],,0),categories[categoryID],categories[categoryName],,0)</f>
        <v>Beverages</v>
      </c>
      <c r="F441">
        <v>24</v>
      </c>
      <c r="G441">
        <v>144</v>
      </c>
      <c r="H441">
        <v>0</v>
      </c>
      <c r="I441">
        <f>Table9[[#This Row],[quantity]]*Table9[[#This Row],[unitPrice]]*(1-Table9[[#This Row],[discount]]/100)</f>
        <v>3456</v>
      </c>
      <c r="J441" t="str">
        <f>_xlfn.XLOOKUP(_xlfn.XLOOKUP(A441,orders[orderID],orders[customerID],,0),customers__2[customerID],customers__2[companyName],,0)</f>
        <v>La maison d'Asie</v>
      </c>
      <c r="K441" t="str">
        <f>_xlfn.XLOOKUP(Table9[[#This Row],[Company Name]],customers__2[companyName],customers__2[country],,0)</f>
        <v>France</v>
      </c>
      <c r="L441">
        <f>MONTH(Table9[[#This Row],[OrderDate ]])</f>
        <v>1</v>
      </c>
      <c r="M441" t="str">
        <f>TEXT(Table9[[#This Row],[OrderDate ]],"mmm")</f>
        <v>Jan</v>
      </c>
      <c r="N441">
        <f>YEAR(Table9[[#This Row],[OrderDate ]])</f>
        <v>2014</v>
      </c>
    </row>
    <row r="442" spans="1:14" x14ac:dyDescent="0.3">
      <c r="A442">
        <v>10413</v>
      </c>
      <c r="B442" s="2">
        <f>_xlfn.XLOOKUP(Table9[[#This Row],[orderID]],orders[orderID],orders[orderDate],,0)</f>
        <v>41653</v>
      </c>
      <c r="C442">
        <f>_xlfn.XLOOKUP(A442,order_details[orderID],order_details[productID],,0)</f>
        <v>1</v>
      </c>
      <c r="D442" t="str">
        <f>_xlfn.XLOOKUP(C442,products[productID],products[productName],,0)</f>
        <v>Chai</v>
      </c>
      <c r="E442" t="str">
        <f>_xlfn.XLOOKUP(_xlfn.XLOOKUP(Table9[[#This Row],[ProductName ]],products[productName],products[categoryID],,0),categories[categoryID],categories[categoryName],,0)</f>
        <v>Beverages</v>
      </c>
      <c r="F442">
        <v>40</v>
      </c>
      <c r="G442">
        <v>394</v>
      </c>
      <c r="H442">
        <v>0</v>
      </c>
      <c r="I442">
        <f>Table9[[#This Row],[quantity]]*Table9[[#This Row],[unitPrice]]*(1-Table9[[#This Row],[discount]]/100)</f>
        <v>15760</v>
      </c>
      <c r="J442" t="str">
        <f>_xlfn.XLOOKUP(_xlfn.XLOOKUP(A442,orders[orderID],orders[customerID],,0),customers__2[customerID],customers__2[companyName],,0)</f>
        <v>La maison d'Asie</v>
      </c>
      <c r="K442" t="str">
        <f>_xlfn.XLOOKUP(Table9[[#This Row],[Company Name]],customers__2[companyName],customers__2[country],,0)</f>
        <v>France</v>
      </c>
      <c r="L442">
        <f>MONTH(Table9[[#This Row],[OrderDate ]])</f>
        <v>1</v>
      </c>
      <c r="M442" t="str">
        <f>TEXT(Table9[[#This Row],[OrderDate ]],"mmm")</f>
        <v>Jan</v>
      </c>
      <c r="N442">
        <f>YEAR(Table9[[#This Row],[OrderDate ]])</f>
        <v>2014</v>
      </c>
    </row>
    <row r="443" spans="1:14" x14ac:dyDescent="0.3">
      <c r="A443">
        <v>10413</v>
      </c>
      <c r="B443" s="2">
        <f>_xlfn.XLOOKUP(Table9[[#This Row],[orderID]],orders[orderID],orders[orderDate],,0)</f>
        <v>41653</v>
      </c>
      <c r="C443">
        <f>_xlfn.XLOOKUP(A443,order_details[orderID],order_details[productID],,0)</f>
        <v>1</v>
      </c>
      <c r="D443" t="str">
        <f>_xlfn.XLOOKUP(C443,products[productID],products[productName],,0)</f>
        <v>Chai</v>
      </c>
      <c r="E443" t="str">
        <f>_xlfn.XLOOKUP(_xlfn.XLOOKUP(Table9[[#This Row],[ProductName ]],products[productName],products[categoryID],,0),categories[categoryID],categories[categoryName],,0)</f>
        <v>Beverages</v>
      </c>
      <c r="F443">
        <v>14</v>
      </c>
      <c r="G443">
        <v>144</v>
      </c>
      <c r="H443">
        <v>0</v>
      </c>
      <c r="I443">
        <f>Table9[[#This Row],[quantity]]*Table9[[#This Row],[unitPrice]]*(1-Table9[[#This Row],[discount]]/100)</f>
        <v>2016</v>
      </c>
      <c r="J443" t="str">
        <f>_xlfn.XLOOKUP(_xlfn.XLOOKUP(A443,orders[orderID],orders[customerID],,0),customers__2[customerID],customers__2[companyName],,0)</f>
        <v>La maison d'Asie</v>
      </c>
      <c r="K443" t="str">
        <f>_xlfn.XLOOKUP(Table9[[#This Row],[Company Name]],customers__2[companyName],customers__2[country],,0)</f>
        <v>France</v>
      </c>
      <c r="L443">
        <f>MONTH(Table9[[#This Row],[OrderDate ]])</f>
        <v>1</v>
      </c>
      <c r="M443" t="str">
        <f>TEXT(Table9[[#This Row],[OrderDate ]],"mmm")</f>
        <v>Jan</v>
      </c>
      <c r="N443">
        <f>YEAR(Table9[[#This Row],[OrderDate ]])</f>
        <v>2014</v>
      </c>
    </row>
    <row r="444" spans="1:14" x14ac:dyDescent="0.3">
      <c r="A444">
        <v>10414</v>
      </c>
      <c r="B444" s="2">
        <f>_xlfn.XLOOKUP(Table9[[#This Row],[orderID]],orders[orderID],orders[orderDate],,0)</f>
        <v>41653</v>
      </c>
      <c r="C444">
        <f>_xlfn.XLOOKUP(A444,order_details[orderID],order_details[productID],,0)</f>
        <v>19</v>
      </c>
      <c r="D444" t="str">
        <f>_xlfn.XLOOKUP(C444,products[productID],products[productName],,0)</f>
        <v>Teatime Chocolate Biscuits</v>
      </c>
      <c r="E444" t="str">
        <f>_xlfn.XLOOKUP(_xlfn.XLOOKUP(Table9[[#This Row],[ProductName ]],products[productName],products[categoryID],,0),categories[categoryID],categories[categoryName],,0)</f>
        <v>Confections</v>
      </c>
      <c r="F444">
        <v>18</v>
      </c>
      <c r="G444">
        <v>73</v>
      </c>
      <c r="H444">
        <v>5</v>
      </c>
      <c r="I444">
        <f>Table9[[#This Row],[quantity]]*Table9[[#This Row],[unitPrice]]*(1-Table9[[#This Row],[discount]]/100)</f>
        <v>1248.3</v>
      </c>
      <c r="J444" t="str">
        <f>_xlfn.XLOOKUP(_xlfn.XLOOKUP(A444,orders[orderID],orders[customerID],,0),customers__2[customerID],customers__2[companyName],,0)</f>
        <v>Familia Arquibaldo</v>
      </c>
      <c r="K444" t="str">
        <f>_xlfn.XLOOKUP(Table9[[#This Row],[Company Name]],customers__2[companyName],customers__2[country],,0)</f>
        <v>Brazil</v>
      </c>
      <c r="L444">
        <f>MONTH(Table9[[#This Row],[OrderDate ]])</f>
        <v>1</v>
      </c>
      <c r="M444" t="str">
        <f>TEXT(Table9[[#This Row],[OrderDate ]],"mmm")</f>
        <v>Jan</v>
      </c>
      <c r="N444">
        <f>YEAR(Table9[[#This Row],[OrderDate ]])</f>
        <v>2014</v>
      </c>
    </row>
    <row r="445" spans="1:14" x14ac:dyDescent="0.3">
      <c r="A445">
        <v>10414</v>
      </c>
      <c r="B445" s="2">
        <f>_xlfn.XLOOKUP(Table9[[#This Row],[orderID]],orders[orderID],orders[orderDate],,0)</f>
        <v>41653</v>
      </c>
      <c r="C445">
        <f>_xlfn.XLOOKUP(A445,order_details[orderID],order_details[productID],,0)</f>
        <v>19</v>
      </c>
      <c r="D445" t="str">
        <f>_xlfn.XLOOKUP(C445,products[productID],products[productName],,0)</f>
        <v>Teatime Chocolate Biscuits</v>
      </c>
      <c r="E445" t="str">
        <f>_xlfn.XLOOKUP(_xlfn.XLOOKUP(Table9[[#This Row],[ProductName ]],products[productName],products[categoryID],,0),categories[categoryID],categories[categoryName],,0)</f>
        <v>Confections</v>
      </c>
      <c r="F445">
        <v>50</v>
      </c>
      <c r="G445">
        <v>2</v>
      </c>
      <c r="H445">
        <v>0</v>
      </c>
      <c r="I445">
        <f>Table9[[#This Row],[quantity]]*Table9[[#This Row],[unitPrice]]*(1-Table9[[#This Row],[discount]]/100)</f>
        <v>100</v>
      </c>
      <c r="J445" t="str">
        <f>_xlfn.XLOOKUP(_xlfn.XLOOKUP(A445,orders[orderID],orders[customerID],,0),customers__2[customerID],customers__2[companyName],,0)</f>
        <v>Familia Arquibaldo</v>
      </c>
      <c r="K445" t="str">
        <f>_xlfn.XLOOKUP(Table9[[#This Row],[Company Name]],customers__2[companyName],customers__2[country],,0)</f>
        <v>Brazil</v>
      </c>
      <c r="L445">
        <f>MONTH(Table9[[#This Row],[OrderDate ]])</f>
        <v>1</v>
      </c>
      <c r="M445" t="str">
        <f>TEXT(Table9[[#This Row],[OrderDate ]],"mmm")</f>
        <v>Jan</v>
      </c>
      <c r="N445">
        <f>YEAR(Table9[[#This Row],[OrderDate ]])</f>
        <v>2014</v>
      </c>
    </row>
    <row r="446" spans="1:14" x14ac:dyDescent="0.3">
      <c r="A446">
        <v>10415</v>
      </c>
      <c r="B446" s="2">
        <f>_xlfn.XLOOKUP(Table9[[#This Row],[orderID]],orders[orderID],orders[orderDate],,0)</f>
        <v>41654</v>
      </c>
      <c r="C446">
        <f>_xlfn.XLOOKUP(A446,order_details[orderID],order_details[productID],,0)</f>
        <v>17</v>
      </c>
      <c r="D446" t="str">
        <f>_xlfn.XLOOKUP(C446,products[productID],products[productName],,0)</f>
        <v>Alice Mutton</v>
      </c>
      <c r="E446" t="str">
        <f>_xlfn.XLOOKUP(_xlfn.XLOOKUP(Table9[[#This Row],[ProductName ]],products[productName],products[categoryID],,0),categories[categoryID],categories[categoryName],,0)</f>
        <v>Meat &amp; Poultry</v>
      </c>
      <c r="F446">
        <v>2</v>
      </c>
      <c r="G446">
        <v>312</v>
      </c>
      <c r="H446">
        <v>0</v>
      </c>
      <c r="I446">
        <f>Table9[[#This Row],[quantity]]*Table9[[#This Row],[unitPrice]]*(1-Table9[[#This Row],[discount]]/100)</f>
        <v>624</v>
      </c>
      <c r="J446" t="str">
        <f>_xlfn.XLOOKUP(_xlfn.XLOOKUP(A446,orders[orderID],orders[customerID],,0),customers__2[customerID],customers__2[companyName],,0)</f>
        <v>Hungry Coyote Import Store</v>
      </c>
      <c r="K446" t="str">
        <f>_xlfn.XLOOKUP(Table9[[#This Row],[Company Name]],customers__2[companyName],customers__2[country],,0)</f>
        <v>USA</v>
      </c>
      <c r="L446">
        <f>MONTH(Table9[[#This Row],[OrderDate ]])</f>
        <v>1</v>
      </c>
      <c r="M446" t="str">
        <f>TEXT(Table9[[#This Row],[OrderDate ]],"mmm")</f>
        <v>Jan</v>
      </c>
      <c r="N446">
        <f>YEAR(Table9[[#This Row],[OrderDate ]])</f>
        <v>2014</v>
      </c>
    </row>
    <row r="447" spans="1:14" x14ac:dyDescent="0.3">
      <c r="A447">
        <v>10415</v>
      </c>
      <c r="B447" s="2">
        <f>_xlfn.XLOOKUP(Table9[[#This Row],[orderID]],orders[orderID],orders[orderDate],,0)</f>
        <v>41654</v>
      </c>
      <c r="C447">
        <f>_xlfn.XLOOKUP(A447,order_details[orderID],order_details[productID],,0)</f>
        <v>17</v>
      </c>
      <c r="D447" t="str">
        <f>_xlfn.XLOOKUP(C447,products[productID],products[productName],,0)</f>
        <v>Alice Mutton</v>
      </c>
      <c r="E447" t="str">
        <f>_xlfn.XLOOKUP(_xlfn.XLOOKUP(Table9[[#This Row],[ProductName ]],products[productName],products[categoryID],,0),categories[categoryID],categories[categoryName],,0)</f>
        <v>Meat &amp; Poultry</v>
      </c>
      <c r="F447">
        <v>20</v>
      </c>
      <c r="G447">
        <v>2</v>
      </c>
      <c r="H447">
        <v>0</v>
      </c>
      <c r="I447">
        <f>Table9[[#This Row],[quantity]]*Table9[[#This Row],[unitPrice]]*(1-Table9[[#This Row],[discount]]/100)</f>
        <v>40</v>
      </c>
      <c r="J447" t="str">
        <f>_xlfn.XLOOKUP(_xlfn.XLOOKUP(A447,orders[orderID],orders[customerID],,0),customers__2[customerID],customers__2[companyName],,0)</f>
        <v>Hungry Coyote Import Store</v>
      </c>
      <c r="K447" t="str">
        <f>_xlfn.XLOOKUP(Table9[[#This Row],[Company Name]],customers__2[companyName],customers__2[country],,0)</f>
        <v>USA</v>
      </c>
      <c r="L447">
        <f>MONTH(Table9[[#This Row],[OrderDate ]])</f>
        <v>1</v>
      </c>
      <c r="M447" t="str">
        <f>TEXT(Table9[[#This Row],[OrderDate ]],"mmm")</f>
        <v>Jan</v>
      </c>
      <c r="N447">
        <f>YEAR(Table9[[#This Row],[OrderDate ]])</f>
        <v>2014</v>
      </c>
    </row>
    <row r="448" spans="1:14" x14ac:dyDescent="0.3">
      <c r="A448">
        <v>10416</v>
      </c>
      <c r="B448" s="2">
        <f>_xlfn.XLOOKUP(Table9[[#This Row],[orderID]],orders[orderID],orders[orderDate],,0)</f>
        <v>41655</v>
      </c>
      <c r="C448">
        <f>_xlfn.XLOOKUP(A448,order_details[orderID],order_details[productID],,0)</f>
        <v>19</v>
      </c>
      <c r="D448" t="str">
        <f>_xlfn.XLOOKUP(C448,products[productID],products[productName],,0)</f>
        <v>Teatime Chocolate Biscuits</v>
      </c>
      <c r="E448" t="str">
        <f>_xlfn.XLOOKUP(_xlfn.XLOOKUP(Table9[[#This Row],[ProductName ]],products[productName],products[categoryID],,0),categories[categoryID],categories[categoryName],,0)</f>
        <v>Confections</v>
      </c>
      <c r="F448">
        <v>20</v>
      </c>
      <c r="G448">
        <v>73</v>
      </c>
      <c r="H448">
        <v>0</v>
      </c>
      <c r="I448">
        <f>Table9[[#This Row],[quantity]]*Table9[[#This Row],[unitPrice]]*(1-Table9[[#This Row],[discount]]/100)</f>
        <v>1460</v>
      </c>
      <c r="J448" t="str">
        <f>_xlfn.XLOOKUP(_xlfn.XLOOKUP(A448,orders[orderID],orders[customerID],,0),customers__2[customerID],customers__2[companyName],,0)</f>
        <v>Wartian Herkku</v>
      </c>
      <c r="K448" t="str">
        <f>_xlfn.XLOOKUP(Table9[[#This Row],[Company Name]],customers__2[companyName],customers__2[country],,0)</f>
        <v>Finland</v>
      </c>
      <c r="L448">
        <f>MONTH(Table9[[#This Row],[OrderDate ]])</f>
        <v>1</v>
      </c>
      <c r="M448" t="str">
        <f>TEXT(Table9[[#This Row],[OrderDate ]],"mmm")</f>
        <v>Jan</v>
      </c>
      <c r="N448">
        <f>YEAR(Table9[[#This Row],[OrderDate ]])</f>
        <v>2014</v>
      </c>
    </row>
    <row r="449" spans="1:14" x14ac:dyDescent="0.3">
      <c r="A449">
        <v>10416</v>
      </c>
      <c r="B449" s="2">
        <f>_xlfn.XLOOKUP(Table9[[#This Row],[orderID]],orders[orderID],orders[orderDate],,0)</f>
        <v>41655</v>
      </c>
      <c r="C449">
        <f>_xlfn.XLOOKUP(A449,order_details[orderID],order_details[productID],,0)</f>
        <v>19</v>
      </c>
      <c r="D449" t="str">
        <f>_xlfn.XLOOKUP(C449,products[productID],products[productName],,0)</f>
        <v>Teatime Chocolate Biscuits</v>
      </c>
      <c r="E449" t="str">
        <f>_xlfn.XLOOKUP(_xlfn.XLOOKUP(Table9[[#This Row],[ProductName ]],products[productName],products[categoryID],,0),categories[categoryID],categories[categoryName],,0)</f>
        <v>Confections</v>
      </c>
      <c r="F449">
        <v>10</v>
      </c>
      <c r="G449">
        <v>262</v>
      </c>
      <c r="H449">
        <v>0</v>
      </c>
      <c r="I449">
        <f>Table9[[#This Row],[quantity]]*Table9[[#This Row],[unitPrice]]*(1-Table9[[#This Row],[discount]]/100)</f>
        <v>2620</v>
      </c>
      <c r="J449" t="str">
        <f>_xlfn.XLOOKUP(_xlfn.XLOOKUP(A449,orders[orderID],orders[customerID],,0),customers__2[customerID],customers__2[companyName],,0)</f>
        <v>Wartian Herkku</v>
      </c>
      <c r="K449" t="str">
        <f>_xlfn.XLOOKUP(Table9[[#This Row],[Company Name]],customers__2[companyName],customers__2[country],,0)</f>
        <v>Finland</v>
      </c>
      <c r="L449">
        <f>MONTH(Table9[[#This Row],[OrderDate ]])</f>
        <v>1</v>
      </c>
      <c r="M449" t="str">
        <f>TEXT(Table9[[#This Row],[OrderDate ]],"mmm")</f>
        <v>Jan</v>
      </c>
      <c r="N449">
        <f>YEAR(Table9[[#This Row],[OrderDate ]])</f>
        <v>2014</v>
      </c>
    </row>
    <row r="450" spans="1:14" x14ac:dyDescent="0.3">
      <c r="A450">
        <v>10416</v>
      </c>
      <c r="B450" s="2">
        <f>_xlfn.XLOOKUP(Table9[[#This Row],[orderID]],orders[orderID],orders[orderDate],,0)</f>
        <v>41655</v>
      </c>
      <c r="C450">
        <f>_xlfn.XLOOKUP(A450,order_details[orderID],order_details[productID],,0)</f>
        <v>19</v>
      </c>
      <c r="D450" t="str">
        <f>_xlfn.XLOOKUP(C450,products[productID],products[productName],,0)</f>
        <v>Teatime Chocolate Biscuits</v>
      </c>
      <c r="E450" t="str">
        <f>_xlfn.XLOOKUP(_xlfn.XLOOKUP(Table9[[#This Row],[ProductName ]],products[productName],products[categoryID],,0),categories[categoryID],categories[categoryName],,0)</f>
        <v>Confections</v>
      </c>
      <c r="F450">
        <v>20</v>
      </c>
      <c r="G450">
        <v>156</v>
      </c>
      <c r="H450">
        <v>0</v>
      </c>
      <c r="I450">
        <f>Table9[[#This Row],[quantity]]*Table9[[#This Row],[unitPrice]]*(1-Table9[[#This Row],[discount]]/100)</f>
        <v>3120</v>
      </c>
      <c r="J450" t="str">
        <f>_xlfn.XLOOKUP(_xlfn.XLOOKUP(A450,orders[orderID],orders[customerID],,0),customers__2[customerID],customers__2[companyName],,0)</f>
        <v>Wartian Herkku</v>
      </c>
      <c r="K450" t="str">
        <f>_xlfn.XLOOKUP(Table9[[#This Row],[Company Name]],customers__2[companyName],customers__2[country],,0)</f>
        <v>Finland</v>
      </c>
      <c r="L450">
        <f>MONTH(Table9[[#This Row],[OrderDate ]])</f>
        <v>1</v>
      </c>
      <c r="M450" t="str">
        <f>TEXT(Table9[[#This Row],[OrderDate ]],"mmm")</f>
        <v>Jan</v>
      </c>
      <c r="N450">
        <f>YEAR(Table9[[#This Row],[OrderDate ]])</f>
        <v>2014</v>
      </c>
    </row>
    <row r="451" spans="1:14" x14ac:dyDescent="0.3">
      <c r="A451">
        <v>10417</v>
      </c>
      <c r="B451" s="2">
        <f>_xlfn.XLOOKUP(Table9[[#This Row],[orderID]],orders[orderID],orders[orderDate],,0)</f>
        <v>41655</v>
      </c>
      <c r="C451">
        <f>_xlfn.XLOOKUP(A451,order_details[orderID],order_details[productID],,0)</f>
        <v>38</v>
      </c>
      <c r="D451" t="str">
        <f>_xlfn.XLOOKUP(C451,products[productID],products[productName],,0)</f>
        <v>Côte de Blaye</v>
      </c>
      <c r="E451" t="str">
        <f>_xlfn.XLOOKUP(_xlfn.XLOOKUP(Table9[[#This Row],[ProductName ]],products[productName],products[categoryID],,0),categories[categoryID],categories[categoryName],,0)</f>
        <v>Beverages</v>
      </c>
      <c r="F451">
        <v>50</v>
      </c>
      <c r="G451">
        <v>2108</v>
      </c>
      <c r="H451">
        <v>0</v>
      </c>
      <c r="I451">
        <f>Table9[[#This Row],[quantity]]*Table9[[#This Row],[unitPrice]]*(1-Table9[[#This Row],[discount]]/100)</f>
        <v>105400</v>
      </c>
      <c r="J451" t="str">
        <f>_xlfn.XLOOKUP(_xlfn.XLOOKUP(A451,orders[orderID],orders[customerID],,0),customers__2[customerID],customers__2[companyName],,0)</f>
        <v>Simons bistro</v>
      </c>
      <c r="K451" t="str">
        <f>_xlfn.XLOOKUP(Table9[[#This Row],[Company Name]],customers__2[companyName],customers__2[country],,0)</f>
        <v>Denmark</v>
      </c>
      <c r="L451">
        <f>MONTH(Table9[[#This Row],[OrderDate ]])</f>
        <v>1</v>
      </c>
      <c r="M451" t="str">
        <f>TEXT(Table9[[#This Row],[OrderDate ]],"mmm")</f>
        <v>Jan</v>
      </c>
      <c r="N451">
        <f>YEAR(Table9[[#This Row],[OrderDate ]])</f>
        <v>2014</v>
      </c>
    </row>
    <row r="452" spans="1:14" x14ac:dyDescent="0.3">
      <c r="A452">
        <v>10417</v>
      </c>
      <c r="B452" s="2">
        <f>_xlfn.XLOOKUP(Table9[[#This Row],[orderID]],orders[orderID],orders[orderDate],,0)</f>
        <v>41655</v>
      </c>
      <c r="C452">
        <f>_xlfn.XLOOKUP(A452,order_details[orderID],order_details[productID],,0)</f>
        <v>38</v>
      </c>
      <c r="D452" t="str">
        <f>_xlfn.XLOOKUP(C452,products[productID],products[productName],,0)</f>
        <v>Côte de Blaye</v>
      </c>
      <c r="E452" t="str">
        <f>_xlfn.XLOOKUP(_xlfn.XLOOKUP(Table9[[#This Row],[ProductName ]],products[productName],products[categoryID],,0),categories[categoryID],categories[categoryName],,0)</f>
        <v>Beverages</v>
      </c>
      <c r="F452">
        <v>2</v>
      </c>
      <c r="G452">
        <v>96</v>
      </c>
      <c r="H452">
        <v>25</v>
      </c>
      <c r="I452">
        <f>Table9[[#This Row],[quantity]]*Table9[[#This Row],[unitPrice]]*(1-Table9[[#This Row],[discount]]/100)</f>
        <v>144</v>
      </c>
      <c r="J452" t="str">
        <f>_xlfn.XLOOKUP(_xlfn.XLOOKUP(A452,orders[orderID],orders[customerID],,0),customers__2[customerID],customers__2[companyName],,0)</f>
        <v>Simons bistro</v>
      </c>
      <c r="K452" t="str">
        <f>_xlfn.XLOOKUP(Table9[[#This Row],[Company Name]],customers__2[companyName],customers__2[country],,0)</f>
        <v>Denmark</v>
      </c>
      <c r="L452">
        <f>MONTH(Table9[[#This Row],[OrderDate ]])</f>
        <v>1</v>
      </c>
      <c r="M452" t="str">
        <f>TEXT(Table9[[#This Row],[OrderDate ]],"mmm")</f>
        <v>Jan</v>
      </c>
      <c r="N452">
        <f>YEAR(Table9[[#This Row],[OrderDate ]])</f>
        <v>2014</v>
      </c>
    </row>
    <row r="453" spans="1:14" x14ac:dyDescent="0.3">
      <c r="A453">
        <v>10417</v>
      </c>
      <c r="B453" s="2">
        <f>_xlfn.XLOOKUP(Table9[[#This Row],[orderID]],orders[orderID],orders[orderDate],,0)</f>
        <v>41655</v>
      </c>
      <c r="C453">
        <f>_xlfn.XLOOKUP(A453,order_details[orderID],order_details[productID],,0)</f>
        <v>38</v>
      </c>
      <c r="D453" t="str">
        <f>_xlfn.XLOOKUP(C453,products[productID],products[productName],,0)</f>
        <v>Côte de Blaye</v>
      </c>
      <c r="E453" t="str">
        <f>_xlfn.XLOOKUP(_xlfn.XLOOKUP(Table9[[#This Row],[ProductName ]],products[productName],products[categoryID],,0),categories[categoryID],categories[categoryName],,0)</f>
        <v>Beverages</v>
      </c>
      <c r="F453">
        <v>36</v>
      </c>
      <c r="G453">
        <v>10</v>
      </c>
      <c r="H453">
        <v>25</v>
      </c>
      <c r="I453">
        <f>Table9[[#This Row],[quantity]]*Table9[[#This Row],[unitPrice]]*(1-Table9[[#This Row],[discount]]/100)</f>
        <v>270</v>
      </c>
      <c r="J453" t="str">
        <f>_xlfn.XLOOKUP(_xlfn.XLOOKUP(A453,orders[orderID],orders[customerID],,0),customers__2[customerID],customers__2[companyName],,0)</f>
        <v>Simons bistro</v>
      </c>
      <c r="K453" t="str">
        <f>_xlfn.XLOOKUP(Table9[[#This Row],[Company Name]],customers__2[companyName],customers__2[country],,0)</f>
        <v>Denmark</v>
      </c>
      <c r="L453">
        <f>MONTH(Table9[[#This Row],[OrderDate ]])</f>
        <v>1</v>
      </c>
      <c r="M453" t="str">
        <f>TEXT(Table9[[#This Row],[OrderDate ]],"mmm")</f>
        <v>Jan</v>
      </c>
      <c r="N453">
        <f>YEAR(Table9[[#This Row],[OrderDate ]])</f>
        <v>2014</v>
      </c>
    </row>
    <row r="454" spans="1:14" x14ac:dyDescent="0.3">
      <c r="A454">
        <v>10417</v>
      </c>
      <c r="B454" s="2">
        <f>_xlfn.XLOOKUP(Table9[[#This Row],[orderID]],orders[orderID],orders[orderDate],,0)</f>
        <v>41655</v>
      </c>
      <c r="C454">
        <f>_xlfn.XLOOKUP(A454,order_details[orderID],order_details[productID],,0)</f>
        <v>38</v>
      </c>
      <c r="D454" t="str">
        <f>_xlfn.XLOOKUP(C454,products[productID],products[productName],,0)</f>
        <v>Côte de Blaye</v>
      </c>
      <c r="E454" t="str">
        <f>_xlfn.XLOOKUP(_xlfn.XLOOKUP(Table9[[#This Row],[ProductName ]],products[productName],products[categoryID],,0),categories[categoryID],categories[categoryName],,0)</f>
        <v>Beverages</v>
      </c>
      <c r="F454">
        <v>35</v>
      </c>
      <c r="G454">
        <v>104</v>
      </c>
      <c r="H454">
        <v>0</v>
      </c>
      <c r="I454">
        <f>Table9[[#This Row],[quantity]]*Table9[[#This Row],[unitPrice]]*(1-Table9[[#This Row],[discount]]/100)</f>
        <v>3640</v>
      </c>
      <c r="J454" t="str">
        <f>_xlfn.XLOOKUP(_xlfn.XLOOKUP(A454,orders[orderID],orders[customerID],,0),customers__2[customerID],customers__2[companyName],,0)</f>
        <v>Simons bistro</v>
      </c>
      <c r="K454" t="str">
        <f>_xlfn.XLOOKUP(Table9[[#This Row],[Company Name]],customers__2[companyName],customers__2[country],,0)</f>
        <v>Denmark</v>
      </c>
      <c r="L454">
        <f>MONTH(Table9[[#This Row],[OrderDate ]])</f>
        <v>1</v>
      </c>
      <c r="M454" t="str">
        <f>TEXT(Table9[[#This Row],[OrderDate ]],"mmm")</f>
        <v>Jan</v>
      </c>
      <c r="N454">
        <f>YEAR(Table9[[#This Row],[OrderDate ]])</f>
        <v>2014</v>
      </c>
    </row>
    <row r="455" spans="1:14" x14ac:dyDescent="0.3">
      <c r="A455">
        <v>10418</v>
      </c>
      <c r="B455" s="2">
        <f>_xlfn.XLOOKUP(Table9[[#This Row],[orderID]],orders[orderID],orders[orderDate],,0)</f>
        <v>41656</v>
      </c>
      <c r="C455">
        <f>_xlfn.XLOOKUP(A455,order_details[orderID],order_details[productID],,0)</f>
        <v>2</v>
      </c>
      <c r="D455" t="str">
        <f>_xlfn.XLOOKUP(C455,products[productID],products[productName],,0)</f>
        <v>Chang</v>
      </c>
      <c r="E455" t="str">
        <f>_xlfn.XLOOKUP(_xlfn.XLOOKUP(Table9[[#This Row],[ProductName ]],products[productName],products[categoryID],,0),categories[categoryID],categories[categoryName],,0)</f>
        <v>Beverages</v>
      </c>
      <c r="F455">
        <v>60</v>
      </c>
      <c r="G455">
        <v>152</v>
      </c>
      <c r="H455">
        <v>0</v>
      </c>
      <c r="I455">
        <f>Table9[[#This Row],[quantity]]*Table9[[#This Row],[unitPrice]]*(1-Table9[[#This Row],[discount]]/100)</f>
        <v>9120</v>
      </c>
      <c r="J455" t="str">
        <f>_xlfn.XLOOKUP(_xlfn.XLOOKUP(A455,orders[orderID],orders[customerID],,0),customers__2[customerID],customers__2[companyName],,0)</f>
        <v>QUICK-Stop</v>
      </c>
      <c r="K455" t="str">
        <f>_xlfn.XLOOKUP(Table9[[#This Row],[Company Name]],customers__2[companyName],customers__2[country],,0)</f>
        <v>Germany</v>
      </c>
      <c r="L455">
        <f>MONTH(Table9[[#This Row],[OrderDate ]])</f>
        <v>1</v>
      </c>
      <c r="M455" t="str">
        <f>TEXT(Table9[[#This Row],[OrderDate ]],"mmm")</f>
        <v>Jan</v>
      </c>
      <c r="N455">
        <f>YEAR(Table9[[#This Row],[OrderDate ]])</f>
        <v>2014</v>
      </c>
    </row>
    <row r="456" spans="1:14" x14ac:dyDescent="0.3">
      <c r="A456">
        <v>10418</v>
      </c>
      <c r="B456" s="2">
        <f>_xlfn.XLOOKUP(Table9[[#This Row],[orderID]],orders[orderID],orders[orderDate],,0)</f>
        <v>41656</v>
      </c>
      <c r="C456">
        <f>_xlfn.XLOOKUP(A456,order_details[orderID],order_details[productID],,0)</f>
        <v>2</v>
      </c>
      <c r="D456" t="str">
        <f>_xlfn.XLOOKUP(C456,products[productID],products[productName],,0)</f>
        <v>Chang</v>
      </c>
      <c r="E456" t="str">
        <f>_xlfn.XLOOKUP(_xlfn.XLOOKUP(Table9[[#This Row],[ProductName ]],products[productName],products[categoryID],,0),categories[categoryID],categories[categoryName],,0)</f>
        <v>Beverages</v>
      </c>
      <c r="F456">
        <v>55</v>
      </c>
      <c r="G456">
        <v>76</v>
      </c>
      <c r="H456">
        <v>0</v>
      </c>
      <c r="I456">
        <f>Table9[[#This Row],[quantity]]*Table9[[#This Row],[unitPrice]]*(1-Table9[[#This Row],[discount]]/100)</f>
        <v>4180</v>
      </c>
      <c r="J456" t="str">
        <f>_xlfn.XLOOKUP(_xlfn.XLOOKUP(A456,orders[orderID],orders[customerID],,0),customers__2[customerID],customers__2[companyName],,0)</f>
        <v>QUICK-Stop</v>
      </c>
      <c r="K456" t="str">
        <f>_xlfn.XLOOKUP(Table9[[#This Row],[Company Name]],customers__2[companyName],customers__2[country],,0)</f>
        <v>Germany</v>
      </c>
      <c r="L456">
        <f>MONTH(Table9[[#This Row],[OrderDate ]])</f>
        <v>1</v>
      </c>
      <c r="M456" t="str">
        <f>TEXT(Table9[[#This Row],[OrderDate ]],"mmm")</f>
        <v>Jan</v>
      </c>
      <c r="N456">
        <f>YEAR(Table9[[#This Row],[OrderDate ]])</f>
        <v>2014</v>
      </c>
    </row>
    <row r="457" spans="1:14" x14ac:dyDescent="0.3">
      <c r="A457">
        <v>10418</v>
      </c>
      <c r="B457" s="2">
        <f>_xlfn.XLOOKUP(Table9[[#This Row],[orderID]],orders[orderID],orders[orderDate],,0)</f>
        <v>41656</v>
      </c>
      <c r="C457">
        <f>_xlfn.XLOOKUP(A457,order_details[orderID],order_details[productID],,0)</f>
        <v>2</v>
      </c>
      <c r="D457" t="str">
        <f>_xlfn.XLOOKUP(C457,products[productID],products[productName],,0)</f>
        <v>Chang</v>
      </c>
      <c r="E457" t="str">
        <f>_xlfn.XLOOKUP(_xlfn.XLOOKUP(Table9[[#This Row],[ProductName ]],products[productName],products[categoryID],,0),categories[categoryID],categories[categoryName],,0)</f>
        <v>Beverages</v>
      </c>
      <c r="F457">
        <v>16</v>
      </c>
      <c r="G457">
        <v>228</v>
      </c>
      <c r="H457">
        <v>0</v>
      </c>
      <c r="I457">
        <f>Table9[[#This Row],[quantity]]*Table9[[#This Row],[unitPrice]]*(1-Table9[[#This Row],[discount]]/100)</f>
        <v>3648</v>
      </c>
      <c r="J457" t="str">
        <f>_xlfn.XLOOKUP(_xlfn.XLOOKUP(A457,orders[orderID],orders[customerID],,0),customers__2[customerID],customers__2[companyName],,0)</f>
        <v>QUICK-Stop</v>
      </c>
      <c r="K457" t="str">
        <f>_xlfn.XLOOKUP(Table9[[#This Row],[Company Name]],customers__2[companyName],customers__2[country],,0)</f>
        <v>Germany</v>
      </c>
      <c r="L457">
        <f>MONTH(Table9[[#This Row],[OrderDate ]])</f>
        <v>1</v>
      </c>
      <c r="M457" t="str">
        <f>TEXT(Table9[[#This Row],[OrderDate ]],"mmm")</f>
        <v>Jan</v>
      </c>
      <c r="N457">
        <f>YEAR(Table9[[#This Row],[OrderDate ]])</f>
        <v>2014</v>
      </c>
    </row>
    <row r="458" spans="1:14" x14ac:dyDescent="0.3">
      <c r="A458">
        <v>10418</v>
      </c>
      <c r="B458" s="2">
        <f>_xlfn.XLOOKUP(Table9[[#This Row],[orderID]],orders[orderID],orders[orderDate],,0)</f>
        <v>41656</v>
      </c>
      <c r="C458">
        <f>_xlfn.XLOOKUP(A458,order_details[orderID],order_details[productID],,0)</f>
        <v>2</v>
      </c>
      <c r="D458" t="str">
        <f>_xlfn.XLOOKUP(C458,products[productID],products[productName],,0)</f>
        <v>Chang</v>
      </c>
      <c r="E458" t="str">
        <f>_xlfn.XLOOKUP(_xlfn.XLOOKUP(Table9[[#This Row],[ProductName ]],products[productName],products[categoryID],,0),categories[categoryID],categories[categoryName],,0)</f>
        <v>Beverages</v>
      </c>
      <c r="F458">
        <v>15</v>
      </c>
      <c r="G458">
        <v>8</v>
      </c>
      <c r="H458">
        <v>0</v>
      </c>
      <c r="I458">
        <f>Table9[[#This Row],[quantity]]*Table9[[#This Row],[unitPrice]]*(1-Table9[[#This Row],[discount]]/100)</f>
        <v>120</v>
      </c>
      <c r="J458" t="str">
        <f>_xlfn.XLOOKUP(_xlfn.XLOOKUP(A458,orders[orderID],orders[customerID],,0),customers__2[customerID],customers__2[companyName],,0)</f>
        <v>QUICK-Stop</v>
      </c>
      <c r="K458" t="str">
        <f>_xlfn.XLOOKUP(Table9[[#This Row],[Company Name]],customers__2[companyName],customers__2[country],,0)</f>
        <v>Germany</v>
      </c>
      <c r="L458">
        <f>MONTH(Table9[[#This Row],[OrderDate ]])</f>
        <v>1</v>
      </c>
      <c r="M458" t="str">
        <f>TEXT(Table9[[#This Row],[OrderDate ]],"mmm")</f>
        <v>Jan</v>
      </c>
      <c r="N458">
        <f>YEAR(Table9[[#This Row],[OrderDate ]])</f>
        <v>2014</v>
      </c>
    </row>
    <row r="459" spans="1:14" x14ac:dyDescent="0.3">
      <c r="A459">
        <v>10419</v>
      </c>
      <c r="B459" s="2">
        <f>_xlfn.XLOOKUP(Table9[[#This Row],[orderID]],orders[orderID],orders[orderDate],,0)</f>
        <v>41659</v>
      </c>
      <c r="C459">
        <f>_xlfn.XLOOKUP(A459,order_details[orderID],order_details[productID],,0)</f>
        <v>60</v>
      </c>
      <c r="D459" t="str">
        <f>_xlfn.XLOOKUP(C459,products[productID],products[productName],,0)</f>
        <v>Camembert Pierrot</v>
      </c>
      <c r="E459" t="str">
        <f>_xlfn.XLOOKUP(_xlfn.XLOOKUP(Table9[[#This Row],[ProductName ]],products[productName],products[categoryID],,0),categories[categoryID],categories[categoryName],,0)</f>
        <v>Dairy Products</v>
      </c>
      <c r="F459">
        <v>60</v>
      </c>
      <c r="G459">
        <v>272</v>
      </c>
      <c r="H459">
        <v>5</v>
      </c>
      <c r="I459">
        <f>Table9[[#This Row],[quantity]]*Table9[[#This Row],[unitPrice]]*(1-Table9[[#This Row],[discount]]/100)</f>
        <v>15504</v>
      </c>
      <c r="J459" t="str">
        <f>_xlfn.XLOOKUP(_xlfn.XLOOKUP(A459,orders[orderID],orders[customerID],,0),customers__2[customerID],customers__2[companyName],,0)</f>
        <v>Richter Supermarkt</v>
      </c>
      <c r="K459" t="str">
        <f>_xlfn.XLOOKUP(Table9[[#This Row],[Company Name]],customers__2[companyName],customers__2[country],,0)</f>
        <v>Switzerland</v>
      </c>
      <c r="L459">
        <f>MONTH(Table9[[#This Row],[OrderDate ]])</f>
        <v>1</v>
      </c>
      <c r="M459" t="str">
        <f>TEXT(Table9[[#This Row],[OrderDate ]],"mmm")</f>
        <v>Jan</v>
      </c>
      <c r="N459">
        <f>YEAR(Table9[[#This Row],[OrderDate ]])</f>
        <v>2014</v>
      </c>
    </row>
    <row r="460" spans="1:14" x14ac:dyDescent="0.3">
      <c r="A460">
        <v>10419</v>
      </c>
      <c r="B460" s="2">
        <f>_xlfn.XLOOKUP(Table9[[#This Row],[orderID]],orders[orderID],orders[orderDate],,0)</f>
        <v>41659</v>
      </c>
      <c r="C460">
        <f>_xlfn.XLOOKUP(A460,order_details[orderID],order_details[productID],,0)</f>
        <v>60</v>
      </c>
      <c r="D460" t="str">
        <f>_xlfn.XLOOKUP(C460,products[productID],products[productName],,0)</f>
        <v>Camembert Pierrot</v>
      </c>
      <c r="E460" t="str">
        <f>_xlfn.XLOOKUP(_xlfn.XLOOKUP(Table9[[#This Row],[ProductName ]],products[productName],products[categoryID],,0),categories[categoryID],categories[categoryName],,0)</f>
        <v>Dairy Products</v>
      </c>
      <c r="F460">
        <v>20</v>
      </c>
      <c r="G460">
        <v>288</v>
      </c>
      <c r="H460">
        <v>5</v>
      </c>
      <c r="I460">
        <f>Table9[[#This Row],[quantity]]*Table9[[#This Row],[unitPrice]]*(1-Table9[[#This Row],[discount]]/100)</f>
        <v>5472</v>
      </c>
      <c r="J460" t="str">
        <f>_xlfn.XLOOKUP(_xlfn.XLOOKUP(A460,orders[orderID],orders[customerID],,0),customers__2[customerID],customers__2[companyName],,0)</f>
        <v>Richter Supermarkt</v>
      </c>
      <c r="K460" t="str">
        <f>_xlfn.XLOOKUP(Table9[[#This Row],[Company Name]],customers__2[companyName],customers__2[country],,0)</f>
        <v>Switzerland</v>
      </c>
      <c r="L460">
        <f>MONTH(Table9[[#This Row],[OrderDate ]])</f>
        <v>1</v>
      </c>
      <c r="M460" t="str">
        <f>TEXT(Table9[[#This Row],[OrderDate ]],"mmm")</f>
        <v>Jan</v>
      </c>
      <c r="N460">
        <f>YEAR(Table9[[#This Row],[OrderDate ]])</f>
        <v>2014</v>
      </c>
    </row>
    <row r="461" spans="1:14" x14ac:dyDescent="0.3">
      <c r="A461">
        <v>10420</v>
      </c>
      <c r="B461" s="2">
        <f>_xlfn.XLOOKUP(Table9[[#This Row],[orderID]],orders[orderID],orders[orderDate],,0)</f>
        <v>41660</v>
      </c>
      <c r="C461">
        <f>_xlfn.XLOOKUP(A461,order_details[orderID],order_details[productID],,0)</f>
        <v>9</v>
      </c>
      <c r="D461" t="str">
        <f>_xlfn.XLOOKUP(C461,products[productID],products[productName],,0)</f>
        <v>Mishi Kobe Niku</v>
      </c>
      <c r="E461" t="str">
        <f>_xlfn.XLOOKUP(_xlfn.XLOOKUP(Table9[[#This Row],[ProductName ]],products[productName],products[categoryID],,0),categories[categoryID],categories[categoryName],,0)</f>
        <v>Meat &amp; Poultry</v>
      </c>
      <c r="F461">
        <v>20</v>
      </c>
      <c r="G461">
        <v>776</v>
      </c>
      <c r="H461">
        <v>1</v>
      </c>
      <c r="I461">
        <f>Table9[[#This Row],[quantity]]*Table9[[#This Row],[unitPrice]]*(1-Table9[[#This Row],[discount]]/100)</f>
        <v>15364.8</v>
      </c>
      <c r="J461" t="str">
        <f>_xlfn.XLOOKUP(_xlfn.XLOOKUP(A461,orders[orderID],orders[customerID],,0),customers__2[customerID],customers__2[companyName],,0)</f>
        <v>Wellington Importadora</v>
      </c>
      <c r="K461" t="str">
        <f>_xlfn.XLOOKUP(Table9[[#This Row],[Company Name]],customers__2[companyName],customers__2[country],,0)</f>
        <v>Brazil</v>
      </c>
      <c r="L461">
        <f>MONTH(Table9[[#This Row],[OrderDate ]])</f>
        <v>1</v>
      </c>
      <c r="M461" t="str">
        <f>TEXT(Table9[[#This Row],[OrderDate ]],"mmm")</f>
        <v>Jan</v>
      </c>
      <c r="N461">
        <f>YEAR(Table9[[#This Row],[OrderDate ]])</f>
        <v>2014</v>
      </c>
    </row>
    <row r="462" spans="1:14" x14ac:dyDescent="0.3">
      <c r="A462">
        <v>10420</v>
      </c>
      <c r="B462" s="2">
        <f>_xlfn.XLOOKUP(Table9[[#This Row],[orderID]],orders[orderID],orders[orderDate],,0)</f>
        <v>41660</v>
      </c>
      <c r="C462">
        <f>_xlfn.XLOOKUP(A462,order_details[orderID],order_details[productID],,0)</f>
        <v>9</v>
      </c>
      <c r="D462" t="str">
        <f>_xlfn.XLOOKUP(C462,products[productID],products[productName],,0)</f>
        <v>Mishi Kobe Niku</v>
      </c>
      <c r="E462" t="str">
        <f>_xlfn.XLOOKUP(_xlfn.XLOOKUP(Table9[[#This Row],[ProductName ]],products[productName],products[categoryID],,0),categories[categoryID],categories[categoryName],,0)</f>
        <v>Meat &amp; Poultry</v>
      </c>
      <c r="F462">
        <v>2</v>
      </c>
      <c r="G462">
        <v>48</v>
      </c>
      <c r="H462">
        <v>1</v>
      </c>
      <c r="I462">
        <f>Table9[[#This Row],[quantity]]*Table9[[#This Row],[unitPrice]]*(1-Table9[[#This Row],[discount]]/100)</f>
        <v>95.039999999999992</v>
      </c>
      <c r="J462" t="str">
        <f>_xlfn.XLOOKUP(_xlfn.XLOOKUP(A462,orders[orderID],orders[customerID],,0),customers__2[customerID],customers__2[companyName],,0)</f>
        <v>Wellington Importadora</v>
      </c>
      <c r="K462" t="str">
        <f>_xlfn.XLOOKUP(Table9[[#This Row],[Company Name]],customers__2[companyName],customers__2[country],,0)</f>
        <v>Brazil</v>
      </c>
      <c r="L462">
        <f>MONTH(Table9[[#This Row],[OrderDate ]])</f>
        <v>1</v>
      </c>
      <c r="M462" t="str">
        <f>TEXT(Table9[[#This Row],[OrderDate ]],"mmm")</f>
        <v>Jan</v>
      </c>
      <c r="N462">
        <f>YEAR(Table9[[#This Row],[OrderDate ]])</f>
        <v>2014</v>
      </c>
    </row>
    <row r="463" spans="1:14" x14ac:dyDescent="0.3">
      <c r="A463">
        <v>10420</v>
      </c>
      <c r="B463" s="2">
        <f>_xlfn.XLOOKUP(Table9[[#This Row],[orderID]],orders[orderID],orders[orderDate],,0)</f>
        <v>41660</v>
      </c>
      <c r="C463">
        <f>_xlfn.XLOOKUP(A463,order_details[orderID],order_details[productID],,0)</f>
        <v>9</v>
      </c>
      <c r="D463" t="str">
        <f>_xlfn.XLOOKUP(C463,products[productID],products[productName],,0)</f>
        <v>Mishi Kobe Niku</v>
      </c>
      <c r="E463" t="str">
        <f>_xlfn.XLOOKUP(_xlfn.XLOOKUP(Table9[[#This Row],[ProductName ]],products[productName],products[categoryID],,0),categories[categoryID],categories[categoryName],,0)</f>
        <v>Meat &amp; Poultry</v>
      </c>
      <c r="F463">
        <v>8</v>
      </c>
      <c r="G463">
        <v>12</v>
      </c>
      <c r="H463">
        <v>1</v>
      </c>
      <c r="I463">
        <f>Table9[[#This Row],[quantity]]*Table9[[#This Row],[unitPrice]]*(1-Table9[[#This Row],[discount]]/100)</f>
        <v>95.039999999999992</v>
      </c>
      <c r="J463" t="str">
        <f>_xlfn.XLOOKUP(_xlfn.XLOOKUP(A463,orders[orderID],orders[customerID],,0),customers__2[customerID],customers__2[companyName],,0)</f>
        <v>Wellington Importadora</v>
      </c>
      <c r="K463" t="str">
        <f>_xlfn.XLOOKUP(Table9[[#This Row],[Company Name]],customers__2[companyName],customers__2[country],,0)</f>
        <v>Brazil</v>
      </c>
      <c r="L463">
        <f>MONTH(Table9[[#This Row],[OrderDate ]])</f>
        <v>1</v>
      </c>
      <c r="M463" t="str">
        <f>TEXT(Table9[[#This Row],[OrderDate ]],"mmm")</f>
        <v>Jan</v>
      </c>
      <c r="N463">
        <f>YEAR(Table9[[#This Row],[OrderDate ]])</f>
        <v>2014</v>
      </c>
    </row>
    <row r="464" spans="1:14" x14ac:dyDescent="0.3">
      <c r="A464">
        <v>10420</v>
      </c>
      <c r="B464" s="2">
        <f>_xlfn.XLOOKUP(Table9[[#This Row],[orderID]],orders[orderID],orders[orderDate],,0)</f>
        <v>41660</v>
      </c>
      <c r="C464">
        <f>_xlfn.XLOOKUP(A464,order_details[orderID],order_details[productID],,0)</f>
        <v>9</v>
      </c>
      <c r="D464" t="str">
        <f>_xlfn.XLOOKUP(C464,products[productID],products[productName],,0)</f>
        <v>Mishi Kobe Niku</v>
      </c>
      <c r="E464" t="str">
        <f>_xlfn.XLOOKUP(_xlfn.XLOOKUP(Table9[[#This Row],[ProductName ]],products[productName],products[categoryID],,0),categories[categoryID],categories[categoryName],,0)</f>
        <v>Meat &amp; Poultry</v>
      </c>
      <c r="F464">
        <v>20</v>
      </c>
      <c r="G464">
        <v>12</v>
      </c>
      <c r="H464">
        <v>1</v>
      </c>
      <c r="I464">
        <f>Table9[[#This Row],[quantity]]*Table9[[#This Row],[unitPrice]]*(1-Table9[[#This Row],[discount]]/100)</f>
        <v>237.6</v>
      </c>
      <c r="J464" t="str">
        <f>_xlfn.XLOOKUP(_xlfn.XLOOKUP(A464,orders[orderID],orders[customerID],,0),customers__2[customerID],customers__2[companyName],,0)</f>
        <v>Wellington Importadora</v>
      </c>
      <c r="K464" t="str">
        <f>_xlfn.XLOOKUP(Table9[[#This Row],[Company Name]],customers__2[companyName],customers__2[country],,0)</f>
        <v>Brazil</v>
      </c>
      <c r="L464">
        <f>MONTH(Table9[[#This Row],[OrderDate ]])</f>
        <v>1</v>
      </c>
      <c r="M464" t="str">
        <f>TEXT(Table9[[#This Row],[OrderDate ]],"mmm")</f>
        <v>Jan</v>
      </c>
      <c r="N464">
        <f>YEAR(Table9[[#This Row],[OrderDate ]])</f>
        <v>2014</v>
      </c>
    </row>
    <row r="465" spans="1:14" x14ac:dyDescent="0.3">
      <c r="A465">
        <v>10421</v>
      </c>
      <c r="B465" s="2">
        <f>_xlfn.XLOOKUP(Table9[[#This Row],[orderID]],orders[orderID],orders[orderDate],,0)</f>
        <v>41660</v>
      </c>
      <c r="C465">
        <f>_xlfn.XLOOKUP(A465,order_details[orderID],order_details[productID],,0)</f>
        <v>19</v>
      </c>
      <c r="D465" t="str">
        <f>_xlfn.XLOOKUP(C465,products[productID],products[productName],,0)</f>
        <v>Teatime Chocolate Biscuits</v>
      </c>
      <c r="E465" t="str">
        <f>_xlfn.XLOOKUP(_xlfn.XLOOKUP(Table9[[#This Row],[ProductName ]],products[productName],products[categoryID],,0),categories[categoryID],categories[categoryName],,0)</f>
        <v>Confections</v>
      </c>
      <c r="F465">
        <v>4</v>
      </c>
      <c r="G465">
        <v>73</v>
      </c>
      <c r="H465">
        <v>15</v>
      </c>
      <c r="I465">
        <f>Table9[[#This Row],[quantity]]*Table9[[#This Row],[unitPrice]]*(1-Table9[[#This Row],[discount]]/100)</f>
        <v>248.2</v>
      </c>
      <c r="J465" t="str">
        <f>_xlfn.XLOOKUP(_xlfn.XLOOKUP(A465,orders[orderID],orders[customerID],,0),customers__2[customerID],customers__2[companyName],,0)</f>
        <v>Que Delícia</v>
      </c>
      <c r="K465" t="str">
        <f>_xlfn.XLOOKUP(Table9[[#This Row],[Company Name]],customers__2[companyName],customers__2[country],,0)</f>
        <v>Brazil</v>
      </c>
      <c r="L465">
        <f>MONTH(Table9[[#This Row],[OrderDate ]])</f>
        <v>1</v>
      </c>
      <c r="M465" t="str">
        <f>TEXT(Table9[[#This Row],[OrderDate ]],"mmm")</f>
        <v>Jan</v>
      </c>
      <c r="N465">
        <f>YEAR(Table9[[#This Row],[OrderDate ]])</f>
        <v>2014</v>
      </c>
    </row>
    <row r="466" spans="1:14" x14ac:dyDescent="0.3">
      <c r="A466">
        <v>10421</v>
      </c>
      <c r="B466" s="2">
        <f>_xlfn.XLOOKUP(Table9[[#This Row],[orderID]],orders[orderID],orders[orderDate],,0)</f>
        <v>41660</v>
      </c>
      <c r="C466">
        <f>_xlfn.XLOOKUP(A466,order_details[orderID],order_details[productID],,0)</f>
        <v>19</v>
      </c>
      <c r="D466" t="str">
        <f>_xlfn.XLOOKUP(C466,products[productID],products[productName],,0)</f>
        <v>Teatime Chocolate Biscuits</v>
      </c>
      <c r="E466" t="str">
        <f>_xlfn.XLOOKUP(_xlfn.XLOOKUP(Table9[[#This Row],[ProductName ]],products[productName],products[categoryID],,0),categories[categoryID],categories[categoryName],,0)</f>
        <v>Confections</v>
      </c>
      <c r="F466">
        <v>30</v>
      </c>
      <c r="G466">
        <v>249</v>
      </c>
      <c r="H466">
        <v>0</v>
      </c>
      <c r="I466">
        <f>Table9[[#This Row],[quantity]]*Table9[[#This Row],[unitPrice]]*(1-Table9[[#This Row],[discount]]/100)</f>
        <v>7470</v>
      </c>
      <c r="J466" t="str">
        <f>_xlfn.XLOOKUP(_xlfn.XLOOKUP(A466,orders[orderID],orders[customerID],,0),customers__2[customerID],customers__2[companyName],,0)</f>
        <v>Que Delícia</v>
      </c>
      <c r="K466" t="str">
        <f>_xlfn.XLOOKUP(Table9[[#This Row],[Company Name]],customers__2[companyName],customers__2[country],,0)</f>
        <v>Brazil</v>
      </c>
      <c r="L466">
        <f>MONTH(Table9[[#This Row],[OrderDate ]])</f>
        <v>1</v>
      </c>
      <c r="M466" t="str">
        <f>TEXT(Table9[[#This Row],[OrderDate ]],"mmm")</f>
        <v>Jan</v>
      </c>
      <c r="N466">
        <f>YEAR(Table9[[#This Row],[OrderDate ]])</f>
        <v>2014</v>
      </c>
    </row>
    <row r="467" spans="1:14" x14ac:dyDescent="0.3">
      <c r="A467">
        <v>10421</v>
      </c>
      <c r="B467" s="2">
        <f>_xlfn.XLOOKUP(Table9[[#This Row],[orderID]],orders[orderID],orders[orderDate],,0)</f>
        <v>41660</v>
      </c>
      <c r="C467">
        <f>_xlfn.XLOOKUP(A467,order_details[orderID],order_details[productID],,0)</f>
        <v>19</v>
      </c>
      <c r="D467" t="str">
        <f>_xlfn.XLOOKUP(C467,products[productID],products[productName],,0)</f>
        <v>Teatime Chocolate Biscuits</v>
      </c>
      <c r="E467" t="str">
        <f>_xlfn.XLOOKUP(_xlfn.XLOOKUP(Table9[[#This Row],[ProductName ]],products[productName],products[categoryID],,0),categories[categoryID],categories[categoryName],,0)</f>
        <v>Confections</v>
      </c>
      <c r="F467">
        <v>15</v>
      </c>
      <c r="G467">
        <v>262</v>
      </c>
      <c r="H467">
        <v>15</v>
      </c>
      <c r="I467">
        <f>Table9[[#This Row],[quantity]]*Table9[[#This Row],[unitPrice]]*(1-Table9[[#This Row],[discount]]/100)</f>
        <v>3340.5</v>
      </c>
      <c r="J467" t="str">
        <f>_xlfn.XLOOKUP(_xlfn.XLOOKUP(A467,orders[orderID],orders[customerID],,0),customers__2[customerID],customers__2[companyName],,0)</f>
        <v>Que Delícia</v>
      </c>
      <c r="K467" t="str">
        <f>_xlfn.XLOOKUP(Table9[[#This Row],[Company Name]],customers__2[companyName],customers__2[country],,0)</f>
        <v>Brazil</v>
      </c>
      <c r="L467">
        <f>MONTH(Table9[[#This Row],[OrderDate ]])</f>
        <v>1</v>
      </c>
      <c r="M467" t="str">
        <f>TEXT(Table9[[#This Row],[OrderDate ]],"mmm")</f>
        <v>Jan</v>
      </c>
      <c r="N467">
        <f>YEAR(Table9[[#This Row],[OrderDate ]])</f>
        <v>2014</v>
      </c>
    </row>
    <row r="468" spans="1:14" x14ac:dyDescent="0.3">
      <c r="A468">
        <v>10421</v>
      </c>
      <c r="B468" s="2">
        <f>_xlfn.XLOOKUP(Table9[[#This Row],[orderID]],orders[orderID],orders[orderDate],,0)</f>
        <v>41660</v>
      </c>
      <c r="C468">
        <f>_xlfn.XLOOKUP(A468,order_details[orderID],order_details[productID],,0)</f>
        <v>19</v>
      </c>
      <c r="D468" t="str">
        <f>_xlfn.XLOOKUP(C468,products[productID],products[productName],,0)</f>
        <v>Teatime Chocolate Biscuits</v>
      </c>
      <c r="E468" t="str">
        <f>_xlfn.XLOOKUP(_xlfn.XLOOKUP(Table9[[#This Row],[ProductName ]],products[productName],products[categoryID],,0),categories[categoryID],categories[categoryName],,0)</f>
        <v>Confections</v>
      </c>
      <c r="F468">
        <v>10</v>
      </c>
      <c r="G468">
        <v>104</v>
      </c>
      <c r="H468">
        <v>15</v>
      </c>
      <c r="I468">
        <f>Table9[[#This Row],[quantity]]*Table9[[#This Row],[unitPrice]]*(1-Table9[[#This Row],[discount]]/100)</f>
        <v>884</v>
      </c>
      <c r="J468" t="str">
        <f>_xlfn.XLOOKUP(_xlfn.XLOOKUP(A468,orders[orderID],orders[customerID],,0),customers__2[customerID],customers__2[companyName],,0)</f>
        <v>Que Delícia</v>
      </c>
      <c r="K468" t="str">
        <f>_xlfn.XLOOKUP(Table9[[#This Row],[Company Name]],customers__2[companyName],customers__2[country],,0)</f>
        <v>Brazil</v>
      </c>
      <c r="L468">
        <f>MONTH(Table9[[#This Row],[OrderDate ]])</f>
        <v>1</v>
      </c>
      <c r="M468" t="str">
        <f>TEXT(Table9[[#This Row],[OrderDate ]],"mmm")</f>
        <v>Jan</v>
      </c>
      <c r="N468">
        <f>YEAR(Table9[[#This Row],[OrderDate ]])</f>
        <v>2014</v>
      </c>
    </row>
    <row r="469" spans="1:14" x14ac:dyDescent="0.3">
      <c r="A469">
        <v>10422</v>
      </c>
      <c r="B469" s="2">
        <f>_xlfn.XLOOKUP(Table9[[#This Row],[orderID]],orders[orderID],orders[orderDate],,0)</f>
        <v>41661</v>
      </c>
      <c r="C469">
        <f>_xlfn.XLOOKUP(A469,order_details[orderID],order_details[productID],,0)</f>
        <v>26</v>
      </c>
      <c r="D469" t="str">
        <f>_xlfn.XLOOKUP(C469,products[productID],products[productName],,0)</f>
        <v>Gumbär Gummibärchen</v>
      </c>
      <c r="E469" t="str">
        <f>_xlfn.XLOOKUP(_xlfn.XLOOKUP(Table9[[#This Row],[ProductName ]],products[productName],products[categoryID],,0),categories[categoryID],categories[categoryName],,0)</f>
        <v>Confections</v>
      </c>
      <c r="F469">
        <v>2</v>
      </c>
      <c r="G469">
        <v>249</v>
      </c>
      <c r="H469">
        <v>0</v>
      </c>
      <c r="I469">
        <f>Table9[[#This Row],[quantity]]*Table9[[#This Row],[unitPrice]]*(1-Table9[[#This Row],[discount]]/100)</f>
        <v>498</v>
      </c>
      <c r="J469" t="str">
        <f>_xlfn.XLOOKUP(_xlfn.XLOOKUP(A469,orders[orderID],orders[customerID],,0),customers__2[customerID],customers__2[companyName],,0)</f>
        <v>Franchi S.p.A.</v>
      </c>
      <c r="K469" t="str">
        <f>_xlfn.XLOOKUP(Table9[[#This Row],[Company Name]],customers__2[companyName],customers__2[country],,0)</f>
        <v>Italy</v>
      </c>
      <c r="L469">
        <f>MONTH(Table9[[#This Row],[OrderDate ]])</f>
        <v>1</v>
      </c>
      <c r="M469" t="str">
        <f>TEXT(Table9[[#This Row],[OrderDate ]],"mmm")</f>
        <v>Jan</v>
      </c>
      <c r="N469">
        <f>YEAR(Table9[[#This Row],[OrderDate ]])</f>
        <v>2014</v>
      </c>
    </row>
    <row r="470" spans="1:14" x14ac:dyDescent="0.3">
      <c r="A470">
        <v>10423</v>
      </c>
      <c r="B470" s="2">
        <f>_xlfn.XLOOKUP(Table9[[#This Row],[orderID]],orders[orderID],orders[orderDate],,0)</f>
        <v>41662</v>
      </c>
      <c r="C470">
        <f>_xlfn.XLOOKUP(A470,order_details[orderID],order_details[productID],,0)</f>
        <v>31</v>
      </c>
      <c r="D470" t="str">
        <f>_xlfn.XLOOKUP(C470,products[productID],products[productName],,0)</f>
        <v>Gorgonzola Telino</v>
      </c>
      <c r="E470" t="str">
        <f>_xlfn.XLOOKUP(_xlfn.XLOOKUP(Table9[[#This Row],[ProductName ]],products[productName],products[categoryID],,0),categories[categoryID],categories[categoryName],,0)</f>
        <v>Dairy Products</v>
      </c>
      <c r="F470">
        <v>14</v>
      </c>
      <c r="G470">
        <v>10</v>
      </c>
      <c r="H470">
        <v>0</v>
      </c>
      <c r="I470">
        <f>Table9[[#This Row],[quantity]]*Table9[[#This Row],[unitPrice]]*(1-Table9[[#This Row],[discount]]/100)</f>
        <v>140</v>
      </c>
      <c r="J470" t="str">
        <f>_xlfn.XLOOKUP(_xlfn.XLOOKUP(A470,orders[orderID],orders[customerID],,0),customers__2[customerID],customers__2[companyName],,0)</f>
        <v>Gourmet Lanchonetes</v>
      </c>
      <c r="K470" t="str">
        <f>_xlfn.XLOOKUP(Table9[[#This Row],[Company Name]],customers__2[companyName],customers__2[country],,0)</f>
        <v>Brazil</v>
      </c>
      <c r="L470">
        <f>MONTH(Table9[[#This Row],[OrderDate ]])</f>
        <v>1</v>
      </c>
      <c r="M470" t="str">
        <f>TEXT(Table9[[#This Row],[OrderDate ]],"mmm")</f>
        <v>Jan</v>
      </c>
      <c r="N470">
        <f>YEAR(Table9[[#This Row],[OrderDate ]])</f>
        <v>2014</v>
      </c>
    </row>
    <row r="471" spans="1:14" x14ac:dyDescent="0.3">
      <c r="A471">
        <v>10423</v>
      </c>
      <c r="B471" s="2">
        <f>_xlfn.XLOOKUP(Table9[[#This Row],[orderID]],orders[orderID],orders[orderDate],,0)</f>
        <v>41662</v>
      </c>
      <c r="C471">
        <f>_xlfn.XLOOKUP(A471,order_details[orderID],order_details[productID],,0)</f>
        <v>31</v>
      </c>
      <c r="D471" t="str">
        <f>_xlfn.XLOOKUP(C471,products[productID],products[productName],,0)</f>
        <v>Gorgonzola Telino</v>
      </c>
      <c r="E471" t="str">
        <f>_xlfn.XLOOKUP(_xlfn.XLOOKUP(Table9[[#This Row],[ProductName ]],products[productName],products[categoryID],,0),categories[categoryID],categories[categoryName],,0)</f>
        <v>Dairy Products</v>
      </c>
      <c r="F471">
        <v>20</v>
      </c>
      <c r="G471">
        <v>44</v>
      </c>
      <c r="H471">
        <v>0</v>
      </c>
      <c r="I471">
        <f>Table9[[#This Row],[quantity]]*Table9[[#This Row],[unitPrice]]*(1-Table9[[#This Row],[discount]]/100)</f>
        <v>880</v>
      </c>
      <c r="J471" t="str">
        <f>_xlfn.XLOOKUP(_xlfn.XLOOKUP(A471,orders[orderID],orders[customerID],,0),customers__2[customerID],customers__2[companyName],,0)</f>
        <v>Gourmet Lanchonetes</v>
      </c>
      <c r="K471" t="str">
        <f>_xlfn.XLOOKUP(Table9[[#This Row],[Company Name]],customers__2[companyName],customers__2[country],,0)</f>
        <v>Brazil</v>
      </c>
      <c r="L471">
        <f>MONTH(Table9[[#This Row],[OrderDate ]])</f>
        <v>1</v>
      </c>
      <c r="M471" t="str">
        <f>TEXT(Table9[[#This Row],[OrderDate ]],"mmm")</f>
        <v>Jan</v>
      </c>
      <c r="N471">
        <f>YEAR(Table9[[#This Row],[OrderDate ]])</f>
        <v>2014</v>
      </c>
    </row>
    <row r="472" spans="1:14" x14ac:dyDescent="0.3">
      <c r="A472">
        <v>10424</v>
      </c>
      <c r="B472" s="2">
        <f>_xlfn.XLOOKUP(Table9[[#This Row],[orderID]],orders[orderID],orders[orderDate],,0)</f>
        <v>41662</v>
      </c>
      <c r="C472">
        <f>_xlfn.XLOOKUP(A472,order_details[orderID],order_details[productID],,0)</f>
        <v>35</v>
      </c>
      <c r="D472" t="str">
        <f>_xlfn.XLOOKUP(C472,products[productID],products[productName],,0)</f>
        <v>Steeleye Stout</v>
      </c>
      <c r="E472" t="str">
        <f>_xlfn.XLOOKUP(_xlfn.XLOOKUP(Table9[[#This Row],[ProductName ]],products[productName],products[categoryID],,0),categories[categoryID],categories[categoryName],,0)</f>
        <v>Beverages</v>
      </c>
      <c r="F472">
        <v>60</v>
      </c>
      <c r="G472">
        <v>144</v>
      </c>
      <c r="H472">
        <v>2</v>
      </c>
      <c r="I472">
        <f>Table9[[#This Row],[quantity]]*Table9[[#This Row],[unitPrice]]*(1-Table9[[#This Row],[discount]]/100)</f>
        <v>8467.2000000000007</v>
      </c>
      <c r="J472" t="str">
        <f>_xlfn.XLOOKUP(_xlfn.XLOOKUP(A472,orders[orderID],orders[customerID],,0),customers__2[customerID],customers__2[companyName],,0)</f>
        <v>Mère Paillarde</v>
      </c>
      <c r="K472" t="str">
        <f>_xlfn.XLOOKUP(Table9[[#This Row],[Company Name]],customers__2[companyName],customers__2[country],,0)</f>
        <v>Canada</v>
      </c>
      <c r="L472">
        <f>MONTH(Table9[[#This Row],[OrderDate ]])</f>
        <v>1</v>
      </c>
      <c r="M472" t="str">
        <f>TEXT(Table9[[#This Row],[OrderDate ]],"mmm")</f>
        <v>Jan</v>
      </c>
      <c r="N472">
        <f>YEAR(Table9[[#This Row],[OrderDate ]])</f>
        <v>2014</v>
      </c>
    </row>
    <row r="473" spans="1:14" x14ac:dyDescent="0.3">
      <c r="A473">
        <v>10424</v>
      </c>
      <c r="B473" s="2">
        <f>_xlfn.XLOOKUP(Table9[[#This Row],[orderID]],orders[orderID],orders[orderDate],,0)</f>
        <v>41662</v>
      </c>
      <c r="C473">
        <f>_xlfn.XLOOKUP(A473,order_details[orderID],order_details[productID],,0)</f>
        <v>35</v>
      </c>
      <c r="D473" t="str">
        <f>_xlfn.XLOOKUP(C473,products[productID],products[productName],,0)</f>
        <v>Steeleye Stout</v>
      </c>
      <c r="E473" t="str">
        <f>_xlfn.XLOOKUP(_xlfn.XLOOKUP(Table9[[#This Row],[ProductName ]],products[productName],products[categoryID],,0),categories[categoryID],categories[categoryName],,0)</f>
        <v>Beverages</v>
      </c>
      <c r="F473">
        <v>49</v>
      </c>
      <c r="G473">
        <v>2108</v>
      </c>
      <c r="H473">
        <v>2</v>
      </c>
      <c r="I473">
        <f>Table9[[#This Row],[quantity]]*Table9[[#This Row],[unitPrice]]*(1-Table9[[#This Row],[discount]]/100)</f>
        <v>101226.16</v>
      </c>
      <c r="J473" t="str">
        <f>_xlfn.XLOOKUP(_xlfn.XLOOKUP(A473,orders[orderID],orders[customerID],,0),customers__2[customerID],customers__2[companyName],,0)</f>
        <v>Mère Paillarde</v>
      </c>
      <c r="K473" t="str">
        <f>_xlfn.XLOOKUP(Table9[[#This Row],[Company Name]],customers__2[companyName],customers__2[country],,0)</f>
        <v>Canada</v>
      </c>
      <c r="L473">
        <f>MONTH(Table9[[#This Row],[OrderDate ]])</f>
        <v>1</v>
      </c>
      <c r="M473" t="str">
        <f>TEXT(Table9[[#This Row],[OrderDate ]],"mmm")</f>
        <v>Jan</v>
      </c>
      <c r="N473">
        <f>YEAR(Table9[[#This Row],[OrderDate ]])</f>
        <v>2014</v>
      </c>
    </row>
    <row r="474" spans="1:14" x14ac:dyDescent="0.3">
      <c r="A474">
        <v>10424</v>
      </c>
      <c r="B474" s="2">
        <f>_xlfn.XLOOKUP(Table9[[#This Row],[orderID]],orders[orderID],orders[orderDate],,0)</f>
        <v>41662</v>
      </c>
      <c r="C474">
        <f>_xlfn.XLOOKUP(A474,order_details[orderID],order_details[productID],,0)</f>
        <v>35</v>
      </c>
      <c r="D474" t="str">
        <f>_xlfn.XLOOKUP(C474,products[productID],products[productName],,0)</f>
        <v>Steeleye Stout</v>
      </c>
      <c r="E474" t="str">
        <f>_xlfn.XLOOKUP(_xlfn.XLOOKUP(Table9[[#This Row],[ProductName ]],products[productName],products[categoryID],,0),categories[categoryID],categories[categoryName],,0)</f>
        <v>Beverages</v>
      </c>
      <c r="F474">
        <v>30</v>
      </c>
      <c r="G474">
        <v>10</v>
      </c>
      <c r="H474">
        <v>2</v>
      </c>
      <c r="I474">
        <f>Table9[[#This Row],[quantity]]*Table9[[#This Row],[unitPrice]]*(1-Table9[[#This Row],[discount]]/100)</f>
        <v>294</v>
      </c>
      <c r="J474" t="str">
        <f>_xlfn.XLOOKUP(_xlfn.XLOOKUP(A474,orders[orderID],orders[customerID],,0),customers__2[customerID],customers__2[companyName],,0)</f>
        <v>Mère Paillarde</v>
      </c>
      <c r="K474" t="str">
        <f>_xlfn.XLOOKUP(Table9[[#This Row],[Company Name]],customers__2[companyName],customers__2[country],,0)</f>
        <v>Canada</v>
      </c>
      <c r="L474">
        <f>MONTH(Table9[[#This Row],[OrderDate ]])</f>
        <v>1</v>
      </c>
      <c r="M474" t="str">
        <f>TEXT(Table9[[#This Row],[OrderDate ]],"mmm")</f>
        <v>Jan</v>
      </c>
      <c r="N474">
        <f>YEAR(Table9[[#This Row],[OrderDate ]])</f>
        <v>2014</v>
      </c>
    </row>
    <row r="475" spans="1:14" x14ac:dyDescent="0.3">
      <c r="A475">
        <v>10425</v>
      </c>
      <c r="B475" s="2">
        <f>_xlfn.XLOOKUP(Table9[[#This Row],[orderID]],orders[orderID],orders[orderDate],,0)</f>
        <v>41663</v>
      </c>
      <c r="C475">
        <f>_xlfn.XLOOKUP(A475,order_details[orderID],order_details[productID],,0)</f>
        <v>55</v>
      </c>
      <c r="D475" t="str">
        <f>_xlfn.XLOOKUP(C475,products[productID],products[productName],,0)</f>
        <v>Pâté chinois</v>
      </c>
      <c r="E475" t="str">
        <f>_xlfn.XLOOKUP(_xlfn.XLOOKUP(Table9[[#This Row],[ProductName ]],products[productName],products[categoryID],,0),categories[categoryID],categories[categoryName],,0)</f>
        <v>Meat &amp; Poultry</v>
      </c>
      <c r="F475">
        <v>10</v>
      </c>
      <c r="G475">
        <v>192</v>
      </c>
      <c r="H475">
        <v>25</v>
      </c>
      <c r="I475">
        <f>Table9[[#This Row],[quantity]]*Table9[[#This Row],[unitPrice]]*(1-Table9[[#This Row],[discount]]/100)</f>
        <v>1440</v>
      </c>
      <c r="J475" t="str">
        <f>_xlfn.XLOOKUP(_xlfn.XLOOKUP(A475,orders[orderID],orders[customerID],,0),customers__2[customerID],customers__2[companyName],,0)</f>
        <v>La maison d'Asie</v>
      </c>
      <c r="K475" t="str">
        <f>_xlfn.XLOOKUP(Table9[[#This Row],[Company Name]],customers__2[companyName],customers__2[country],,0)</f>
        <v>France</v>
      </c>
      <c r="L475">
        <f>MONTH(Table9[[#This Row],[OrderDate ]])</f>
        <v>1</v>
      </c>
      <c r="M475" t="str">
        <f>TEXT(Table9[[#This Row],[OrderDate ]],"mmm")</f>
        <v>Jan</v>
      </c>
      <c r="N475">
        <f>YEAR(Table9[[#This Row],[OrderDate ]])</f>
        <v>2014</v>
      </c>
    </row>
    <row r="476" spans="1:14" x14ac:dyDescent="0.3">
      <c r="A476">
        <v>10425</v>
      </c>
      <c r="B476" s="2">
        <f>_xlfn.XLOOKUP(Table9[[#This Row],[orderID]],orders[orderID],orders[orderDate],,0)</f>
        <v>41663</v>
      </c>
      <c r="C476">
        <f>_xlfn.XLOOKUP(A476,order_details[orderID],order_details[productID],,0)</f>
        <v>55</v>
      </c>
      <c r="D476" t="str">
        <f>_xlfn.XLOOKUP(C476,products[productID],products[productName],,0)</f>
        <v>Pâté chinois</v>
      </c>
      <c r="E476" t="str">
        <f>_xlfn.XLOOKUP(_xlfn.XLOOKUP(Table9[[#This Row],[ProductName ]],products[productName],products[categoryID],,0),categories[categoryID],categories[categoryName],,0)</f>
        <v>Meat &amp; Poultry</v>
      </c>
      <c r="F476">
        <v>20</v>
      </c>
      <c r="G476">
        <v>144</v>
      </c>
      <c r="H476">
        <v>25</v>
      </c>
      <c r="I476">
        <f>Table9[[#This Row],[quantity]]*Table9[[#This Row],[unitPrice]]*(1-Table9[[#This Row],[discount]]/100)</f>
        <v>2160</v>
      </c>
      <c r="J476" t="str">
        <f>_xlfn.XLOOKUP(_xlfn.XLOOKUP(A476,orders[orderID],orders[customerID],,0),customers__2[customerID],customers__2[companyName],,0)</f>
        <v>La maison d'Asie</v>
      </c>
      <c r="K476" t="str">
        <f>_xlfn.XLOOKUP(Table9[[#This Row],[Company Name]],customers__2[companyName],customers__2[country],,0)</f>
        <v>France</v>
      </c>
      <c r="L476">
        <f>MONTH(Table9[[#This Row],[OrderDate ]])</f>
        <v>1</v>
      </c>
      <c r="M476" t="str">
        <f>TEXT(Table9[[#This Row],[OrderDate ]],"mmm")</f>
        <v>Jan</v>
      </c>
      <c r="N476">
        <f>YEAR(Table9[[#This Row],[OrderDate ]])</f>
        <v>2014</v>
      </c>
    </row>
    <row r="477" spans="1:14" x14ac:dyDescent="0.3">
      <c r="A477">
        <v>10426</v>
      </c>
      <c r="B477" s="2">
        <f>_xlfn.XLOOKUP(Table9[[#This Row],[orderID]],orders[orderID],orders[orderDate],,0)</f>
        <v>41666</v>
      </c>
      <c r="C477">
        <f>_xlfn.XLOOKUP(A477,order_details[orderID],order_details[productID],,0)</f>
        <v>56</v>
      </c>
      <c r="D477" t="str">
        <f>_xlfn.XLOOKUP(C477,products[productID],products[productName],,0)</f>
        <v>Gnocchi di nonna Alice</v>
      </c>
      <c r="E477" t="str">
        <f>_xlfn.XLOOKUP(_xlfn.XLOOKUP(Table9[[#This Row],[ProductName ]],products[productName],products[categoryID],,0),categories[categoryID],categories[categoryName],,0)</f>
        <v>Grains &amp; Cereals</v>
      </c>
      <c r="F477">
        <v>5</v>
      </c>
      <c r="G477">
        <v>304</v>
      </c>
      <c r="H477">
        <v>0</v>
      </c>
      <c r="I477">
        <f>Table9[[#This Row],[quantity]]*Table9[[#This Row],[unitPrice]]*(1-Table9[[#This Row],[discount]]/100)</f>
        <v>1520</v>
      </c>
      <c r="J477" t="str">
        <f>_xlfn.XLOOKUP(_xlfn.XLOOKUP(A477,orders[orderID],orders[customerID],,0),customers__2[customerID],customers__2[companyName],,0)</f>
        <v>Galería del gastrónomo</v>
      </c>
      <c r="K477" t="str">
        <f>_xlfn.XLOOKUP(Table9[[#This Row],[Company Name]],customers__2[companyName],customers__2[country],,0)</f>
        <v>Spain</v>
      </c>
      <c r="L477">
        <f>MONTH(Table9[[#This Row],[OrderDate ]])</f>
        <v>1</v>
      </c>
      <c r="M477" t="str">
        <f>TEXT(Table9[[#This Row],[OrderDate ]],"mmm")</f>
        <v>Jan</v>
      </c>
      <c r="N477">
        <f>YEAR(Table9[[#This Row],[OrderDate ]])</f>
        <v>2014</v>
      </c>
    </row>
    <row r="478" spans="1:14" x14ac:dyDescent="0.3">
      <c r="A478">
        <v>10426</v>
      </c>
      <c r="B478" s="2">
        <f>_xlfn.XLOOKUP(Table9[[#This Row],[orderID]],orders[orderID],orders[orderDate],,0)</f>
        <v>41666</v>
      </c>
      <c r="C478">
        <f>_xlfn.XLOOKUP(A478,order_details[orderID],order_details[productID],,0)</f>
        <v>56</v>
      </c>
      <c r="D478" t="str">
        <f>_xlfn.XLOOKUP(C478,products[productID],products[productName],,0)</f>
        <v>Gnocchi di nonna Alice</v>
      </c>
      <c r="E478" t="str">
        <f>_xlfn.XLOOKUP(_xlfn.XLOOKUP(Table9[[#This Row],[ProductName ]],products[productName],products[categoryID],,0),categories[categoryID],categories[categoryName],,0)</f>
        <v>Grains &amp; Cereals</v>
      </c>
      <c r="F478">
        <v>7</v>
      </c>
      <c r="G478">
        <v>266</v>
      </c>
      <c r="H478">
        <v>0</v>
      </c>
      <c r="I478">
        <f>Table9[[#This Row],[quantity]]*Table9[[#This Row],[unitPrice]]*(1-Table9[[#This Row],[discount]]/100)</f>
        <v>1862</v>
      </c>
      <c r="J478" t="str">
        <f>_xlfn.XLOOKUP(_xlfn.XLOOKUP(A478,orders[orderID],orders[customerID],,0),customers__2[customerID],customers__2[companyName],,0)</f>
        <v>Galería del gastrónomo</v>
      </c>
      <c r="K478" t="str">
        <f>_xlfn.XLOOKUP(Table9[[#This Row],[Company Name]],customers__2[companyName],customers__2[country],,0)</f>
        <v>Spain</v>
      </c>
      <c r="L478">
        <f>MONTH(Table9[[#This Row],[OrderDate ]])</f>
        <v>1</v>
      </c>
      <c r="M478" t="str">
        <f>TEXT(Table9[[#This Row],[OrderDate ]],"mmm")</f>
        <v>Jan</v>
      </c>
      <c r="N478">
        <f>YEAR(Table9[[#This Row],[OrderDate ]])</f>
        <v>2014</v>
      </c>
    </row>
    <row r="479" spans="1:14" x14ac:dyDescent="0.3">
      <c r="A479">
        <v>10427</v>
      </c>
      <c r="B479" s="2">
        <f>_xlfn.XLOOKUP(Table9[[#This Row],[orderID]],orders[orderID],orders[orderDate],,0)</f>
        <v>41666</v>
      </c>
      <c r="C479">
        <f>_xlfn.XLOOKUP(A479,order_details[orderID],order_details[productID],,0)</f>
        <v>14</v>
      </c>
      <c r="D479" t="str">
        <f>_xlfn.XLOOKUP(C479,products[productID],products[productName],,0)</f>
        <v>Tofu</v>
      </c>
      <c r="E479" t="str">
        <f>_xlfn.XLOOKUP(_xlfn.XLOOKUP(Table9[[#This Row],[ProductName ]],products[productName],products[categoryID],,0),categories[categoryID],categories[categoryName],,0)</f>
        <v>Produce</v>
      </c>
      <c r="F479">
        <v>35</v>
      </c>
      <c r="G479">
        <v>186</v>
      </c>
      <c r="H479">
        <v>0</v>
      </c>
      <c r="I479">
        <f>Table9[[#This Row],[quantity]]*Table9[[#This Row],[unitPrice]]*(1-Table9[[#This Row],[discount]]/100)</f>
        <v>6510</v>
      </c>
      <c r="J479" t="str">
        <f>_xlfn.XLOOKUP(_xlfn.XLOOKUP(A479,orders[orderID],orders[customerID],,0),customers__2[customerID],customers__2[companyName],,0)</f>
        <v>Piccolo und mehr</v>
      </c>
      <c r="K479" t="str">
        <f>_xlfn.XLOOKUP(Table9[[#This Row],[Company Name]],customers__2[companyName],customers__2[country],,0)</f>
        <v>Austria</v>
      </c>
      <c r="L479">
        <f>MONTH(Table9[[#This Row],[OrderDate ]])</f>
        <v>1</v>
      </c>
      <c r="M479" t="str">
        <f>TEXT(Table9[[#This Row],[OrderDate ]],"mmm")</f>
        <v>Jan</v>
      </c>
      <c r="N479">
        <f>YEAR(Table9[[#This Row],[OrderDate ]])</f>
        <v>2014</v>
      </c>
    </row>
    <row r="480" spans="1:14" x14ac:dyDescent="0.3">
      <c r="A480">
        <v>10428</v>
      </c>
      <c r="B480" s="2">
        <f>_xlfn.XLOOKUP(Table9[[#This Row],[orderID]],orders[orderID],orders[orderDate],,0)</f>
        <v>41667</v>
      </c>
      <c r="C480">
        <f>_xlfn.XLOOKUP(A480,order_details[orderID],order_details[productID],,0)</f>
        <v>46</v>
      </c>
      <c r="D480" t="str">
        <f>_xlfn.XLOOKUP(C480,products[productID],products[productName],,0)</f>
        <v>Spegesild</v>
      </c>
      <c r="E480" t="str">
        <f>_xlfn.XLOOKUP(_xlfn.XLOOKUP(Table9[[#This Row],[ProductName ]],products[productName],products[categoryID],,0),categories[categoryID],categories[categoryName],,0)</f>
        <v>Seafood</v>
      </c>
      <c r="F480">
        <v>20</v>
      </c>
      <c r="G480">
        <v>96</v>
      </c>
      <c r="H480">
        <v>0</v>
      </c>
      <c r="I480">
        <f>Table9[[#This Row],[quantity]]*Table9[[#This Row],[unitPrice]]*(1-Table9[[#This Row],[discount]]/100)</f>
        <v>1920</v>
      </c>
      <c r="J480" t="str">
        <f>_xlfn.XLOOKUP(_xlfn.XLOOKUP(A480,orders[orderID],orders[customerID],,0),customers__2[customerID],customers__2[companyName],,0)</f>
        <v>Reggiani Caseifici</v>
      </c>
      <c r="K480" t="str">
        <f>_xlfn.XLOOKUP(Table9[[#This Row],[Company Name]],customers__2[companyName],customers__2[country],,0)</f>
        <v>Italy</v>
      </c>
      <c r="L480">
        <f>MONTH(Table9[[#This Row],[OrderDate ]])</f>
        <v>1</v>
      </c>
      <c r="M480" t="str">
        <f>TEXT(Table9[[#This Row],[OrderDate ]],"mmm")</f>
        <v>Jan</v>
      </c>
      <c r="N480">
        <f>YEAR(Table9[[#This Row],[OrderDate ]])</f>
        <v>2014</v>
      </c>
    </row>
    <row r="481" spans="1:14" x14ac:dyDescent="0.3">
      <c r="A481">
        <v>10429</v>
      </c>
      <c r="B481" s="2">
        <f>_xlfn.XLOOKUP(Table9[[#This Row],[orderID]],orders[orderID],orders[orderDate],,0)</f>
        <v>41668</v>
      </c>
      <c r="C481">
        <f>_xlfn.XLOOKUP(A481,order_details[orderID],order_details[productID],,0)</f>
        <v>50</v>
      </c>
      <c r="D481" t="str">
        <f>_xlfn.XLOOKUP(C481,products[productID],products[productName],,0)</f>
        <v>Valkoinen suklaa</v>
      </c>
      <c r="E481" t="str">
        <f>_xlfn.XLOOKUP(_xlfn.XLOOKUP(Table9[[#This Row],[ProductName ]],products[productName],products[categoryID],,0),categories[categoryID],categories[categoryName],,0)</f>
        <v>Confections</v>
      </c>
      <c r="F481">
        <v>40</v>
      </c>
      <c r="G481">
        <v>13</v>
      </c>
      <c r="H481">
        <v>0</v>
      </c>
      <c r="I481">
        <f>Table9[[#This Row],[quantity]]*Table9[[#This Row],[unitPrice]]*(1-Table9[[#This Row],[discount]]/100)</f>
        <v>520</v>
      </c>
      <c r="J481" t="str">
        <f>_xlfn.XLOOKUP(_xlfn.XLOOKUP(A481,orders[orderID],orders[customerID],,0),customers__2[customerID],customers__2[companyName],,0)</f>
        <v>Hungry Owl All-Night Grocers</v>
      </c>
      <c r="K481" t="str">
        <f>_xlfn.XLOOKUP(Table9[[#This Row],[Company Name]],customers__2[companyName],customers__2[country],,0)</f>
        <v>Ireland</v>
      </c>
      <c r="L481">
        <f>MONTH(Table9[[#This Row],[OrderDate ]])</f>
        <v>1</v>
      </c>
      <c r="M481" t="str">
        <f>TEXT(Table9[[#This Row],[OrderDate ]],"mmm")</f>
        <v>Jan</v>
      </c>
      <c r="N481">
        <f>YEAR(Table9[[#This Row],[OrderDate ]])</f>
        <v>2014</v>
      </c>
    </row>
    <row r="482" spans="1:14" x14ac:dyDescent="0.3">
      <c r="A482">
        <v>10429</v>
      </c>
      <c r="B482" s="2">
        <f>_xlfn.XLOOKUP(Table9[[#This Row],[orderID]],orders[orderID],orders[orderDate],,0)</f>
        <v>41668</v>
      </c>
      <c r="C482">
        <f>_xlfn.XLOOKUP(A482,order_details[orderID],order_details[productID],,0)</f>
        <v>50</v>
      </c>
      <c r="D482" t="str">
        <f>_xlfn.XLOOKUP(C482,products[productID],products[productName],,0)</f>
        <v>Valkoinen suklaa</v>
      </c>
      <c r="E482" t="str">
        <f>_xlfn.XLOOKUP(_xlfn.XLOOKUP(Table9[[#This Row],[ProductName ]],products[productName],products[categoryID],,0),categories[categoryID],categories[categoryName],,0)</f>
        <v>Confections</v>
      </c>
      <c r="F482">
        <v>35</v>
      </c>
      <c r="G482">
        <v>351</v>
      </c>
      <c r="H482">
        <v>25</v>
      </c>
      <c r="I482">
        <f>Table9[[#This Row],[quantity]]*Table9[[#This Row],[unitPrice]]*(1-Table9[[#This Row],[discount]]/100)</f>
        <v>9213.75</v>
      </c>
      <c r="J482" t="str">
        <f>_xlfn.XLOOKUP(_xlfn.XLOOKUP(A482,orders[orderID],orders[customerID],,0),customers__2[customerID],customers__2[companyName],,0)</f>
        <v>Hungry Owl All-Night Grocers</v>
      </c>
      <c r="K482" t="str">
        <f>_xlfn.XLOOKUP(Table9[[#This Row],[Company Name]],customers__2[companyName],customers__2[country],,0)</f>
        <v>Ireland</v>
      </c>
      <c r="L482">
        <f>MONTH(Table9[[#This Row],[OrderDate ]])</f>
        <v>1</v>
      </c>
      <c r="M482" t="str">
        <f>TEXT(Table9[[#This Row],[OrderDate ]],"mmm")</f>
        <v>Jan</v>
      </c>
      <c r="N482">
        <f>YEAR(Table9[[#This Row],[OrderDate ]])</f>
        <v>2014</v>
      </c>
    </row>
    <row r="483" spans="1:14" x14ac:dyDescent="0.3">
      <c r="A483">
        <v>10430</v>
      </c>
      <c r="B483" s="2">
        <f>_xlfn.XLOOKUP(Table9[[#This Row],[orderID]],orders[orderID],orders[orderDate],,0)</f>
        <v>41669</v>
      </c>
      <c r="C483">
        <f>_xlfn.XLOOKUP(A483,order_details[orderID],order_details[productID],,0)</f>
        <v>17</v>
      </c>
      <c r="D483" t="str">
        <f>_xlfn.XLOOKUP(C483,products[productID],products[productName],,0)</f>
        <v>Alice Mutton</v>
      </c>
      <c r="E483" t="str">
        <f>_xlfn.XLOOKUP(_xlfn.XLOOKUP(Table9[[#This Row],[ProductName ]],products[productName],products[categoryID],,0),categories[categoryID],categories[categoryName],,0)</f>
        <v>Meat &amp; Poultry</v>
      </c>
      <c r="F483">
        <v>45</v>
      </c>
      <c r="G483">
        <v>312</v>
      </c>
      <c r="H483">
        <v>2</v>
      </c>
      <c r="I483">
        <f>Table9[[#This Row],[quantity]]*Table9[[#This Row],[unitPrice]]*(1-Table9[[#This Row],[discount]]/100)</f>
        <v>13759.199999999999</v>
      </c>
      <c r="J483" t="str">
        <f>_xlfn.XLOOKUP(_xlfn.XLOOKUP(A483,orders[orderID],orders[customerID],,0),customers__2[customerID],customers__2[companyName],,0)</f>
        <v>Ernst Handel</v>
      </c>
      <c r="K483" t="str">
        <f>_xlfn.XLOOKUP(Table9[[#This Row],[Company Name]],customers__2[companyName],customers__2[country],,0)</f>
        <v>Austria</v>
      </c>
      <c r="L483">
        <f>MONTH(Table9[[#This Row],[OrderDate ]])</f>
        <v>1</v>
      </c>
      <c r="M483" t="str">
        <f>TEXT(Table9[[#This Row],[OrderDate ]],"mmm")</f>
        <v>Jan</v>
      </c>
      <c r="N483">
        <f>YEAR(Table9[[#This Row],[OrderDate ]])</f>
        <v>2014</v>
      </c>
    </row>
    <row r="484" spans="1:14" x14ac:dyDescent="0.3">
      <c r="A484">
        <v>10430</v>
      </c>
      <c r="B484" s="2">
        <f>_xlfn.XLOOKUP(Table9[[#This Row],[orderID]],orders[orderID],orders[orderDate],,0)</f>
        <v>41669</v>
      </c>
      <c r="C484">
        <f>_xlfn.XLOOKUP(A484,order_details[orderID],order_details[productID],,0)</f>
        <v>17</v>
      </c>
      <c r="D484" t="str">
        <f>_xlfn.XLOOKUP(C484,products[productID],products[productName],,0)</f>
        <v>Alice Mutton</v>
      </c>
      <c r="E484" t="str">
        <f>_xlfn.XLOOKUP(_xlfn.XLOOKUP(Table9[[#This Row],[ProductName ]],products[productName],products[categoryID],,0),categories[categoryID],categories[categoryName],,0)</f>
        <v>Meat &amp; Poultry</v>
      </c>
      <c r="F484">
        <v>50</v>
      </c>
      <c r="G484">
        <v>8</v>
      </c>
      <c r="H484">
        <v>0</v>
      </c>
      <c r="I484">
        <f>Table9[[#This Row],[quantity]]*Table9[[#This Row],[unitPrice]]*(1-Table9[[#This Row],[discount]]/100)</f>
        <v>400</v>
      </c>
      <c r="J484" t="str">
        <f>_xlfn.XLOOKUP(_xlfn.XLOOKUP(A484,orders[orderID],orders[customerID],,0),customers__2[customerID],customers__2[companyName],,0)</f>
        <v>Ernst Handel</v>
      </c>
      <c r="K484" t="str">
        <f>_xlfn.XLOOKUP(Table9[[#This Row],[Company Name]],customers__2[companyName],customers__2[country],,0)</f>
        <v>Austria</v>
      </c>
      <c r="L484">
        <f>MONTH(Table9[[#This Row],[OrderDate ]])</f>
        <v>1</v>
      </c>
      <c r="M484" t="str">
        <f>TEXT(Table9[[#This Row],[OrderDate ]],"mmm")</f>
        <v>Jan</v>
      </c>
      <c r="N484">
        <f>YEAR(Table9[[#This Row],[OrderDate ]])</f>
        <v>2014</v>
      </c>
    </row>
    <row r="485" spans="1:14" x14ac:dyDescent="0.3">
      <c r="A485">
        <v>10430</v>
      </c>
      <c r="B485" s="2">
        <f>_xlfn.XLOOKUP(Table9[[#This Row],[orderID]],orders[orderID],orders[orderDate],,0)</f>
        <v>41669</v>
      </c>
      <c r="C485">
        <f>_xlfn.XLOOKUP(A485,order_details[orderID],order_details[productID],,0)</f>
        <v>17</v>
      </c>
      <c r="D485" t="str">
        <f>_xlfn.XLOOKUP(C485,products[productID],products[productName],,0)</f>
        <v>Alice Mutton</v>
      </c>
      <c r="E485" t="str">
        <f>_xlfn.XLOOKUP(_xlfn.XLOOKUP(Table9[[#This Row],[ProductName ]],products[productName],products[categoryID],,0),categories[categoryID],categories[categoryName],,0)</f>
        <v>Meat &amp; Poultry</v>
      </c>
      <c r="F485">
        <v>30</v>
      </c>
      <c r="G485">
        <v>304</v>
      </c>
      <c r="H485">
        <v>0</v>
      </c>
      <c r="I485">
        <f>Table9[[#This Row],[quantity]]*Table9[[#This Row],[unitPrice]]*(1-Table9[[#This Row],[discount]]/100)</f>
        <v>9120</v>
      </c>
      <c r="J485" t="str">
        <f>_xlfn.XLOOKUP(_xlfn.XLOOKUP(A485,orders[orderID],orders[customerID],,0),customers__2[customerID],customers__2[companyName],,0)</f>
        <v>Ernst Handel</v>
      </c>
      <c r="K485" t="str">
        <f>_xlfn.XLOOKUP(Table9[[#This Row],[Company Name]],customers__2[companyName],customers__2[country],,0)</f>
        <v>Austria</v>
      </c>
      <c r="L485">
        <f>MONTH(Table9[[#This Row],[OrderDate ]])</f>
        <v>1</v>
      </c>
      <c r="M485" t="str">
        <f>TEXT(Table9[[#This Row],[OrderDate ]],"mmm")</f>
        <v>Jan</v>
      </c>
      <c r="N485">
        <f>YEAR(Table9[[#This Row],[OrderDate ]])</f>
        <v>2014</v>
      </c>
    </row>
    <row r="486" spans="1:14" x14ac:dyDescent="0.3">
      <c r="A486">
        <v>10430</v>
      </c>
      <c r="B486" s="2">
        <f>_xlfn.XLOOKUP(Table9[[#This Row],[orderID]],orders[orderID],orders[orderDate],,0)</f>
        <v>41669</v>
      </c>
      <c r="C486">
        <f>_xlfn.XLOOKUP(A486,order_details[orderID],order_details[productID],,0)</f>
        <v>17</v>
      </c>
      <c r="D486" t="str">
        <f>_xlfn.XLOOKUP(C486,products[productID],products[productName],,0)</f>
        <v>Alice Mutton</v>
      </c>
      <c r="E486" t="str">
        <f>_xlfn.XLOOKUP(_xlfn.XLOOKUP(Table9[[#This Row],[ProductName ]],products[productName],products[categoryID],,0),categories[categoryID],categories[categoryName],,0)</f>
        <v>Meat &amp; Poultry</v>
      </c>
      <c r="F486">
        <v>70</v>
      </c>
      <c r="G486">
        <v>44</v>
      </c>
      <c r="H486">
        <v>2</v>
      </c>
      <c r="I486">
        <f>Table9[[#This Row],[quantity]]*Table9[[#This Row],[unitPrice]]*(1-Table9[[#This Row],[discount]]/100)</f>
        <v>3018.4</v>
      </c>
      <c r="J486" t="str">
        <f>_xlfn.XLOOKUP(_xlfn.XLOOKUP(A486,orders[orderID],orders[customerID],,0),customers__2[customerID],customers__2[companyName],,0)</f>
        <v>Ernst Handel</v>
      </c>
      <c r="K486" t="str">
        <f>_xlfn.XLOOKUP(Table9[[#This Row],[Company Name]],customers__2[companyName],customers__2[country],,0)</f>
        <v>Austria</v>
      </c>
      <c r="L486">
        <f>MONTH(Table9[[#This Row],[OrderDate ]])</f>
        <v>1</v>
      </c>
      <c r="M486" t="str">
        <f>TEXT(Table9[[#This Row],[OrderDate ]],"mmm")</f>
        <v>Jan</v>
      </c>
      <c r="N486">
        <f>YEAR(Table9[[#This Row],[OrderDate ]])</f>
        <v>2014</v>
      </c>
    </row>
    <row r="487" spans="1:14" x14ac:dyDescent="0.3">
      <c r="A487">
        <v>10431</v>
      </c>
      <c r="B487" s="2">
        <f>_xlfn.XLOOKUP(Table9[[#This Row],[orderID]],orders[orderID],orders[orderDate],,0)</f>
        <v>41669</v>
      </c>
      <c r="C487">
        <f>_xlfn.XLOOKUP(A487,order_details[orderID],order_details[productID],,0)</f>
        <v>17</v>
      </c>
      <c r="D487" t="str">
        <f>_xlfn.XLOOKUP(C487,products[productID],products[productName],,0)</f>
        <v>Alice Mutton</v>
      </c>
      <c r="E487" t="str">
        <f>_xlfn.XLOOKUP(_xlfn.XLOOKUP(Table9[[#This Row],[ProductName ]],products[productName],products[categoryID],,0),categories[categoryID],categories[categoryName],,0)</f>
        <v>Meat &amp; Poultry</v>
      </c>
      <c r="F487">
        <v>50</v>
      </c>
      <c r="G487">
        <v>312</v>
      </c>
      <c r="H487">
        <v>25</v>
      </c>
      <c r="I487">
        <f>Table9[[#This Row],[quantity]]*Table9[[#This Row],[unitPrice]]*(1-Table9[[#This Row],[discount]]/100)</f>
        <v>11700</v>
      </c>
      <c r="J487" t="str">
        <f>_xlfn.XLOOKUP(_xlfn.XLOOKUP(A487,orders[orderID],orders[customerID],,0),customers__2[customerID],customers__2[companyName],,0)</f>
        <v>Bottom-Dollar Markets</v>
      </c>
      <c r="K487" t="str">
        <f>_xlfn.XLOOKUP(Table9[[#This Row],[Company Name]],customers__2[companyName],customers__2[country],,0)</f>
        <v>Canada</v>
      </c>
      <c r="L487">
        <f>MONTH(Table9[[#This Row],[OrderDate ]])</f>
        <v>1</v>
      </c>
      <c r="M487" t="str">
        <f>TEXT(Table9[[#This Row],[OrderDate ]],"mmm")</f>
        <v>Jan</v>
      </c>
      <c r="N487">
        <f>YEAR(Table9[[#This Row],[OrderDate ]])</f>
        <v>2014</v>
      </c>
    </row>
    <row r="488" spans="1:14" x14ac:dyDescent="0.3">
      <c r="A488">
        <v>10431</v>
      </c>
      <c r="B488" s="2">
        <f>_xlfn.XLOOKUP(Table9[[#This Row],[orderID]],orders[orderID],orders[orderDate],,0)</f>
        <v>41669</v>
      </c>
      <c r="C488">
        <f>_xlfn.XLOOKUP(A488,order_details[orderID],order_details[productID],,0)</f>
        <v>17</v>
      </c>
      <c r="D488" t="str">
        <f>_xlfn.XLOOKUP(C488,products[productID],products[productName],,0)</f>
        <v>Alice Mutton</v>
      </c>
      <c r="E488" t="str">
        <f>_xlfn.XLOOKUP(_xlfn.XLOOKUP(Table9[[#This Row],[ProductName ]],products[productName],products[categoryID],,0),categories[categoryID],categories[categoryName],,0)</f>
        <v>Meat &amp; Poultry</v>
      </c>
      <c r="F488">
        <v>50</v>
      </c>
      <c r="G488">
        <v>147</v>
      </c>
      <c r="H488">
        <v>25</v>
      </c>
      <c r="I488">
        <f>Table9[[#This Row],[quantity]]*Table9[[#This Row],[unitPrice]]*(1-Table9[[#This Row],[discount]]/100)</f>
        <v>5512.5</v>
      </c>
      <c r="J488" t="str">
        <f>_xlfn.XLOOKUP(_xlfn.XLOOKUP(A488,orders[orderID],orders[customerID],,0),customers__2[customerID],customers__2[companyName],,0)</f>
        <v>Bottom-Dollar Markets</v>
      </c>
      <c r="K488" t="str">
        <f>_xlfn.XLOOKUP(Table9[[#This Row],[Company Name]],customers__2[companyName],customers__2[country],,0)</f>
        <v>Canada</v>
      </c>
      <c r="L488">
        <f>MONTH(Table9[[#This Row],[OrderDate ]])</f>
        <v>1</v>
      </c>
      <c r="M488" t="str">
        <f>TEXT(Table9[[#This Row],[OrderDate ]],"mmm")</f>
        <v>Jan</v>
      </c>
      <c r="N488">
        <f>YEAR(Table9[[#This Row],[OrderDate ]])</f>
        <v>2014</v>
      </c>
    </row>
    <row r="489" spans="1:14" x14ac:dyDescent="0.3">
      <c r="A489">
        <v>10431</v>
      </c>
      <c r="B489" s="2">
        <f>_xlfn.XLOOKUP(Table9[[#This Row],[orderID]],orders[orderID],orders[orderDate],,0)</f>
        <v>41669</v>
      </c>
      <c r="C489">
        <f>_xlfn.XLOOKUP(A489,order_details[orderID],order_details[productID],,0)</f>
        <v>17</v>
      </c>
      <c r="D489" t="str">
        <f>_xlfn.XLOOKUP(C489,products[productID],products[productName],,0)</f>
        <v>Alice Mutton</v>
      </c>
      <c r="E489" t="str">
        <f>_xlfn.XLOOKUP(_xlfn.XLOOKUP(Table9[[#This Row],[ProductName ]],products[productName],products[categoryID],,0),categories[categoryID],categories[categoryName],,0)</f>
        <v>Meat &amp; Poultry</v>
      </c>
      <c r="F489">
        <v>30</v>
      </c>
      <c r="G489">
        <v>76</v>
      </c>
      <c r="H489">
        <v>25</v>
      </c>
      <c r="I489">
        <f>Table9[[#This Row],[quantity]]*Table9[[#This Row],[unitPrice]]*(1-Table9[[#This Row],[discount]]/100)</f>
        <v>1710</v>
      </c>
      <c r="J489" t="str">
        <f>_xlfn.XLOOKUP(_xlfn.XLOOKUP(A489,orders[orderID],orders[customerID],,0),customers__2[customerID],customers__2[companyName],,0)</f>
        <v>Bottom-Dollar Markets</v>
      </c>
      <c r="K489" t="str">
        <f>_xlfn.XLOOKUP(Table9[[#This Row],[Company Name]],customers__2[companyName],customers__2[country],,0)</f>
        <v>Canada</v>
      </c>
      <c r="L489">
        <f>MONTH(Table9[[#This Row],[OrderDate ]])</f>
        <v>1</v>
      </c>
      <c r="M489" t="str">
        <f>TEXT(Table9[[#This Row],[OrderDate ]],"mmm")</f>
        <v>Jan</v>
      </c>
      <c r="N489">
        <f>YEAR(Table9[[#This Row],[OrderDate ]])</f>
        <v>2014</v>
      </c>
    </row>
    <row r="490" spans="1:14" x14ac:dyDescent="0.3">
      <c r="A490">
        <v>10432</v>
      </c>
      <c r="B490" s="2">
        <f>_xlfn.XLOOKUP(Table9[[#This Row],[orderID]],orders[orderID],orders[orderDate],,0)</f>
        <v>41670</v>
      </c>
      <c r="C490">
        <f>_xlfn.XLOOKUP(A490,order_details[orderID],order_details[productID],,0)</f>
        <v>26</v>
      </c>
      <c r="D490" t="str">
        <f>_xlfn.XLOOKUP(C490,products[productID],products[productName],,0)</f>
        <v>Gumbär Gummibärchen</v>
      </c>
      <c r="E490" t="str">
        <f>_xlfn.XLOOKUP(_xlfn.XLOOKUP(Table9[[#This Row],[ProductName ]],products[productName],products[categoryID],,0),categories[categoryID],categories[categoryName],,0)</f>
        <v>Confections</v>
      </c>
      <c r="F490">
        <v>10</v>
      </c>
      <c r="G490">
        <v>249</v>
      </c>
      <c r="H490">
        <v>0</v>
      </c>
      <c r="I490">
        <f>Table9[[#This Row],[quantity]]*Table9[[#This Row],[unitPrice]]*(1-Table9[[#This Row],[discount]]/100)</f>
        <v>2490</v>
      </c>
      <c r="J490" t="str">
        <f>_xlfn.XLOOKUP(_xlfn.XLOOKUP(A490,orders[orderID],orders[customerID],,0),customers__2[customerID],customers__2[companyName],,0)</f>
        <v>Split Rail Beer &amp; Ale</v>
      </c>
      <c r="K490" t="str">
        <f>_xlfn.XLOOKUP(Table9[[#This Row],[Company Name]],customers__2[companyName],customers__2[country],,0)</f>
        <v>USA</v>
      </c>
      <c r="L490">
        <f>MONTH(Table9[[#This Row],[OrderDate ]])</f>
        <v>1</v>
      </c>
      <c r="M490" t="str">
        <f>TEXT(Table9[[#This Row],[OrderDate ]],"mmm")</f>
        <v>Jan</v>
      </c>
      <c r="N490">
        <f>YEAR(Table9[[#This Row],[OrderDate ]])</f>
        <v>2014</v>
      </c>
    </row>
    <row r="491" spans="1:14" x14ac:dyDescent="0.3">
      <c r="A491">
        <v>10432</v>
      </c>
      <c r="B491" s="2">
        <f>_xlfn.XLOOKUP(Table9[[#This Row],[orderID]],orders[orderID],orders[orderDate],,0)</f>
        <v>41670</v>
      </c>
      <c r="C491">
        <f>_xlfn.XLOOKUP(A491,order_details[orderID],order_details[productID],,0)</f>
        <v>26</v>
      </c>
      <c r="D491" t="str">
        <f>_xlfn.XLOOKUP(C491,products[productID],products[productName],,0)</f>
        <v>Gumbär Gummibärchen</v>
      </c>
      <c r="E491" t="str">
        <f>_xlfn.XLOOKUP(_xlfn.XLOOKUP(Table9[[#This Row],[ProductName ]],products[productName],products[categoryID],,0),categories[categoryID],categories[categoryName],,0)</f>
        <v>Confections</v>
      </c>
      <c r="F491">
        <v>40</v>
      </c>
      <c r="G491">
        <v>59</v>
      </c>
      <c r="H491">
        <v>0</v>
      </c>
      <c r="I491">
        <f>Table9[[#This Row],[quantity]]*Table9[[#This Row],[unitPrice]]*(1-Table9[[#This Row],[discount]]/100)</f>
        <v>2360</v>
      </c>
      <c r="J491" t="str">
        <f>_xlfn.XLOOKUP(_xlfn.XLOOKUP(A491,orders[orderID],orders[customerID],,0),customers__2[customerID],customers__2[companyName],,0)</f>
        <v>Split Rail Beer &amp; Ale</v>
      </c>
      <c r="K491" t="str">
        <f>_xlfn.XLOOKUP(Table9[[#This Row],[Company Name]],customers__2[companyName],customers__2[country],,0)</f>
        <v>USA</v>
      </c>
      <c r="L491">
        <f>MONTH(Table9[[#This Row],[OrderDate ]])</f>
        <v>1</v>
      </c>
      <c r="M491" t="str">
        <f>TEXT(Table9[[#This Row],[OrderDate ]],"mmm")</f>
        <v>Jan</v>
      </c>
      <c r="N491">
        <f>YEAR(Table9[[#This Row],[OrderDate ]])</f>
        <v>2014</v>
      </c>
    </row>
    <row r="492" spans="1:14" x14ac:dyDescent="0.3">
      <c r="A492">
        <v>10433</v>
      </c>
      <c r="B492" s="2">
        <f>_xlfn.XLOOKUP(Table9[[#This Row],[orderID]],orders[orderID],orders[orderDate],,0)</f>
        <v>41673</v>
      </c>
      <c r="C492">
        <f>_xlfn.XLOOKUP(A492,order_details[orderID],order_details[productID],,0)</f>
        <v>56</v>
      </c>
      <c r="D492" t="str">
        <f>_xlfn.XLOOKUP(C492,products[productID],products[productName],,0)</f>
        <v>Gnocchi di nonna Alice</v>
      </c>
      <c r="E492" t="str">
        <f>_xlfn.XLOOKUP(_xlfn.XLOOKUP(Table9[[#This Row],[ProductName ]],products[productName],products[categoryID],,0),categories[categoryID],categories[categoryName],,0)</f>
        <v>Grains &amp; Cereals</v>
      </c>
      <c r="F492">
        <v>28</v>
      </c>
      <c r="G492">
        <v>304</v>
      </c>
      <c r="H492">
        <v>0</v>
      </c>
      <c r="I492">
        <f>Table9[[#This Row],[quantity]]*Table9[[#This Row],[unitPrice]]*(1-Table9[[#This Row],[discount]]/100)</f>
        <v>8512</v>
      </c>
      <c r="J492" t="str">
        <f>_xlfn.XLOOKUP(_xlfn.XLOOKUP(A492,orders[orderID],orders[customerID],,0),customers__2[customerID],customers__2[companyName],,0)</f>
        <v>Princesa Isabel Vinhos</v>
      </c>
      <c r="K492" t="str">
        <f>_xlfn.XLOOKUP(Table9[[#This Row],[Company Name]],customers__2[companyName],customers__2[country],,0)</f>
        <v>Portugal</v>
      </c>
      <c r="L492">
        <f>MONTH(Table9[[#This Row],[OrderDate ]])</f>
        <v>2</v>
      </c>
      <c r="M492" t="str">
        <f>TEXT(Table9[[#This Row],[OrderDate ]],"mmm")</f>
        <v>Feb</v>
      </c>
      <c r="N492">
        <f>YEAR(Table9[[#This Row],[OrderDate ]])</f>
        <v>2014</v>
      </c>
    </row>
    <row r="493" spans="1:14" x14ac:dyDescent="0.3">
      <c r="A493">
        <v>10434</v>
      </c>
      <c r="B493" s="2">
        <f>_xlfn.XLOOKUP(Table9[[#This Row],[orderID]],orders[orderID],orders[orderDate],,0)</f>
        <v>41673</v>
      </c>
      <c r="C493">
        <f>_xlfn.XLOOKUP(A493,order_details[orderID],order_details[productID],,0)</f>
        <v>11</v>
      </c>
      <c r="D493" t="str">
        <f>_xlfn.XLOOKUP(C493,products[productID],products[productName],,0)</f>
        <v>Queso Cabrales</v>
      </c>
      <c r="E493" t="str">
        <f>_xlfn.XLOOKUP(_xlfn.XLOOKUP(Table9[[#This Row],[ProductName ]],products[productName],products[categoryID],,0),categories[categoryID],categories[categoryName],,0)</f>
        <v>Dairy Products</v>
      </c>
      <c r="F493">
        <v>6</v>
      </c>
      <c r="G493">
        <v>168</v>
      </c>
      <c r="H493">
        <v>0</v>
      </c>
      <c r="I493">
        <f>Table9[[#This Row],[quantity]]*Table9[[#This Row],[unitPrice]]*(1-Table9[[#This Row],[discount]]/100)</f>
        <v>1008</v>
      </c>
      <c r="J493" t="str">
        <f>_xlfn.XLOOKUP(_xlfn.XLOOKUP(A493,orders[orderID],orders[customerID],,0),customers__2[customerID],customers__2[companyName],,0)</f>
        <v>Folk och fä HB</v>
      </c>
      <c r="K493" t="str">
        <f>_xlfn.XLOOKUP(Table9[[#This Row],[Company Name]],customers__2[companyName],customers__2[country],,0)</f>
        <v>Sweden</v>
      </c>
      <c r="L493">
        <f>MONTH(Table9[[#This Row],[OrderDate ]])</f>
        <v>2</v>
      </c>
      <c r="M493" t="str">
        <f>TEXT(Table9[[#This Row],[OrderDate ]],"mmm")</f>
        <v>Feb</v>
      </c>
      <c r="N493">
        <f>YEAR(Table9[[#This Row],[OrderDate ]])</f>
        <v>2014</v>
      </c>
    </row>
    <row r="494" spans="1:14" x14ac:dyDescent="0.3">
      <c r="A494">
        <v>10434</v>
      </c>
      <c r="B494" s="2">
        <f>_xlfn.XLOOKUP(Table9[[#This Row],[orderID]],orders[orderID],orders[orderDate],,0)</f>
        <v>41673</v>
      </c>
      <c r="C494">
        <f>_xlfn.XLOOKUP(A494,order_details[orderID],order_details[productID],,0)</f>
        <v>11</v>
      </c>
      <c r="D494" t="str">
        <f>_xlfn.XLOOKUP(C494,products[productID],products[productName],,0)</f>
        <v>Queso Cabrales</v>
      </c>
      <c r="E494" t="str">
        <f>_xlfn.XLOOKUP(_xlfn.XLOOKUP(Table9[[#This Row],[ProductName ]],products[productName],products[categoryID],,0),categories[categoryID],categories[categoryName],,0)</f>
        <v>Dairy Products</v>
      </c>
      <c r="F494">
        <v>18</v>
      </c>
      <c r="G494">
        <v>144</v>
      </c>
      <c r="H494">
        <v>15</v>
      </c>
      <c r="I494">
        <f>Table9[[#This Row],[quantity]]*Table9[[#This Row],[unitPrice]]*(1-Table9[[#This Row],[discount]]/100)</f>
        <v>2203.1999999999998</v>
      </c>
      <c r="J494" t="str">
        <f>_xlfn.XLOOKUP(_xlfn.XLOOKUP(A494,orders[orderID],orders[customerID],,0),customers__2[customerID],customers__2[companyName],,0)</f>
        <v>Folk och fä HB</v>
      </c>
      <c r="K494" t="str">
        <f>_xlfn.XLOOKUP(Table9[[#This Row],[Company Name]],customers__2[companyName],customers__2[country],,0)</f>
        <v>Sweden</v>
      </c>
      <c r="L494">
        <f>MONTH(Table9[[#This Row],[OrderDate ]])</f>
        <v>2</v>
      </c>
      <c r="M494" t="str">
        <f>TEXT(Table9[[#This Row],[OrderDate ]],"mmm")</f>
        <v>Feb</v>
      </c>
      <c r="N494">
        <f>YEAR(Table9[[#This Row],[OrderDate ]])</f>
        <v>2014</v>
      </c>
    </row>
    <row r="495" spans="1:14" x14ac:dyDescent="0.3">
      <c r="A495">
        <v>10435</v>
      </c>
      <c r="B495" s="2">
        <f>_xlfn.XLOOKUP(Table9[[#This Row],[orderID]],orders[orderID],orders[orderDate],,0)</f>
        <v>41674</v>
      </c>
      <c r="C495">
        <f>_xlfn.XLOOKUP(A495,order_details[orderID],order_details[productID],,0)</f>
        <v>2</v>
      </c>
      <c r="D495" t="str">
        <f>_xlfn.XLOOKUP(C495,products[productID],products[productName],,0)</f>
        <v>Chang</v>
      </c>
      <c r="E495" t="str">
        <f>_xlfn.XLOOKUP(_xlfn.XLOOKUP(Table9[[#This Row],[ProductName ]],products[productName],products[categoryID],,0),categories[categoryID],categories[categoryName],,0)</f>
        <v>Beverages</v>
      </c>
      <c r="F495">
        <v>10</v>
      </c>
      <c r="G495">
        <v>152</v>
      </c>
      <c r="H495">
        <v>0</v>
      </c>
      <c r="I495">
        <f>Table9[[#This Row],[quantity]]*Table9[[#This Row],[unitPrice]]*(1-Table9[[#This Row],[discount]]/100)</f>
        <v>1520</v>
      </c>
      <c r="J495" t="str">
        <f>_xlfn.XLOOKUP(_xlfn.XLOOKUP(A495,orders[orderID],orders[customerID],,0),customers__2[customerID],customers__2[companyName],,0)</f>
        <v>Consolidated Holdings</v>
      </c>
      <c r="K495" t="str">
        <f>_xlfn.XLOOKUP(Table9[[#This Row],[Company Name]],customers__2[companyName],customers__2[country],,0)</f>
        <v>UK</v>
      </c>
      <c r="L495">
        <f>MONTH(Table9[[#This Row],[OrderDate ]])</f>
        <v>2</v>
      </c>
      <c r="M495" t="str">
        <f>TEXT(Table9[[#This Row],[OrderDate ]],"mmm")</f>
        <v>Feb</v>
      </c>
      <c r="N495">
        <f>YEAR(Table9[[#This Row],[OrderDate ]])</f>
        <v>2014</v>
      </c>
    </row>
    <row r="496" spans="1:14" x14ac:dyDescent="0.3">
      <c r="A496">
        <v>10435</v>
      </c>
      <c r="B496" s="2">
        <f>_xlfn.XLOOKUP(Table9[[#This Row],[orderID]],orders[orderID],orders[orderDate],,0)</f>
        <v>41674</v>
      </c>
      <c r="C496">
        <f>_xlfn.XLOOKUP(A496,order_details[orderID],order_details[productID],,0)</f>
        <v>2</v>
      </c>
      <c r="D496" t="str">
        <f>_xlfn.XLOOKUP(C496,products[productID],products[productName],,0)</f>
        <v>Chang</v>
      </c>
      <c r="E496" t="str">
        <f>_xlfn.XLOOKUP(_xlfn.XLOOKUP(Table9[[#This Row],[ProductName ]],products[productName],products[categoryID],,0),categories[categoryID],categories[categoryName],,0)</f>
        <v>Beverages</v>
      </c>
      <c r="F496">
        <v>12</v>
      </c>
      <c r="G496">
        <v>168</v>
      </c>
      <c r="H496">
        <v>0</v>
      </c>
      <c r="I496">
        <f>Table9[[#This Row],[quantity]]*Table9[[#This Row],[unitPrice]]*(1-Table9[[#This Row],[discount]]/100)</f>
        <v>2016</v>
      </c>
      <c r="J496" t="str">
        <f>_xlfn.XLOOKUP(_xlfn.XLOOKUP(A496,orders[orderID],orders[customerID],,0),customers__2[customerID],customers__2[companyName],,0)</f>
        <v>Consolidated Holdings</v>
      </c>
      <c r="K496" t="str">
        <f>_xlfn.XLOOKUP(Table9[[#This Row],[Company Name]],customers__2[companyName],customers__2[country],,0)</f>
        <v>UK</v>
      </c>
      <c r="L496">
        <f>MONTH(Table9[[#This Row],[OrderDate ]])</f>
        <v>2</v>
      </c>
      <c r="M496" t="str">
        <f>TEXT(Table9[[#This Row],[OrderDate ]],"mmm")</f>
        <v>Feb</v>
      </c>
      <c r="N496">
        <f>YEAR(Table9[[#This Row],[OrderDate ]])</f>
        <v>2014</v>
      </c>
    </row>
    <row r="497" spans="1:14" x14ac:dyDescent="0.3">
      <c r="A497">
        <v>10435</v>
      </c>
      <c r="B497" s="2">
        <f>_xlfn.XLOOKUP(Table9[[#This Row],[orderID]],orders[orderID],orders[orderDate],,0)</f>
        <v>41674</v>
      </c>
      <c r="C497">
        <f>_xlfn.XLOOKUP(A497,order_details[orderID],order_details[productID],,0)</f>
        <v>2</v>
      </c>
      <c r="D497" t="str">
        <f>_xlfn.XLOOKUP(C497,products[productID],products[productName],,0)</f>
        <v>Chang</v>
      </c>
      <c r="E497" t="str">
        <f>_xlfn.XLOOKUP(_xlfn.XLOOKUP(Table9[[#This Row],[ProductName ]],products[productName],products[categoryID],,0),categories[categoryID],categories[categoryName],,0)</f>
        <v>Beverages</v>
      </c>
      <c r="F497">
        <v>10</v>
      </c>
      <c r="G497">
        <v>278</v>
      </c>
      <c r="H497">
        <v>0</v>
      </c>
      <c r="I497">
        <f>Table9[[#This Row],[quantity]]*Table9[[#This Row],[unitPrice]]*(1-Table9[[#This Row],[discount]]/100)</f>
        <v>2780</v>
      </c>
      <c r="J497" t="str">
        <f>_xlfn.XLOOKUP(_xlfn.XLOOKUP(A497,orders[orderID],orders[customerID],,0),customers__2[customerID],customers__2[companyName],,0)</f>
        <v>Consolidated Holdings</v>
      </c>
      <c r="K497" t="str">
        <f>_xlfn.XLOOKUP(Table9[[#This Row],[Company Name]],customers__2[companyName],customers__2[country],,0)</f>
        <v>UK</v>
      </c>
      <c r="L497">
        <f>MONTH(Table9[[#This Row],[OrderDate ]])</f>
        <v>2</v>
      </c>
      <c r="M497" t="str">
        <f>TEXT(Table9[[#This Row],[OrderDate ]],"mmm")</f>
        <v>Feb</v>
      </c>
      <c r="N497">
        <f>YEAR(Table9[[#This Row],[OrderDate ]])</f>
        <v>2014</v>
      </c>
    </row>
    <row r="498" spans="1:14" x14ac:dyDescent="0.3">
      <c r="A498">
        <v>10436</v>
      </c>
      <c r="B498" s="2">
        <f>_xlfn.XLOOKUP(Table9[[#This Row],[orderID]],orders[orderID],orders[orderDate],,0)</f>
        <v>41675</v>
      </c>
      <c r="C498">
        <f>_xlfn.XLOOKUP(A498,order_details[orderID],order_details[productID],,0)</f>
        <v>46</v>
      </c>
      <c r="D498" t="str">
        <f>_xlfn.XLOOKUP(C498,products[productID],products[productName],,0)</f>
        <v>Spegesild</v>
      </c>
      <c r="E498" t="str">
        <f>_xlfn.XLOOKUP(_xlfn.XLOOKUP(Table9[[#This Row],[ProductName ]],products[productName],products[categoryID],,0),categories[categoryID],categories[categoryName],,0)</f>
        <v>Seafood</v>
      </c>
      <c r="F498">
        <v>5</v>
      </c>
      <c r="G498">
        <v>96</v>
      </c>
      <c r="H498">
        <v>0</v>
      </c>
      <c r="I498">
        <f>Table9[[#This Row],[quantity]]*Table9[[#This Row],[unitPrice]]*(1-Table9[[#This Row],[discount]]/100)</f>
        <v>480</v>
      </c>
      <c r="J498" t="str">
        <f>_xlfn.XLOOKUP(_xlfn.XLOOKUP(A498,orders[orderID],orders[customerID],,0),customers__2[customerID],customers__2[companyName],,0)</f>
        <v>Blondesddsl père et fils</v>
      </c>
      <c r="K498" t="str">
        <f>_xlfn.XLOOKUP(Table9[[#This Row],[Company Name]],customers__2[companyName],customers__2[country],,0)</f>
        <v>France</v>
      </c>
      <c r="L498">
        <f>MONTH(Table9[[#This Row],[OrderDate ]])</f>
        <v>2</v>
      </c>
      <c r="M498" t="str">
        <f>TEXT(Table9[[#This Row],[OrderDate ]],"mmm")</f>
        <v>Feb</v>
      </c>
      <c r="N498">
        <f>YEAR(Table9[[#This Row],[OrderDate ]])</f>
        <v>2014</v>
      </c>
    </row>
    <row r="499" spans="1:14" x14ac:dyDescent="0.3">
      <c r="A499">
        <v>10436</v>
      </c>
      <c r="B499" s="2">
        <f>_xlfn.XLOOKUP(Table9[[#This Row],[orderID]],orders[orderID],orders[orderDate],,0)</f>
        <v>41675</v>
      </c>
      <c r="C499">
        <f>_xlfn.XLOOKUP(A499,order_details[orderID],order_details[productID],,0)</f>
        <v>46</v>
      </c>
      <c r="D499" t="str">
        <f>_xlfn.XLOOKUP(C499,products[productID],products[productName],,0)</f>
        <v>Spegesild</v>
      </c>
      <c r="E499" t="str">
        <f>_xlfn.XLOOKUP(_xlfn.XLOOKUP(Table9[[#This Row],[ProductName ]],products[productName],products[categoryID],,0),categories[categoryID],categories[categoryName],,0)</f>
        <v>Seafood</v>
      </c>
      <c r="F499">
        <v>40</v>
      </c>
      <c r="G499">
        <v>304</v>
      </c>
      <c r="H499">
        <v>1</v>
      </c>
      <c r="I499">
        <f>Table9[[#This Row],[quantity]]*Table9[[#This Row],[unitPrice]]*(1-Table9[[#This Row],[discount]]/100)</f>
        <v>12038.4</v>
      </c>
      <c r="J499" t="str">
        <f>_xlfn.XLOOKUP(_xlfn.XLOOKUP(A499,orders[orderID],orders[customerID],,0),customers__2[customerID],customers__2[companyName],,0)</f>
        <v>Blondesddsl père et fils</v>
      </c>
      <c r="K499" t="str">
        <f>_xlfn.XLOOKUP(Table9[[#This Row],[Company Name]],customers__2[companyName],customers__2[country],,0)</f>
        <v>France</v>
      </c>
      <c r="L499">
        <f>MONTH(Table9[[#This Row],[OrderDate ]])</f>
        <v>2</v>
      </c>
      <c r="M499" t="str">
        <f>TEXT(Table9[[#This Row],[OrderDate ]],"mmm")</f>
        <v>Feb</v>
      </c>
      <c r="N499">
        <f>YEAR(Table9[[#This Row],[OrderDate ]])</f>
        <v>2014</v>
      </c>
    </row>
    <row r="500" spans="1:14" x14ac:dyDescent="0.3">
      <c r="A500">
        <v>10436</v>
      </c>
      <c r="B500" s="2">
        <f>_xlfn.XLOOKUP(Table9[[#This Row],[orderID]],orders[orderID],orders[orderDate],,0)</f>
        <v>41675</v>
      </c>
      <c r="C500">
        <f>_xlfn.XLOOKUP(A500,order_details[orderID],order_details[productID],,0)</f>
        <v>46</v>
      </c>
      <c r="D500" t="str">
        <f>_xlfn.XLOOKUP(C500,products[productID],products[productName],,0)</f>
        <v>Spegesild</v>
      </c>
      <c r="E500" t="str">
        <f>_xlfn.XLOOKUP(_xlfn.XLOOKUP(Table9[[#This Row],[ProductName ]],products[productName],products[categoryID],,0),categories[categoryID],categories[categoryName],,0)</f>
        <v>Seafood</v>
      </c>
      <c r="F500">
        <v>30</v>
      </c>
      <c r="G500">
        <v>266</v>
      </c>
      <c r="H500">
        <v>1</v>
      </c>
      <c r="I500">
        <f>Table9[[#This Row],[quantity]]*Table9[[#This Row],[unitPrice]]*(1-Table9[[#This Row],[discount]]/100)</f>
        <v>7900.2</v>
      </c>
      <c r="J500" t="str">
        <f>_xlfn.XLOOKUP(_xlfn.XLOOKUP(A500,orders[orderID],orders[customerID],,0),customers__2[customerID],customers__2[companyName],,0)</f>
        <v>Blondesddsl père et fils</v>
      </c>
      <c r="K500" t="str">
        <f>_xlfn.XLOOKUP(Table9[[#This Row],[Company Name]],customers__2[companyName],customers__2[country],,0)</f>
        <v>France</v>
      </c>
      <c r="L500">
        <f>MONTH(Table9[[#This Row],[OrderDate ]])</f>
        <v>2</v>
      </c>
      <c r="M500" t="str">
        <f>TEXT(Table9[[#This Row],[OrderDate ]],"mmm")</f>
        <v>Feb</v>
      </c>
      <c r="N500">
        <f>YEAR(Table9[[#This Row],[OrderDate ]])</f>
        <v>2014</v>
      </c>
    </row>
    <row r="501" spans="1:14" x14ac:dyDescent="0.3">
      <c r="A501">
        <v>10436</v>
      </c>
      <c r="B501" s="2">
        <f>_xlfn.XLOOKUP(Table9[[#This Row],[orderID]],orders[orderID],orders[orderDate],,0)</f>
        <v>41675</v>
      </c>
      <c r="C501">
        <f>_xlfn.XLOOKUP(A501,order_details[orderID],order_details[productID],,0)</f>
        <v>46</v>
      </c>
      <c r="D501" t="str">
        <f>_xlfn.XLOOKUP(C501,products[productID],products[productName],,0)</f>
        <v>Spegesild</v>
      </c>
      <c r="E501" t="str">
        <f>_xlfn.XLOOKUP(_xlfn.XLOOKUP(Table9[[#This Row],[ProductName ]],products[productName],products[categoryID],,0),categories[categoryID],categories[categoryName],,0)</f>
        <v>Seafood</v>
      </c>
      <c r="F501">
        <v>24</v>
      </c>
      <c r="G501">
        <v>62</v>
      </c>
      <c r="H501">
        <v>1</v>
      </c>
      <c r="I501">
        <f>Table9[[#This Row],[quantity]]*Table9[[#This Row],[unitPrice]]*(1-Table9[[#This Row],[discount]]/100)</f>
        <v>1473.12</v>
      </c>
      <c r="J501" t="str">
        <f>_xlfn.XLOOKUP(_xlfn.XLOOKUP(A501,orders[orderID],orders[customerID],,0),customers__2[customerID],customers__2[companyName],,0)</f>
        <v>Blondesddsl père et fils</v>
      </c>
      <c r="K501" t="str">
        <f>_xlfn.XLOOKUP(Table9[[#This Row],[Company Name]],customers__2[companyName],customers__2[country],,0)</f>
        <v>France</v>
      </c>
      <c r="L501">
        <f>MONTH(Table9[[#This Row],[OrderDate ]])</f>
        <v>2</v>
      </c>
      <c r="M501" t="str">
        <f>TEXT(Table9[[#This Row],[OrderDate ]],"mmm")</f>
        <v>Feb</v>
      </c>
      <c r="N501">
        <f>YEAR(Table9[[#This Row],[OrderDate ]])</f>
        <v>2014</v>
      </c>
    </row>
    <row r="502" spans="1:14" x14ac:dyDescent="0.3">
      <c r="A502">
        <v>10437</v>
      </c>
      <c r="B502" s="2">
        <f>_xlfn.XLOOKUP(Table9[[#This Row],[orderID]],orders[orderID],orders[orderDate],,0)</f>
        <v>41675</v>
      </c>
      <c r="C502">
        <f>_xlfn.XLOOKUP(A502,order_details[orderID],order_details[productID],,0)</f>
        <v>53</v>
      </c>
      <c r="D502" t="str">
        <f>_xlfn.XLOOKUP(C502,products[productID],products[productName],,0)</f>
        <v>Perth Pasties</v>
      </c>
      <c r="E502" t="str">
        <f>_xlfn.XLOOKUP(_xlfn.XLOOKUP(Table9[[#This Row],[ProductName ]],products[productName],products[categoryID],,0),categories[categoryID],categories[categoryName],,0)</f>
        <v>Meat &amp; Poultry</v>
      </c>
      <c r="F502">
        <v>15</v>
      </c>
      <c r="G502">
        <v>262</v>
      </c>
      <c r="H502">
        <v>0</v>
      </c>
      <c r="I502">
        <f>Table9[[#This Row],[quantity]]*Table9[[#This Row],[unitPrice]]*(1-Table9[[#This Row],[discount]]/100)</f>
        <v>3930</v>
      </c>
      <c r="J502" t="str">
        <f>_xlfn.XLOOKUP(_xlfn.XLOOKUP(A502,orders[orderID],orders[customerID],,0),customers__2[customerID],customers__2[companyName],,0)</f>
        <v>Wartian Herkku</v>
      </c>
      <c r="K502" t="str">
        <f>_xlfn.XLOOKUP(Table9[[#This Row],[Company Name]],customers__2[companyName],customers__2[country],,0)</f>
        <v>Finland</v>
      </c>
      <c r="L502">
        <f>MONTH(Table9[[#This Row],[OrderDate ]])</f>
        <v>2</v>
      </c>
      <c r="M502" t="str">
        <f>TEXT(Table9[[#This Row],[OrderDate ]],"mmm")</f>
        <v>Feb</v>
      </c>
      <c r="N502">
        <f>YEAR(Table9[[#This Row],[OrderDate ]])</f>
        <v>2014</v>
      </c>
    </row>
    <row r="503" spans="1:14" x14ac:dyDescent="0.3">
      <c r="A503">
        <v>10438</v>
      </c>
      <c r="B503" s="2">
        <f>_xlfn.XLOOKUP(Table9[[#This Row],[orderID]],orders[orderID],orders[orderDate],,0)</f>
        <v>41676</v>
      </c>
      <c r="C503">
        <f>_xlfn.XLOOKUP(A503,order_details[orderID],order_details[productID],,0)</f>
        <v>19</v>
      </c>
      <c r="D503" t="str">
        <f>_xlfn.XLOOKUP(C503,products[productID],products[productName],,0)</f>
        <v>Teatime Chocolate Biscuits</v>
      </c>
      <c r="E503" t="str">
        <f>_xlfn.XLOOKUP(_xlfn.XLOOKUP(Table9[[#This Row],[ProductName ]],products[productName],products[categoryID],,0),categories[categoryID],categories[categoryName],,0)</f>
        <v>Confections</v>
      </c>
      <c r="F503">
        <v>15</v>
      </c>
      <c r="G503">
        <v>73</v>
      </c>
      <c r="H503">
        <v>2</v>
      </c>
      <c r="I503">
        <f>Table9[[#This Row],[quantity]]*Table9[[#This Row],[unitPrice]]*(1-Table9[[#This Row],[discount]]/100)</f>
        <v>1073.0999999999999</v>
      </c>
      <c r="J503" t="str">
        <f>_xlfn.XLOOKUP(_xlfn.XLOOKUP(A503,orders[orderID],orders[customerID],,0),customers__2[customerID],customers__2[companyName],,0)</f>
        <v>Toms Spezialitäten</v>
      </c>
      <c r="K503" t="str">
        <f>_xlfn.XLOOKUP(Table9[[#This Row],[Company Name]],customers__2[companyName],customers__2[country],,0)</f>
        <v>Germany</v>
      </c>
      <c r="L503">
        <f>MONTH(Table9[[#This Row],[OrderDate ]])</f>
        <v>2</v>
      </c>
      <c r="M503" t="str">
        <f>TEXT(Table9[[#This Row],[OrderDate ]],"mmm")</f>
        <v>Feb</v>
      </c>
      <c r="N503">
        <f>YEAR(Table9[[#This Row],[OrderDate ]])</f>
        <v>2014</v>
      </c>
    </row>
    <row r="504" spans="1:14" x14ac:dyDescent="0.3">
      <c r="A504">
        <v>10438</v>
      </c>
      <c r="B504" s="2">
        <f>_xlfn.XLOOKUP(Table9[[#This Row],[orderID]],orders[orderID],orders[orderDate],,0)</f>
        <v>41676</v>
      </c>
      <c r="C504">
        <f>_xlfn.XLOOKUP(A504,order_details[orderID],order_details[productID],,0)</f>
        <v>19</v>
      </c>
      <c r="D504" t="str">
        <f>_xlfn.XLOOKUP(C504,products[productID],products[productName],,0)</f>
        <v>Teatime Chocolate Biscuits</v>
      </c>
      <c r="E504" t="str">
        <f>_xlfn.XLOOKUP(_xlfn.XLOOKUP(Table9[[#This Row],[ProductName ]],products[productName],products[categoryID],,0),categories[categoryID],categories[categoryName],,0)</f>
        <v>Confections</v>
      </c>
      <c r="F504">
        <v>20</v>
      </c>
      <c r="G504">
        <v>112</v>
      </c>
      <c r="H504">
        <v>2</v>
      </c>
      <c r="I504">
        <f>Table9[[#This Row],[quantity]]*Table9[[#This Row],[unitPrice]]*(1-Table9[[#This Row],[discount]]/100)</f>
        <v>2195.1999999999998</v>
      </c>
      <c r="J504" t="str">
        <f>_xlfn.XLOOKUP(_xlfn.XLOOKUP(A504,orders[orderID],orders[customerID],,0),customers__2[customerID],customers__2[companyName],,0)</f>
        <v>Toms Spezialitäten</v>
      </c>
      <c r="K504" t="str">
        <f>_xlfn.XLOOKUP(Table9[[#This Row],[Company Name]],customers__2[companyName],customers__2[country],,0)</f>
        <v>Germany</v>
      </c>
      <c r="L504">
        <f>MONTH(Table9[[#This Row],[OrderDate ]])</f>
        <v>2</v>
      </c>
      <c r="M504" t="str">
        <f>TEXT(Table9[[#This Row],[OrderDate ]],"mmm")</f>
        <v>Feb</v>
      </c>
      <c r="N504">
        <f>YEAR(Table9[[#This Row],[OrderDate ]])</f>
        <v>2014</v>
      </c>
    </row>
    <row r="505" spans="1:14" x14ac:dyDescent="0.3">
      <c r="A505">
        <v>10438</v>
      </c>
      <c r="B505" s="2">
        <f>_xlfn.XLOOKUP(Table9[[#This Row],[orderID]],orders[orderID],orders[orderDate],,0)</f>
        <v>41676</v>
      </c>
      <c r="C505">
        <f>_xlfn.XLOOKUP(A505,order_details[orderID],order_details[productID],,0)</f>
        <v>19</v>
      </c>
      <c r="D505" t="str">
        <f>_xlfn.XLOOKUP(C505,products[productID],products[productName],,0)</f>
        <v>Teatime Chocolate Biscuits</v>
      </c>
      <c r="E505" t="str">
        <f>_xlfn.XLOOKUP(_xlfn.XLOOKUP(Table9[[#This Row],[ProductName ]],products[productName],products[categoryID],,0),categories[categoryID],categories[categoryName],,0)</f>
        <v>Confections</v>
      </c>
      <c r="F505">
        <v>15</v>
      </c>
      <c r="G505">
        <v>156</v>
      </c>
      <c r="H505">
        <v>2</v>
      </c>
      <c r="I505">
        <f>Table9[[#This Row],[quantity]]*Table9[[#This Row],[unitPrice]]*(1-Table9[[#This Row],[discount]]/100)</f>
        <v>2293.1999999999998</v>
      </c>
      <c r="J505" t="str">
        <f>_xlfn.XLOOKUP(_xlfn.XLOOKUP(A505,orders[orderID],orders[customerID],,0),customers__2[customerID],customers__2[companyName],,0)</f>
        <v>Toms Spezialitäten</v>
      </c>
      <c r="K505" t="str">
        <f>_xlfn.XLOOKUP(Table9[[#This Row],[Company Name]],customers__2[companyName],customers__2[country],,0)</f>
        <v>Germany</v>
      </c>
      <c r="L505">
        <f>MONTH(Table9[[#This Row],[OrderDate ]])</f>
        <v>2</v>
      </c>
      <c r="M505" t="str">
        <f>TEXT(Table9[[#This Row],[OrderDate ]],"mmm")</f>
        <v>Feb</v>
      </c>
      <c r="N505">
        <f>YEAR(Table9[[#This Row],[OrderDate ]])</f>
        <v>2014</v>
      </c>
    </row>
    <row r="506" spans="1:14" x14ac:dyDescent="0.3">
      <c r="A506">
        <v>10439</v>
      </c>
      <c r="B506" s="2">
        <f>_xlfn.XLOOKUP(Table9[[#This Row],[orderID]],orders[orderID],orders[orderDate],,0)</f>
        <v>41677</v>
      </c>
      <c r="C506">
        <f>_xlfn.XLOOKUP(A506,order_details[orderID],order_details[productID],,0)</f>
        <v>12</v>
      </c>
      <c r="D506" t="str">
        <f>_xlfn.XLOOKUP(C506,products[productID],products[productName],,0)</f>
        <v>Queso Manchego La Pastora</v>
      </c>
      <c r="E506" t="str">
        <f>_xlfn.XLOOKUP(_xlfn.XLOOKUP(Table9[[#This Row],[ProductName ]],products[productName],products[categoryID],,0),categories[categoryID],categories[categoryName],,0)</f>
        <v>Dairy Products</v>
      </c>
      <c r="F506">
        <v>15</v>
      </c>
      <c r="G506">
        <v>304</v>
      </c>
      <c r="H506">
        <v>0</v>
      </c>
      <c r="I506">
        <f>Table9[[#This Row],[quantity]]*Table9[[#This Row],[unitPrice]]*(1-Table9[[#This Row],[discount]]/100)</f>
        <v>4560</v>
      </c>
      <c r="J506" t="str">
        <f>_xlfn.XLOOKUP(_xlfn.XLOOKUP(A506,orders[orderID],orders[customerID],,0),customers__2[customerID],customers__2[companyName],,0)</f>
        <v>Mère Paillarde</v>
      </c>
      <c r="K506" t="str">
        <f>_xlfn.XLOOKUP(Table9[[#This Row],[Company Name]],customers__2[companyName],customers__2[country],,0)</f>
        <v>Canada</v>
      </c>
      <c r="L506">
        <f>MONTH(Table9[[#This Row],[OrderDate ]])</f>
        <v>2</v>
      </c>
      <c r="M506" t="str">
        <f>TEXT(Table9[[#This Row],[OrderDate ]],"mmm")</f>
        <v>Feb</v>
      </c>
      <c r="N506">
        <f>YEAR(Table9[[#This Row],[OrderDate ]])</f>
        <v>2014</v>
      </c>
    </row>
    <row r="507" spans="1:14" x14ac:dyDescent="0.3">
      <c r="A507">
        <v>10439</v>
      </c>
      <c r="B507" s="2">
        <f>_xlfn.XLOOKUP(Table9[[#This Row],[orderID]],orders[orderID],orders[orderDate],,0)</f>
        <v>41677</v>
      </c>
      <c r="C507">
        <f>_xlfn.XLOOKUP(A507,order_details[orderID],order_details[productID],,0)</f>
        <v>12</v>
      </c>
      <c r="D507" t="str">
        <f>_xlfn.XLOOKUP(C507,products[productID],products[productName],,0)</f>
        <v>Queso Manchego La Pastora</v>
      </c>
      <c r="E507" t="str">
        <f>_xlfn.XLOOKUP(_xlfn.XLOOKUP(Table9[[#This Row],[ProductName ]],products[productName],products[categoryID],,0),categories[categoryID],categories[categoryName],,0)</f>
        <v>Dairy Products</v>
      </c>
      <c r="F507">
        <v>16</v>
      </c>
      <c r="G507">
        <v>139</v>
      </c>
      <c r="H507">
        <v>0</v>
      </c>
      <c r="I507">
        <f>Table9[[#This Row],[quantity]]*Table9[[#This Row],[unitPrice]]*(1-Table9[[#This Row],[discount]]/100)</f>
        <v>2224</v>
      </c>
      <c r="J507" t="str">
        <f>_xlfn.XLOOKUP(_xlfn.XLOOKUP(A507,orders[orderID],orders[customerID],,0),customers__2[customerID],customers__2[companyName],,0)</f>
        <v>Mère Paillarde</v>
      </c>
      <c r="K507" t="str">
        <f>_xlfn.XLOOKUP(Table9[[#This Row],[Company Name]],customers__2[companyName],customers__2[country],,0)</f>
        <v>Canada</v>
      </c>
      <c r="L507">
        <f>MONTH(Table9[[#This Row],[OrderDate ]])</f>
        <v>2</v>
      </c>
      <c r="M507" t="str">
        <f>TEXT(Table9[[#This Row],[OrderDate ]],"mmm")</f>
        <v>Feb</v>
      </c>
      <c r="N507">
        <f>YEAR(Table9[[#This Row],[OrderDate ]])</f>
        <v>2014</v>
      </c>
    </row>
    <row r="508" spans="1:14" x14ac:dyDescent="0.3">
      <c r="A508">
        <v>10439</v>
      </c>
      <c r="B508" s="2">
        <f>_xlfn.XLOOKUP(Table9[[#This Row],[orderID]],orders[orderID],orders[orderDate],,0)</f>
        <v>41677</v>
      </c>
      <c r="C508">
        <f>_xlfn.XLOOKUP(A508,order_details[orderID],order_details[productID],,0)</f>
        <v>12</v>
      </c>
      <c r="D508" t="str">
        <f>_xlfn.XLOOKUP(C508,products[productID],products[productName],,0)</f>
        <v>Queso Manchego La Pastora</v>
      </c>
      <c r="E508" t="str">
        <f>_xlfn.XLOOKUP(_xlfn.XLOOKUP(Table9[[#This Row],[ProductName ]],products[productName],products[categoryID],,0),categories[categoryID],categories[categoryName],,0)</f>
        <v>Dairy Products</v>
      </c>
      <c r="F508">
        <v>6</v>
      </c>
      <c r="G508">
        <v>266</v>
      </c>
      <c r="H508">
        <v>0</v>
      </c>
      <c r="I508">
        <f>Table9[[#This Row],[quantity]]*Table9[[#This Row],[unitPrice]]*(1-Table9[[#This Row],[discount]]/100)</f>
        <v>1596</v>
      </c>
      <c r="J508" t="str">
        <f>_xlfn.XLOOKUP(_xlfn.XLOOKUP(A508,orders[orderID],orders[customerID],,0),customers__2[customerID],customers__2[companyName],,0)</f>
        <v>Mère Paillarde</v>
      </c>
      <c r="K508" t="str">
        <f>_xlfn.XLOOKUP(Table9[[#This Row],[Company Name]],customers__2[companyName],customers__2[country],,0)</f>
        <v>Canada</v>
      </c>
      <c r="L508">
        <f>MONTH(Table9[[#This Row],[OrderDate ]])</f>
        <v>2</v>
      </c>
      <c r="M508" t="str">
        <f>TEXT(Table9[[#This Row],[OrderDate ]],"mmm")</f>
        <v>Feb</v>
      </c>
      <c r="N508">
        <f>YEAR(Table9[[#This Row],[OrderDate ]])</f>
        <v>2014</v>
      </c>
    </row>
    <row r="509" spans="1:14" x14ac:dyDescent="0.3">
      <c r="A509">
        <v>10439</v>
      </c>
      <c r="B509" s="2">
        <f>_xlfn.XLOOKUP(Table9[[#This Row],[orderID]],orders[orderID],orders[orderDate],,0)</f>
        <v>41677</v>
      </c>
      <c r="C509">
        <f>_xlfn.XLOOKUP(A509,order_details[orderID],order_details[productID],,0)</f>
        <v>12</v>
      </c>
      <c r="D509" t="str">
        <f>_xlfn.XLOOKUP(C509,products[productID],products[productName],,0)</f>
        <v>Queso Manchego La Pastora</v>
      </c>
      <c r="E509" t="str">
        <f>_xlfn.XLOOKUP(_xlfn.XLOOKUP(Table9[[#This Row],[ProductName ]],products[productName],products[categoryID],,0),categories[categoryID],categories[categoryName],,0)</f>
        <v>Dairy Products</v>
      </c>
      <c r="F509">
        <v>30</v>
      </c>
      <c r="G509">
        <v>8</v>
      </c>
      <c r="H509">
        <v>0</v>
      </c>
      <c r="I509">
        <f>Table9[[#This Row],[quantity]]*Table9[[#This Row],[unitPrice]]*(1-Table9[[#This Row],[discount]]/100)</f>
        <v>240</v>
      </c>
      <c r="J509" t="str">
        <f>_xlfn.XLOOKUP(_xlfn.XLOOKUP(A509,orders[orderID],orders[customerID],,0),customers__2[customerID],customers__2[companyName],,0)</f>
        <v>Mère Paillarde</v>
      </c>
      <c r="K509" t="str">
        <f>_xlfn.XLOOKUP(Table9[[#This Row],[Company Name]],customers__2[companyName],customers__2[country],,0)</f>
        <v>Canada</v>
      </c>
      <c r="L509">
        <f>MONTH(Table9[[#This Row],[OrderDate ]])</f>
        <v>2</v>
      </c>
      <c r="M509" t="str">
        <f>TEXT(Table9[[#This Row],[OrderDate ]],"mmm")</f>
        <v>Feb</v>
      </c>
      <c r="N509">
        <f>YEAR(Table9[[#This Row],[OrderDate ]])</f>
        <v>2014</v>
      </c>
    </row>
    <row r="510" spans="1:14" x14ac:dyDescent="0.3">
      <c r="A510">
        <v>10440</v>
      </c>
      <c r="B510" s="2">
        <f>_xlfn.XLOOKUP(Table9[[#This Row],[orderID]],orders[orderID],orders[orderDate],,0)</f>
        <v>41680</v>
      </c>
      <c r="C510">
        <f>_xlfn.XLOOKUP(A510,order_details[orderID],order_details[productID],,0)</f>
        <v>2</v>
      </c>
      <c r="D510" t="str">
        <f>_xlfn.XLOOKUP(C510,products[productID],products[productName],,0)</f>
        <v>Chang</v>
      </c>
      <c r="E510" t="str">
        <f>_xlfn.XLOOKUP(_xlfn.XLOOKUP(Table9[[#This Row],[ProductName ]],products[productName],products[categoryID],,0),categories[categoryID],categories[categoryName],,0)</f>
        <v>Beverages</v>
      </c>
      <c r="F510">
        <v>45</v>
      </c>
      <c r="G510">
        <v>152</v>
      </c>
      <c r="H510">
        <v>15</v>
      </c>
      <c r="I510">
        <f>Table9[[#This Row],[quantity]]*Table9[[#This Row],[unitPrice]]*(1-Table9[[#This Row],[discount]]/100)</f>
        <v>5814</v>
      </c>
      <c r="J510" t="str">
        <f>_xlfn.XLOOKUP(_xlfn.XLOOKUP(A510,orders[orderID],orders[customerID],,0),customers__2[customerID],customers__2[companyName],,0)</f>
        <v>Save-a-lot Markets</v>
      </c>
      <c r="K510" t="str">
        <f>_xlfn.XLOOKUP(Table9[[#This Row],[Company Name]],customers__2[companyName],customers__2[country],,0)</f>
        <v>USA</v>
      </c>
      <c r="L510">
        <f>MONTH(Table9[[#This Row],[OrderDate ]])</f>
        <v>2</v>
      </c>
      <c r="M510" t="str">
        <f>TEXT(Table9[[#This Row],[OrderDate ]],"mmm")</f>
        <v>Feb</v>
      </c>
      <c r="N510">
        <f>YEAR(Table9[[#This Row],[OrderDate ]])</f>
        <v>2014</v>
      </c>
    </row>
    <row r="511" spans="1:14" x14ac:dyDescent="0.3">
      <c r="A511">
        <v>10440</v>
      </c>
      <c r="B511" s="2">
        <f>_xlfn.XLOOKUP(Table9[[#This Row],[orderID]],orders[orderID],orders[orderDate],,0)</f>
        <v>41680</v>
      </c>
      <c r="C511">
        <f>_xlfn.XLOOKUP(A511,order_details[orderID],order_details[productID],,0)</f>
        <v>2</v>
      </c>
      <c r="D511" t="str">
        <f>_xlfn.XLOOKUP(C511,products[productID],products[productName],,0)</f>
        <v>Chang</v>
      </c>
      <c r="E511" t="str">
        <f>_xlfn.XLOOKUP(_xlfn.XLOOKUP(Table9[[#This Row],[ProductName ]],products[productName],products[categoryID],,0),categories[categoryID],categories[categoryName],,0)</f>
        <v>Beverages</v>
      </c>
      <c r="F511">
        <v>49</v>
      </c>
      <c r="G511">
        <v>139</v>
      </c>
      <c r="H511">
        <v>15</v>
      </c>
      <c r="I511">
        <f>Table9[[#This Row],[quantity]]*Table9[[#This Row],[unitPrice]]*(1-Table9[[#This Row],[discount]]/100)</f>
        <v>5789.3499999999995</v>
      </c>
      <c r="J511" t="str">
        <f>_xlfn.XLOOKUP(_xlfn.XLOOKUP(A511,orders[orderID],orders[customerID],,0),customers__2[customerID],customers__2[companyName],,0)</f>
        <v>Save-a-lot Markets</v>
      </c>
      <c r="K511" t="str">
        <f>_xlfn.XLOOKUP(Table9[[#This Row],[Company Name]],customers__2[companyName],customers__2[country],,0)</f>
        <v>USA</v>
      </c>
      <c r="L511">
        <f>MONTH(Table9[[#This Row],[OrderDate ]])</f>
        <v>2</v>
      </c>
      <c r="M511" t="str">
        <f>TEXT(Table9[[#This Row],[OrderDate ]],"mmm")</f>
        <v>Feb</v>
      </c>
      <c r="N511">
        <f>YEAR(Table9[[#This Row],[OrderDate ]])</f>
        <v>2014</v>
      </c>
    </row>
    <row r="512" spans="1:14" x14ac:dyDescent="0.3">
      <c r="A512">
        <v>10440</v>
      </c>
      <c r="B512" s="2">
        <f>_xlfn.XLOOKUP(Table9[[#This Row],[orderID]],orders[orderID],orders[orderDate],,0)</f>
        <v>41680</v>
      </c>
      <c r="C512">
        <f>_xlfn.XLOOKUP(A512,order_details[orderID],order_details[productID],,0)</f>
        <v>2</v>
      </c>
      <c r="D512" t="str">
        <f>_xlfn.XLOOKUP(C512,products[productID],products[productName],,0)</f>
        <v>Chang</v>
      </c>
      <c r="E512" t="str">
        <f>_xlfn.XLOOKUP(_xlfn.XLOOKUP(Table9[[#This Row],[ProductName ]],products[productName],products[categoryID],,0),categories[categoryID],categories[categoryName],,0)</f>
        <v>Beverages</v>
      </c>
      <c r="F512">
        <v>24</v>
      </c>
      <c r="G512">
        <v>99</v>
      </c>
      <c r="H512">
        <v>15</v>
      </c>
      <c r="I512">
        <f>Table9[[#This Row],[quantity]]*Table9[[#This Row],[unitPrice]]*(1-Table9[[#This Row],[discount]]/100)</f>
        <v>2019.6</v>
      </c>
      <c r="J512" t="str">
        <f>_xlfn.XLOOKUP(_xlfn.XLOOKUP(A512,orders[orderID],orders[customerID],,0),customers__2[customerID],customers__2[companyName],,0)</f>
        <v>Save-a-lot Markets</v>
      </c>
      <c r="K512" t="str">
        <f>_xlfn.XLOOKUP(Table9[[#This Row],[Company Name]],customers__2[companyName],customers__2[country],,0)</f>
        <v>USA</v>
      </c>
      <c r="L512">
        <f>MONTH(Table9[[#This Row],[OrderDate ]])</f>
        <v>2</v>
      </c>
      <c r="M512" t="str">
        <f>TEXT(Table9[[#This Row],[OrderDate ]],"mmm")</f>
        <v>Feb</v>
      </c>
      <c r="N512">
        <f>YEAR(Table9[[#This Row],[OrderDate ]])</f>
        <v>2014</v>
      </c>
    </row>
    <row r="513" spans="1:14" x14ac:dyDescent="0.3">
      <c r="A513">
        <v>10440</v>
      </c>
      <c r="B513" s="2">
        <f>_xlfn.XLOOKUP(Table9[[#This Row],[orderID]],orders[orderID],orders[orderDate],,0)</f>
        <v>41680</v>
      </c>
      <c r="C513">
        <f>_xlfn.XLOOKUP(A513,order_details[orderID],order_details[productID],,0)</f>
        <v>2</v>
      </c>
      <c r="D513" t="str">
        <f>_xlfn.XLOOKUP(C513,products[productID],products[productName],,0)</f>
        <v>Chang</v>
      </c>
      <c r="E513" t="str">
        <f>_xlfn.XLOOKUP(_xlfn.XLOOKUP(Table9[[#This Row],[ProductName ]],products[productName],products[categoryID],,0),categories[categoryID],categories[categoryName],,0)</f>
        <v>Beverages</v>
      </c>
      <c r="F513">
        <v>90</v>
      </c>
      <c r="G513">
        <v>228</v>
      </c>
      <c r="H513">
        <v>15</v>
      </c>
      <c r="I513">
        <f>Table9[[#This Row],[quantity]]*Table9[[#This Row],[unitPrice]]*(1-Table9[[#This Row],[discount]]/100)</f>
        <v>17442</v>
      </c>
      <c r="J513" t="str">
        <f>_xlfn.XLOOKUP(_xlfn.XLOOKUP(A513,orders[orderID],orders[customerID],,0),customers__2[customerID],customers__2[companyName],,0)</f>
        <v>Save-a-lot Markets</v>
      </c>
      <c r="K513" t="str">
        <f>_xlfn.XLOOKUP(Table9[[#This Row],[Company Name]],customers__2[companyName],customers__2[country],,0)</f>
        <v>USA</v>
      </c>
      <c r="L513">
        <f>MONTH(Table9[[#This Row],[OrderDate ]])</f>
        <v>2</v>
      </c>
      <c r="M513" t="str">
        <f>TEXT(Table9[[#This Row],[OrderDate ]],"mmm")</f>
        <v>Feb</v>
      </c>
      <c r="N513">
        <f>YEAR(Table9[[#This Row],[OrderDate ]])</f>
        <v>2014</v>
      </c>
    </row>
    <row r="514" spans="1:14" x14ac:dyDescent="0.3">
      <c r="A514">
        <v>10441</v>
      </c>
      <c r="B514" s="2">
        <f>_xlfn.XLOOKUP(Table9[[#This Row],[orderID]],orders[orderID],orders[orderDate],,0)</f>
        <v>41680</v>
      </c>
      <c r="C514">
        <f>_xlfn.XLOOKUP(A514,order_details[orderID],order_details[productID],,0)</f>
        <v>27</v>
      </c>
      <c r="D514" t="str">
        <f>_xlfn.XLOOKUP(C514,products[productID],products[productName],,0)</f>
        <v>Schoggi Schokolade</v>
      </c>
      <c r="E514" t="str">
        <f>_xlfn.XLOOKUP(_xlfn.XLOOKUP(Table9[[#This Row],[ProductName ]],products[productName],products[categoryID],,0),categories[categoryID],categories[categoryName],,0)</f>
        <v>Confections</v>
      </c>
      <c r="F514">
        <v>50</v>
      </c>
      <c r="G514">
        <v>351</v>
      </c>
      <c r="H514">
        <v>0</v>
      </c>
      <c r="I514">
        <f>Table9[[#This Row],[quantity]]*Table9[[#This Row],[unitPrice]]*(1-Table9[[#This Row],[discount]]/100)</f>
        <v>17550</v>
      </c>
      <c r="J514" t="str">
        <f>_xlfn.XLOOKUP(_xlfn.XLOOKUP(A514,orders[orderID],orders[customerID],,0),customers__2[customerID],customers__2[companyName],,0)</f>
        <v>Old World Delicatessen</v>
      </c>
      <c r="K514" t="str">
        <f>_xlfn.XLOOKUP(Table9[[#This Row],[Company Name]],customers__2[companyName],customers__2[country],,0)</f>
        <v>USA</v>
      </c>
      <c r="L514">
        <f>MONTH(Table9[[#This Row],[OrderDate ]])</f>
        <v>2</v>
      </c>
      <c r="M514" t="str">
        <f>TEXT(Table9[[#This Row],[OrderDate ]],"mmm")</f>
        <v>Feb</v>
      </c>
      <c r="N514">
        <f>YEAR(Table9[[#This Row],[OrderDate ]])</f>
        <v>2014</v>
      </c>
    </row>
    <row r="515" spans="1:14" x14ac:dyDescent="0.3">
      <c r="A515">
        <v>10442</v>
      </c>
      <c r="B515" s="2">
        <f>_xlfn.XLOOKUP(Table9[[#This Row],[orderID]],orders[orderID],orders[orderDate],,0)</f>
        <v>41681</v>
      </c>
      <c r="C515">
        <f>_xlfn.XLOOKUP(A515,order_details[orderID],order_details[productID],,0)</f>
        <v>11</v>
      </c>
      <c r="D515" t="str">
        <f>_xlfn.XLOOKUP(C515,products[productID],products[productName],,0)</f>
        <v>Queso Cabrales</v>
      </c>
      <c r="E515" t="str">
        <f>_xlfn.XLOOKUP(_xlfn.XLOOKUP(Table9[[#This Row],[ProductName ]],products[productName],products[categoryID],,0),categories[categoryID],categories[categoryName],,0)</f>
        <v>Dairy Products</v>
      </c>
      <c r="F515">
        <v>30</v>
      </c>
      <c r="G515">
        <v>168</v>
      </c>
      <c r="H515">
        <v>0</v>
      </c>
      <c r="I515">
        <f>Table9[[#This Row],[quantity]]*Table9[[#This Row],[unitPrice]]*(1-Table9[[#This Row],[discount]]/100)</f>
        <v>5040</v>
      </c>
      <c r="J515" t="str">
        <f>_xlfn.XLOOKUP(_xlfn.XLOOKUP(A515,orders[orderID],orders[customerID],,0),customers__2[customerID],customers__2[companyName],,0)</f>
        <v>Ernst Handel</v>
      </c>
      <c r="K515" t="str">
        <f>_xlfn.XLOOKUP(Table9[[#This Row],[Company Name]],customers__2[companyName],customers__2[country],,0)</f>
        <v>Austria</v>
      </c>
      <c r="L515">
        <f>MONTH(Table9[[#This Row],[OrderDate ]])</f>
        <v>2</v>
      </c>
      <c r="M515" t="str">
        <f>TEXT(Table9[[#This Row],[OrderDate ]],"mmm")</f>
        <v>Feb</v>
      </c>
      <c r="N515">
        <f>YEAR(Table9[[#This Row],[OrderDate ]])</f>
        <v>2014</v>
      </c>
    </row>
    <row r="516" spans="1:14" x14ac:dyDescent="0.3">
      <c r="A516">
        <v>10442</v>
      </c>
      <c r="B516" s="2">
        <f>_xlfn.XLOOKUP(Table9[[#This Row],[orderID]],orders[orderID],orders[orderDate],,0)</f>
        <v>41681</v>
      </c>
      <c r="C516">
        <f>_xlfn.XLOOKUP(A516,order_details[orderID],order_details[productID],,0)</f>
        <v>11</v>
      </c>
      <c r="D516" t="str">
        <f>_xlfn.XLOOKUP(C516,products[productID],products[productName],,0)</f>
        <v>Queso Cabrales</v>
      </c>
      <c r="E516" t="str">
        <f>_xlfn.XLOOKUP(_xlfn.XLOOKUP(Table9[[#This Row],[ProductName ]],products[productName],products[categoryID],,0),categories[categoryID],categories[categoryName],,0)</f>
        <v>Dairy Products</v>
      </c>
      <c r="F516">
        <v>80</v>
      </c>
      <c r="G516">
        <v>59</v>
      </c>
      <c r="H516">
        <v>0</v>
      </c>
      <c r="I516">
        <f>Table9[[#This Row],[quantity]]*Table9[[#This Row],[unitPrice]]*(1-Table9[[#This Row],[discount]]/100)</f>
        <v>4720</v>
      </c>
      <c r="J516" t="str">
        <f>_xlfn.XLOOKUP(_xlfn.XLOOKUP(A516,orders[orderID],orders[customerID],,0),customers__2[customerID],customers__2[companyName],,0)</f>
        <v>Ernst Handel</v>
      </c>
      <c r="K516" t="str">
        <f>_xlfn.XLOOKUP(Table9[[#This Row],[Company Name]],customers__2[companyName],customers__2[country],,0)</f>
        <v>Austria</v>
      </c>
      <c r="L516">
        <f>MONTH(Table9[[#This Row],[OrderDate ]])</f>
        <v>2</v>
      </c>
      <c r="M516" t="str">
        <f>TEXT(Table9[[#This Row],[OrderDate ]],"mmm")</f>
        <v>Feb</v>
      </c>
      <c r="N516">
        <f>YEAR(Table9[[#This Row],[OrderDate ]])</f>
        <v>2014</v>
      </c>
    </row>
    <row r="517" spans="1:14" x14ac:dyDescent="0.3">
      <c r="A517">
        <v>10442</v>
      </c>
      <c r="B517" s="2">
        <f>_xlfn.XLOOKUP(Table9[[#This Row],[orderID]],orders[orderID],orders[orderDate],,0)</f>
        <v>41681</v>
      </c>
      <c r="C517">
        <f>_xlfn.XLOOKUP(A517,order_details[orderID],order_details[productID],,0)</f>
        <v>11</v>
      </c>
      <c r="D517" t="str">
        <f>_xlfn.XLOOKUP(C517,products[productID],products[productName],,0)</f>
        <v>Queso Cabrales</v>
      </c>
      <c r="E517" t="str">
        <f>_xlfn.XLOOKUP(_xlfn.XLOOKUP(Table9[[#This Row],[ProductName ]],products[productName],products[categoryID],,0),categories[categoryID],categories[categoryName],,0)</f>
        <v>Dairy Products</v>
      </c>
      <c r="F517">
        <v>60</v>
      </c>
      <c r="G517">
        <v>136</v>
      </c>
      <c r="H517">
        <v>0</v>
      </c>
      <c r="I517">
        <f>Table9[[#This Row],[quantity]]*Table9[[#This Row],[unitPrice]]*(1-Table9[[#This Row],[discount]]/100)</f>
        <v>8160</v>
      </c>
      <c r="J517" t="str">
        <f>_xlfn.XLOOKUP(_xlfn.XLOOKUP(A517,orders[orderID],orders[customerID],,0),customers__2[customerID],customers__2[companyName],,0)</f>
        <v>Ernst Handel</v>
      </c>
      <c r="K517" t="str">
        <f>_xlfn.XLOOKUP(Table9[[#This Row],[Company Name]],customers__2[companyName],customers__2[country],,0)</f>
        <v>Austria</v>
      </c>
      <c r="L517">
        <f>MONTH(Table9[[#This Row],[OrderDate ]])</f>
        <v>2</v>
      </c>
      <c r="M517" t="str">
        <f>TEXT(Table9[[#This Row],[OrderDate ]],"mmm")</f>
        <v>Feb</v>
      </c>
      <c r="N517">
        <f>YEAR(Table9[[#This Row],[OrderDate ]])</f>
        <v>2014</v>
      </c>
    </row>
    <row r="518" spans="1:14" x14ac:dyDescent="0.3">
      <c r="A518">
        <v>10443</v>
      </c>
      <c r="B518" s="2">
        <f>_xlfn.XLOOKUP(Table9[[#This Row],[orderID]],orders[orderID],orders[orderDate],,0)</f>
        <v>41682</v>
      </c>
      <c r="C518">
        <f>_xlfn.XLOOKUP(A518,order_details[orderID],order_details[productID],,0)</f>
        <v>11</v>
      </c>
      <c r="D518" t="str">
        <f>_xlfn.XLOOKUP(C518,products[productID],products[productName],,0)</f>
        <v>Queso Cabrales</v>
      </c>
      <c r="E518" t="str">
        <f>_xlfn.XLOOKUP(_xlfn.XLOOKUP(Table9[[#This Row],[ProductName ]],products[productName],products[categoryID],,0),categories[categoryID],categories[categoryName],,0)</f>
        <v>Dairy Products</v>
      </c>
      <c r="F518">
        <v>6</v>
      </c>
      <c r="G518">
        <v>168</v>
      </c>
      <c r="H518">
        <v>2</v>
      </c>
      <c r="I518">
        <f>Table9[[#This Row],[quantity]]*Table9[[#This Row],[unitPrice]]*(1-Table9[[#This Row],[discount]]/100)</f>
        <v>987.84</v>
      </c>
      <c r="J518" t="str">
        <f>_xlfn.XLOOKUP(_xlfn.XLOOKUP(A518,orders[orderID],orders[customerID],,0),customers__2[customerID],customers__2[companyName],,0)</f>
        <v>Reggiani Caseifici</v>
      </c>
      <c r="K518" t="str">
        <f>_xlfn.XLOOKUP(Table9[[#This Row],[Company Name]],customers__2[companyName],customers__2[country],,0)</f>
        <v>Italy</v>
      </c>
      <c r="L518">
        <f>MONTH(Table9[[#This Row],[OrderDate ]])</f>
        <v>2</v>
      </c>
      <c r="M518" t="str">
        <f>TEXT(Table9[[#This Row],[OrderDate ]],"mmm")</f>
        <v>Feb</v>
      </c>
      <c r="N518">
        <f>YEAR(Table9[[#This Row],[OrderDate ]])</f>
        <v>2014</v>
      </c>
    </row>
    <row r="519" spans="1:14" x14ac:dyDescent="0.3">
      <c r="A519">
        <v>10443</v>
      </c>
      <c r="B519" s="2">
        <f>_xlfn.XLOOKUP(Table9[[#This Row],[orderID]],orders[orderID],orders[orderDate],,0)</f>
        <v>41682</v>
      </c>
      <c r="C519">
        <f>_xlfn.XLOOKUP(A519,order_details[orderID],order_details[productID],,0)</f>
        <v>11</v>
      </c>
      <c r="D519" t="str">
        <f>_xlfn.XLOOKUP(C519,products[productID],products[productName],,0)</f>
        <v>Queso Cabrales</v>
      </c>
      <c r="E519" t="str">
        <f>_xlfn.XLOOKUP(_xlfn.XLOOKUP(Table9[[#This Row],[ProductName ]],products[productName],products[categoryID],,0),categories[categoryID],categories[categoryName],,0)</f>
        <v>Dairy Products</v>
      </c>
      <c r="F519">
        <v>12</v>
      </c>
      <c r="G519">
        <v>364</v>
      </c>
      <c r="H519">
        <v>0</v>
      </c>
      <c r="I519">
        <f>Table9[[#This Row],[quantity]]*Table9[[#This Row],[unitPrice]]*(1-Table9[[#This Row],[discount]]/100)</f>
        <v>4368</v>
      </c>
      <c r="J519" t="str">
        <f>_xlfn.XLOOKUP(_xlfn.XLOOKUP(A519,orders[orderID],orders[customerID],,0),customers__2[customerID],customers__2[companyName],,0)</f>
        <v>Reggiani Caseifici</v>
      </c>
      <c r="K519" t="str">
        <f>_xlfn.XLOOKUP(Table9[[#This Row],[Company Name]],customers__2[companyName],customers__2[country],,0)</f>
        <v>Italy</v>
      </c>
      <c r="L519">
        <f>MONTH(Table9[[#This Row],[OrderDate ]])</f>
        <v>2</v>
      </c>
      <c r="M519" t="str">
        <f>TEXT(Table9[[#This Row],[OrderDate ]],"mmm")</f>
        <v>Feb</v>
      </c>
      <c r="N519">
        <f>YEAR(Table9[[#This Row],[OrderDate ]])</f>
        <v>2014</v>
      </c>
    </row>
    <row r="520" spans="1:14" x14ac:dyDescent="0.3">
      <c r="A520">
        <v>10444</v>
      </c>
      <c r="B520" s="2">
        <f>_xlfn.XLOOKUP(Table9[[#This Row],[orderID]],orders[orderID],orders[orderDate],,0)</f>
        <v>41682</v>
      </c>
      <c r="C520">
        <f>_xlfn.XLOOKUP(A520,order_details[orderID],order_details[productID],,0)</f>
        <v>17</v>
      </c>
      <c r="D520" t="str">
        <f>_xlfn.XLOOKUP(C520,products[productID],products[productName],,0)</f>
        <v>Alice Mutton</v>
      </c>
      <c r="E520" t="str">
        <f>_xlfn.XLOOKUP(_xlfn.XLOOKUP(Table9[[#This Row],[ProductName ]],products[productName],products[categoryID],,0),categories[categoryID],categories[categoryName],,0)</f>
        <v>Meat &amp; Poultry</v>
      </c>
      <c r="F520">
        <v>10</v>
      </c>
      <c r="G520">
        <v>312</v>
      </c>
      <c r="H520">
        <v>0</v>
      </c>
      <c r="I520">
        <f>Table9[[#This Row],[quantity]]*Table9[[#This Row],[unitPrice]]*(1-Table9[[#This Row],[discount]]/100)</f>
        <v>3120</v>
      </c>
      <c r="J520" t="str">
        <f>_xlfn.XLOOKUP(_xlfn.XLOOKUP(A520,orders[orderID],orders[customerID],,0),customers__2[customerID],customers__2[companyName],,0)</f>
        <v>Berglunds snabbköp</v>
      </c>
      <c r="K520" t="str">
        <f>_xlfn.XLOOKUP(Table9[[#This Row],[Company Name]],customers__2[companyName],customers__2[country],,0)</f>
        <v>Sweden</v>
      </c>
      <c r="L520">
        <f>MONTH(Table9[[#This Row],[OrderDate ]])</f>
        <v>2</v>
      </c>
      <c r="M520" t="str">
        <f>TEXT(Table9[[#This Row],[OrderDate ]],"mmm")</f>
        <v>Feb</v>
      </c>
      <c r="N520">
        <f>YEAR(Table9[[#This Row],[OrderDate ]])</f>
        <v>2014</v>
      </c>
    </row>
    <row r="521" spans="1:14" x14ac:dyDescent="0.3">
      <c r="A521">
        <v>10444</v>
      </c>
      <c r="B521" s="2">
        <f>_xlfn.XLOOKUP(Table9[[#This Row],[orderID]],orders[orderID],orders[orderDate],,0)</f>
        <v>41682</v>
      </c>
      <c r="C521">
        <f>_xlfn.XLOOKUP(A521,order_details[orderID],order_details[productID],,0)</f>
        <v>17</v>
      </c>
      <c r="D521" t="str">
        <f>_xlfn.XLOOKUP(C521,products[productID],products[productName],,0)</f>
        <v>Alice Mutton</v>
      </c>
      <c r="E521" t="str">
        <f>_xlfn.XLOOKUP(_xlfn.XLOOKUP(Table9[[#This Row],[ProductName ]],products[productName],products[categoryID],,0),categories[categoryID],categories[categoryName],,0)</f>
        <v>Meat &amp; Poultry</v>
      </c>
      <c r="F521">
        <v>15</v>
      </c>
      <c r="G521">
        <v>249</v>
      </c>
      <c r="H521">
        <v>0</v>
      </c>
      <c r="I521">
        <f>Table9[[#This Row],[quantity]]*Table9[[#This Row],[unitPrice]]*(1-Table9[[#This Row],[discount]]/100)</f>
        <v>3735</v>
      </c>
      <c r="J521" t="str">
        <f>_xlfn.XLOOKUP(_xlfn.XLOOKUP(A521,orders[orderID],orders[customerID],,0),customers__2[customerID],customers__2[companyName],,0)</f>
        <v>Berglunds snabbköp</v>
      </c>
      <c r="K521" t="str">
        <f>_xlfn.XLOOKUP(Table9[[#This Row],[Company Name]],customers__2[companyName],customers__2[country],,0)</f>
        <v>Sweden</v>
      </c>
      <c r="L521">
        <f>MONTH(Table9[[#This Row],[OrderDate ]])</f>
        <v>2</v>
      </c>
      <c r="M521" t="str">
        <f>TEXT(Table9[[#This Row],[OrderDate ]],"mmm")</f>
        <v>Feb</v>
      </c>
      <c r="N521">
        <f>YEAR(Table9[[#This Row],[OrderDate ]])</f>
        <v>2014</v>
      </c>
    </row>
    <row r="522" spans="1:14" x14ac:dyDescent="0.3">
      <c r="A522">
        <v>10444</v>
      </c>
      <c r="B522" s="2">
        <f>_xlfn.XLOOKUP(Table9[[#This Row],[orderID]],orders[orderID],orders[orderDate],,0)</f>
        <v>41682</v>
      </c>
      <c r="C522">
        <f>_xlfn.XLOOKUP(A522,order_details[orderID],order_details[productID],,0)</f>
        <v>17</v>
      </c>
      <c r="D522" t="str">
        <f>_xlfn.XLOOKUP(C522,products[productID],products[productName],,0)</f>
        <v>Alice Mutton</v>
      </c>
      <c r="E522" t="str">
        <f>_xlfn.XLOOKUP(_xlfn.XLOOKUP(Table9[[#This Row],[ProductName ]],products[productName],products[categoryID],,0),categories[categoryID],categories[categoryName],,0)</f>
        <v>Meat &amp; Poultry</v>
      </c>
      <c r="F522">
        <v>8</v>
      </c>
      <c r="G522">
        <v>144</v>
      </c>
      <c r="H522">
        <v>0</v>
      </c>
      <c r="I522">
        <f>Table9[[#This Row],[quantity]]*Table9[[#This Row],[unitPrice]]*(1-Table9[[#This Row],[discount]]/100)</f>
        <v>1152</v>
      </c>
      <c r="J522" t="str">
        <f>_xlfn.XLOOKUP(_xlfn.XLOOKUP(A522,orders[orderID],orders[customerID],,0),customers__2[customerID],customers__2[companyName],,0)</f>
        <v>Berglunds snabbköp</v>
      </c>
      <c r="K522" t="str">
        <f>_xlfn.XLOOKUP(Table9[[#This Row],[Company Name]],customers__2[companyName],customers__2[country],,0)</f>
        <v>Sweden</v>
      </c>
      <c r="L522">
        <f>MONTH(Table9[[#This Row],[OrderDate ]])</f>
        <v>2</v>
      </c>
      <c r="M522" t="str">
        <f>TEXT(Table9[[#This Row],[OrderDate ]],"mmm")</f>
        <v>Feb</v>
      </c>
      <c r="N522">
        <f>YEAR(Table9[[#This Row],[OrderDate ]])</f>
        <v>2014</v>
      </c>
    </row>
    <row r="523" spans="1:14" x14ac:dyDescent="0.3">
      <c r="A523">
        <v>10444</v>
      </c>
      <c r="B523" s="2">
        <f>_xlfn.XLOOKUP(Table9[[#This Row],[orderID]],orders[orderID],orders[orderDate],,0)</f>
        <v>41682</v>
      </c>
      <c r="C523">
        <f>_xlfn.XLOOKUP(A523,order_details[orderID],order_details[productID],,0)</f>
        <v>17</v>
      </c>
      <c r="D523" t="str">
        <f>_xlfn.XLOOKUP(C523,products[productID],products[productName],,0)</f>
        <v>Alice Mutton</v>
      </c>
      <c r="E523" t="str">
        <f>_xlfn.XLOOKUP(_xlfn.XLOOKUP(Table9[[#This Row],[ProductName ]],products[productName],products[categoryID],,0),categories[categoryID],categories[categoryName],,0)</f>
        <v>Meat &amp; Poultry</v>
      </c>
      <c r="F523">
        <v>30</v>
      </c>
      <c r="G523">
        <v>77</v>
      </c>
      <c r="H523">
        <v>0</v>
      </c>
      <c r="I523">
        <f>Table9[[#This Row],[quantity]]*Table9[[#This Row],[unitPrice]]*(1-Table9[[#This Row],[discount]]/100)</f>
        <v>2310</v>
      </c>
      <c r="J523" t="str">
        <f>_xlfn.XLOOKUP(_xlfn.XLOOKUP(A523,orders[orderID],orders[customerID],,0),customers__2[customerID],customers__2[companyName],,0)</f>
        <v>Berglunds snabbköp</v>
      </c>
      <c r="K523" t="str">
        <f>_xlfn.XLOOKUP(Table9[[#This Row],[Company Name]],customers__2[companyName],customers__2[country],,0)</f>
        <v>Sweden</v>
      </c>
      <c r="L523">
        <f>MONTH(Table9[[#This Row],[OrderDate ]])</f>
        <v>2</v>
      </c>
      <c r="M523" t="str">
        <f>TEXT(Table9[[#This Row],[OrderDate ]],"mmm")</f>
        <v>Feb</v>
      </c>
      <c r="N523">
        <f>YEAR(Table9[[#This Row],[OrderDate ]])</f>
        <v>2014</v>
      </c>
    </row>
    <row r="524" spans="1:14" x14ac:dyDescent="0.3">
      <c r="A524">
        <v>10445</v>
      </c>
      <c r="B524" s="2">
        <f>_xlfn.XLOOKUP(Table9[[#This Row],[orderID]],orders[orderID],orders[orderDate],,0)</f>
        <v>41683</v>
      </c>
      <c r="C524">
        <f>_xlfn.XLOOKUP(A524,order_details[orderID],order_details[productID],,0)</f>
        <v>39</v>
      </c>
      <c r="D524" t="str">
        <f>_xlfn.XLOOKUP(C524,products[productID],products[productName],,0)</f>
        <v>Chartreuse verte</v>
      </c>
      <c r="E524" t="str">
        <f>_xlfn.XLOOKUP(_xlfn.XLOOKUP(Table9[[#This Row],[ProductName ]],products[productName],products[categoryID],,0),categories[categoryID],categories[categoryName],,0)</f>
        <v>Beverages</v>
      </c>
      <c r="F524">
        <v>6</v>
      </c>
      <c r="G524">
        <v>144</v>
      </c>
      <c r="H524">
        <v>0</v>
      </c>
      <c r="I524">
        <f>Table9[[#This Row],[quantity]]*Table9[[#This Row],[unitPrice]]*(1-Table9[[#This Row],[discount]]/100)</f>
        <v>864</v>
      </c>
      <c r="J524" t="str">
        <f>_xlfn.XLOOKUP(_xlfn.XLOOKUP(A524,orders[orderID],orders[customerID],,0),customers__2[customerID],customers__2[companyName],,0)</f>
        <v>Berglunds snabbköp</v>
      </c>
      <c r="K524" t="str">
        <f>_xlfn.XLOOKUP(Table9[[#This Row],[Company Name]],customers__2[companyName],customers__2[country],,0)</f>
        <v>Sweden</v>
      </c>
      <c r="L524">
        <f>MONTH(Table9[[#This Row],[OrderDate ]])</f>
        <v>2</v>
      </c>
      <c r="M524" t="str">
        <f>TEXT(Table9[[#This Row],[OrderDate ]],"mmm")</f>
        <v>Feb</v>
      </c>
      <c r="N524">
        <f>YEAR(Table9[[#This Row],[OrderDate ]])</f>
        <v>2014</v>
      </c>
    </row>
    <row r="525" spans="1:14" x14ac:dyDescent="0.3">
      <c r="A525">
        <v>10445</v>
      </c>
      <c r="B525" s="2">
        <f>_xlfn.XLOOKUP(Table9[[#This Row],[orderID]],orders[orderID],orders[orderDate],,0)</f>
        <v>41683</v>
      </c>
      <c r="C525">
        <f>_xlfn.XLOOKUP(A525,order_details[orderID],order_details[productID],,0)</f>
        <v>39</v>
      </c>
      <c r="D525" t="str">
        <f>_xlfn.XLOOKUP(C525,products[productID],products[productName],,0)</f>
        <v>Chartreuse verte</v>
      </c>
      <c r="E525" t="str">
        <f>_xlfn.XLOOKUP(_xlfn.XLOOKUP(Table9[[#This Row],[ProductName ]],products[productName],products[categoryID],,0),categories[categoryID],categories[categoryName],,0)</f>
        <v>Beverages</v>
      </c>
      <c r="F525">
        <v>15</v>
      </c>
      <c r="G525">
        <v>59</v>
      </c>
      <c r="H525">
        <v>0</v>
      </c>
      <c r="I525">
        <f>Table9[[#This Row],[quantity]]*Table9[[#This Row],[unitPrice]]*(1-Table9[[#This Row],[discount]]/100)</f>
        <v>885</v>
      </c>
      <c r="J525" t="str">
        <f>_xlfn.XLOOKUP(_xlfn.XLOOKUP(A525,orders[orderID],orders[customerID],,0),customers__2[customerID],customers__2[companyName],,0)</f>
        <v>Berglunds snabbköp</v>
      </c>
      <c r="K525" t="str">
        <f>_xlfn.XLOOKUP(Table9[[#This Row],[Company Name]],customers__2[companyName],customers__2[country],,0)</f>
        <v>Sweden</v>
      </c>
      <c r="L525">
        <f>MONTH(Table9[[#This Row],[OrderDate ]])</f>
        <v>2</v>
      </c>
      <c r="M525" t="str">
        <f>TEXT(Table9[[#This Row],[OrderDate ]],"mmm")</f>
        <v>Feb</v>
      </c>
      <c r="N525">
        <f>YEAR(Table9[[#This Row],[OrderDate ]])</f>
        <v>2014</v>
      </c>
    </row>
    <row r="526" spans="1:14" x14ac:dyDescent="0.3">
      <c r="A526">
        <v>10446</v>
      </c>
      <c r="B526" s="2">
        <f>_xlfn.XLOOKUP(Table9[[#This Row],[orderID]],orders[orderID],orders[orderDate],,0)</f>
        <v>41684</v>
      </c>
      <c r="C526">
        <f>_xlfn.XLOOKUP(A526,order_details[orderID],order_details[productID],,0)</f>
        <v>19</v>
      </c>
      <c r="D526" t="str">
        <f>_xlfn.XLOOKUP(C526,products[productID],products[productName],,0)</f>
        <v>Teatime Chocolate Biscuits</v>
      </c>
      <c r="E526" t="str">
        <f>_xlfn.XLOOKUP(_xlfn.XLOOKUP(Table9[[#This Row],[ProductName ]],products[productName],products[categoryID],,0),categories[categoryID],categories[categoryName],,0)</f>
        <v>Confections</v>
      </c>
      <c r="F526">
        <v>12</v>
      </c>
      <c r="G526">
        <v>73</v>
      </c>
      <c r="H526">
        <v>1</v>
      </c>
      <c r="I526">
        <f>Table9[[#This Row],[quantity]]*Table9[[#This Row],[unitPrice]]*(1-Table9[[#This Row],[discount]]/100)</f>
        <v>867.24</v>
      </c>
      <c r="J526" t="str">
        <f>_xlfn.XLOOKUP(_xlfn.XLOOKUP(A526,orders[orderID],orders[customerID],,0),customers__2[customerID],customers__2[companyName],,0)</f>
        <v>Toms Spezialitäten</v>
      </c>
      <c r="K526" t="str">
        <f>_xlfn.XLOOKUP(Table9[[#This Row],[Company Name]],customers__2[companyName],customers__2[country],,0)</f>
        <v>Germany</v>
      </c>
      <c r="L526">
        <f>MONTH(Table9[[#This Row],[OrderDate ]])</f>
        <v>2</v>
      </c>
      <c r="M526" t="str">
        <f>TEXT(Table9[[#This Row],[OrderDate ]],"mmm")</f>
        <v>Feb</v>
      </c>
      <c r="N526">
        <f>YEAR(Table9[[#This Row],[OrderDate ]])</f>
        <v>2014</v>
      </c>
    </row>
    <row r="527" spans="1:14" x14ac:dyDescent="0.3">
      <c r="A527">
        <v>10446</v>
      </c>
      <c r="B527" s="2">
        <f>_xlfn.XLOOKUP(Table9[[#This Row],[orderID]],orders[orderID],orders[orderDate],,0)</f>
        <v>41684</v>
      </c>
      <c r="C527">
        <f>_xlfn.XLOOKUP(A527,order_details[orderID],order_details[productID],,0)</f>
        <v>19</v>
      </c>
      <c r="D527" t="str">
        <f>_xlfn.XLOOKUP(C527,products[productID],products[productName],,0)</f>
        <v>Teatime Chocolate Biscuits</v>
      </c>
      <c r="E527" t="str">
        <f>_xlfn.XLOOKUP(_xlfn.XLOOKUP(Table9[[#This Row],[ProductName ]],products[productName],products[categoryID],,0),categories[categoryID],categories[categoryName],,0)</f>
        <v>Confections</v>
      </c>
      <c r="F527">
        <v>20</v>
      </c>
      <c r="G527">
        <v>36</v>
      </c>
      <c r="H527">
        <v>1</v>
      </c>
      <c r="I527">
        <f>Table9[[#This Row],[quantity]]*Table9[[#This Row],[unitPrice]]*(1-Table9[[#This Row],[discount]]/100)</f>
        <v>712.8</v>
      </c>
      <c r="J527" t="str">
        <f>_xlfn.XLOOKUP(_xlfn.XLOOKUP(A527,orders[orderID],orders[customerID],,0),customers__2[customerID],customers__2[companyName],,0)</f>
        <v>Toms Spezialitäten</v>
      </c>
      <c r="K527" t="str">
        <f>_xlfn.XLOOKUP(Table9[[#This Row],[Company Name]],customers__2[companyName],customers__2[country],,0)</f>
        <v>Germany</v>
      </c>
      <c r="L527">
        <f>MONTH(Table9[[#This Row],[OrderDate ]])</f>
        <v>2</v>
      </c>
      <c r="M527" t="str">
        <f>TEXT(Table9[[#This Row],[OrderDate ]],"mmm")</f>
        <v>Feb</v>
      </c>
      <c r="N527">
        <f>YEAR(Table9[[#This Row],[OrderDate ]])</f>
        <v>2014</v>
      </c>
    </row>
    <row r="528" spans="1:14" x14ac:dyDescent="0.3">
      <c r="A528">
        <v>10446</v>
      </c>
      <c r="B528" s="2">
        <f>_xlfn.XLOOKUP(Table9[[#This Row],[orderID]],orders[orderID],orders[orderDate],,0)</f>
        <v>41684</v>
      </c>
      <c r="C528">
        <f>_xlfn.XLOOKUP(A528,order_details[orderID],order_details[productID],,0)</f>
        <v>19</v>
      </c>
      <c r="D528" t="str">
        <f>_xlfn.XLOOKUP(C528,products[productID],products[productName],,0)</f>
        <v>Teatime Chocolate Biscuits</v>
      </c>
      <c r="E528" t="str">
        <f>_xlfn.XLOOKUP(_xlfn.XLOOKUP(Table9[[#This Row],[ProductName ]],products[productName],products[categoryID],,0),categories[categoryID],categories[categoryName],,0)</f>
        <v>Confections</v>
      </c>
      <c r="F528">
        <v>3</v>
      </c>
      <c r="G528">
        <v>10</v>
      </c>
      <c r="H528">
        <v>1</v>
      </c>
      <c r="I528">
        <f>Table9[[#This Row],[quantity]]*Table9[[#This Row],[unitPrice]]*(1-Table9[[#This Row],[discount]]/100)</f>
        <v>29.7</v>
      </c>
      <c r="J528" t="str">
        <f>_xlfn.XLOOKUP(_xlfn.XLOOKUP(A528,orders[orderID],orders[customerID],,0),customers__2[customerID],customers__2[companyName],,0)</f>
        <v>Toms Spezialitäten</v>
      </c>
      <c r="K528" t="str">
        <f>_xlfn.XLOOKUP(Table9[[#This Row],[Company Name]],customers__2[companyName],customers__2[country],,0)</f>
        <v>Germany</v>
      </c>
      <c r="L528">
        <f>MONTH(Table9[[#This Row],[OrderDate ]])</f>
        <v>2</v>
      </c>
      <c r="M528" t="str">
        <f>TEXT(Table9[[#This Row],[OrderDate ]],"mmm")</f>
        <v>Feb</v>
      </c>
      <c r="N528">
        <f>YEAR(Table9[[#This Row],[OrderDate ]])</f>
        <v>2014</v>
      </c>
    </row>
    <row r="529" spans="1:14" x14ac:dyDescent="0.3">
      <c r="A529">
        <v>10446</v>
      </c>
      <c r="B529" s="2">
        <f>_xlfn.XLOOKUP(Table9[[#This Row],[orderID]],orders[orderID],orders[orderDate],,0)</f>
        <v>41684</v>
      </c>
      <c r="C529">
        <f>_xlfn.XLOOKUP(A529,order_details[orderID],order_details[productID],,0)</f>
        <v>19</v>
      </c>
      <c r="D529" t="str">
        <f>_xlfn.XLOOKUP(C529,products[productID],products[productName],,0)</f>
        <v>Teatime Chocolate Biscuits</v>
      </c>
      <c r="E529" t="str">
        <f>_xlfn.XLOOKUP(_xlfn.XLOOKUP(Table9[[#This Row],[ProductName ]],products[productName],products[categoryID],,0),categories[categoryID],categories[categoryName],,0)</f>
        <v>Confections</v>
      </c>
      <c r="F529">
        <v>15</v>
      </c>
      <c r="G529">
        <v>56</v>
      </c>
      <c r="H529">
        <v>1</v>
      </c>
      <c r="I529">
        <f>Table9[[#This Row],[quantity]]*Table9[[#This Row],[unitPrice]]*(1-Table9[[#This Row],[discount]]/100)</f>
        <v>831.6</v>
      </c>
      <c r="J529" t="str">
        <f>_xlfn.XLOOKUP(_xlfn.XLOOKUP(A529,orders[orderID],orders[customerID],,0),customers__2[customerID],customers__2[companyName],,0)</f>
        <v>Toms Spezialitäten</v>
      </c>
      <c r="K529" t="str">
        <f>_xlfn.XLOOKUP(Table9[[#This Row],[Company Name]],customers__2[companyName],customers__2[country],,0)</f>
        <v>Germany</v>
      </c>
      <c r="L529">
        <f>MONTH(Table9[[#This Row],[OrderDate ]])</f>
        <v>2</v>
      </c>
      <c r="M529" t="str">
        <f>TEXT(Table9[[#This Row],[OrderDate ]],"mmm")</f>
        <v>Feb</v>
      </c>
      <c r="N529">
        <f>YEAR(Table9[[#This Row],[OrderDate ]])</f>
        <v>2014</v>
      </c>
    </row>
    <row r="530" spans="1:14" x14ac:dyDescent="0.3">
      <c r="A530">
        <v>10447</v>
      </c>
      <c r="B530" s="2">
        <f>_xlfn.XLOOKUP(Table9[[#This Row],[orderID]],orders[orderID],orders[orderDate],,0)</f>
        <v>41684</v>
      </c>
      <c r="C530">
        <f>_xlfn.XLOOKUP(A530,order_details[orderID],order_details[productID],,0)</f>
        <v>19</v>
      </c>
      <c r="D530" t="str">
        <f>_xlfn.XLOOKUP(C530,products[productID],products[productName],,0)</f>
        <v>Teatime Chocolate Biscuits</v>
      </c>
      <c r="E530" t="str">
        <f>_xlfn.XLOOKUP(_xlfn.XLOOKUP(Table9[[#This Row],[ProductName ]],products[productName],products[categoryID],,0),categories[categoryID],categories[categoryName],,0)</f>
        <v>Confections</v>
      </c>
      <c r="F530">
        <v>40</v>
      </c>
      <c r="G530">
        <v>73</v>
      </c>
      <c r="H530">
        <v>0</v>
      </c>
      <c r="I530">
        <f>Table9[[#This Row],[quantity]]*Table9[[#This Row],[unitPrice]]*(1-Table9[[#This Row],[discount]]/100)</f>
        <v>2920</v>
      </c>
      <c r="J530" t="str">
        <f>_xlfn.XLOOKUP(_xlfn.XLOOKUP(A530,orders[orderID],orders[customerID],,0),customers__2[customerID],customers__2[companyName],,0)</f>
        <v>Ricardo Adocicados</v>
      </c>
      <c r="K530" t="str">
        <f>_xlfn.XLOOKUP(Table9[[#This Row],[Company Name]],customers__2[companyName],customers__2[country],,0)</f>
        <v>Brazil</v>
      </c>
      <c r="L530">
        <f>MONTH(Table9[[#This Row],[OrderDate ]])</f>
        <v>2</v>
      </c>
      <c r="M530" t="str">
        <f>TEXT(Table9[[#This Row],[OrderDate ]],"mmm")</f>
        <v>Feb</v>
      </c>
      <c r="N530">
        <f>YEAR(Table9[[#This Row],[OrderDate ]])</f>
        <v>2014</v>
      </c>
    </row>
    <row r="531" spans="1:14" x14ac:dyDescent="0.3">
      <c r="A531">
        <v>10447</v>
      </c>
      <c r="B531" s="2">
        <f>_xlfn.XLOOKUP(Table9[[#This Row],[orderID]],orders[orderID],orders[orderDate],,0)</f>
        <v>41684</v>
      </c>
      <c r="C531">
        <f>_xlfn.XLOOKUP(A531,order_details[orderID],order_details[productID],,0)</f>
        <v>19</v>
      </c>
      <c r="D531" t="str">
        <f>_xlfn.XLOOKUP(C531,products[productID],products[productName],,0)</f>
        <v>Teatime Chocolate Biscuits</v>
      </c>
      <c r="E531" t="str">
        <f>_xlfn.XLOOKUP(_xlfn.XLOOKUP(Table9[[#This Row],[ProductName ]],products[productName],products[categoryID],,0),categories[categoryID],categories[categoryName],,0)</f>
        <v>Confections</v>
      </c>
      <c r="F531">
        <v>35</v>
      </c>
      <c r="G531">
        <v>168</v>
      </c>
      <c r="H531">
        <v>0</v>
      </c>
      <c r="I531">
        <f>Table9[[#This Row],[quantity]]*Table9[[#This Row],[unitPrice]]*(1-Table9[[#This Row],[discount]]/100)</f>
        <v>5880</v>
      </c>
      <c r="J531" t="str">
        <f>_xlfn.XLOOKUP(_xlfn.XLOOKUP(A531,orders[orderID],orders[customerID],,0),customers__2[customerID],customers__2[companyName],,0)</f>
        <v>Ricardo Adocicados</v>
      </c>
      <c r="K531" t="str">
        <f>_xlfn.XLOOKUP(Table9[[#This Row],[Company Name]],customers__2[companyName],customers__2[country],,0)</f>
        <v>Brazil</v>
      </c>
      <c r="L531">
        <f>MONTH(Table9[[#This Row],[OrderDate ]])</f>
        <v>2</v>
      </c>
      <c r="M531" t="str">
        <f>TEXT(Table9[[#This Row],[OrderDate ]],"mmm")</f>
        <v>Feb</v>
      </c>
      <c r="N531">
        <f>YEAR(Table9[[#This Row],[OrderDate ]])</f>
        <v>2014</v>
      </c>
    </row>
    <row r="532" spans="1:14" x14ac:dyDescent="0.3">
      <c r="A532">
        <v>10447</v>
      </c>
      <c r="B532" s="2">
        <f>_xlfn.XLOOKUP(Table9[[#This Row],[orderID]],orders[orderID],orders[orderDate],,0)</f>
        <v>41684</v>
      </c>
      <c r="C532">
        <f>_xlfn.XLOOKUP(A532,order_details[orderID],order_details[productID],,0)</f>
        <v>19</v>
      </c>
      <c r="D532" t="str">
        <f>_xlfn.XLOOKUP(C532,products[productID],products[productName],,0)</f>
        <v>Teatime Chocolate Biscuits</v>
      </c>
      <c r="E532" t="str">
        <f>_xlfn.XLOOKUP(_xlfn.XLOOKUP(Table9[[#This Row],[ProductName ]],products[productName],products[categoryID],,0),categories[categoryID],categories[categoryName],,0)</f>
        <v>Confections</v>
      </c>
      <c r="F532">
        <v>2</v>
      </c>
      <c r="G532">
        <v>172</v>
      </c>
      <c r="H532">
        <v>0</v>
      </c>
      <c r="I532">
        <f>Table9[[#This Row],[quantity]]*Table9[[#This Row],[unitPrice]]*(1-Table9[[#This Row],[discount]]/100)</f>
        <v>344</v>
      </c>
      <c r="J532" t="str">
        <f>_xlfn.XLOOKUP(_xlfn.XLOOKUP(A532,orders[orderID],orders[customerID],,0),customers__2[customerID],customers__2[companyName],,0)</f>
        <v>Ricardo Adocicados</v>
      </c>
      <c r="K532" t="str">
        <f>_xlfn.XLOOKUP(Table9[[#This Row],[Company Name]],customers__2[companyName],customers__2[country],,0)</f>
        <v>Brazil</v>
      </c>
      <c r="L532">
        <f>MONTH(Table9[[#This Row],[OrderDate ]])</f>
        <v>2</v>
      </c>
      <c r="M532" t="str">
        <f>TEXT(Table9[[#This Row],[OrderDate ]],"mmm")</f>
        <v>Feb</v>
      </c>
      <c r="N532">
        <f>YEAR(Table9[[#This Row],[OrderDate ]])</f>
        <v>2014</v>
      </c>
    </row>
    <row r="533" spans="1:14" x14ac:dyDescent="0.3">
      <c r="A533">
        <v>10448</v>
      </c>
      <c r="B533" s="2">
        <f>_xlfn.XLOOKUP(Table9[[#This Row],[orderID]],orders[orderID],orders[orderDate],,0)</f>
        <v>41687</v>
      </c>
      <c r="C533">
        <f>_xlfn.XLOOKUP(A533,order_details[orderID],order_details[productID],,0)</f>
        <v>26</v>
      </c>
      <c r="D533" t="str">
        <f>_xlfn.XLOOKUP(C533,products[productID],products[productName],,0)</f>
        <v>Gumbär Gummibärchen</v>
      </c>
      <c r="E533" t="str">
        <f>_xlfn.XLOOKUP(_xlfn.XLOOKUP(Table9[[#This Row],[ProductName ]],products[productName],products[categoryID],,0),categories[categoryID],categories[categoryName],,0)</f>
        <v>Confections</v>
      </c>
      <c r="F533">
        <v>6</v>
      </c>
      <c r="G533">
        <v>249</v>
      </c>
      <c r="H533">
        <v>0</v>
      </c>
      <c r="I533">
        <f>Table9[[#This Row],[quantity]]*Table9[[#This Row],[unitPrice]]*(1-Table9[[#This Row],[discount]]/100)</f>
        <v>1494</v>
      </c>
      <c r="J533" t="str">
        <f>_xlfn.XLOOKUP(_xlfn.XLOOKUP(A533,orders[orderID],orders[customerID],,0),customers__2[customerID],customers__2[companyName],,0)</f>
        <v>Rancho grande</v>
      </c>
      <c r="K533" t="str">
        <f>_xlfn.XLOOKUP(Table9[[#This Row],[Company Name]],customers__2[companyName],customers__2[country],,0)</f>
        <v>Argentina</v>
      </c>
      <c r="L533">
        <f>MONTH(Table9[[#This Row],[OrderDate ]])</f>
        <v>2</v>
      </c>
      <c r="M533" t="str">
        <f>TEXT(Table9[[#This Row],[OrderDate ]],"mmm")</f>
        <v>Feb</v>
      </c>
      <c r="N533">
        <f>YEAR(Table9[[#This Row],[OrderDate ]])</f>
        <v>2014</v>
      </c>
    </row>
    <row r="534" spans="1:14" x14ac:dyDescent="0.3">
      <c r="A534">
        <v>10448</v>
      </c>
      <c r="B534" s="2">
        <f>_xlfn.XLOOKUP(Table9[[#This Row],[orderID]],orders[orderID],orders[orderDate],,0)</f>
        <v>41687</v>
      </c>
      <c r="C534">
        <f>_xlfn.XLOOKUP(A534,order_details[orderID],order_details[productID],,0)</f>
        <v>26</v>
      </c>
      <c r="D534" t="str">
        <f>_xlfn.XLOOKUP(C534,products[productID],products[productName],,0)</f>
        <v>Gumbär Gummibärchen</v>
      </c>
      <c r="E534" t="str">
        <f>_xlfn.XLOOKUP(_xlfn.XLOOKUP(Table9[[#This Row],[ProductName ]],products[productName],products[categoryID],,0),categories[categoryID],categories[categoryName],,0)</f>
        <v>Confections</v>
      </c>
      <c r="F534">
        <v>20</v>
      </c>
      <c r="G534">
        <v>147</v>
      </c>
      <c r="H534">
        <v>0</v>
      </c>
      <c r="I534">
        <f>Table9[[#This Row],[quantity]]*Table9[[#This Row],[unitPrice]]*(1-Table9[[#This Row],[discount]]/100)</f>
        <v>2940</v>
      </c>
      <c r="J534" t="str">
        <f>_xlfn.XLOOKUP(_xlfn.XLOOKUP(A534,orders[orderID],orders[customerID],,0),customers__2[customerID],customers__2[companyName],,0)</f>
        <v>Rancho grande</v>
      </c>
      <c r="K534" t="str">
        <f>_xlfn.XLOOKUP(Table9[[#This Row],[Company Name]],customers__2[companyName],customers__2[country],,0)</f>
        <v>Argentina</v>
      </c>
      <c r="L534">
        <f>MONTH(Table9[[#This Row],[OrderDate ]])</f>
        <v>2</v>
      </c>
      <c r="M534" t="str">
        <f>TEXT(Table9[[#This Row],[OrderDate ]],"mmm")</f>
        <v>Feb</v>
      </c>
      <c r="N534">
        <f>YEAR(Table9[[#This Row],[OrderDate ]])</f>
        <v>2014</v>
      </c>
    </row>
    <row r="535" spans="1:14" x14ac:dyDescent="0.3">
      <c r="A535">
        <v>10449</v>
      </c>
      <c r="B535" s="2">
        <f>_xlfn.XLOOKUP(Table9[[#This Row],[orderID]],orders[orderID],orders[orderDate],,0)</f>
        <v>41688</v>
      </c>
      <c r="C535">
        <f>_xlfn.XLOOKUP(A535,order_details[orderID],order_details[productID],,0)</f>
        <v>10</v>
      </c>
      <c r="D535" t="str">
        <f>_xlfn.XLOOKUP(C535,products[productID],products[productName],,0)</f>
        <v>Ikura</v>
      </c>
      <c r="E535" t="str">
        <f>_xlfn.XLOOKUP(_xlfn.XLOOKUP(Table9[[#This Row],[ProductName ]],products[productName],products[categoryID],,0),categories[categoryID],categories[categoryName],,0)</f>
        <v>Seafood</v>
      </c>
      <c r="F535">
        <v>14</v>
      </c>
      <c r="G535">
        <v>248</v>
      </c>
      <c r="H535">
        <v>0</v>
      </c>
      <c r="I535">
        <f>Table9[[#This Row],[quantity]]*Table9[[#This Row],[unitPrice]]*(1-Table9[[#This Row],[discount]]/100)</f>
        <v>3472</v>
      </c>
      <c r="J535" t="str">
        <f>_xlfn.XLOOKUP(_xlfn.XLOOKUP(A535,orders[orderID],orders[customerID],,0),customers__2[customerID],customers__2[companyName],,0)</f>
        <v>Blondesddsl père et fils</v>
      </c>
      <c r="K535" t="str">
        <f>_xlfn.XLOOKUP(Table9[[#This Row],[Company Name]],customers__2[companyName],customers__2[country],,0)</f>
        <v>France</v>
      </c>
      <c r="L535">
        <f>MONTH(Table9[[#This Row],[OrderDate ]])</f>
        <v>2</v>
      </c>
      <c r="M535" t="str">
        <f>TEXT(Table9[[#This Row],[OrderDate ]],"mmm")</f>
        <v>Feb</v>
      </c>
      <c r="N535">
        <f>YEAR(Table9[[#This Row],[OrderDate ]])</f>
        <v>2014</v>
      </c>
    </row>
    <row r="536" spans="1:14" x14ac:dyDescent="0.3">
      <c r="A536">
        <v>10449</v>
      </c>
      <c r="B536" s="2">
        <f>_xlfn.XLOOKUP(Table9[[#This Row],[orderID]],orders[orderID],orders[orderDate],,0)</f>
        <v>41688</v>
      </c>
      <c r="C536">
        <f>_xlfn.XLOOKUP(A536,order_details[orderID],order_details[productID],,0)</f>
        <v>10</v>
      </c>
      <c r="D536" t="str">
        <f>_xlfn.XLOOKUP(C536,products[productID],products[productName],,0)</f>
        <v>Ikura</v>
      </c>
      <c r="E536" t="str">
        <f>_xlfn.XLOOKUP(_xlfn.XLOOKUP(Table9[[#This Row],[ProductName ]],products[productName],products[categoryID],,0),categories[categoryID],categories[categoryName],,0)</f>
        <v>Seafood</v>
      </c>
      <c r="F536">
        <v>20</v>
      </c>
      <c r="G536">
        <v>56</v>
      </c>
      <c r="H536">
        <v>0</v>
      </c>
      <c r="I536">
        <f>Table9[[#This Row],[quantity]]*Table9[[#This Row],[unitPrice]]*(1-Table9[[#This Row],[discount]]/100)</f>
        <v>1120</v>
      </c>
      <c r="J536" t="str">
        <f>_xlfn.XLOOKUP(_xlfn.XLOOKUP(A536,orders[orderID],orders[customerID],,0),customers__2[customerID],customers__2[companyName],,0)</f>
        <v>Blondesddsl père et fils</v>
      </c>
      <c r="K536" t="str">
        <f>_xlfn.XLOOKUP(Table9[[#This Row],[Company Name]],customers__2[companyName],customers__2[country],,0)</f>
        <v>France</v>
      </c>
      <c r="L536">
        <f>MONTH(Table9[[#This Row],[OrderDate ]])</f>
        <v>2</v>
      </c>
      <c r="M536" t="str">
        <f>TEXT(Table9[[#This Row],[OrderDate ]],"mmm")</f>
        <v>Feb</v>
      </c>
      <c r="N536">
        <f>YEAR(Table9[[#This Row],[OrderDate ]])</f>
        <v>2014</v>
      </c>
    </row>
    <row r="537" spans="1:14" x14ac:dyDescent="0.3">
      <c r="A537">
        <v>10449</v>
      </c>
      <c r="B537" s="2">
        <f>_xlfn.XLOOKUP(Table9[[#This Row],[orderID]],orders[orderID],orders[orderDate],,0)</f>
        <v>41688</v>
      </c>
      <c r="C537">
        <f>_xlfn.XLOOKUP(A537,order_details[orderID],order_details[productID],,0)</f>
        <v>10</v>
      </c>
      <c r="D537" t="str">
        <f>_xlfn.XLOOKUP(C537,products[productID],products[productName],,0)</f>
        <v>Ikura</v>
      </c>
      <c r="E537" t="str">
        <f>_xlfn.XLOOKUP(_xlfn.XLOOKUP(Table9[[#This Row],[ProductName ]],products[productName],products[categoryID],,0),categories[categoryID],categories[categoryName],,0)</f>
        <v>Seafood</v>
      </c>
      <c r="F537">
        <v>35</v>
      </c>
      <c r="G537">
        <v>394</v>
      </c>
      <c r="H537">
        <v>0</v>
      </c>
      <c r="I537">
        <f>Table9[[#This Row],[quantity]]*Table9[[#This Row],[unitPrice]]*(1-Table9[[#This Row],[discount]]/100)</f>
        <v>13790</v>
      </c>
      <c r="J537" t="str">
        <f>_xlfn.XLOOKUP(_xlfn.XLOOKUP(A537,orders[orderID],orders[customerID],,0),customers__2[customerID],customers__2[companyName],,0)</f>
        <v>Blondesddsl père et fils</v>
      </c>
      <c r="K537" t="str">
        <f>_xlfn.XLOOKUP(Table9[[#This Row],[Company Name]],customers__2[companyName],customers__2[country],,0)</f>
        <v>France</v>
      </c>
      <c r="L537">
        <f>MONTH(Table9[[#This Row],[OrderDate ]])</f>
        <v>2</v>
      </c>
      <c r="M537" t="str">
        <f>TEXT(Table9[[#This Row],[OrderDate ]],"mmm")</f>
        <v>Feb</v>
      </c>
      <c r="N537">
        <f>YEAR(Table9[[#This Row],[OrderDate ]])</f>
        <v>2014</v>
      </c>
    </row>
    <row r="538" spans="1:14" x14ac:dyDescent="0.3">
      <c r="A538">
        <v>10450</v>
      </c>
      <c r="B538" s="2">
        <f>_xlfn.XLOOKUP(Table9[[#This Row],[orderID]],orders[orderID],orders[orderDate],,0)</f>
        <v>41689</v>
      </c>
      <c r="C538">
        <f>_xlfn.XLOOKUP(A538,order_details[orderID],order_details[productID],,0)</f>
        <v>10</v>
      </c>
      <c r="D538" t="str">
        <f>_xlfn.XLOOKUP(C538,products[productID],products[productName],,0)</f>
        <v>Ikura</v>
      </c>
      <c r="E538" t="str">
        <f>_xlfn.XLOOKUP(_xlfn.XLOOKUP(Table9[[#This Row],[ProductName ]],products[productName],products[categoryID],,0),categories[categoryID],categories[categoryName],,0)</f>
        <v>Seafood</v>
      </c>
      <c r="F538">
        <v>20</v>
      </c>
      <c r="G538">
        <v>248</v>
      </c>
      <c r="H538">
        <v>2</v>
      </c>
      <c r="I538">
        <f>Table9[[#This Row],[quantity]]*Table9[[#This Row],[unitPrice]]*(1-Table9[[#This Row],[discount]]/100)</f>
        <v>4860.8</v>
      </c>
      <c r="J538" t="str">
        <f>_xlfn.XLOOKUP(_xlfn.XLOOKUP(A538,orders[orderID],orders[customerID],,0),customers__2[customerID],customers__2[companyName],,0)</f>
        <v>Victuailles en stock</v>
      </c>
      <c r="K538" t="str">
        <f>_xlfn.XLOOKUP(Table9[[#This Row],[Company Name]],customers__2[companyName],customers__2[country],,0)</f>
        <v>France</v>
      </c>
      <c r="L538">
        <f>MONTH(Table9[[#This Row],[OrderDate ]])</f>
        <v>2</v>
      </c>
      <c r="M538" t="str">
        <f>TEXT(Table9[[#This Row],[OrderDate ]],"mmm")</f>
        <v>Feb</v>
      </c>
      <c r="N538">
        <f>YEAR(Table9[[#This Row],[OrderDate ]])</f>
        <v>2014</v>
      </c>
    </row>
    <row r="539" spans="1:14" x14ac:dyDescent="0.3">
      <c r="A539">
        <v>10450</v>
      </c>
      <c r="B539" s="2">
        <f>_xlfn.XLOOKUP(Table9[[#This Row],[orderID]],orders[orderID],orders[orderDate],,0)</f>
        <v>41689</v>
      </c>
      <c r="C539">
        <f>_xlfn.XLOOKUP(A539,order_details[orderID],order_details[productID],,0)</f>
        <v>10</v>
      </c>
      <c r="D539" t="str">
        <f>_xlfn.XLOOKUP(C539,products[productID],products[productName],,0)</f>
        <v>Ikura</v>
      </c>
      <c r="E539" t="str">
        <f>_xlfn.XLOOKUP(_xlfn.XLOOKUP(Table9[[#This Row],[ProductName ]],products[productName],products[categoryID],,0),categories[categoryID],categories[categoryName],,0)</f>
        <v>Seafood</v>
      </c>
      <c r="F539">
        <v>6</v>
      </c>
      <c r="G539">
        <v>59</v>
      </c>
      <c r="H539">
        <v>2</v>
      </c>
      <c r="I539">
        <f>Table9[[#This Row],[quantity]]*Table9[[#This Row],[unitPrice]]*(1-Table9[[#This Row],[discount]]/100)</f>
        <v>346.92</v>
      </c>
      <c r="J539" t="str">
        <f>_xlfn.XLOOKUP(_xlfn.XLOOKUP(A539,orders[orderID],orders[customerID],,0),customers__2[customerID],customers__2[companyName],,0)</f>
        <v>Victuailles en stock</v>
      </c>
      <c r="K539" t="str">
        <f>_xlfn.XLOOKUP(Table9[[#This Row],[Company Name]],customers__2[companyName],customers__2[country],,0)</f>
        <v>France</v>
      </c>
      <c r="L539">
        <f>MONTH(Table9[[#This Row],[OrderDate ]])</f>
        <v>2</v>
      </c>
      <c r="M539" t="str">
        <f>TEXT(Table9[[#This Row],[OrderDate ]],"mmm")</f>
        <v>Feb</v>
      </c>
      <c r="N539">
        <f>YEAR(Table9[[#This Row],[OrderDate ]])</f>
        <v>2014</v>
      </c>
    </row>
    <row r="540" spans="1:14" x14ac:dyDescent="0.3">
      <c r="A540">
        <v>10451</v>
      </c>
      <c r="B540" s="2">
        <f>_xlfn.XLOOKUP(Table9[[#This Row],[orderID]],orders[orderID],orders[orderDate],,0)</f>
        <v>41689</v>
      </c>
      <c r="C540">
        <f>_xlfn.XLOOKUP(A540,order_details[orderID],order_details[productID],,0)</f>
        <v>55</v>
      </c>
      <c r="D540" t="str">
        <f>_xlfn.XLOOKUP(C540,products[productID],products[productName],,0)</f>
        <v>Pâté chinois</v>
      </c>
      <c r="E540" t="str">
        <f>_xlfn.XLOOKUP(_xlfn.XLOOKUP(Table9[[#This Row],[ProductName ]],products[productName],products[categoryID],,0),categories[categoryID],categories[categoryName],,0)</f>
        <v>Meat &amp; Poultry</v>
      </c>
      <c r="F540">
        <v>120</v>
      </c>
      <c r="G540">
        <v>192</v>
      </c>
      <c r="H540">
        <v>1</v>
      </c>
      <c r="I540">
        <f>Table9[[#This Row],[quantity]]*Table9[[#This Row],[unitPrice]]*(1-Table9[[#This Row],[discount]]/100)</f>
        <v>22809.599999999999</v>
      </c>
      <c r="J540" t="str">
        <f>_xlfn.XLOOKUP(_xlfn.XLOOKUP(A540,orders[orderID],orders[customerID],,0),customers__2[customerID],customers__2[companyName],,0)</f>
        <v>QUICK-Stop</v>
      </c>
      <c r="K540" t="str">
        <f>_xlfn.XLOOKUP(Table9[[#This Row],[Company Name]],customers__2[companyName],customers__2[country],,0)</f>
        <v>Germany</v>
      </c>
      <c r="L540">
        <f>MONTH(Table9[[#This Row],[OrderDate ]])</f>
        <v>2</v>
      </c>
      <c r="M540" t="str">
        <f>TEXT(Table9[[#This Row],[OrderDate ]],"mmm")</f>
        <v>Feb</v>
      </c>
      <c r="N540">
        <f>YEAR(Table9[[#This Row],[OrderDate ]])</f>
        <v>2014</v>
      </c>
    </row>
    <row r="541" spans="1:14" x14ac:dyDescent="0.3">
      <c r="A541">
        <v>10451</v>
      </c>
      <c r="B541" s="2">
        <f>_xlfn.XLOOKUP(Table9[[#This Row],[orderID]],orders[orderID],orders[orderDate],,0)</f>
        <v>41689</v>
      </c>
      <c r="C541">
        <f>_xlfn.XLOOKUP(A541,order_details[orderID],order_details[productID],,0)</f>
        <v>55</v>
      </c>
      <c r="D541" t="str">
        <f>_xlfn.XLOOKUP(C541,products[productID],products[productName],,0)</f>
        <v>Pâté chinois</v>
      </c>
      <c r="E541" t="str">
        <f>_xlfn.XLOOKUP(_xlfn.XLOOKUP(Table9[[#This Row],[ProductName ]],products[productName],products[categoryID],,0),categories[categoryID],categories[categoryName],,0)</f>
        <v>Meat &amp; Poultry</v>
      </c>
      <c r="F541">
        <v>35</v>
      </c>
      <c r="G541">
        <v>266</v>
      </c>
      <c r="H541">
        <v>1</v>
      </c>
      <c r="I541">
        <f>Table9[[#This Row],[quantity]]*Table9[[#This Row],[unitPrice]]*(1-Table9[[#This Row],[discount]]/100)</f>
        <v>9216.9</v>
      </c>
      <c r="J541" t="str">
        <f>_xlfn.XLOOKUP(_xlfn.XLOOKUP(A541,orders[orderID],orders[customerID],,0),customers__2[customerID],customers__2[companyName],,0)</f>
        <v>QUICK-Stop</v>
      </c>
      <c r="K541" t="str">
        <f>_xlfn.XLOOKUP(Table9[[#This Row],[Company Name]],customers__2[companyName],customers__2[country],,0)</f>
        <v>Germany</v>
      </c>
      <c r="L541">
        <f>MONTH(Table9[[#This Row],[OrderDate ]])</f>
        <v>2</v>
      </c>
      <c r="M541" t="str">
        <f>TEXT(Table9[[#This Row],[OrderDate ]],"mmm")</f>
        <v>Feb</v>
      </c>
      <c r="N541">
        <f>YEAR(Table9[[#This Row],[OrderDate ]])</f>
        <v>2014</v>
      </c>
    </row>
    <row r="542" spans="1:14" x14ac:dyDescent="0.3">
      <c r="A542">
        <v>10451</v>
      </c>
      <c r="B542" s="2">
        <f>_xlfn.XLOOKUP(Table9[[#This Row],[orderID]],orders[orderID],orders[orderDate],,0)</f>
        <v>41689</v>
      </c>
      <c r="C542">
        <f>_xlfn.XLOOKUP(A542,order_details[orderID],order_details[productID],,0)</f>
        <v>55</v>
      </c>
      <c r="D542" t="str">
        <f>_xlfn.XLOOKUP(C542,products[productID],products[productName],,0)</f>
        <v>Pâté chinois</v>
      </c>
      <c r="E542" t="str">
        <f>_xlfn.XLOOKUP(_xlfn.XLOOKUP(Table9[[#This Row],[ProductName ]],products[productName],products[categoryID],,0),categories[categoryID],categories[categoryName],,0)</f>
        <v>Meat &amp; Poultry</v>
      </c>
      <c r="F542">
        <v>28</v>
      </c>
      <c r="G542">
        <v>168</v>
      </c>
      <c r="H542">
        <v>1</v>
      </c>
      <c r="I542">
        <f>Table9[[#This Row],[quantity]]*Table9[[#This Row],[unitPrice]]*(1-Table9[[#This Row],[discount]]/100)</f>
        <v>4656.96</v>
      </c>
      <c r="J542" t="str">
        <f>_xlfn.XLOOKUP(_xlfn.XLOOKUP(A542,orders[orderID],orders[customerID],,0),customers__2[customerID],customers__2[companyName],,0)</f>
        <v>QUICK-Stop</v>
      </c>
      <c r="K542" t="str">
        <f>_xlfn.XLOOKUP(Table9[[#This Row],[Company Name]],customers__2[companyName],customers__2[country],,0)</f>
        <v>Germany</v>
      </c>
      <c r="L542">
        <f>MONTH(Table9[[#This Row],[OrderDate ]])</f>
        <v>2</v>
      </c>
      <c r="M542" t="str">
        <f>TEXT(Table9[[#This Row],[OrderDate ]],"mmm")</f>
        <v>Feb</v>
      </c>
      <c r="N542">
        <f>YEAR(Table9[[#This Row],[OrderDate ]])</f>
        <v>2014</v>
      </c>
    </row>
    <row r="543" spans="1:14" x14ac:dyDescent="0.3">
      <c r="A543">
        <v>10451</v>
      </c>
      <c r="B543" s="2">
        <f>_xlfn.XLOOKUP(Table9[[#This Row],[orderID]],orders[orderID],orders[orderDate],,0)</f>
        <v>41689</v>
      </c>
      <c r="C543">
        <f>_xlfn.XLOOKUP(A543,order_details[orderID],order_details[productID],,0)</f>
        <v>55</v>
      </c>
      <c r="D543" t="str">
        <f>_xlfn.XLOOKUP(C543,products[productID],products[productName],,0)</f>
        <v>Pâté chinois</v>
      </c>
      <c r="E543" t="str">
        <f>_xlfn.XLOOKUP(_xlfn.XLOOKUP(Table9[[#This Row],[ProductName ]],products[productName],products[categoryID],,0),categories[categoryID],categories[categoryName],,0)</f>
        <v>Meat &amp; Poultry</v>
      </c>
      <c r="F543">
        <v>55</v>
      </c>
      <c r="G543">
        <v>104</v>
      </c>
      <c r="H543">
        <v>1</v>
      </c>
      <c r="I543">
        <f>Table9[[#This Row],[quantity]]*Table9[[#This Row],[unitPrice]]*(1-Table9[[#This Row],[discount]]/100)</f>
        <v>5662.8</v>
      </c>
      <c r="J543" t="str">
        <f>_xlfn.XLOOKUP(_xlfn.XLOOKUP(A543,orders[orderID],orders[customerID],,0),customers__2[customerID],customers__2[companyName],,0)</f>
        <v>QUICK-Stop</v>
      </c>
      <c r="K543" t="str">
        <f>_xlfn.XLOOKUP(Table9[[#This Row],[Company Name]],customers__2[companyName],customers__2[country],,0)</f>
        <v>Germany</v>
      </c>
      <c r="L543">
        <f>MONTH(Table9[[#This Row],[OrderDate ]])</f>
        <v>2</v>
      </c>
      <c r="M543" t="str">
        <f>TEXT(Table9[[#This Row],[OrderDate ]],"mmm")</f>
        <v>Feb</v>
      </c>
      <c r="N543">
        <f>YEAR(Table9[[#This Row],[OrderDate ]])</f>
        <v>2014</v>
      </c>
    </row>
    <row r="544" spans="1:14" x14ac:dyDescent="0.3">
      <c r="A544">
        <v>10452</v>
      </c>
      <c r="B544" s="2">
        <f>_xlfn.XLOOKUP(Table9[[#This Row],[orderID]],orders[orderID],orders[orderDate],,0)</f>
        <v>41690</v>
      </c>
      <c r="C544">
        <f>_xlfn.XLOOKUP(A544,order_details[orderID],order_details[productID],,0)</f>
        <v>28</v>
      </c>
      <c r="D544" t="str">
        <f>_xlfn.XLOOKUP(C544,products[productID],products[productName],,0)</f>
        <v>Rössle Sauerkraut</v>
      </c>
      <c r="E544" t="str">
        <f>_xlfn.XLOOKUP(_xlfn.XLOOKUP(Table9[[#This Row],[ProductName ]],products[productName],products[categoryID],,0),categories[categoryID],categories[categoryName],,0)</f>
        <v>Produce</v>
      </c>
      <c r="F544">
        <v>15</v>
      </c>
      <c r="G544">
        <v>364</v>
      </c>
      <c r="H544">
        <v>0</v>
      </c>
      <c r="I544">
        <f>Table9[[#This Row],[quantity]]*Table9[[#This Row],[unitPrice]]*(1-Table9[[#This Row],[discount]]/100)</f>
        <v>5460</v>
      </c>
      <c r="J544" t="str">
        <f>_xlfn.XLOOKUP(_xlfn.XLOOKUP(A544,orders[orderID],orders[customerID],,0),customers__2[customerID],customers__2[companyName],,0)</f>
        <v>Save-a-lot Markets</v>
      </c>
      <c r="K544" t="str">
        <f>_xlfn.XLOOKUP(Table9[[#This Row],[Company Name]],customers__2[companyName],customers__2[country],,0)</f>
        <v>USA</v>
      </c>
      <c r="L544">
        <f>MONTH(Table9[[#This Row],[OrderDate ]])</f>
        <v>2</v>
      </c>
      <c r="M544" t="str">
        <f>TEXT(Table9[[#This Row],[OrderDate ]],"mmm")</f>
        <v>Feb</v>
      </c>
      <c r="N544">
        <f>YEAR(Table9[[#This Row],[OrderDate ]])</f>
        <v>2014</v>
      </c>
    </row>
    <row r="545" spans="1:14" x14ac:dyDescent="0.3">
      <c r="A545">
        <v>10452</v>
      </c>
      <c r="B545" s="2">
        <f>_xlfn.XLOOKUP(Table9[[#This Row],[orderID]],orders[orderID],orders[orderDate],,0)</f>
        <v>41690</v>
      </c>
      <c r="C545">
        <f>_xlfn.XLOOKUP(A545,order_details[orderID],order_details[productID],,0)</f>
        <v>28</v>
      </c>
      <c r="D545" t="str">
        <f>_xlfn.XLOOKUP(C545,products[productID],products[productName],,0)</f>
        <v>Rössle Sauerkraut</v>
      </c>
      <c r="E545" t="str">
        <f>_xlfn.XLOOKUP(_xlfn.XLOOKUP(Table9[[#This Row],[ProductName ]],products[productName],products[categoryID],,0),categories[categoryID],categories[categoryName],,0)</f>
        <v>Produce</v>
      </c>
      <c r="F545">
        <v>100</v>
      </c>
      <c r="G545">
        <v>155</v>
      </c>
      <c r="H545">
        <v>5</v>
      </c>
      <c r="I545">
        <f>Table9[[#This Row],[quantity]]*Table9[[#This Row],[unitPrice]]*(1-Table9[[#This Row],[discount]]/100)</f>
        <v>14725</v>
      </c>
      <c r="J545" t="str">
        <f>_xlfn.XLOOKUP(_xlfn.XLOOKUP(A545,orders[orderID],orders[customerID],,0),customers__2[customerID],customers__2[companyName],,0)</f>
        <v>Save-a-lot Markets</v>
      </c>
      <c r="K545" t="str">
        <f>_xlfn.XLOOKUP(Table9[[#This Row],[Company Name]],customers__2[companyName],customers__2[country],,0)</f>
        <v>USA</v>
      </c>
      <c r="L545">
        <f>MONTH(Table9[[#This Row],[OrderDate ]])</f>
        <v>2</v>
      </c>
      <c r="M545" t="str">
        <f>TEXT(Table9[[#This Row],[OrderDate ]],"mmm")</f>
        <v>Feb</v>
      </c>
      <c r="N545">
        <f>YEAR(Table9[[#This Row],[OrderDate ]])</f>
        <v>2014</v>
      </c>
    </row>
    <row r="546" spans="1:14" x14ac:dyDescent="0.3">
      <c r="A546">
        <v>10453</v>
      </c>
      <c r="B546" s="2">
        <f>_xlfn.XLOOKUP(Table9[[#This Row],[orderID]],orders[orderID],orders[orderDate],,0)</f>
        <v>41691</v>
      </c>
      <c r="C546">
        <f>_xlfn.XLOOKUP(A546,order_details[orderID],order_details[productID],,0)</f>
        <v>48</v>
      </c>
      <c r="D546" t="str">
        <f>_xlfn.XLOOKUP(C546,products[productID],products[productName],,0)</f>
        <v>Chocolade</v>
      </c>
      <c r="E546" t="str">
        <f>_xlfn.XLOOKUP(_xlfn.XLOOKUP(Table9[[#This Row],[ProductName ]],products[productName],products[categoryID],,0),categories[categoryID],categories[categoryName],,0)</f>
        <v>Confections</v>
      </c>
      <c r="F546">
        <v>15</v>
      </c>
      <c r="G546">
        <v>102</v>
      </c>
      <c r="H546">
        <v>1</v>
      </c>
      <c r="I546">
        <f>Table9[[#This Row],[quantity]]*Table9[[#This Row],[unitPrice]]*(1-Table9[[#This Row],[discount]]/100)</f>
        <v>1514.7</v>
      </c>
      <c r="J546" t="str">
        <f>_xlfn.XLOOKUP(_xlfn.XLOOKUP(A546,orders[orderID],orders[customerID],,0),customers__2[customerID],customers__2[companyName],,0)</f>
        <v>Around the Horn</v>
      </c>
      <c r="K546" t="str">
        <f>_xlfn.XLOOKUP(Table9[[#This Row],[Company Name]],customers__2[companyName],customers__2[country],,0)</f>
        <v>UK</v>
      </c>
      <c r="L546">
        <f>MONTH(Table9[[#This Row],[OrderDate ]])</f>
        <v>2</v>
      </c>
      <c r="M546" t="str">
        <f>TEXT(Table9[[#This Row],[OrderDate ]],"mmm")</f>
        <v>Feb</v>
      </c>
      <c r="N546">
        <f>YEAR(Table9[[#This Row],[OrderDate ]])</f>
        <v>2014</v>
      </c>
    </row>
    <row r="547" spans="1:14" x14ac:dyDescent="0.3">
      <c r="A547">
        <v>10453</v>
      </c>
      <c r="B547" s="2">
        <f>_xlfn.XLOOKUP(Table9[[#This Row],[orderID]],orders[orderID],orders[orderDate],,0)</f>
        <v>41691</v>
      </c>
      <c r="C547">
        <f>_xlfn.XLOOKUP(A547,order_details[orderID],order_details[productID],,0)</f>
        <v>48</v>
      </c>
      <c r="D547" t="str">
        <f>_xlfn.XLOOKUP(C547,products[productID],products[productName],,0)</f>
        <v>Chocolade</v>
      </c>
      <c r="E547" t="str">
        <f>_xlfn.XLOOKUP(_xlfn.XLOOKUP(Table9[[#This Row],[ProductName ]],products[productName],products[categoryID],,0),categories[categoryID],categories[categoryName],,0)</f>
        <v>Confections</v>
      </c>
      <c r="F547">
        <v>25</v>
      </c>
      <c r="G547">
        <v>12</v>
      </c>
      <c r="H547">
        <v>1</v>
      </c>
      <c r="I547">
        <f>Table9[[#This Row],[quantity]]*Table9[[#This Row],[unitPrice]]*(1-Table9[[#This Row],[discount]]/100)</f>
        <v>297</v>
      </c>
      <c r="J547" t="str">
        <f>_xlfn.XLOOKUP(_xlfn.XLOOKUP(A547,orders[orderID],orders[customerID],,0),customers__2[customerID],customers__2[companyName],,0)</f>
        <v>Around the Horn</v>
      </c>
      <c r="K547" t="str">
        <f>_xlfn.XLOOKUP(Table9[[#This Row],[Company Name]],customers__2[companyName],customers__2[country],,0)</f>
        <v>UK</v>
      </c>
      <c r="L547">
        <f>MONTH(Table9[[#This Row],[OrderDate ]])</f>
        <v>2</v>
      </c>
      <c r="M547" t="str">
        <f>TEXT(Table9[[#This Row],[OrderDate ]],"mmm")</f>
        <v>Feb</v>
      </c>
      <c r="N547">
        <f>YEAR(Table9[[#This Row],[OrderDate ]])</f>
        <v>2014</v>
      </c>
    </row>
    <row r="548" spans="1:14" x14ac:dyDescent="0.3">
      <c r="A548">
        <v>10454</v>
      </c>
      <c r="B548" s="2">
        <f>_xlfn.XLOOKUP(Table9[[#This Row],[orderID]],orders[orderID],orders[orderDate],,0)</f>
        <v>41691</v>
      </c>
      <c r="C548">
        <f>_xlfn.XLOOKUP(A548,order_details[orderID],order_details[productID],,0)</f>
        <v>16</v>
      </c>
      <c r="D548" t="str">
        <f>_xlfn.XLOOKUP(C548,products[productID],products[productName],,0)</f>
        <v>Pavlova</v>
      </c>
      <c r="E548" t="str">
        <f>_xlfn.XLOOKUP(_xlfn.XLOOKUP(Table9[[#This Row],[ProductName ]],products[productName],products[categoryID],,0),categories[categoryID],categories[categoryName],,0)</f>
        <v>Confections</v>
      </c>
      <c r="F548">
        <v>20</v>
      </c>
      <c r="G548">
        <v>139</v>
      </c>
      <c r="H548">
        <v>2</v>
      </c>
      <c r="I548">
        <f>Table9[[#This Row],[quantity]]*Table9[[#This Row],[unitPrice]]*(1-Table9[[#This Row],[discount]]/100)</f>
        <v>2724.4</v>
      </c>
      <c r="J548" t="str">
        <f>_xlfn.XLOOKUP(_xlfn.XLOOKUP(A548,orders[orderID],orders[customerID],,0),customers__2[customerID],customers__2[companyName],,0)</f>
        <v>La maison d'Asie</v>
      </c>
      <c r="K548" t="str">
        <f>_xlfn.XLOOKUP(Table9[[#This Row],[Company Name]],customers__2[companyName],customers__2[country],,0)</f>
        <v>France</v>
      </c>
      <c r="L548">
        <f>MONTH(Table9[[#This Row],[OrderDate ]])</f>
        <v>2</v>
      </c>
      <c r="M548" t="str">
        <f>TEXT(Table9[[#This Row],[OrderDate ]],"mmm")</f>
        <v>Feb</v>
      </c>
      <c r="N548">
        <f>YEAR(Table9[[#This Row],[OrderDate ]])</f>
        <v>2014</v>
      </c>
    </row>
    <row r="549" spans="1:14" x14ac:dyDescent="0.3">
      <c r="A549">
        <v>10454</v>
      </c>
      <c r="B549" s="2">
        <f>_xlfn.XLOOKUP(Table9[[#This Row],[orderID]],orders[orderID],orders[orderDate],,0)</f>
        <v>41691</v>
      </c>
      <c r="C549">
        <f>_xlfn.XLOOKUP(A549,order_details[orderID],order_details[productID],,0)</f>
        <v>16</v>
      </c>
      <c r="D549" t="str">
        <f>_xlfn.XLOOKUP(C549,products[productID],products[productName],,0)</f>
        <v>Pavlova</v>
      </c>
      <c r="E549" t="str">
        <f>_xlfn.XLOOKUP(_xlfn.XLOOKUP(Table9[[#This Row],[ProductName ]],products[productName],products[categoryID],,0),categories[categoryID],categories[categoryName],,0)</f>
        <v>Confections</v>
      </c>
      <c r="F549">
        <v>20</v>
      </c>
      <c r="G549">
        <v>2</v>
      </c>
      <c r="H549">
        <v>2</v>
      </c>
      <c r="I549">
        <f>Table9[[#This Row],[quantity]]*Table9[[#This Row],[unitPrice]]*(1-Table9[[#This Row],[discount]]/100)</f>
        <v>39.200000000000003</v>
      </c>
      <c r="J549" t="str">
        <f>_xlfn.XLOOKUP(_xlfn.XLOOKUP(A549,orders[orderID],orders[customerID],,0),customers__2[customerID],customers__2[companyName],,0)</f>
        <v>La maison d'Asie</v>
      </c>
      <c r="K549" t="str">
        <f>_xlfn.XLOOKUP(Table9[[#This Row],[Company Name]],customers__2[companyName],customers__2[country],,0)</f>
        <v>France</v>
      </c>
      <c r="L549">
        <f>MONTH(Table9[[#This Row],[OrderDate ]])</f>
        <v>2</v>
      </c>
      <c r="M549" t="str">
        <f>TEXT(Table9[[#This Row],[OrderDate ]],"mmm")</f>
        <v>Feb</v>
      </c>
      <c r="N549">
        <f>YEAR(Table9[[#This Row],[OrderDate ]])</f>
        <v>2014</v>
      </c>
    </row>
    <row r="550" spans="1:14" x14ac:dyDescent="0.3">
      <c r="A550">
        <v>10454</v>
      </c>
      <c r="B550" s="2">
        <f>_xlfn.XLOOKUP(Table9[[#This Row],[orderID]],orders[orderID],orders[orderDate],,0)</f>
        <v>41691</v>
      </c>
      <c r="C550">
        <f>_xlfn.XLOOKUP(A550,order_details[orderID],order_details[productID],,0)</f>
        <v>16</v>
      </c>
      <c r="D550" t="str">
        <f>_xlfn.XLOOKUP(C550,products[productID],products[productName],,0)</f>
        <v>Pavlova</v>
      </c>
      <c r="E550" t="str">
        <f>_xlfn.XLOOKUP(_xlfn.XLOOKUP(Table9[[#This Row],[ProductName ]],products[productName],products[categoryID],,0),categories[categoryID],categories[categoryName],,0)</f>
        <v>Confections</v>
      </c>
      <c r="F550">
        <v>10</v>
      </c>
      <c r="G550">
        <v>96</v>
      </c>
      <c r="H550">
        <v>2</v>
      </c>
      <c r="I550">
        <f>Table9[[#This Row],[quantity]]*Table9[[#This Row],[unitPrice]]*(1-Table9[[#This Row],[discount]]/100)</f>
        <v>940.8</v>
      </c>
      <c r="J550" t="str">
        <f>_xlfn.XLOOKUP(_xlfn.XLOOKUP(A550,orders[orderID],orders[customerID],,0),customers__2[customerID],customers__2[companyName],,0)</f>
        <v>La maison d'Asie</v>
      </c>
      <c r="K550" t="str">
        <f>_xlfn.XLOOKUP(Table9[[#This Row],[Company Name]],customers__2[companyName],customers__2[country],,0)</f>
        <v>France</v>
      </c>
      <c r="L550">
        <f>MONTH(Table9[[#This Row],[OrderDate ]])</f>
        <v>2</v>
      </c>
      <c r="M550" t="str">
        <f>TEXT(Table9[[#This Row],[OrderDate ]],"mmm")</f>
        <v>Feb</v>
      </c>
      <c r="N550">
        <f>YEAR(Table9[[#This Row],[OrderDate ]])</f>
        <v>2014</v>
      </c>
    </row>
    <row r="551" spans="1:14" x14ac:dyDescent="0.3">
      <c r="A551">
        <v>10455</v>
      </c>
      <c r="B551" s="2">
        <f>_xlfn.XLOOKUP(Table9[[#This Row],[orderID]],orders[orderID],orders[orderDate],,0)</f>
        <v>41694</v>
      </c>
      <c r="C551">
        <f>_xlfn.XLOOKUP(A551,order_details[orderID],order_details[productID],,0)</f>
        <v>39</v>
      </c>
      <c r="D551" t="str">
        <f>_xlfn.XLOOKUP(C551,products[productID],products[productName],,0)</f>
        <v>Chartreuse verte</v>
      </c>
      <c r="E551" t="str">
        <f>_xlfn.XLOOKUP(_xlfn.XLOOKUP(Table9[[#This Row],[ProductName ]],products[productName],products[categoryID],,0),categories[categoryID],categories[categoryName],,0)</f>
        <v>Beverages</v>
      </c>
      <c r="F551">
        <v>20</v>
      </c>
      <c r="G551">
        <v>144</v>
      </c>
      <c r="H551">
        <v>0</v>
      </c>
      <c r="I551">
        <f>Table9[[#This Row],[quantity]]*Table9[[#This Row],[unitPrice]]*(1-Table9[[#This Row],[discount]]/100)</f>
        <v>2880</v>
      </c>
      <c r="J551" t="str">
        <f>_xlfn.XLOOKUP(_xlfn.XLOOKUP(A551,orders[orderID],orders[customerID],,0),customers__2[customerID],customers__2[companyName],,0)</f>
        <v>Wartian Herkku</v>
      </c>
      <c r="K551" t="str">
        <f>_xlfn.XLOOKUP(Table9[[#This Row],[Company Name]],customers__2[companyName],customers__2[country],,0)</f>
        <v>Finland</v>
      </c>
      <c r="L551">
        <f>MONTH(Table9[[#This Row],[OrderDate ]])</f>
        <v>2</v>
      </c>
      <c r="M551" t="str">
        <f>TEXT(Table9[[#This Row],[OrderDate ]],"mmm")</f>
        <v>Feb</v>
      </c>
      <c r="N551">
        <f>YEAR(Table9[[#This Row],[OrderDate ]])</f>
        <v>2014</v>
      </c>
    </row>
    <row r="552" spans="1:14" x14ac:dyDescent="0.3">
      <c r="A552">
        <v>10455</v>
      </c>
      <c r="B552" s="2">
        <f>_xlfn.XLOOKUP(Table9[[#This Row],[orderID]],orders[orderID],orders[orderDate],,0)</f>
        <v>41694</v>
      </c>
      <c r="C552">
        <f>_xlfn.XLOOKUP(A552,order_details[orderID],order_details[productID],,0)</f>
        <v>39</v>
      </c>
      <c r="D552" t="str">
        <f>_xlfn.XLOOKUP(C552,products[productID],products[productName],,0)</f>
        <v>Chartreuse verte</v>
      </c>
      <c r="E552" t="str">
        <f>_xlfn.XLOOKUP(_xlfn.XLOOKUP(Table9[[#This Row],[ProductName ]],products[productName],products[categoryID],,0),categories[categoryID],categories[categoryName],,0)</f>
        <v>Beverages</v>
      </c>
      <c r="F552">
        <v>50</v>
      </c>
      <c r="G552">
        <v>262</v>
      </c>
      <c r="H552">
        <v>0</v>
      </c>
      <c r="I552">
        <f>Table9[[#This Row],[quantity]]*Table9[[#This Row],[unitPrice]]*(1-Table9[[#This Row],[discount]]/100)</f>
        <v>13100</v>
      </c>
      <c r="J552" t="str">
        <f>_xlfn.XLOOKUP(_xlfn.XLOOKUP(A552,orders[orderID],orders[customerID],,0),customers__2[customerID],customers__2[companyName],,0)</f>
        <v>Wartian Herkku</v>
      </c>
      <c r="K552" t="str">
        <f>_xlfn.XLOOKUP(Table9[[#This Row],[Company Name]],customers__2[companyName],customers__2[country],,0)</f>
        <v>Finland</v>
      </c>
      <c r="L552">
        <f>MONTH(Table9[[#This Row],[OrderDate ]])</f>
        <v>2</v>
      </c>
      <c r="M552" t="str">
        <f>TEXT(Table9[[#This Row],[OrderDate ]],"mmm")</f>
        <v>Feb</v>
      </c>
      <c r="N552">
        <f>YEAR(Table9[[#This Row],[OrderDate ]])</f>
        <v>2014</v>
      </c>
    </row>
    <row r="553" spans="1:14" x14ac:dyDescent="0.3">
      <c r="A553">
        <v>10455</v>
      </c>
      <c r="B553" s="2">
        <f>_xlfn.XLOOKUP(Table9[[#This Row],[orderID]],orders[orderID],orders[orderDate],,0)</f>
        <v>41694</v>
      </c>
      <c r="C553">
        <f>_xlfn.XLOOKUP(A553,order_details[orderID],order_details[productID],,0)</f>
        <v>39</v>
      </c>
      <c r="D553" t="str">
        <f>_xlfn.XLOOKUP(C553,products[productID],products[productName],,0)</f>
        <v>Chartreuse verte</v>
      </c>
      <c r="E553" t="str">
        <f>_xlfn.XLOOKUP(_xlfn.XLOOKUP(Table9[[#This Row],[ProductName ]],products[productName],products[categoryID],,0),categories[categoryID],categories[categoryName],,0)</f>
        <v>Beverages</v>
      </c>
      <c r="F553">
        <v>25</v>
      </c>
      <c r="G553">
        <v>228</v>
      </c>
      <c r="H553">
        <v>0</v>
      </c>
      <c r="I553">
        <f>Table9[[#This Row],[quantity]]*Table9[[#This Row],[unitPrice]]*(1-Table9[[#This Row],[discount]]/100)</f>
        <v>5700</v>
      </c>
      <c r="J553" t="str">
        <f>_xlfn.XLOOKUP(_xlfn.XLOOKUP(A553,orders[orderID],orders[customerID],,0),customers__2[customerID],customers__2[companyName],,0)</f>
        <v>Wartian Herkku</v>
      </c>
      <c r="K553" t="str">
        <f>_xlfn.XLOOKUP(Table9[[#This Row],[Company Name]],customers__2[companyName],customers__2[country],,0)</f>
        <v>Finland</v>
      </c>
      <c r="L553">
        <f>MONTH(Table9[[#This Row],[OrderDate ]])</f>
        <v>2</v>
      </c>
      <c r="M553" t="str">
        <f>TEXT(Table9[[#This Row],[OrderDate ]],"mmm")</f>
        <v>Feb</v>
      </c>
      <c r="N553">
        <f>YEAR(Table9[[#This Row],[OrderDate ]])</f>
        <v>2014</v>
      </c>
    </row>
    <row r="554" spans="1:14" x14ac:dyDescent="0.3">
      <c r="A554">
        <v>10455</v>
      </c>
      <c r="B554" s="2">
        <f>_xlfn.XLOOKUP(Table9[[#This Row],[orderID]],orders[orderID],orders[orderDate],,0)</f>
        <v>41694</v>
      </c>
      <c r="C554">
        <f>_xlfn.XLOOKUP(A554,order_details[orderID],order_details[productID],,0)</f>
        <v>39</v>
      </c>
      <c r="D554" t="str">
        <f>_xlfn.XLOOKUP(C554,products[productID],products[productName],,0)</f>
        <v>Chartreuse verte</v>
      </c>
      <c r="E554" t="str">
        <f>_xlfn.XLOOKUP(_xlfn.XLOOKUP(Table9[[#This Row],[ProductName ]],products[productName],products[categoryID],,0),categories[categoryID],categories[categoryName],,0)</f>
        <v>Beverages</v>
      </c>
      <c r="F554">
        <v>30</v>
      </c>
      <c r="G554">
        <v>172</v>
      </c>
      <c r="H554">
        <v>0</v>
      </c>
      <c r="I554">
        <f>Table9[[#This Row],[quantity]]*Table9[[#This Row],[unitPrice]]*(1-Table9[[#This Row],[discount]]/100)</f>
        <v>5160</v>
      </c>
      <c r="J554" t="str">
        <f>_xlfn.XLOOKUP(_xlfn.XLOOKUP(A554,orders[orderID],orders[customerID],,0),customers__2[customerID],customers__2[companyName],,0)</f>
        <v>Wartian Herkku</v>
      </c>
      <c r="K554" t="str">
        <f>_xlfn.XLOOKUP(Table9[[#This Row],[Company Name]],customers__2[companyName],customers__2[country],,0)</f>
        <v>Finland</v>
      </c>
      <c r="L554">
        <f>MONTH(Table9[[#This Row],[OrderDate ]])</f>
        <v>2</v>
      </c>
      <c r="M554" t="str">
        <f>TEXT(Table9[[#This Row],[OrderDate ]],"mmm")</f>
        <v>Feb</v>
      </c>
      <c r="N554">
        <f>YEAR(Table9[[#This Row],[OrderDate ]])</f>
        <v>2014</v>
      </c>
    </row>
    <row r="555" spans="1:14" x14ac:dyDescent="0.3">
      <c r="A555">
        <v>10456</v>
      </c>
      <c r="B555" s="2">
        <f>_xlfn.XLOOKUP(Table9[[#This Row],[orderID]],orders[orderID],orders[orderDate],,0)</f>
        <v>41695</v>
      </c>
      <c r="C555">
        <f>_xlfn.XLOOKUP(A555,order_details[orderID],order_details[productID],,0)</f>
        <v>21</v>
      </c>
      <c r="D555" t="str">
        <f>_xlfn.XLOOKUP(C555,products[productID],products[productName],,0)</f>
        <v>Sir Rodney's Scones</v>
      </c>
      <c r="E555" t="str">
        <f>_xlfn.XLOOKUP(_xlfn.XLOOKUP(Table9[[#This Row],[ProductName ]],products[productName],products[categoryID],,0),categories[categoryID],categories[categoryName],,0)</f>
        <v>Confections</v>
      </c>
      <c r="F555">
        <v>40</v>
      </c>
      <c r="G555">
        <v>8</v>
      </c>
      <c r="H555">
        <v>15</v>
      </c>
      <c r="I555">
        <f>Table9[[#This Row],[quantity]]*Table9[[#This Row],[unitPrice]]*(1-Table9[[#This Row],[discount]]/100)</f>
        <v>272</v>
      </c>
      <c r="J555" t="str">
        <f>_xlfn.XLOOKUP(_xlfn.XLOOKUP(A555,orders[orderID],orders[customerID],,0),customers__2[customerID],customers__2[companyName],,0)</f>
        <v>Königlich Essen</v>
      </c>
      <c r="K555" t="str">
        <f>_xlfn.XLOOKUP(Table9[[#This Row],[Company Name]],customers__2[companyName],customers__2[country],,0)</f>
        <v>Germany</v>
      </c>
      <c r="L555">
        <f>MONTH(Table9[[#This Row],[OrderDate ]])</f>
        <v>2</v>
      </c>
      <c r="M555" t="str">
        <f>TEXT(Table9[[#This Row],[OrderDate ]],"mmm")</f>
        <v>Feb</v>
      </c>
      <c r="N555">
        <f>YEAR(Table9[[#This Row],[OrderDate ]])</f>
        <v>2014</v>
      </c>
    </row>
    <row r="556" spans="1:14" x14ac:dyDescent="0.3">
      <c r="A556">
        <v>10456</v>
      </c>
      <c r="B556" s="2">
        <f>_xlfn.XLOOKUP(Table9[[#This Row],[orderID]],orders[orderID],orders[orderDate],,0)</f>
        <v>41695</v>
      </c>
      <c r="C556">
        <f>_xlfn.XLOOKUP(A556,order_details[orderID],order_details[productID],,0)</f>
        <v>21</v>
      </c>
      <c r="D556" t="str">
        <f>_xlfn.XLOOKUP(C556,products[productID],products[productName],,0)</f>
        <v>Sir Rodney's Scones</v>
      </c>
      <c r="E556" t="str">
        <f>_xlfn.XLOOKUP(_xlfn.XLOOKUP(Table9[[#This Row],[ProductName ]],products[productName],products[categoryID],,0),categories[categoryID],categories[categoryName],,0)</f>
        <v>Confections</v>
      </c>
      <c r="F556">
        <v>21</v>
      </c>
      <c r="G556">
        <v>16</v>
      </c>
      <c r="H556">
        <v>15</v>
      </c>
      <c r="I556">
        <f>Table9[[#This Row],[quantity]]*Table9[[#This Row],[unitPrice]]*(1-Table9[[#This Row],[discount]]/100)</f>
        <v>285.59999999999997</v>
      </c>
      <c r="J556" t="str">
        <f>_xlfn.XLOOKUP(_xlfn.XLOOKUP(A556,orders[orderID],orders[customerID],,0),customers__2[customerID],customers__2[companyName],,0)</f>
        <v>Königlich Essen</v>
      </c>
      <c r="K556" t="str">
        <f>_xlfn.XLOOKUP(Table9[[#This Row],[Company Name]],customers__2[companyName],customers__2[country],,0)</f>
        <v>Germany</v>
      </c>
      <c r="L556">
        <f>MONTH(Table9[[#This Row],[OrderDate ]])</f>
        <v>2</v>
      </c>
      <c r="M556" t="str">
        <f>TEXT(Table9[[#This Row],[OrderDate ]],"mmm")</f>
        <v>Feb</v>
      </c>
      <c r="N556">
        <f>YEAR(Table9[[#This Row],[OrderDate ]])</f>
        <v>2014</v>
      </c>
    </row>
    <row r="557" spans="1:14" x14ac:dyDescent="0.3">
      <c r="A557">
        <v>10457</v>
      </c>
      <c r="B557" s="2">
        <f>_xlfn.XLOOKUP(Table9[[#This Row],[orderID]],orders[orderID],orders[orderDate],,0)</f>
        <v>41695</v>
      </c>
      <c r="C557">
        <f>_xlfn.XLOOKUP(A557,order_details[orderID],order_details[productID],,0)</f>
        <v>59</v>
      </c>
      <c r="D557" t="str">
        <f>_xlfn.XLOOKUP(C557,products[productID],products[productName],,0)</f>
        <v>Raclette Courdavault</v>
      </c>
      <c r="E557" t="str">
        <f>_xlfn.XLOOKUP(_xlfn.XLOOKUP(Table9[[#This Row],[ProductName ]],products[productName],products[categoryID],,0),categories[categoryID],categories[categoryName],,0)</f>
        <v>Dairy Products</v>
      </c>
      <c r="F557">
        <v>36</v>
      </c>
      <c r="G557">
        <v>44</v>
      </c>
      <c r="H557">
        <v>0</v>
      </c>
      <c r="I557">
        <f>Table9[[#This Row],[quantity]]*Table9[[#This Row],[unitPrice]]*(1-Table9[[#This Row],[discount]]/100)</f>
        <v>1584</v>
      </c>
      <c r="J557" t="str">
        <f>_xlfn.XLOOKUP(_xlfn.XLOOKUP(A557,orders[orderID],orders[customerID],,0),customers__2[customerID],customers__2[companyName],,0)</f>
        <v>Königlich Essen</v>
      </c>
      <c r="K557" t="str">
        <f>_xlfn.XLOOKUP(Table9[[#This Row],[Company Name]],customers__2[companyName],customers__2[country],,0)</f>
        <v>Germany</v>
      </c>
      <c r="L557">
        <f>MONTH(Table9[[#This Row],[OrderDate ]])</f>
        <v>2</v>
      </c>
      <c r="M557" t="str">
        <f>TEXT(Table9[[#This Row],[OrderDate ]],"mmm")</f>
        <v>Feb</v>
      </c>
      <c r="N557">
        <f>YEAR(Table9[[#This Row],[OrderDate ]])</f>
        <v>2014</v>
      </c>
    </row>
    <row r="558" spans="1:14" x14ac:dyDescent="0.3">
      <c r="A558">
        <v>10458</v>
      </c>
      <c r="B558" s="2">
        <f>_xlfn.XLOOKUP(Table9[[#This Row],[orderID]],orders[orderID],orders[orderDate],,0)</f>
        <v>41696</v>
      </c>
      <c r="C558">
        <f>_xlfn.XLOOKUP(A558,order_details[orderID],order_details[productID],,0)</f>
        <v>26</v>
      </c>
      <c r="D558" t="str">
        <f>_xlfn.XLOOKUP(C558,products[productID],products[productName],,0)</f>
        <v>Gumbär Gummibärchen</v>
      </c>
      <c r="E558" t="str">
        <f>_xlfn.XLOOKUP(_xlfn.XLOOKUP(Table9[[#This Row],[ProductName ]],products[productName],products[categoryID],,0),categories[categoryID],categories[categoryName],,0)</f>
        <v>Confections</v>
      </c>
      <c r="F558">
        <v>30</v>
      </c>
      <c r="G558">
        <v>249</v>
      </c>
      <c r="H558">
        <v>0</v>
      </c>
      <c r="I558">
        <f>Table9[[#This Row],[quantity]]*Table9[[#This Row],[unitPrice]]*(1-Table9[[#This Row],[discount]]/100)</f>
        <v>7470</v>
      </c>
      <c r="J558" t="str">
        <f>_xlfn.XLOOKUP(_xlfn.XLOOKUP(A558,orders[orderID],orders[customerID],,0),customers__2[customerID],customers__2[companyName],,0)</f>
        <v>Suprêmes délices</v>
      </c>
      <c r="K558" t="str">
        <f>_xlfn.XLOOKUP(Table9[[#This Row],[Company Name]],customers__2[companyName],customers__2[country],,0)</f>
        <v>Belgium</v>
      </c>
      <c r="L558">
        <f>MONTH(Table9[[#This Row],[OrderDate ]])</f>
        <v>2</v>
      </c>
      <c r="M558" t="str">
        <f>TEXT(Table9[[#This Row],[OrderDate ]],"mmm")</f>
        <v>Feb</v>
      </c>
      <c r="N558">
        <f>YEAR(Table9[[#This Row],[OrderDate ]])</f>
        <v>2014</v>
      </c>
    </row>
    <row r="559" spans="1:14" x14ac:dyDescent="0.3">
      <c r="A559">
        <v>10458</v>
      </c>
      <c r="B559" s="2">
        <f>_xlfn.XLOOKUP(Table9[[#This Row],[orderID]],orders[orderID],orders[orderDate],,0)</f>
        <v>41696</v>
      </c>
      <c r="C559">
        <f>_xlfn.XLOOKUP(A559,order_details[orderID],order_details[productID],,0)</f>
        <v>26</v>
      </c>
      <c r="D559" t="str">
        <f>_xlfn.XLOOKUP(C559,products[productID],products[productName],,0)</f>
        <v>Gumbär Gummibärchen</v>
      </c>
      <c r="E559" t="str">
        <f>_xlfn.XLOOKUP(_xlfn.XLOOKUP(Table9[[#This Row],[ProductName ]],products[productName],products[categoryID],,0),categories[categoryID],categories[categoryName],,0)</f>
        <v>Confections</v>
      </c>
      <c r="F559">
        <v>30</v>
      </c>
      <c r="G559">
        <v>364</v>
      </c>
      <c r="H559">
        <v>0</v>
      </c>
      <c r="I559">
        <f>Table9[[#This Row],[quantity]]*Table9[[#This Row],[unitPrice]]*(1-Table9[[#This Row],[discount]]/100)</f>
        <v>10920</v>
      </c>
      <c r="J559" t="str">
        <f>_xlfn.XLOOKUP(_xlfn.XLOOKUP(A559,orders[orderID],orders[customerID],,0),customers__2[customerID],customers__2[companyName],,0)</f>
        <v>Suprêmes délices</v>
      </c>
      <c r="K559" t="str">
        <f>_xlfn.XLOOKUP(Table9[[#This Row],[Company Name]],customers__2[companyName],customers__2[country],,0)</f>
        <v>Belgium</v>
      </c>
      <c r="L559">
        <f>MONTH(Table9[[#This Row],[OrderDate ]])</f>
        <v>2</v>
      </c>
      <c r="M559" t="str">
        <f>TEXT(Table9[[#This Row],[OrderDate ]],"mmm")</f>
        <v>Feb</v>
      </c>
      <c r="N559">
        <f>YEAR(Table9[[#This Row],[OrderDate ]])</f>
        <v>2014</v>
      </c>
    </row>
    <row r="560" spans="1:14" x14ac:dyDescent="0.3">
      <c r="A560">
        <v>10458</v>
      </c>
      <c r="B560" s="2">
        <f>_xlfn.XLOOKUP(Table9[[#This Row],[orderID]],orders[orderID],orders[orderDate],,0)</f>
        <v>41696</v>
      </c>
      <c r="C560">
        <f>_xlfn.XLOOKUP(A560,order_details[orderID],order_details[productID],,0)</f>
        <v>26</v>
      </c>
      <c r="D560" t="str">
        <f>_xlfn.XLOOKUP(C560,products[productID],products[productName],,0)</f>
        <v>Gumbär Gummibärchen</v>
      </c>
      <c r="E560" t="str">
        <f>_xlfn.XLOOKUP(_xlfn.XLOOKUP(Table9[[#This Row],[ProductName ]],products[productName],products[categoryID],,0),categories[categoryID],categories[categoryName],,0)</f>
        <v>Confections</v>
      </c>
      <c r="F560">
        <v>20</v>
      </c>
      <c r="G560">
        <v>368</v>
      </c>
      <c r="H560">
        <v>0</v>
      </c>
      <c r="I560">
        <f>Table9[[#This Row],[quantity]]*Table9[[#This Row],[unitPrice]]*(1-Table9[[#This Row],[discount]]/100)</f>
        <v>7360</v>
      </c>
      <c r="J560" t="str">
        <f>_xlfn.XLOOKUP(_xlfn.XLOOKUP(A560,orders[orderID],orders[customerID],,0),customers__2[customerID],customers__2[companyName],,0)</f>
        <v>Suprêmes délices</v>
      </c>
      <c r="K560" t="str">
        <f>_xlfn.XLOOKUP(Table9[[#This Row],[Company Name]],customers__2[companyName],customers__2[country],,0)</f>
        <v>Belgium</v>
      </c>
      <c r="L560">
        <f>MONTH(Table9[[#This Row],[OrderDate ]])</f>
        <v>2</v>
      </c>
      <c r="M560" t="str">
        <f>TEXT(Table9[[#This Row],[OrderDate ]],"mmm")</f>
        <v>Feb</v>
      </c>
      <c r="N560">
        <f>YEAR(Table9[[#This Row],[OrderDate ]])</f>
        <v>2014</v>
      </c>
    </row>
    <row r="561" spans="1:14" x14ac:dyDescent="0.3">
      <c r="A561">
        <v>10458</v>
      </c>
      <c r="B561" s="2">
        <f>_xlfn.XLOOKUP(Table9[[#This Row],[orderID]],orders[orderID],orders[orderDate],,0)</f>
        <v>41696</v>
      </c>
      <c r="C561">
        <f>_xlfn.XLOOKUP(A561,order_details[orderID],order_details[productID],,0)</f>
        <v>26</v>
      </c>
      <c r="D561" t="str">
        <f>_xlfn.XLOOKUP(C561,products[productID],products[productName],,0)</f>
        <v>Gumbär Gummibärchen</v>
      </c>
      <c r="E561" t="str">
        <f>_xlfn.XLOOKUP(_xlfn.XLOOKUP(Table9[[#This Row],[ProductName ]],products[productName],products[categoryID],,0),categories[categoryID],categories[categoryName],,0)</f>
        <v>Confections</v>
      </c>
      <c r="F561">
        <v>15</v>
      </c>
      <c r="G561">
        <v>304</v>
      </c>
      <c r="H561">
        <v>0</v>
      </c>
      <c r="I561">
        <f>Table9[[#This Row],[quantity]]*Table9[[#This Row],[unitPrice]]*(1-Table9[[#This Row],[discount]]/100)</f>
        <v>4560</v>
      </c>
      <c r="J561" t="str">
        <f>_xlfn.XLOOKUP(_xlfn.XLOOKUP(A561,orders[orderID],orders[customerID],,0),customers__2[customerID],customers__2[companyName],,0)</f>
        <v>Suprêmes délices</v>
      </c>
      <c r="K561" t="str">
        <f>_xlfn.XLOOKUP(Table9[[#This Row],[Company Name]],customers__2[companyName],customers__2[country],,0)</f>
        <v>Belgium</v>
      </c>
      <c r="L561">
        <f>MONTH(Table9[[#This Row],[OrderDate ]])</f>
        <v>2</v>
      </c>
      <c r="M561" t="str">
        <f>TEXT(Table9[[#This Row],[OrderDate ]],"mmm")</f>
        <v>Feb</v>
      </c>
      <c r="N561">
        <f>YEAR(Table9[[#This Row],[OrderDate ]])</f>
        <v>2014</v>
      </c>
    </row>
    <row r="562" spans="1:14" x14ac:dyDescent="0.3">
      <c r="A562">
        <v>10458</v>
      </c>
      <c r="B562" s="2">
        <f>_xlfn.XLOOKUP(Table9[[#This Row],[orderID]],orders[orderID],orders[orderDate],,0)</f>
        <v>41696</v>
      </c>
      <c r="C562">
        <f>_xlfn.XLOOKUP(A562,order_details[orderID],order_details[productID],,0)</f>
        <v>26</v>
      </c>
      <c r="D562" t="str">
        <f>_xlfn.XLOOKUP(C562,products[productID],products[productName],,0)</f>
        <v>Gumbär Gummibärchen</v>
      </c>
      <c r="E562" t="str">
        <f>_xlfn.XLOOKUP(_xlfn.XLOOKUP(Table9[[#This Row],[ProductName ]],products[productName],products[categoryID],,0),categories[categoryID],categories[categoryName],,0)</f>
        <v>Confections</v>
      </c>
      <c r="F562">
        <v>50</v>
      </c>
      <c r="G562">
        <v>172</v>
      </c>
      <c r="H562">
        <v>0</v>
      </c>
      <c r="I562">
        <f>Table9[[#This Row],[quantity]]*Table9[[#This Row],[unitPrice]]*(1-Table9[[#This Row],[discount]]/100)</f>
        <v>8600</v>
      </c>
      <c r="J562" t="str">
        <f>_xlfn.XLOOKUP(_xlfn.XLOOKUP(A562,orders[orderID],orders[customerID],,0),customers__2[customerID],customers__2[companyName],,0)</f>
        <v>Suprêmes délices</v>
      </c>
      <c r="K562" t="str">
        <f>_xlfn.XLOOKUP(Table9[[#This Row],[Company Name]],customers__2[companyName],customers__2[country],,0)</f>
        <v>Belgium</v>
      </c>
      <c r="L562">
        <f>MONTH(Table9[[#This Row],[OrderDate ]])</f>
        <v>2</v>
      </c>
      <c r="M562" t="str">
        <f>TEXT(Table9[[#This Row],[OrderDate ]],"mmm")</f>
        <v>Feb</v>
      </c>
      <c r="N562">
        <f>YEAR(Table9[[#This Row],[OrderDate ]])</f>
        <v>2014</v>
      </c>
    </row>
    <row r="563" spans="1:14" x14ac:dyDescent="0.3">
      <c r="A563">
        <v>10459</v>
      </c>
      <c r="B563" s="2">
        <f>_xlfn.XLOOKUP(Table9[[#This Row],[orderID]],orders[orderID],orders[orderDate],,0)</f>
        <v>41697</v>
      </c>
      <c r="C563">
        <f>_xlfn.XLOOKUP(A563,order_details[orderID],order_details[productID],,0)</f>
        <v>7</v>
      </c>
      <c r="D563" t="str">
        <f>_xlfn.XLOOKUP(C563,products[productID],products[productName],,0)</f>
        <v>Uncle Bob's Organic Dried Pears</v>
      </c>
      <c r="E563" t="str">
        <f>_xlfn.XLOOKUP(_xlfn.XLOOKUP(Table9[[#This Row],[ProductName ]],products[productName],products[categoryID],,0),categories[categoryID],categories[categoryName],,0)</f>
        <v>Produce</v>
      </c>
      <c r="F563">
        <v>16</v>
      </c>
      <c r="G563">
        <v>24</v>
      </c>
      <c r="H563">
        <v>5</v>
      </c>
      <c r="I563">
        <f>Table9[[#This Row],[quantity]]*Table9[[#This Row],[unitPrice]]*(1-Table9[[#This Row],[discount]]/100)</f>
        <v>364.79999999999995</v>
      </c>
      <c r="J563" t="str">
        <f>_xlfn.XLOOKUP(_xlfn.XLOOKUP(A563,orders[orderID],orders[customerID],,0),customers__2[customerID],customers__2[companyName],,0)</f>
        <v>Victuailles en stock</v>
      </c>
      <c r="K563" t="str">
        <f>_xlfn.XLOOKUP(Table9[[#This Row],[Company Name]],customers__2[companyName],customers__2[country],,0)</f>
        <v>France</v>
      </c>
      <c r="L563">
        <f>MONTH(Table9[[#This Row],[OrderDate ]])</f>
        <v>2</v>
      </c>
      <c r="M563" t="str">
        <f>TEXT(Table9[[#This Row],[OrderDate ]],"mmm")</f>
        <v>Feb</v>
      </c>
      <c r="N563">
        <f>YEAR(Table9[[#This Row],[OrderDate ]])</f>
        <v>2014</v>
      </c>
    </row>
    <row r="564" spans="1:14" x14ac:dyDescent="0.3">
      <c r="A564">
        <v>10459</v>
      </c>
      <c r="B564" s="2">
        <f>_xlfn.XLOOKUP(Table9[[#This Row],[orderID]],orders[orderID],orders[orderDate],,0)</f>
        <v>41697</v>
      </c>
      <c r="C564">
        <f>_xlfn.XLOOKUP(A564,order_details[orderID],order_details[productID],,0)</f>
        <v>7</v>
      </c>
      <c r="D564" t="str">
        <f>_xlfn.XLOOKUP(C564,products[productID],products[productName],,0)</f>
        <v>Uncle Bob's Organic Dried Pears</v>
      </c>
      <c r="E564" t="str">
        <f>_xlfn.XLOOKUP(_xlfn.XLOOKUP(Table9[[#This Row],[ProductName ]],products[productName],products[categoryID],,0),categories[categoryID],categories[categoryName],,0)</f>
        <v>Produce</v>
      </c>
      <c r="F564">
        <v>20</v>
      </c>
      <c r="G564">
        <v>96</v>
      </c>
      <c r="H564">
        <v>5</v>
      </c>
      <c r="I564">
        <f>Table9[[#This Row],[quantity]]*Table9[[#This Row],[unitPrice]]*(1-Table9[[#This Row],[discount]]/100)</f>
        <v>1824</v>
      </c>
      <c r="J564" t="str">
        <f>_xlfn.XLOOKUP(_xlfn.XLOOKUP(A564,orders[orderID],orders[customerID],,0),customers__2[customerID],customers__2[companyName],,0)</f>
        <v>Victuailles en stock</v>
      </c>
      <c r="K564" t="str">
        <f>_xlfn.XLOOKUP(Table9[[#This Row],[Company Name]],customers__2[companyName],customers__2[country],,0)</f>
        <v>France</v>
      </c>
      <c r="L564">
        <f>MONTH(Table9[[#This Row],[OrderDate ]])</f>
        <v>2</v>
      </c>
      <c r="M564" t="str">
        <f>TEXT(Table9[[#This Row],[OrderDate ]],"mmm")</f>
        <v>Feb</v>
      </c>
      <c r="N564">
        <f>YEAR(Table9[[#This Row],[OrderDate ]])</f>
        <v>2014</v>
      </c>
    </row>
    <row r="565" spans="1:14" x14ac:dyDescent="0.3">
      <c r="A565">
        <v>10459</v>
      </c>
      <c r="B565" s="2">
        <f>_xlfn.XLOOKUP(Table9[[#This Row],[orderID]],orders[orderID],orders[orderDate],,0)</f>
        <v>41697</v>
      </c>
      <c r="C565">
        <f>_xlfn.XLOOKUP(A565,order_details[orderID],order_details[productID],,0)</f>
        <v>7</v>
      </c>
      <c r="D565" t="str">
        <f>_xlfn.XLOOKUP(C565,products[productID],products[productName],,0)</f>
        <v>Uncle Bob's Organic Dried Pears</v>
      </c>
      <c r="E565" t="str">
        <f>_xlfn.XLOOKUP(_xlfn.XLOOKUP(Table9[[#This Row],[ProductName ]],products[productName],products[categoryID],,0),categories[categoryID],categories[categoryName],,0)</f>
        <v>Produce</v>
      </c>
      <c r="F565">
        <v>40</v>
      </c>
      <c r="G565">
        <v>278</v>
      </c>
      <c r="H565">
        <v>0</v>
      </c>
      <c r="I565">
        <f>Table9[[#This Row],[quantity]]*Table9[[#This Row],[unitPrice]]*(1-Table9[[#This Row],[discount]]/100)</f>
        <v>11120</v>
      </c>
      <c r="J565" t="str">
        <f>_xlfn.XLOOKUP(_xlfn.XLOOKUP(A565,orders[orderID],orders[customerID],,0),customers__2[customerID],customers__2[companyName],,0)</f>
        <v>Victuailles en stock</v>
      </c>
      <c r="K565" t="str">
        <f>_xlfn.XLOOKUP(Table9[[#This Row],[Company Name]],customers__2[companyName],customers__2[country],,0)</f>
        <v>France</v>
      </c>
      <c r="L565">
        <f>MONTH(Table9[[#This Row],[OrderDate ]])</f>
        <v>2</v>
      </c>
      <c r="M565" t="str">
        <f>TEXT(Table9[[#This Row],[OrderDate ]],"mmm")</f>
        <v>Feb</v>
      </c>
      <c r="N565">
        <f>YEAR(Table9[[#This Row],[OrderDate ]])</f>
        <v>2014</v>
      </c>
    </row>
    <row r="566" spans="1:14" x14ac:dyDescent="0.3">
      <c r="A566">
        <v>10460</v>
      </c>
      <c r="B566" s="2">
        <f>_xlfn.XLOOKUP(Table9[[#This Row],[orderID]],orders[orderID],orders[orderDate],,0)</f>
        <v>41698</v>
      </c>
      <c r="C566">
        <f>_xlfn.XLOOKUP(A566,order_details[orderID],order_details[productID],,0)</f>
        <v>68</v>
      </c>
      <c r="D566" t="str">
        <f>_xlfn.XLOOKUP(C566,products[productID],products[productName],,0)</f>
        <v>Scottish Longbreads</v>
      </c>
      <c r="E566" t="str">
        <f>_xlfn.XLOOKUP(_xlfn.XLOOKUP(Table9[[#This Row],[ProductName ]],products[productName],products[categoryID],,0),categories[categoryID],categories[categoryName],,0)</f>
        <v>Confections</v>
      </c>
      <c r="F566">
        <v>21</v>
      </c>
      <c r="G566">
        <v>10</v>
      </c>
      <c r="H566">
        <v>25</v>
      </c>
      <c r="I566">
        <f>Table9[[#This Row],[quantity]]*Table9[[#This Row],[unitPrice]]*(1-Table9[[#This Row],[discount]]/100)</f>
        <v>157.5</v>
      </c>
      <c r="J566" t="str">
        <f>_xlfn.XLOOKUP(_xlfn.XLOOKUP(A566,orders[orderID],orders[customerID],,0),customers__2[customerID],customers__2[companyName],,0)</f>
        <v>Folk och fä HB</v>
      </c>
      <c r="K566" t="str">
        <f>_xlfn.XLOOKUP(Table9[[#This Row],[Company Name]],customers__2[companyName],customers__2[country],,0)</f>
        <v>Sweden</v>
      </c>
      <c r="L566">
        <f>MONTH(Table9[[#This Row],[OrderDate ]])</f>
        <v>2</v>
      </c>
      <c r="M566" t="str">
        <f>TEXT(Table9[[#This Row],[OrderDate ]],"mmm")</f>
        <v>Feb</v>
      </c>
      <c r="N566">
        <f>YEAR(Table9[[#This Row],[OrderDate ]])</f>
        <v>2014</v>
      </c>
    </row>
    <row r="567" spans="1:14" x14ac:dyDescent="0.3">
      <c r="A567">
        <v>10460</v>
      </c>
      <c r="B567" s="2">
        <f>_xlfn.XLOOKUP(Table9[[#This Row],[orderID]],orders[orderID],orders[orderDate],,0)</f>
        <v>41698</v>
      </c>
      <c r="C567">
        <f>_xlfn.XLOOKUP(A567,order_details[orderID],order_details[productID],,0)</f>
        <v>68</v>
      </c>
      <c r="D567" t="str">
        <f>_xlfn.XLOOKUP(C567,products[productID],products[productName],,0)</f>
        <v>Scottish Longbreads</v>
      </c>
      <c r="E567" t="str">
        <f>_xlfn.XLOOKUP(_xlfn.XLOOKUP(Table9[[#This Row],[ProductName ]],products[productName],products[categoryID],,0),categories[categoryID],categories[categoryName],,0)</f>
        <v>Confections</v>
      </c>
      <c r="F567">
        <v>4</v>
      </c>
      <c r="G567">
        <v>62</v>
      </c>
      <c r="H567">
        <v>25</v>
      </c>
      <c r="I567">
        <f>Table9[[#This Row],[quantity]]*Table9[[#This Row],[unitPrice]]*(1-Table9[[#This Row],[discount]]/100)</f>
        <v>186</v>
      </c>
      <c r="J567" t="str">
        <f>_xlfn.XLOOKUP(_xlfn.XLOOKUP(A567,orders[orderID],orders[customerID],,0),customers__2[customerID],customers__2[companyName],,0)</f>
        <v>Folk och fä HB</v>
      </c>
      <c r="K567" t="str">
        <f>_xlfn.XLOOKUP(Table9[[#This Row],[Company Name]],customers__2[companyName],customers__2[country],,0)</f>
        <v>Sweden</v>
      </c>
      <c r="L567">
        <f>MONTH(Table9[[#This Row],[OrderDate ]])</f>
        <v>2</v>
      </c>
      <c r="M567" t="str">
        <f>TEXT(Table9[[#This Row],[OrderDate ]],"mmm")</f>
        <v>Feb</v>
      </c>
      <c r="N567">
        <f>YEAR(Table9[[#This Row],[OrderDate ]])</f>
        <v>2014</v>
      </c>
    </row>
    <row r="568" spans="1:14" x14ac:dyDescent="0.3">
      <c r="A568">
        <v>10461</v>
      </c>
      <c r="B568" s="2">
        <f>_xlfn.XLOOKUP(Table9[[#This Row],[orderID]],orders[orderID],orders[orderDate],,0)</f>
        <v>41698</v>
      </c>
      <c r="C568">
        <f>_xlfn.XLOOKUP(A568,order_details[orderID],order_details[productID],,0)</f>
        <v>21</v>
      </c>
      <c r="D568" t="str">
        <f>_xlfn.XLOOKUP(C568,products[productID],products[productName],,0)</f>
        <v>Sir Rodney's Scones</v>
      </c>
      <c r="E568" t="str">
        <f>_xlfn.XLOOKUP(_xlfn.XLOOKUP(Table9[[#This Row],[ProductName ]],products[productName],products[categoryID],,0),categories[categoryID],categories[categoryName],,0)</f>
        <v>Confections</v>
      </c>
      <c r="F568">
        <v>40</v>
      </c>
      <c r="G568">
        <v>8</v>
      </c>
      <c r="H568">
        <v>25</v>
      </c>
      <c r="I568">
        <f>Table9[[#This Row],[quantity]]*Table9[[#This Row],[unitPrice]]*(1-Table9[[#This Row],[discount]]/100)</f>
        <v>240</v>
      </c>
      <c r="J568" t="str">
        <f>_xlfn.XLOOKUP(_xlfn.XLOOKUP(A568,orders[orderID],orders[customerID],,0),customers__2[customerID],customers__2[companyName],,0)</f>
        <v>LILA-Supermercado</v>
      </c>
      <c r="K568" t="str">
        <f>_xlfn.XLOOKUP(Table9[[#This Row],[Company Name]],customers__2[companyName],customers__2[country],,0)</f>
        <v>Venezuela</v>
      </c>
      <c r="L568">
        <f>MONTH(Table9[[#This Row],[OrderDate ]])</f>
        <v>2</v>
      </c>
      <c r="M568" t="str">
        <f>TEXT(Table9[[#This Row],[OrderDate ]],"mmm")</f>
        <v>Feb</v>
      </c>
      <c r="N568">
        <f>YEAR(Table9[[#This Row],[OrderDate ]])</f>
        <v>2014</v>
      </c>
    </row>
    <row r="569" spans="1:14" x14ac:dyDescent="0.3">
      <c r="A569">
        <v>10461</v>
      </c>
      <c r="B569" s="2">
        <f>_xlfn.XLOOKUP(Table9[[#This Row],[orderID]],orders[orderID],orders[orderDate],,0)</f>
        <v>41698</v>
      </c>
      <c r="C569">
        <f>_xlfn.XLOOKUP(A569,order_details[orderID],order_details[productID],,0)</f>
        <v>21</v>
      </c>
      <c r="D569" t="str">
        <f>_xlfn.XLOOKUP(C569,products[productID],products[productName],,0)</f>
        <v>Sir Rodney's Scones</v>
      </c>
      <c r="E569" t="str">
        <f>_xlfn.XLOOKUP(_xlfn.XLOOKUP(Table9[[#This Row],[ProductName ]],products[productName],products[categoryID],,0),categories[categoryID],categories[categoryName],,0)</f>
        <v>Confections</v>
      </c>
      <c r="F569">
        <v>28</v>
      </c>
      <c r="G569">
        <v>207</v>
      </c>
      <c r="H569">
        <v>25</v>
      </c>
      <c r="I569">
        <f>Table9[[#This Row],[quantity]]*Table9[[#This Row],[unitPrice]]*(1-Table9[[#This Row],[discount]]/100)</f>
        <v>4347</v>
      </c>
      <c r="J569" t="str">
        <f>_xlfn.XLOOKUP(_xlfn.XLOOKUP(A569,orders[orderID],orders[customerID],,0),customers__2[customerID],customers__2[companyName],,0)</f>
        <v>LILA-Supermercado</v>
      </c>
      <c r="K569" t="str">
        <f>_xlfn.XLOOKUP(Table9[[#This Row],[Company Name]],customers__2[companyName],customers__2[country],,0)</f>
        <v>Venezuela</v>
      </c>
      <c r="L569">
        <f>MONTH(Table9[[#This Row],[OrderDate ]])</f>
        <v>2</v>
      </c>
      <c r="M569" t="str">
        <f>TEXT(Table9[[#This Row],[OrderDate ]],"mmm")</f>
        <v>Feb</v>
      </c>
      <c r="N569">
        <f>YEAR(Table9[[#This Row],[OrderDate ]])</f>
        <v>2014</v>
      </c>
    </row>
    <row r="570" spans="1:14" x14ac:dyDescent="0.3">
      <c r="A570">
        <v>10461</v>
      </c>
      <c r="B570" s="2">
        <f>_xlfn.XLOOKUP(Table9[[#This Row],[orderID]],orders[orderID],orders[orderDate],,0)</f>
        <v>41698</v>
      </c>
      <c r="C570">
        <f>_xlfn.XLOOKUP(A570,order_details[orderID],order_details[productID],,0)</f>
        <v>21</v>
      </c>
      <c r="D570" t="str">
        <f>_xlfn.XLOOKUP(C570,products[productID],products[productName],,0)</f>
        <v>Sir Rodney's Scones</v>
      </c>
      <c r="E570" t="str">
        <f>_xlfn.XLOOKUP(_xlfn.XLOOKUP(Table9[[#This Row],[ProductName ]],products[productName],products[categoryID],,0),categories[categoryID],categories[categoryName],,0)</f>
        <v>Confections</v>
      </c>
      <c r="F570">
        <v>60</v>
      </c>
      <c r="G570">
        <v>192</v>
      </c>
      <c r="H570">
        <v>25</v>
      </c>
      <c r="I570">
        <f>Table9[[#This Row],[quantity]]*Table9[[#This Row],[unitPrice]]*(1-Table9[[#This Row],[discount]]/100)</f>
        <v>8640</v>
      </c>
      <c r="J570" t="str">
        <f>_xlfn.XLOOKUP(_xlfn.XLOOKUP(A570,orders[orderID],orders[customerID],,0),customers__2[customerID],customers__2[companyName],,0)</f>
        <v>LILA-Supermercado</v>
      </c>
      <c r="K570" t="str">
        <f>_xlfn.XLOOKUP(Table9[[#This Row],[Company Name]],customers__2[companyName],customers__2[country],,0)</f>
        <v>Venezuela</v>
      </c>
      <c r="L570">
        <f>MONTH(Table9[[#This Row],[OrderDate ]])</f>
        <v>2</v>
      </c>
      <c r="M570" t="str">
        <f>TEXT(Table9[[#This Row],[OrderDate ]],"mmm")</f>
        <v>Feb</v>
      </c>
      <c r="N570">
        <f>YEAR(Table9[[#This Row],[OrderDate ]])</f>
        <v>2014</v>
      </c>
    </row>
    <row r="571" spans="1:14" x14ac:dyDescent="0.3">
      <c r="A571">
        <v>10462</v>
      </c>
      <c r="B571" s="2">
        <f>_xlfn.XLOOKUP(Table9[[#This Row],[orderID]],orders[orderID],orders[orderDate],,0)</f>
        <v>41701</v>
      </c>
      <c r="C571">
        <f>_xlfn.XLOOKUP(A571,order_details[orderID],order_details[productID],,0)</f>
        <v>13</v>
      </c>
      <c r="D571" t="str">
        <f>_xlfn.XLOOKUP(C571,products[productID],products[productName],,0)</f>
        <v>Konbu</v>
      </c>
      <c r="E571" t="str">
        <f>_xlfn.XLOOKUP(_xlfn.XLOOKUP(Table9[[#This Row],[ProductName ]],products[productName],products[categoryID],,0),categories[categoryID],categories[categoryName],,0)</f>
        <v>Seafood</v>
      </c>
      <c r="F571">
        <v>1</v>
      </c>
      <c r="G571">
        <v>48</v>
      </c>
      <c r="H571">
        <v>0</v>
      </c>
      <c r="I571">
        <f>Table9[[#This Row],[quantity]]*Table9[[#This Row],[unitPrice]]*(1-Table9[[#This Row],[discount]]/100)</f>
        <v>48</v>
      </c>
      <c r="J571" t="str">
        <f>_xlfn.XLOOKUP(_xlfn.XLOOKUP(A571,orders[orderID],orders[customerID],,0),customers__2[customerID],customers__2[companyName],,0)</f>
        <v>Consolidated Holdings</v>
      </c>
      <c r="K571" t="str">
        <f>_xlfn.XLOOKUP(Table9[[#This Row],[Company Name]],customers__2[companyName],customers__2[country],,0)</f>
        <v>UK</v>
      </c>
      <c r="L571">
        <f>MONTH(Table9[[#This Row],[OrderDate ]])</f>
        <v>3</v>
      </c>
      <c r="M571" t="str">
        <f>TEXT(Table9[[#This Row],[OrderDate ]],"mmm")</f>
        <v>Mar</v>
      </c>
      <c r="N571">
        <f>YEAR(Table9[[#This Row],[OrderDate ]])</f>
        <v>2014</v>
      </c>
    </row>
    <row r="572" spans="1:14" x14ac:dyDescent="0.3">
      <c r="A572">
        <v>10462</v>
      </c>
      <c r="B572" s="2">
        <f>_xlfn.XLOOKUP(Table9[[#This Row],[orderID]],orders[orderID],orders[orderDate],,0)</f>
        <v>41701</v>
      </c>
      <c r="C572">
        <f>_xlfn.XLOOKUP(A572,order_details[orderID],order_details[productID],,0)</f>
        <v>13</v>
      </c>
      <c r="D572" t="str">
        <f>_xlfn.XLOOKUP(C572,products[productID],products[productName],,0)</f>
        <v>Konbu</v>
      </c>
      <c r="E572" t="str">
        <f>_xlfn.XLOOKUP(_xlfn.XLOOKUP(Table9[[#This Row],[ProductName ]],products[productName],products[categoryID],,0),categories[categoryID],categories[categoryName],,0)</f>
        <v>Seafood</v>
      </c>
      <c r="F572">
        <v>21</v>
      </c>
      <c r="G572">
        <v>72</v>
      </c>
      <c r="H572">
        <v>0</v>
      </c>
      <c r="I572">
        <f>Table9[[#This Row],[quantity]]*Table9[[#This Row],[unitPrice]]*(1-Table9[[#This Row],[discount]]/100)</f>
        <v>1512</v>
      </c>
      <c r="J572" t="str">
        <f>_xlfn.XLOOKUP(_xlfn.XLOOKUP(A572,orders[orderID],orders[customerID],,0),customers__2[customerID],customers__2[companyName],,0)</f>
        <v>Consolidated Holdings</v>
      </c>
      <c r="K572" t="str">
        <f>_xlfn.XLOOKUP(Table9[[#This Row],[Company Name]],customers__2[companyName],customers__2[country],,0)</f>
        <v>UK</v>
      </c>
      <c r="L572">
        <f>MONTH(Table9[[#This Row],[OrderDate ]])</f>
        <v>3</v>
      </c>
      <c r="M572" t="str">
        <f>TEXT(Table9[[#This Row],[OrderDate ]],"mmm")</f>
        <v>Mar</v>
      </c>
      <c r="N572">
        <f>YEAR(Table9[[#This Row],[OrderDate ]])</f>
        <v>2014</v>
      </c>
    </row>
    <row r="573" spans="1:14" x14ac:dyDescent="0.3">
      <c r="A573">
        <v>10463</v>
      </c>
      <c r="B573" s="2">
        <f>_xlfn.XLOOKUP(Table9[[#This Row],[orderID]],orders[orderID],orders[orderDate],,0)</f>
        <v>41702</v>
      </c>
      <c r="C573">
        <f>_xlfn.XLOOKUP(A573,order_details[orderID],order_details[productID],,0)</f>
        <v>19</v>
      </c>
      <c r="D573" t="str">
        <f>_xlfn.XLOOKUP(C573,products[productID],products[productName],,0)</f>
        <v>Teatime Chocolate Biscuits</v>
      </c>
      <c r="E573" t="str">
        <f>_xlfn.XLOOKUP(_xlfn.XLOOKUP(Table9[[#This Row],[ProductName ]],products[productName],products[categoryID],,0),categories[categoryID],categories[categoryName],,0)</f>
        <v>Confections</v>
      </c>
      <c r="F573">
        <v>21</v>
      </c>
      <c r="G573">
        <v>73</v>
      </c>
      <c r="H573">
        <v>0</v>
      </c>
      <c r="I573">
        <f>Table9[[#This Row],[quantity]]*Table9[[#This Row],[unitPrice]]*(1-Table9[[#This Row],[discount]]/100)</f>
        <v>1533</v>
      </c>
      <c r="J573" t="str">
        <f>_xlfn.XLOOKUP(_xlfn.XLOOKUP(A573,orders[orderID],orders[customerID],,0),customers__2[customerID],customers__2[companyName],,0)</f>
        <v>Suprêmes délices</v>
      </c>
      <c r="K573" t="str">
        <f>_xlfn.XLOOKUP(Table9[[#This Row],[Company Name]],customers__2[companyName],customers__2[country],,0)</f>
        <v>Belgium</v>
      </c>
      <c r="L573">
        <f>MONTH(Table9[[#This Row],[OrderDate ]])</f>
        <v>3</v>
      </c>
      <c r="M573" t="str">
        <f>TEXT(Table9[[#This Row],[OrderDate ]],"mmm")</f>
        <v>Mar</v>
      </c>
      <c r="N573">
        <f>YEAR(Table9[[#This Row],[OrderDate ]])</f>
        <v>2014</v>
      </c>
    </row>
    <row r="574" spans="1:14" x14ac:dyDescent="0.3">
      <c r="A574">
        <v>10463</v>
      </c>
      <c r="B574" s="2">
        <f>_xlfn.XLOOKUP(Table9[[#This Row],[orderID]],orders[orderID],orders[orderDate],,0)</f>
        <v>41702</v>
      </c>
      <c r="C574">
        <f>_xlfn.XLOOKUP(A574,order_details[orderID],order_details[productID],,0)</f>
        <v>19</v>
      </c>
      <c r="D574" t="str">
        <f>_xlfn.XLOOKUP(C574,products[productID],products[productName],,0)</f>
        <v>Teatime Chocolate Biscuits</v>
      </c>
      <c r="E574" t="str">
        <f>_xlfn.XLOOKUP(_xlfn.XLOOKUP(Table9[[#This Row],[ProductName ]],products[productName],products[categoryID],,0),categories[categoryID],categories[categoryName],,0)</f>
        <v>Confections</v>
      </c>
      <c r="F574">
        <v>50</v>
      </c>
      <c r="G574">
        <v>112</v>
      </c>
      <c r="H574">
        <v>0</v>
      </c>
      <c r="I574">
        <f>Table9[[#This Row],[quantity]]*Table9[[#This Row],[unitPrice]]*(1-Table9[[#This Row],[discount]]/100)</f>
        <v>5600</v>
      </c>
      <c r="J574" t="str">
        <f>_xlfn.XLOOKUP(_xlfn.XLOOKUP(A574,orders[orderID],orders[customerID],,0),customers__2[customerID],customers__2[companyName],,0)</f>
        <v>Suprêmes délices</v>
      </c>
      <c r="K574" t="str">
        <f>_xlfn.XLOOKUP(Table9[[#This Row],[Company Name]],customers__2[companyName],customers__2[country],,0)</f>
        <v>Belgium</v>
      </c>
      <c r="L574">
        <f>MONTH(Table9[[#This Row],[OrderDate ]])</f>
        <v>3</v>
      </c>
      <c r="M574" t="str">
        <f>TEXT(Table9[[#This Row],[OrderDate ]],"mmm")</f>
        <v>Mar</v>
      </c>
      <c r="N574">
        <f>YEAR(Table9[[#This Row],[OrderDate ]])</f>
        <v>2014</v>
      </c>
    </row>
    <row r="575" spans="1:14" x14ac:dyDescent="0.3">
      <c r="A575">
        <v>10464</v>
      </c>
      <c r="B575" s="2">
        <f>_xlfn.XLOOKUP(Table9[[#This Row],[orderID]],orders[orderID],orders[orderDate],,0)</f>
        <v>41702</v>
      </c>
      <c r="C575">
        <f>_xlfn.XLOOKUP(A575,order_details[orderID],order_details[productID],,0)</f>
        <v>4</v>
      </c>
      <c r="D575" t="str">
        <f>_xlfn.XLOOKUP(C575,products[productID],products[productName],,0)</f>
        <v>Chef Anton's Cajun Seasoning</v>
      </c>
      <c r="E575" t="str">
        <f>_xlfn.XLOOKUP(_xlfn.XLOOKUP(Table9[[#This Row],[ProductName ]],products[productName],products[categoryID],,0),categories[categoryID],categories[categoryName],,0)</f>
        <v>Condiments</v>
      </c>
      <c r="F575">
        <v>16</v>
      </c>
      <c r="G575">
        <v>176</v>
      </c>
      <c r="H575">
        <v>2</v>
      </c>
      <c r="I575">
        <f>Table9[[#This Row],[quantity]]*Table9[[#This Row],[unitPrice]]*(1-Table9[[#This Row],[discount]]/100)</f>
        <v>2759.68</v>
      </c>
      <c r="J575" t="str">
        <f>_xlfn.XLOOKUP(_xlfn.XLOOKUP(A575,orders[orderID],orders[customerID],,0),customers__2[customerID],customers__2[companyName],,0)</f>
        <v>Furia Bacalhau e Frutos do Mar</v>
      </c>
      <c r="K575" t="str">
        <f>_xlfn.XLOOKUP(Table9[[#This Row],[Company Name]],customers__2[companyName],customers__2[country],,0)</f>
        <v>Portugal</v>
      </c>
      <c r="L575">
        <f>MONTH(Table9[[#This Row],[OrderDate ]])</f>
        <v>3</v>
      </c>
      <c r="M575" t="str">
        <f>TEXT(Table9[[#This Row],[OrderDate ]],"mmm")</f>
        <v>Mar</v>
      </c>
      <c r="N575">
        <f>YEAR(Table9[[#This Row],[OrderDate ]])</f>
        <v>2014</v>
      </c>
    </row>
    <row r="576" spans="1:14" x14ac:dyDescent="0.3">
      <c r="A576">
        <v>10464</v>
      </c>
      <c r="B576" s="2">
        <f>_xlfn.XLOOKUP(Table9[[#This Row],[orderID]],orders[orderID],orders[orderDate],,0)</f>
        <v>41702</v>
      </c>
      <c r="C576">
        <f>_xlfn.XLOOKUP(A576,order_details[orderID],order_details[productID],,0)</f>
        <v>4</v>
      </c>
      <c r="D576" t="str">
        <f>_xlfn.XLOOKUP(C576,products[productID],products[productName],,0)</f>
        <v>Chef Anton's Cajun Seasoning</v>
      </c>
      <c r="E576" t="str">
        <f>_xlfn.XLOOKUP(_xlfn.XLOOKUP(Table9[[#This Row],[ProductName ]],products[productName],products[categoryID],,0),categories[categoryID],categories[categoryName],,0)</f>
        <v>Condiments</v>
      </c>
      <c r="F576">
        <v>3</v>
      </c>
      <c r="G576">
        <v>368</v>
      </c>
      <c r="H576">
        <v>0</v>
      </c>
      <c r="I576">
        <f>Table9[[#This Row],[quantity]]*Table9[[#This Row],[unitPrice]]*(1-Table9[[#This Row],[discount]]/100)</f>
        <v>1104</v>
      </c>
      <c r="J576" t="str">
        <f>_xlfn.XLOOKUP(_xlfn.XLOOKUP(A576,orders[orderID],orders[customerID],,0),customers__2[customerID],customers__2[companyName],,0)</f>
        <v>Furia Bacalhau e Frutos do Mar</v>
      </c>
      <c r="K576" t="str">
        <f>_xlfn.XLOOKUP(Table9[[#This Row],[Company Name]],customers__2[companyName],customers__2[country],,0)</f>
        <v>Portugal</v>
      </c>
      <c r="L576">
        <f>MONTH(Table9[[#This Row],[OrderDate ]])</f>
        <v>3</v>
      </c>
      <c r="M576" t="str">
        <f>TEXT(Table9[[#This Row],[OrderDate ]],"mmm")</f>
        <v>Mar</v>
      </c>
      <c r="N576">
        <f>YEAR(Table9[[#This Row],[OrderDate ]])</f>
        <v>2014</v>
      </c>
    </row>
    <row r="577" spans="1:14" x14ac:dyDescent="0.3">
      <c r="A577">
        <v>10464</v>
      </c>
      <c r="B577" s="2">
        <f>_xlfn.XLOOKUP(Table9[[#This Row],[orderID]],orders[orderID],orders[orderDate],,0)</f>
        <v>41702</v>
      </c>
      <c r="C577">
        <f>_xlfn.XLOOKUP(A577,order_details[orderID],order_details[productID],,0)</f>
        <v>4</v>
      </c>
      <c r="D577" t="str">
        <f>_xlfn.XLOOKUP(C577,products[productID],products[productName],,0)</f>
        <v>Chef Anton's Cajun Seasoning</v>
      </c>
      <c r="E577" t="str">
        <f>_xlfn.XLOOKUP(_xlfn.XLOOKUP(Table9[[#This Row],[ProductName ]],products[productName],products[categoryID],,0),categories[categoryID],categories[categoryName],,0)</f>
        <v>Condiments</v>
      </c>
      <c r="F577">
        <v>30</v>
      </c>
      <c r="G577">
        <v>304</v>
      </c>
      <c r="H577">
        <v>2</v>
      </c>
      <c r="I577">
        <f>Table9[[#This Row],[quantity]]*Table9[[#This Row],[unitPrice]]*(1-Table9[[#This Row],[discount]]/100)</f>
        <v>8937.6</v>
      </c>
      <c r="J577" t="str">
        <f>_xlfn.XLOOKUP(_xlfn.XLOOKUP(A577,orders[orderID],orders[customerID],,0),customers__2[customerID],customers__2[companyName],,0)</f>
        <v>Furia Bacalhau e Frutos do Mar</v>
      </c>
      <c r="K577" t="str">
        <f>_xlfn.XLOOKUP(Table9[[#This Row],[Company Name]],customers__2[companyName],customers__2[country],,0)</f>
        <v>Portugal</v>
      </c>
      <c r="L577">
        <f>MONTH(Table9[[#This Row],[OrderDate ]])</f>
        <v>3</v>
      </c>
      <c r="M577" t="str">
        <f>TEXT(Table9[[#This Row],[OrderDate ]],"mmm")</f>
        <v>Mar</v>
      </c>
      <c r="N577">
        <f>YEAR(Table9[[#This Row],[OrderDate ]])</f>
        <v>2014</v>
      </c>
    </row>
    <row r="578" spans="1:14" x14ac:dyDescent="0.3">
      <c r="A578">
        <v>10464</v>
      </c>
      <c r="B578" s="2">
        <f>_xlfn.XLOOKUP(Table9[[#This Row],[orderID]],orders[orderID],orders[orderDate],,0)</f>
        <v>41702</v>
      </c>
      <c r="C578">
        <f>_xlfn.XLOOKUP(A578,order_details[orderID],order_details[productID],,0)</f>
        <v>4</v>
      </c>
      <c r="D578" t="str">
        <f>_xlfn.XLOOKUP(C578,products[productID],products[productName],,0)</f>
        <v>Chef Anton's Cajun Seasoning</v>
      </c>
      <c r="E578" t="str">
        <f>_xlfn.XLOOKUP(_xlfn.XLOOKUP(Table9[[#This Row],[ProductName ]],products[productName],products[categoryID],,0),categories[categoryID],categories[categoryName],,0)</f>
        <v>Condiments</v>
      </c>
      <c r="F578">
        <v>20</v>
      </c>
      <c r="G578">
        <v>272</v>
      </c>
      <c r="H578">
        <v>0</v>
      </c>
      <c r="I578">
        <f>Table9[[#This Row],[quantity]]*Table9[[#This Row],[unitPrice]]*(1-Table9[[#This Row],[discount]]/100)</f>
        <v>5440</v>
      </c>
      <c r="J578" t="str">
        <f>_xlfn.XLOOKUP(_xlfn.XLOOKUP(A578,orders[orderID],orders[customerID],,0),customers__2[customerID],customers__2[companyName],,0)</f>
        <v>Furia Bacalhau e Frutos do Mar</v>
      </c>
      <c r="K578" t="str">
        <f>_xlfn.XLOOKUP(Table9[[#This Row],[Company Name]],customers__2[companyName],customers__2[country],,0)</f>
        <v>Portugal</v>
      </c>
      <c r="L578">
        <f>MONTH(Table9[[#This Row],[OrderDate ]])</f>
        <v>3</v>
      </c>
      <c r="M578" t="str">
        <f>TEXT(Table9[[#This Row],[OrderDate ]],"mmm")</f>
        <v>Mar</v>
      </c>
      <c r="N578">
        <f>YEAR(Table9[[#This Row],[OrderDate ]])</f>
        <v>2014</v>
      </c>
    </row>
    <row r="579" spans="1:14" x14ac:dyDescent="0.3">
      <c r="A579">
        <v>10465</v>
      </c>
      <c r="B579" s="2">
        <f>_xlfn.XLOOKUP(Table9[[#This Row],[orderID]],orders[orderID],orders[orderDate],,0)</f>
        <v>41703</v>
      </c>
      <c r="C579">
        <f>_xlfn.XLOOKUP(A579,order_details[orderID],order_details[productID],,0)</f>
        <v>24</v>
      </c>
      <c r="D579" t="str">
        <f>_xlfn.XLOOKUP(C579,products[productID],products[productName],,0)</f>
        <v>Guarana Fantastica</v>
      </c>
      <c r="E579" t="str">
        <f>_xlfn.XLOOKUP(_xlfn.XLOOKUP(Table9[[#This Row],[ProductName ]],products[productName],products[categoryID],,0),categories[categoryID],categories[categoryName],,0)</f>
        <v>Beverages</v>
      </c>
      <c r="F579">
        <v>25</v>
      </c>
      <c r="G579">
        <v>36</v>
      </c>
      <c r="H579">
        <v>0</v>
      </c>
      <c r="I579">
        <f>Table9[[#This Row],[quantity]]*Table9[[#This Row],[unitPrice]]*(1-Table9[[#This Row],[discount]]/100)</f>
        <v>900</v>
      </c>
      <c r="J579" t="str">
        <f>_xlfn.XLOOKUP(_xlfn.XLOOKUP(A579,orders[orderID],orders[customerID],,0),customers__2[customerID],customers__2[companyName],,0)</f>
        <v>Vaffeljernet</v>
      </c>
      <c r="K579" t="str">
        <f>_xlfn.XLOOKUP(Table9[[#This Row],[Company Name]],customers__2[companyName],customers__2[country],,0)</f>
        <v>Denmark</v>
      </c>
      <c r="L579">
        <f>MONTH(Table9[[#This Row],[OrderDate ]])</f>
        <v>3</v>
      </c>
      <c r="M579" t="str">
        <f>TEXT(Table9[[#This Row],[OrderDate ]],"mmm")</f>
        <v>Mar</v>
      </c>
      <c r="N579">
        <f>YEAR(Table9[[#This Row],[OrderDate ]])</f>
        <v>2014</v>
      </c>
    </row>
    <row r="580" spans="1:14" x14ac:dyDescent="0.3">
      <c r="A580">
        <v>10465</v>
      </c>
      <c r="B580" s="2">
        <f>_xlfn.XLOOKUP(Table9[[#This Row],[orderID]],orders[orderID],orders[orderDate],,0)</f>
        <v>41703</v>
      </c>
      <c r="C580">
        <f>_xlfn.XLOOKUP(A580,order_details[orderID],order_details[productID],,0)</f>
        <v>24</v>
      </c>
      <c r="D580" t="str">
        <f>_xlfn.XLOOKUP(C580,products[productID],products[productName],,0)</f>
        <v>Guarana Fantastica</v>
      </c>
      <c r="E580" t="str">
        <f>_xlfn.XLOOKUP(_xlfn.XLOOKUP(Table9[[#This Row],[ProductName ]],products[productName],products[categoryID],,0),categories[categoryID],categories[categoryName],,0)</f>
        <v>Beverages</v>
      </c>
      <c r="F580">
        <v>18</v>
      </c>
      <c r="G580">
        <v>99</v>
      </c>
      <c r="H580">
        <v>1</v>
      </c>
      <c r="I580">
        <f>Table9[[#This Row],[quantity]]*Table9[[#This Row],[unitPrice]]*(1-Table9[[#This Row],[discount]]/100)</f>
        <v>1764.18</v>
      </c>
      <c r="J580" t="str">
        <f>_xlfn.XLOOKUP(_xlfn.XLOOKUP(A580,orders[orderID],orders[customerID],,0),customers__2[customerID],customers__2[companyName],,0)</f>
        <v>Vaffeljernet</v>
      </c>
      <c r="K580" t="str">
        <f>_xlfn.XLOOKUP(Table9[[#This Row],[Company Name]],customers__2[companyName],customers__2[country],,0)</f>
        <v>Denmark</v>
      </c>
      <c r="L580">
        <f>MONTH(Table9[[#This Row],[OrderDate ]])</f>
        <v>3</v>
      </c>
      <c r="M580" t="str">
        <f>TEXT(Table9[[#This Row],[OrderDate ]],"mmm")</f>
        <v>Mar</v>
      </c>
      <c r="N580">
        <f>YEAR(Table9[[#This Row],[OrderDate ]])</f>
        <v>2014</v>
      </c>
    </row>
    <row r="581" spans="1:14" x14ac:dyDescent="0.3">
      <c r="A581">
        <v>10465</v>
      </c>
      <c r="B581" s="2">
        <f>_xlfn.XLOOKUP(Table9[[#This Row],[orderID]],orders[orderID],orders[orderDate],,0)</f>
        <v>41703</v>
      </c>
      <c r="C581">
        <f>_xlfn.XLOOKUP(A581,order_details[orderID],order_details[productID],,0)</f>
        <v>24</v>
      </c>
      <c r="D581" t="str">
        <f>_xlfn.XLOOKUP(C581,products[productID],products[productName],,0)</f>
        <v>Guarana Fantastica</v>
      </c>
      <c r="E581" t="str">
        <f>_xlfn.XLOOKUP(_xlfn.XLOOKUP(Table9[[#This Row],[ProductName ]],products[productName],products[categoryID],,0),categories[categoryID],categories[categoryName],,0)</f>
        <v>Beverages</v>
      </c>
      <c r="F581">
        <v>20</v>
      </c>
      <c r="G581">
        <v>147</v>
      </c>
      <c r="H581">
        <v>0</v>
      </c>
      <c r="I581">
        <f>Table9[[#This Row],[quantity]]*Table9[[#This Row],[unitPrice]]*(1-Table9[[#This Row],[discount]]/100)</f>
        <v>2940</v>
      </c>
      <c r="J581" t="str">
        <f>_xlfn.XLOOKUP(_xlfn.XLOOKUP(A581,orders[orderID],orders[customerID],,0),customers__2[customerID],customers__2[companyName],,0)</f>
        <v>Vaffeljernet</v>
      </c>
      <c r="K581" t="str">
        <f>_xlfn.XLOOKUP(Table9[[#This Row],[Company Name]],customers__2[companyName],customers__2[country],,0)</f>
        <v>Denmark</v>
      </c>
      <c r="L581">
        <f>MONTH(Table9[[#This Row],[OrderDate ]])</f>
        <v>3</v>
      </c>
      <c r="M581" t="str">
        <f>TEXT(Table9[[#This Row],[OrderDate ]],"mmm")</f>
        <v>Mar</v>
      </c>
      <c r="N581">
        <f>YEAR(Table9[[#This Row],[OrderDate ]])</f>
        <v>2014</v>
      </c>
    </row>
    <row r="582" spans="1:14" x14ac:dyDescent="0.3">
      <c r="A582">
        <v>10465</v>
      </c>
      <c r="B582" s="2">
        <f>_xlfn.XLOOKUP(Table9[[#This Row],[orderID]],orders[orderID],orders[orderDate],,0)</f>
        <v>41703</v>
      </c>
      <c r="C582">
        <f>_xlfn.XLOOKUP(A582,order_details[orderID],order_details[productID],,0)</f>
        <v>24</v>
      </c>
      <c r="D582" t="str">
        <f>_xlfn.XLOOKUP(C582,products[productID],products[productName],,0)</f>
        <v>Guarana Fantastica</v>
      </c>
      <c r="E582" t="str">
        <f>_xlfn.XLOOKUP(_xlfn.XLOOKUP(Table9[[#This Row],[ProductName ]],products[productName],products[categoryID],,0),categories[categoryID],categories[categoryName],,0)</f>
        <v>Beverages</v>
      </c>
      <c r="F582">
        <v>30</v>
      </c>
      <c r="G582">
        <v>76</v>
      </c>
      <c r="H582">
        <v>1</v>
      </c>
      <c r="I582">
        <f>Table9[[#This Row],[quantity]]*Table9[[#This Row],[unitPrice]]*(1-Table9[[#This Row],[discount]]/100)</f>
        <v>2257.1999999999998</v>
      </c>
      <c r="J582" t="str">
        <f>_xlfn.XLOOKUP(_xlfn.XLOOKUP(A582,orders[orderID],orders[customerID],,0),customers__2[customerID],customers__2[companyName],,0)</f>
        <v>Vaffeljernet</v>
      </c>
      <c r="K582" t="str">
        <f>_xlfn.XLOOKUP(Table9[[#This Row],[Company Name]],customers__2[companyName],customers__2[country],,0)</f>
        <v>Denmark</v>
      </c>
      <c r="L582">
        <f>MONTH(Table9[[#This Row],[OrderDate ]])</f>
        <v>3</v>
      </c>
      <c r="M582" t="str">
        <f>TEXT(Table9[[#This Row],[OrderDate ]],"mmm")</f>
        <v>Mar</v>
      </c>
      <c r="N582">
        <f>YEAR(Table9[[#This Row],[OrderDate ]])</f>
        <v>2014</v>
      </c>
    </row>
    <row r="583" spans="1:14" x14ac:dyDescent="0.3">
      <c r="A583">
        <v>10465</v>
      </c>
      <c r="B583" s="2">
        <f>_xlfn.XLOOKUP(Table9[[#This Row],[orderID]],orders[orderID],orders[orderDate],,0)</f>
        <v>41703</v>
      </c>
      <c r="C583">
        <f>_xlfn.XLOOKUP(A583,order_details[orderID],order_details[productID],,0)</f>
        <v>24</v>
      </c>
      <c r="D583" t="str">
        <f>_xlfn.XLOOKUP(C583,products[productID],products[productName],,0)</f>
        <v>Guarana Fantastica</v>
      </c>
      <c r="E583" t="str">
        <f>_xlfn.XLOOKUP(_xlfn.XLOOKUP(Table9[[#This Row],[ProductName ]],products[productName],products[categoryID],,0),categories[categoryID],categories[categoryName],,0)</f>
        <v>Beverages</v>
      </c>
      <c r="F583">
        <v>25</v>
      </c>
      <c r="G583">
        <v>13</v>
      </c>
      <c r="H583">
        <v>0</v>
      </c>
      <c r="I583">
        <f>Table9[[#This Row],[quantity]]*Table9[[#This Row],[unitPrice]]*(1-Table9[[#This Row],[discount]]/100)</f>
        <v>325</v>
      </c>
      <c r="J583" t="str">
        <f>_xlfn.XLOOKUP(_xlfn.XLOOKUP(A583,orders[orderID],orders[customerID],,0),customers__2[customerID],customers__2[companyName],,0)</f>
        <v>Vaffeljernet</v>
      </c>
      <c r="K583" t="str">
        <f>_xlfn.XLOOKUP(Table9[[#This Row],[Company Name]],customers__2[companyName],customers__2[country],,0)</f>
        <v>Denmark</v>
      </c>
      <c r="L583">
        <f>MONTH(Table9[[#This Row],[OrderDate ]])</f>
        <v>3</v>
      </c>
      <c r="M583" t="str">
        <f>TEXT(Table9[[#This Row],[OrderDate ]],"mmm")</f>
        <v>Mar</v>
      </c>
      <c r="N583">
        <f>YEAR(Table9[[#This Row],[OrderDate ]])</f>
        <v>2014</v>
      </c>
    </row>
    <row r="584" spans="1:14" x14ac:dyDescent="0.3">
      <c r="A584">
        <v>10466</v>
      </c>
      <c r="B584" s="2">
        <f>_xlfn.XLOOKUP(Table9[[#This Row],[orderID]],orders[orderID],orders[orderDate],,0)</f>
        <v>41704</v>
      </c>
      <c r="C584">
        <f>_xlfn.XLOOKUP(A584,order_details[orderID],order_details[productID],,0)</f>
        <v>11</v>
      </c>
      <c r="D584" t="str">
        <f>_xlfn.XLOOKUP(C584,products[productID],products[productName],,0)</f>
        <v>Queso Cabrales</v>
      </c>
      <c r="E584" t="str">
        <f>_xlfn.XLOOKUP(_xlfn.XLOOKUP(Table9[[#This Row],[ProductName ]],products[productName],products[categoryID],,0),categories[categoryID],categories[categoryName],,0)</f>
        <v>Dairy Products</v>
      </c>
      <c r="F584">
        <v>10</v>
      </c>
      <c r="G584">
        <v>168</v>
      </c>
      <c r="H584">
        <v>0</v>
      </c>
      <c r="I584">
        <f>Table9[[#This Row],[quantity]]*Table9[[#This Row],[unitPrice]]*(1-Table9[[#This Row],[discount]]/100)</f>
        <v>1680</v>
      </c>
      <c r="J584" t="str">
        <f>_xlfn.XLOOKUP(_xlfn.XLOOKUP(A584,orders[orderID],orders[customerID],,0),customers__2[customerID],customers__2[companyName],,0)</f>
        <v>Comércio Mineiro</v>
      </c>
      <c r="K584" t="str">
        <f>_xlfn.XLOOKUP(Table9[[#This Row],[Company Name]],customers__2[companyName],customers__2[country],,0)</f>
        <v>Brazil</v>
      </c>
      <c r="L584">
        <f>MONTH(Table9[[#This Row],[OrderDate ]])</f>
        <v>3</v>
      </c>
      <c r="M584" t="str">
        <f>TEXT(Table9[[#This Row],[OrderDate ]],"mmm")</f>
        <v>Mar</v>
      </c>
      <c r="N584">
        <f>YEAR(Table9[[#This Row],[OrderDate ]])</f>
        <v>2014</v>
      </c>
    </row>
    <row r="585" spans="1:14" x14ac:dyDescent="0.3">
      <c r="A585">
        <v>10466</v>
      </c>
      <c r="B585" s="2">
        <f>_xlfn.XLOOKUP(Table9[[#This Row],[orderID]],orders[orderID],orders[orderDate],,0)</f>
        <v>41704</v>
      </c>
      <c r="C585">
        <f>_xlfn.XLOOKUP(A585,order_details[orderID],order_details[productID],,0)</f>
        <v>11</v>
      </c>
      <c r="D585" t="str">
        <f>_xlfn.XLOOKUP(C585,products[productID],products[productName],,0)</f>
        <v>Queso Cabrales</v>
      </c>
      <c r="E585" t="str">
        <f>_xlfn.XLOOKUP(_xlfn.XLOOKUP(Table9[[#This Row],[ProductName ]],products[productName],products[categoryID],,0),categories[categoryID],categories[categoryName],,0)</f>
        <v>Dairy Products</v>
      </c>
      <c r="F585">
        <v>5</v>
      </c>
      <c r="G585">
        <v>96</v>
      </c>
      <c r="H585">
        <v>0</v>
      </c>
      <c r="I585">
        <f>Table9[[#This Row],[quantity]]*Table9[[#This Row],[unitPrice]]*(1-Table9[[#This Row],[discount]]/100)</f>
        <v>480</v>
      </c>
      <c r="J585" t="str">
        <f>_xlfn.XLOOKUP(_xlfn.XLOOKUP(A585,orders[orderID],orders[customerID],,0),customers__2[customerID],customers__2[companyName],,0)</f>
        <v>Comércio Mineiro</v>
      </c>
      <c r="K585" t="str">
        <f>_xlfn.XLOOKUP(Table9[[#This Row],[Company Name]],customers__2[companyName],customers__2[country],,0)</f>
        <v>Brazil</v>
      </c>
      <c r="L585">
        <f>MONTH(Table9[[#This Row],[OrderDate ]])</f>
        <v>3</v>
      </c>
      <c r="M585" t="str">
        <f>TEXT(Table9[[#This Row],[OrderDate ]],"mmm")</f>
        <v>Mar</v>
      </c>
      <c r="N585">
        <f>YEAR(Table9[[#This Row],[OrderDate ]])</f>
        <v>2014</v>
      </c>
    </row>
    <row r="586" spans="1:14" x14ac:dyDescent="0.3">
      <c r="A586">
        <v>10467</v>
      </c>
      <c r="B586" s="2">
        <f>_xlfn.XLOOKUP(Table9[[#This Row],[orderID]],orders[orderID],orders[orderDate],,0)</f>
        <v>41704</v>
      </c>
      <c r="C586">
        <f>_xlfn.XLOOKUP(A586,order_details[orderID],order_details[productID],,0)</f>
        <v>24</v>
      </c>
      <c r="D586" t="str">
        <f>_xlfn.XLOOKUP(C586,products[productID],products[productName],,0)</f>
        <v>Guarana Fantastica</v>
      </c>
      <c r="E586" t="str">
        <f>_xlfn.XLOOKUP(_xlfn.XLOOKUP(Table9[[#This Row],[ProductName ]],products[productName],products[categoryID],,0),categories[categoryID],categories[categoryName],,0)</f>
        <v>Beverages</v>
      </c>
      <c r="F586">
        <v>28</v>
      </c>
      <c r="G586">
        <v>36</v>
      </c>
      <c r="H586">
        <v>0</v>
      </c>
      <c r="I586">
        <f>Table9[[#This Row],[quantity]]*Table9[[#This Row],[unitPrice]]*(1-Table9[[#This Row],[discount]]/100)</f>
        <v>1008</v>
      </c>
      <c r="J586" t="str">
        <f>_xlfn.XLOOKUP(_xlfn.XLOOKUP(A586,orders[orderID],orders[customerID],,0),customers__2[customerID],customers__2[companyName],,0)</f>
        <v>Magazzini Alimentari Riuniti</v>
      </c>
      <c r="K586" t="str">
        <f>_xlfn.XLOOKUP(Table9[[#This Row],[Company Name]],customers__2[companyName],customers__2[country],,0)</f>
        <v>Italy</v>
      </c>
      <c r="L586">
        <f>MONTH(Table9[[#This Row],[OrderDate ]])</f>
        <v>3</v>
      </c>
      <c r="M586" t="str">
        <f>TEXT(Table9[[#This Row],[OrderDate ]],"mmm")</f>
        <v>Mar</v>
      </c>
      <c r="N586">
        <f>YEAR(Table9[[#This Row],[OrderDate ]])</f>
        <v>2014</v>
      </c>
    </row>
    <row r="587" spans="1:14" x14ac:dyDescent="0.3">
      <c r="A587">
        <v>10467</v>
      </c>
      <c r="B587" s="2">
        <f>_xlfn.XLOOKUP(Table9[[#This Row],[orderID]],orders[orderID],orders[orderDate],,0)</f>
        <v>41704</v>
      </c>
      <c r="C587">
        <f>_xlfn.XLOOKUP(A587,order_details[orderID],order_details[productID],,0)</f>
        <v>24</v>
      </c>
      <c r="D587" t="str">
        <f>_xlfn.XLOOKUP(C587,products[productID],products[productName],,0)</f>
        <v>Guarana Fantastica</v>
      </c>
      <c r="E587" t="str">
        <f>_xlfn.XLOOKUP(_xlfn.XLOOKUP(Table9[[#This Row],[ProductName ]],products[productName],products[categoryID],,0),categories[categoryID],categories[categoryName],,0)</f>
        <v>Beverages</v>
      </c>
      <c r="F587">
        <v>12</v>
      </c>
      <c r="G587">
        <v>112</v>
      </c>
      <c r="H587">
        <v>0</v>
      </c>
      <c r="I587">
        <f>Table9[[#This Row],[quantity]]*Table9[[#This Row],[unitPrice]]*(1-Table9[[#This Row],[discount]]/100)</f>
        <v>1344</v>
      </c>
      <c r="J587" t="str">
        <f>_xlfn.XLOOKUP(_xlfn.XLOOKUP(A587,orders[orderID],orders[customerID],,0),customers__2[customerID],customers__2[companyName],,0)</f>
        <v>Magazzini Alimentari Riuniti</v>
      </c>
      <c r="K587" t="str">
        <f>_xlfn.XLOOKUP(Table9[[#This Row],[Company Name]],customers__2[companyName],customers__2[country],,0)</f>
        <v>Italy</v>
      </c>
      <c r="L587">
        <f>MONTH(Table9[[#This Row],[OrderDate ]])</f>
        <v>3</v>
      </c>
      <c r="M587" t="str">
        <f>TEXT(Table9[[#This Row],[OrderDate ]],"mmm")</f>
        <v>Mar</v>
      </c>
      <c r="N587">
        <f>YEAR(Table9[[#This Row],[OrderDate ]])</f>
        <v>2014</v>
      </c>
    </row>
    <row r="588" spans="1:14" x14ac:dyDescent="0.3">
      <c r="A588">
        <v>10468</v>
      </c>
      <c r="B588" s="2">
        <f>_xlfn.XLOOKUP(Table9[[#This Row],[orderID]],orders[orderID],orders[orderDate],,0)</f>
        <v>41705</v>
      </c>
      <c r="C588">
        <f>_xlfn.XLOOKUP(A588,order_details[orderID],order_details[productID],,0)</f>
        <v>30</v>
      </c>
      <c r="D588" t="str">
        <f>_xlfn.XLOOKUP(C588,products[productID],products[productName],,0)</f>
        <v>Nord-Ost Matjeshering</v>
      </c>
      <c r="E588" t="str">
        <f>_xlfn.XLOOKUP(_xlfn.XLOOKUP(Table9[[#This Row],[ProductName ]],products[productName],products[categoryID],,0),categories[categoryID],categories[categoryName],,0)</f>
        <v>Seafood</v>
      </c>
      <c r="F588">
        <v>8</v>
      </c>
      <c r="G588">
        <v>207</v>
      </c>
      <c r="H588">
        <v>0</v>
      </c>
      <c r="I588">
        <f>Table9[[#This Row],[quantity]]*Table9[[#This Row],[unitPrice]]*(1-Table9[[#This Row],[discount]]/100)</f>
        <v>1656</v>
      </c>
      <c r="J588" t="str">
        <f>_xlfn.XLOOKUP(_xlfn.XLOOKUP(A588,orders[orderID],orders[customerID],,0),customers__2[customerID],customers__2[companyName],,0)</f>
        <v>Königlich Essen</v>
      </c>
      <c r="K588" t="str">
        <f>_xlfn.XLOOKUP(Table9[[#This Row],[Company Name]],customers__2[companyName],customers__2[country],,0)</f>
        <v>Germany</v>
      </c>
      <c r="L588">
        <f>MONTH(Table9[[#This Row],[OrderDate ]])</f>
        <v>3</v>
      </c>
      <c r="M588" t="str">
        <f>TEXT(Table9[[#This Row],[OrderDate ]],"mmm")</f>
        <v>Mar</v>
      </c>
      <c r="N588">
        <f>YEAR(Table9[[#This Row],[OrderDate ]])</f>
        <v>2014</v>
      </c>
    </row>
    <row r="589" spans="1:14" x14ac:dyDescent="0.3">
      <c r="A589">
        <v>10468</v>
      </c>
      <c r="B589" s="2">
        <f>_xlfn.XLOOKUP(Table9[[#This Row],[orderID]],orders[orderID],orders[orderDate],,0)</f>
        <v>41705</v>
      </c>
      <c r="C589">
        <f>_xlfn.XLOOKUP(A589,order_details[orderID],order_details[productID],,0)</f>
        <v>30</v>
      </c>
      <c r="D589" t="str">
        <f>_xlfn.XLOOKUP(C589,products[productID],products[productName],,0)</f>
        <v>Nord-Ost Matjeshering</v>
      </c>
      <c r="E589" t="str">
        <f>_xlfn.XLOOKUP(_xlfn.XLOOKUP(Table9[[#This Row],[ProductName ]],products[productName],products[categoryID],,0),categories[categoryID],categories[categoryName],,0)</f>
        <v>Seafood</v>
      </c>
      <c r="F589">
        <v>15</v>
      </c>
      <c r="G589">
        <v>368</v>
      </c>
      <c r="H589">
        <v>0</v>
      </c>
      <c r="I589">
        <f>Table9[[#This Row],[quantity]]*Table9[[#This Row],[unitPrice]]*(1-Table9[[#This Row],[discount]]/100)</f>
        <v>5520</v>
      </c>
      <c r="J589" t="str">
        <f>_xlfn.XLOOKUP(_xlfn.XLOOKUP(A589,orders[orderID],orders[customerID],,0),customers__2[customerID],customers__2[companyName],,0)</f>
        <v>Königlich Essen</v>
      </c>
      <c r="K589" t="str">
        <f>_xlfn.XLOOKUP(Table9[[#This Row],[Company Name]],customers__2[companyName],customers__2[country],,0)</f>
        <v>Germany</v>
      </c>
      <c r="L589">
        <f>MONTH(Table9[[#This Row],[OrderDate ]])</f>
        <v>3</v>
      </c>
      <c r="M589" t="str">
        <f>TEXT(Table9[[#This Row],[OrderDate ]],"mmm")</f>
        <v>Mar</v>
      </c>
      <c r="N589">
        <f>YEAR(Table9[[#This Row],[OrderDate ]])</f>
        <v>2014</v>
      </c>
    </row>
    <row r="590" spans="1:14" x14ac:dyDescent="0.3">
      <c r="A590">
        <v>10469</v>
      </c>
      <c r="B590" s="2">
        <f>_xlfn.XLOOKUP(Table9[[#This Row],[orderID]],orders[orderID],orders[orderDate],,0)</f>
        <v>41708</v>
      </c>
      <c r="C590">
        <f>_xlfn.XLOOKUP(A590,order_details[orderID],order_details[productID],,0)</f>
        <v>2</v>
      </c>
      <c r="D590" t="str">
        <f>_xlfn.XLOOKUP(C590,products[productID],products[productName],,0)</f>
        <v>Chang</v>
      </c>
      <c r="E590" t="str">
        <f>_xlfn.XLOOKUP(_xlfn.XLOOKUP(Table9[[#This Row],[ProductName ]],products[productName],products[categoryID],,0),categories[categoryID],categories[categoryName],,0)</f>
        <v>Beverages</v>
      </c>
      <c r="F590">
        <v>40</v>
      </c>
      <c r="G590">
        <v>152</v>
      </c>
      <c r="H590">
        <v>15</v>
      </c>
      <c r="I590">
        <f>Table9[[#This Row],[quantity]]*Table9[[#This Row],[unitPrice]]*(1-Table9[[#This Row],[discount]]/100)</f>
        <v>5168</v>
      </c>
      <c r="J590" t="str">
        <f>_xlfn.XLOOKUP(_xlfn.XLOOKUP(A590,orders[orderID],orders[customerID],,0),customers__2[customerID],customers__2[companyName],,0)</f>
        <v>White Clover Markets</v>
      </c>
      <c r="K590" t="str">
        <f>_xlfn.XLOOKUP(Table9[[#This Row],[Company Name]],customers__2[companyName],customers__2[country],,0)</f>
        <v>USA</v>
      </c>
      <c r="L590">
        <f>MONTH(Table9[[#This Row],[OrderDate ]])</f>
        <v>3</v>
      </c>
      <c r="M590" t="str">
        <f>TEXT(Table9[[#This Row],[OrderDate ]],"mmm")</f>
        <v>Mar</v>
      </c>
      <c r="N590">
        <f>YEAR(Table9[[#This Row],[OrderDate ]])</f>
        <v>2014</v>
      </c>
    </row>
    <row r="591" spans="1:14" x14ac:dyDescent="0.3">
      <c r="A591">
        <v>10469</v>
      </c>
      <c r="B591" s="2">
        <f>_xlfn.XLOOKUP(Table9[[#This Row],[orderID]],orders[orderID],orders[orderDate],,0)</f>
        <v>41708</v>
      </c>
      <c r="C591">
        <f>_xlfn.XLOOKUP(A591,order_details[orderID],order_details[productID],,0)</f>
        <v>2</v>
      </c>
      <c r="D591" t="str">
        <f>_xlfn.XLOOKUP(C591,products[productID],products[productName],,0)</f>
        <v>Chang</v>
      </c>
      <c r="E591" t="str">
        <f>_xlfn.XLOOKUP(_xlfn.XLOOKUP(Table9[[#This Row],[ProductName ]],products[productName],products[categoryID],,0),categories[categoryID],categories[categoryName],,0)</f>
        <v>Beverages</v>
      </c>
      <c r="F591">
        <v>35</v>
      </c>
      <c r="G591">
        <v>139</v>
      </c>
      <c r="H591">
        <v>15</v>
      </c>
      <c r="I591">
        <f>Table9[[#This Row],[quantity]]*Table9[[#This Row],[unitPrice]]*(1-Table9[[#This Row],[discount]]/100)</f>
        <v>4135.25</v>
      </c>
      <c r="J591" t="str">
        <f>_xlfn.XLOOKUP(_xlfn.XLOOKUP(A591,orders[orderID],orders[customerID],,0),customers__2[customerID],customers__2[companyName],,0)</f>
        <v>White Clover Markets</v>
      </c>
      <c r="K591" t="str">
        <f>_xlfn.XLOOKUP(Table9[[#This Row],[Company Name]],customers__2[companyName],customers__2[country],,0)</f>
        <v>USA</v>
      </c>
      <c r="L591">
        <f>MONTH(Table9[[#This Row],[OrderDate ]])</f>
        <v>3</v>
      </c>
      <c r="M591" t="str">
        <f>TEXT(Table9[[#This Row],[OrderDate ]],"mmm")</f>
        <v>Mar</v>
      </c>
      <c r="N591">
        <f>YEAR(Table9[[#This Row],[OrderDate ]])</f>
        <v>2014</v>
      </c>
    </row>
    <row r="592" spans="1:14" x14ac:dyDescent="0.3">
      <c r="A592">
        <v>10469</v>
      </c>
      <c r="B592" s="2">
        <f>_xlfn.XLOOKUP(Table9[[#This Row],[orderID]],orders[orderID],orders[orderDate],,0)</f>
        <v>41708</v>
      </c>
      <c r="C592">
        <f>_xlfn.XLOOKUP(A592,order_details[orderID],order_details[productID],,0)</f>
        <v>2</v>
      </c>
      <c r="D592" t="str">
        <f>_xlfn.XLOOKUP(C592,products[productID],products[productName],,0)</f>
        <v>Chang</v>
      </c>
      <c r="E592" t="str">
        <f>_xlfn.XLOOKUP(_xlfn.XLOOKUP(Table9[[#This Row],[ProductName ]],products[productName],products[categoryID],,0),categories[categoryID],categories[categoryName],,0)</f>
        <v>Beverages</v>
      </c>
      <c r="F592">
        <v>2</v>
      </c>
      <c r="G592">
        <v>155</v>
      </c>
      <c r="H592">
        <v>15</v>
      </c>
      <c r="I592">
        <f>Table9[[#This Row],[quantity]]*Table9[[#This Row],[unitPrice]]*(1-Table9[[#This Row],[discount]]/100)</f>
        <v>263.5</v>
      </c>
      <c r="J592" t="str">
        <f>_xlfn.XLOOKUP(_xlfn.XLOOKUP(A592,orders[orderID],orders[customerID],,0),customers__2[customerID],customers__2[companyName],,0)</f>
        <v>White Clover Markets</v>
      </c>
      <c r="K592" t="str">
        <f>_xlfn.XLOOKUP(Table9[[#This Row],[Company Name]],customers__2[companyName],customers__2[country],,0)</f>
        <v>USA</v>
      </c>
      <c r="L592">
        <f>MONTH(Table9[[#This Row],[OrderDate ]])</f>
        <v>3</v>
      </c>
      <c r="M592" t="str">
        <f>TEXT(Table9[[#This Row],[OrderDate ]],"mmm")</f>
        <v>Mar</v>
      </c>
      <c r="N592">
        <f>YEAR(Table9[[#This Row],[OrderDate ]])</f>
        <v>2014</v>
      </c>
    </row>
    <row r="593" spans="1:14" x14ac:dyDescent="0.3">
      <c r="A593">
        <v>10470</v>
      </c>
      <c r="B593" s="2">
        <f>_xlfn.XLOOKUP(Table9[[#This Row],[orderID]],orders[orderID],orders[orderDate],,0)</f>
        <v>41709</v>
      </c>
      <c r="C593">
        <f>_xlfn.XLOOKUP(A593,order_details[orderID],order_details[productID],,0)</f>
        <v>18</v>
      </c>
      <c r="D593" t="str">
        <f>_xlfn.XLOOKUP(C593,products[productID],products[productName],,0)</f>
        <v>Carnarvon Tigers</v>
      </c>
      <c r="E593" t="str">
        <f>_xlfn.XLOOKUP(_xlfn.XLOOKUP(Table9[[#This Row],[ProductName ]],products[productName],products[categoryID],,0),categories[categoryID],categories[categoryName],,0)</f>
        <v>Seafood</v>
      </c>
      <c r="F593">
        <v>30</v>
      </c>
      <c r="G593">
        <v>50</v>
      </c>
      <c r="H593">
        <v>0</v>
      </c>
      <c r="I593">
        <f>Table9[[#This Row],[quantity]]*Table9[[#This Row],[unitPrice]]*(1-Table9[[#This Row],[discount]]/100)</f>
        <v>1500</v>
      </c>
      <c r="J593" t="str">
        <f>_xlfn.XLOOKUP(_xlfn.XLOOKUP(A593,orders[orderID],orders[customerID],,0),customers__2[customerID],customers__2[companyName],,0)</f>
        <v>Bon app'</v>
      </c>
      <c r="K593" t="str">
        <f>_xlfn.XLOOKUP(Table9[[#This Row],[Company Name]],customers__2[companyName],customers__2[country],,0)</f>
        <v>France</v>
      </c>
      <c r="L593">
        <f>MONTH(Table9[[#This Row],[OrderDate ]])</f>
        <v>3</v>
      </c>
      <c r="M593" t="str">
        <f>TEXT(Table9[[#This Row],[OrderDate ]],"mmm")</f>
        <v>Mar</v>
      </c>
      <c r="N593">
        <f>YEAR(Table9[[#This Row],[OrderDate ]])</f>
        <v>2014</v>
      </c>
    </row>
    <row r="594" spans="1:14" x14ac:dyDescent="0.3">
      <c r="A594">
        <v>10470</v>
      </c>
      <c r="B594" s="2">
        <f>_xlfn.XLOOKUP(Table9[[#This Row],[orderID]],orders[orderID],orders[orderDate],,0)</f>
        <v>41709</v>
      </c>
      <c r="C594">
        <f>_xlfn.XLOOKUP(A594,order_details[orderID],order_details[productID],,0)</f>
        <v>18</v>
      </c>
      <c r="D594" t="str">
        <f>_xlfn.XLOOKUP(C594,products[productID],products[productName],,0)</f>
        <v>Carnarvon Tigers</v>
      </c>
      <c r="E594" t="str">
        <f>_xlfn.XLOOKUP(_xlfn.XLOOKUP(Table9[[#This Row],[ProductName ]],products[productName],products[categoryID],,0),categories[categoryID],categories[categoryName],,0)</f>
        <v>Seafood</v>
      </c>
      <c r="F594">
        <v>15</v>
      </c>
      <c r="G594">
        <v>72</v>
      </c>
      <c r="H594">
        <v>0</v>
      </c>
      <c r="I594">
        <f>Table9[[#This Row],[quantity]]*Table9[[#This Row],[unitPrice]]*(1-Table9[[#This Row],[discount]]/100)</f>
        <v>1080</v>
      </c>
      <c r="J594" t="str">
        <f>_xlfn.XLOOKUP(_xlfn.XLOOKUP(A594,orders[orderID],orders[customerID],,0),customers__2[customerID],customers__2[companyName],,0)</f>
        <v>Bon app'</v>
      </c>
      <c r="K594" t="str">
        <f>_xlfn.XLOOKUP(Table9[[#This Row],[Company Name]],customers__2[companyName],customers__2[country],,0)</f>
        <v>France</v>
      </c>
      <c r="L594">
        <f>MONTH(Table9[[#This Row],[OrderDate ]])</f>
        <v>3</v>
      </c>
      <c r="M594" t="str">
        <f>TEXT(Table9[[#This Row],[OrderDate ]],"mmm")</f>
        <v>Mar</v>
      </c>
      <c r="N594">
        <f>YEAR(Table9[[#This Row],[OrderDate ]])</f>
        <v>2014</v>
      </c>
    </row>
    <row r="595" spans="1:14" x14ac:dyDescent="0.3">
      <c r="A595">
        <v>10470</v>
      </c>
      <c r="B595" s="2">
        <f>_xlfn.XLOOKUP(Table9[[#This Row],[orderID]],orders[orderID],orders[orderDate],,0)</f>
        <v>41709</v>
      </c>
      <c r="C595">
        <f>_xlfn.XLOOKUP(A595,order_details[orderID],order_details[productID],,0)</f>
        <v>18</v>
      </c>
      <c r="D595" t="str">
        <f>_xlfn.XLOOKUP(C595,products[productID],products[productName],,0)</f>
        <v>Carnarvon Tigers</v>
      </c>
      <c r="E595" t="str">
        <f>_xlfn.XLOOKUP(_xlfn.XLOOKUP(Table9[[#This Row],[ProductName ]],products[productName],products[categoryID],,0),categories[categoryID],categories[categoryName],,0)</f>
        <v>Seafood</v>
      </c>
      <c r="F595">
        <v>8</v>
      </c>
      <c r="G595">
        <v>266</v>
      </c>
      <c r="H595">
        <v>0</v>
      </c>
      <c r="I595">
        <f>Table9[[#This Row],[quantity]]*Table9[[#This Row],[unitPrice]]*(1-Table9[[#This Row],[discount]]/100)</f>
        <v>2128</v>
      </c>
      <c r="J595" t="str">
        <f>_xlfn.XLOOKUP(_xlfn.XLOOKUP(A595,orders[orderID],orders[customerID],,0),customers__2[customerID],customers__2[companyName],,0)</f>
        <v>Bon app'</v>
      </c>
      <c r="K595" t="str">
        <f>_xlfn.XLOOKUP(Table9[[#This Row],[Company Name]],customers__2[companyName],customers__2[country],,0)</f>
        <v>France</v>
      </c>
      <c r="L595">
        <f>MONTH(Table9[[#This Row],[OrderDate ]])</f>
        <v>3</v>
      </c>
      <c r="M595" t="str">
        <f>TEXT(Table9[[#This Row],[OrderDate ]],"mmm")</f>
        <v>Mar</v>
      </c>
      <c r="N595">
        <f>YEAR(Table9[[#This Row],[OrderDate ]])</f>
        <v>2014</v>
      </c>
    </row>
    <row r="596" spans="1:14" x14ac:dyDescent="0.3">
      <c r="A596">
        <v>10471</v>
      </c>
      <c r="B596" s="2">
        <f>_xlfn.XLOOKUP(Table9[[#This Row],[orderID]],orders[orderID],orders[orderDate],,0)</f>
        <v>41709</v>
      </c>
      <c r="C596">
        <f>_xlfn.XLOOKUP(A596,order_details[orderID],order_details[productID],,0)</f>
        <v>7</v>
      </c>
      <c r="D596" t="str">
        <f>_xlfn.XLOOKUP(C596,products[productID],products[productName],,0)</f>
        <v>Uncle Bob's Organic Dried Pears</v>
      </c>
      <c r="E596" t="str">
        <f>_xlfn.XLOOKUP(_xlfn.XLOOKUP(Table9[[#This Row],[ProductName ]],products[productName],products[categoryID],,0),categories[categoryID],categories[categoryName],,0)</f>
        <v>Produce</v>
      </c>
      <c r="F596">
        <v>30</v>
      </c>
      <c r="G596">
        <v>24</v>
      </c>
      <c r="H596">
        <v>0</v>
      </c>
      <c r="I596">
        <f>Table9[[#This Row],[quantity]]*Table9[[#This Row],[unitPrice]]*(1-Table9[[#This Row],[discount]]/100)</f>
        <v>720</v>
      </c>
      <c r="J596" t="str">
        <f>_xlfn.XLOOKUP(_xlfn.XLOOKUP(A596,orders[orderID],orders[customerID],,0),customers__2[customerID],customers__2[companyName],,0)</f>
        <v>B's Beverages</v>
      </c>
      <c r="K596" t="str">
        <f>_xlfn.XLOOKUP(Table9[[#This Row],[Company Name]],customers__2[companyName],customers__2[country],,0)</f>
        <v>UK</v>
      </c>
      <c r="L596">
        <f>MONTH(Table9[[#This Row],[OrderDate ]])</f>
        <v>3</v>
      </c>
      <c r="M596" t="str">
        <f>TEXT(Table9[[#This Row],[OrderDate ]],"mmm")</f>
        <v>Mar</v>
      </c>
      <c r="N596">
        <f>YEAR(Table9[[#This Row],[OrderDate ]])</f>
        <v>2014</v>
      </c>
    </row>
    <row r="597" spans="1:14" x14ac:dyDescent="0.3">
      <c r="A597">
        <v>10471</v>
      </c>
      <c r="B597" s="2">
        <f>_xlfn.XLOOKUP(Table9[[#This Row],[orderID]],orders[orderID],orders[orderDate],,0)</f>
        <v>41709</v>
      </c>
      <c r="C597">
        <f>_xlfn.XLOOKUP(A597,order_details[orderID],order_details[productID],,0)</f>
        <v>7</v>
      </c>
      <c r="D597" t="str">
        <f>_xlfn.XLOOKUP(C597,products[productID],products[productName],,0)</f>
        <v>Uncle Bob's Organic Dried Pears</v>
      </c>
      <c r="E597" t="str">
        <f>_xlfn.XLOOKUP(_xlfn.XLOOKUP(Table9[[#This Row],[ProductName ]],products[productName],products[categoryID],,0),categories[categoryID],categories[categoryName],,0)</f>
        <v>Produce</v>
      </c>
      <c r="F597">
        <v>20</v>
      </c>
      <c r="G597">
        <v>304</v>
      </c>
      <c r="H597">
        <v>0</v>
      </c>
      <c r="I597">
        <f>Table9[[#This Row],[quantity]]*Table9[[#This Row],[unitPrice]]*(1-Table9[[#This Row],[discount]]/100)</f>
        <v>6080</v>
      </c>
      <c r="J597" t="str">
        <f>_xlfn.XLOOKUP(_xlfn.XLOOKUP(A597,orders[orderID],orders[customerID],,0),customers__2[customerID],customers__2[companyName],,0)</f>
        <v>B's Beverages</v>
      </c>
      <c r="K597" t="str">
        <f>_xlfn.XLOOKUP(Table9[[#This Row],[Company Name]],customers__2[companyName],customers__2[country],,0)</f>
        <v>UK</v>
      </c>
      <c r="L597">
        <f>MONTH(Table9[[#This Row],[OrderDate ]])</f>
        <v>3</v>
      </c>
      <c r="M597" t="str">
        <f>TEXT(Table9[[#This Row],[OrderDate ]],"mmm")</f>
        <v>Mar</v>
      </c>
      <c r="N597">
        <f>YEAR(Table9[[#This Row],[OrderDate ]])</f>
        <v>2014</v>
      </c>
    </row>
    <row r="598" spans="1:14" x14ac:dyDescent="0.3">
      <c r="A598">
        <v>10472</v>
      </c>
      <c r="B598" s="2">
        <f>_xlfn.XLOOKUP(Table9[[#This Row],[orderID]],orders[orderID],orders[orderDate],,0)</f>
        <v>41710</v>
      </c>
      <c r="C598">
        <f>_xlfn.XLOOKUP(A598,order_details[orderID],order_details[productID],,0)</f>
        <v>24</v>
      </c>
      <c r="D598" t="str">
        <f>_xlfn.XLOOKUP(C598,products[productID],products[productName],,0)</f>
        <v>Guarana Fantastica</v>
      </c>
      <c r="E598" t="str">
        <f>_xlfn.XLOOKUP(_xlfn.XLOOKUP(Table9[[#This Row],[ProductName ]],products[productName],products[categoryID],,0),categories[categoryID],categories[categoryName],,0)</f>
        <v>Beverages</v>
      </c>
      <c r="F598">
        <v>80</v>
      </c>
      <c r="G598">
        <v>36</v>
      </c>
      <c r="H598">
        <v>5</v>
      </c>
      <c r="I598">
        <f>Table9[[#This Row],[quantity]]*Table9[[#This Row],[unitPrice]]*(1-Table9[[#This Row],[discount]]/100)</f>
        <v>2736</v>
      </c>
      <c r="J598" t="str">
        <f>_xlfn.XLOOKUP(_xlfn.XLOOKUP(A598,orders[orderID],orders[customerID],,0),customers__2[customerID],customers__2[companyName],,0)</f>
        <v>Seven Seas Imports</v>
      </c>
      <c r="K598" t="str">
        <f>_xlfn.XLOOKUP(Table9[[#This Row],[Company Name]],customers__2[companyName],customers__2[country],,0)</f>
        <v>UK</v>
      </c>
      <c r="L598">
        <f>MONTH(Table9[[#This Row],[OrderDate ]])</f>
        <v>3</v>
      </c>
      <c r="M598" t="str">
        <f>TEXT(Table9[[#This Row],[OrderDate ]],"mmm")</f>
        <v>Mar</v>
      </c>
      <c r="N598">
        <f>YEAR(Table9[[#This Row],[OrderDate ]])</f>
        <v>2014</v>
      </c>
    </row>
    <row r="599" spans="1:14" x14ac:dyDescent="0.3">
      <c r="A599">
        <v>10472</v>
      </c>
      <c r="B599" s="2">
        <f>_xlfn.XLOOKUP(Table9[[#This Row],[orderID]],orders[orderID],orders[orderDate],,0)</f>
        <v>41710</v>
      </c>
      <c r="C599">
        <f>_xlfn.XLOOKUP(A599,order_details[orderID],order_details[productID],,0)</f>
        <v>24</v>
      </c>
      <c r="D599" t="str">
        <f>_xlfn.XLOOKUP(C599,products[productID],products[productName],,0)</f>
        <v>Guarana Fantastica</v>
      </c>
      <c r="E599" t="str">
        <f>_xlfn.XLOOKUP(_xlfn.XLOOKUP(Table9[[#This Row],[ProductName ]],products[productName],products[categoryID],,0),categories[categoryID],categories[categoryName],,0)</f>
        <v>Beverages</v>
      </c>
      <c r="F599">
        <v>18</v>
      </c>
      <c r="G599">
        <v>424</v>
      </c>
      <c r="H599">
        <v>0</v>
      </c>
      <c r="I599">
        <f>Table9[[#This Row],[quantity]]*Table9[[#This Row],[unitPrice]]*(1-Table9[[#This Row],[discount]]/100)</f>
        <v>7632</v>
      </c>
      <c r="J599" t="str">
        <f>_xlfn.XLOOKUP(_xlfn.XLOOKUP(A599,orders[orderID],orders[customerID],,0),customers__2[customerID],customers__2[companyName],,0)</f>
        <v>Seven Seas Imports</v>
      </c>
      <c r="K599" t="str">
        <f>_xlfn.XLOOKUP(Table9[[#This Row],[Company Name]],customers__2[companyName],customers__2[country],,0)</f>
        <v>UK</v>
      </c>
      <c r="L599">
        <f>MONTH(Table9[[#This Row],[OrderDate ]])</f>
        <v>3</v>
      </c>
      <c r="M599" t="str">
        <f>TEXT(Table9[[#This Row],[OrderDate ]],"mmm")</f>
        <v>Mar</v>
      </c>
      <c r="N599">
        <f>YEAR(Table9[[#This Row],[OrderDate ]])</f>
        <v>2014</v>
      </c>
    </row>
    <row r="600" spans="1:14" x14ac:dyDescent="0.3">
      <c r="A600">
        <v>10473</v>
      </c>
      <c r="B600" s="2">
        <f>_xlfn.XLOOKUP(Table9[[#This Row],[orderID]],orders[orderID],orders[orderDate],,0)</f>
        <v>41711</v>
      </c>
      <c r="C600">
        <f>_xlfn.XLOOKUP(A600,order_details[orderID],order_details[productID],,0)</f>
        <v>33</v>
      </c>
      <c r="D600" t="str">
        <f>_xlfn.XLOOKUP(C600,products[productID],products[productName],,0)</f>
        <v>Geitost</v>
      </c>
      <c r="E600" t="str">
        <f>_xlfn.XLOOKUP(_xlfn.XLOOKUP(Table9[[#This Row],[ProductName ]],products[productName],products[categoryID],,0),categories[categoryID],categories[categoryName],,0)</f>
        <v>Dairy Products</v>
      </c>
      <c r="F600">
        <v>12</v>
      </c>
      <c r="G600">
        <v>2</v>
      </c>
      <c r="H600">
        <v>0</v>
      </c>
      <c r="I600">
        <f>Table9[[#This Row],[quantity]]*Table9[[#This Row],[unitPrice]]*(1-Table9[[#This Row],[discount]]/100)</f>
        <v>24</v>
      </c>
      <c r="J600" t="str">
        <f>_xlfn.XLOOKUP(_xlfn.XLOOKUP(A600,orders[orderID],orders[customerID],,0),customers__2[customerID],customers__2[companyName],,0)</f>
        <v>Island Trading</v>
      </c>
      <c r="K600" t="str">
        <f>_xlfn.XLOOKUP(Table9[[#This Row],[Company Name]],customers__2[companyName],customers__2[country],,0)</f>
        <v>UK</v>
      </c>
      <c r="L600">
        <f>MONTH(Table9[[#This Row],[OrderDate ]])</f>
        <v>3</v>
      </c>
      <c r="M600" t="str">
        <f>TEXT(Table9[[#This Row],[OrderDate ]],"mmm")</f>
        <v>Mar</v>
      </c>
      <c r="N600">
        <f>YEAR(Table9[[#This Row],[OrderDate ]])</f>
        <v>2014</v>
      </c>
    </row>
    <row r="601" spans="1:14" x14ac:dyDescent="0.3">
      <c r="A601">
        <v>10473</v>
      </c>
      <c r="B601" s="2">
        <f>_xlfn.XLOOKUP(Table9[[#This Row],[orderID]],orders[orderID],orders[orderDate],,0)</f>
        <v>41711</v>
      </c>
      <c r="C601">
        <f>_xlfn.XLOOKUP(A601,order_details[orderID],order_details[productID],,0)</f>
        <v>33</v>
      </c>
      <c r="D601" t="str">
        <f>_xlfn.XLOOKUP(C601,products[productID],products[productName],,0)</f>
        <v>Geitost</v>
      </c>
      <c r="E601" t="str">
        <f>_xlfn.XLOOKUP(_xlfn.XLOOKUP(Table9[[#This Row],[ProductName ]],products[productName],products[categoryID],,0),categories[categoryID],categories[categoryName],,0)</f>
        <v>Dairy Products</v>
      </c>
      <c r="F601">
        <v>12</v>
      </c>
      <c r="G601">
        <v>172</v>
      </c>
      <c r="H601">
        <v>0</v>
      </c>
      <c r="I601">
        <f>Table9[[#This Row],[quantity]]*Table9[[#This Row],[unitPrice]]*(1-Table9[[#This Row],[discount]]/100)</f>
        <v>2064</v>
      </c>
      <c r="J601" t="str">
        <f>_xlfn.XLOOKUP(_xlfn.XLOOKUP(A601,orders[orderID],orders[customerID],,0),customers__2[customerID],customers__2[companyName],,0)</f>
        <v>Island Trading</v>
      </c>
      <c r="K601" t="str">
        <f>_xlfn.XLOOKUP(Table9[[#This Row],[Company Name]],customers__2[companyName],customers__2[country],,0)</f>
        <v>UK</v>
      </c>
      <c r="L601">
        <f>MONTH(Table9[[#This Row],[OrderDate ]])</f>
        <v>3</v>
      </c>
      <c r="M601" t="str">
        <f>TEXT(Table9[[#This Row],[OrderDate ]],"mmm")</f>
        <v>Mar</v>
      </c>
      <c r="N601">
        <f>YEAR(Table9[[#This Row],[OrderDate ]])</f>
        <v>2014</v>
      </c>
    </row>
    <row r="602" spans="1:14" x14ac:dyDescent="0.3">
      <c r="A602">
        <v>10474</v>
      </c>
      <c r="B602" s="2">
        <f>_xlfn.XLOOKUP(Table9[[#This Row],[orderID]],orders[orderID],orders[orderDate],,0)</f>
        <v>41711</v>
      </c>
      <c r="C602">
        <f>_xlfn.XLOOKUP(A602,order_details[orderID],order_details[productID],,0)</f>
        <v>14</v>
      </c>
      <c r="D602" t="str">
        <f>_xlfn.XLOOKUP(C602,products[productID],products[productName],,0)</f>
        <v>Tofu</v>
      </c>
      <c r="E602" t="str">
        <f>_xlfn.XLOOKUP(_xlfn.XLOOKUP(Table9[[#This Row],[ProductName ]],products[productName],products[categoryID],,0),categories[categoryID],categories[categoryName],,0)</f>
        <v>Produce</v>
      </c>
      <c r="F602">
        <v>12</v>
      </c>
      <c r="G602">
        <v>186</v>
      </c>
      <c r="H602">
        <v>0</v>
      </c>
      <c r="I602">
        <f>Table9[[#This Row],[quantity]]*Table9[[#This Row],[unitPrice]]*(1-Table9[[#This Row],[discount]]/100)</f>
        <v>2232</v>
      </c>
      <c r="J602" t="str">
        <f>_xlfn.XLOOKUP(_xlfn.XLOOKUP(A602,orders[orderID],orders[customerID],,0),customers__2[customerID],customers__2[companyName],,0)</f>
        <v>Pericles Comidas clásicas</v>
      </c>
      <c r="K602" t="str">
        <f>_xlfn.XLOOKUP(Table9[[#This Row],[Company Name]],customers__2[companyName],customers__2[country],,0)</f>
        <v>Mexico</v>
      </c>
      <c r="L602">
        <f>MONTH(Table9[[#This Row],[OrderDate ]])</f>
        <v>3</v>
      </c>
      <c r="M602" t="str">
        <f>TEXT(Table9[[#This Row],[OrderDate ]],"mmm")</f>
        <v>Mar</v>
      </c>
      <c r="N602">
        <f>YEAR(Table9[[#This Row],[OrderDate ]])</f>
        <v>2014</v>
      </c>
    </row>
    <row r="603" spans="1:14" x14ac:dyDescent="0.3">
      <c r="A603">
        <v>10474</v>
      </c>
      <c r="B603" s="2">
        <f>_xlfn.XLOOKUP(Table9[[#This Row],[orderID]],orders[orderID],orders[orderDate],,0)</f>
        <v>41711</v>
      </c>
      <c r="C603">
        <f>_xlfn.XLOOKUP(A603,order_details[orderID],order_details[productID],,0)</f>
        <v>14</v>
      </c>
      <c r="D603" t="str">
        <f>_xlfn.XLOOKUP(C603,products[productID],products[productName],,0)</f>
        <v>Tofu</v>
      </c>
      <c r="E603" t="str">
        <f>_xlfn.XLOOKUP(_xlfn.XLOOKUP(Table9[[#This Row],[ProductName ]],products[productName],products[categoryID],,0),categories[categoryID],categories[categoryName],,0)</f>
        <v>Produce</v>
      </c>
      <c r="F603">
        <v>18</v>
      </c>
      <c r="G603">
        <v>364</v>
      </c>
      <c r="H603">
        <v>0</v>
      </c>
      <c r="I603">
        <f>Table9[[#This Row],[quantity]]*Table9[[#This Row],[unitPrice]]*(1-Table9[[#This Row],[discount]]/100)</f>
        <v>6552</v>
      </c>
      <c r="J603" t="str">
        <f>_xlfn.XLOOKUP(_xlfn.XLOOKUP(A603,orders[orderID],orders[customerID],,0),customers__2[customerID],customers__2[companyName],,0)</f>
        <v>Pericles Comidas clásicas</v>
      </c>
      <c r="K603" t="str">
        <f>_xlfn.XLOOKUP(Table9[[#This Row],[Company Name]],customers__2[companyName],customers__2[country],,0)</f>
        <v>Mexico</v>
      </c>
      <c r="L603">
        <f>MONTH(Table9[[#This Row],[OrderDate ]])</f>
        <v>3</v>
      </c>
      <c r="M603" t="str">
        <f>TEXT(Table9[[#This Row],[OrderDate ]],"mmm")</f>
        <v>Mar</v>
      </c>
      <c r="N603">
        <f>YEAR(Table9[[#This Row],[OrderDate ]])</f>
        <v>2014</v>
      </c>
    </row>
    <row r="604" spans="1:14" x14ac:dyDescent="0.3">
      <c r="A604">
        <v>10474</v>
      </c>
      <c r="B604" s="2">
        <f>_xlfn.XLOOKUP(Table9[[#This Row],[orderID]],orders[orderID],orders[orderDate],,0)</f>
        <v>41711</v>
      </c>
      <c r="C604">
        <f>_xlfn.XLOOKUP(A604,order_details[orderID],order_details[productID],,0)</f>
        <v>14</v>
      </c>
      <c r="D604" t="str">
        <f>_xlfn.XLOOKUP(C604,products[productID],products[productName],,0)</f>
        <v>Tofu</v>
      </c>
      <c r="E604" t="str">
        <f>_xlfn.XLOOKUP(_xlfn.XLOOKUP(Table9[[#This Row],[ProductName ]],products[productName],products[categoryID],,0),categories[categoryID],categories[categoryName],,0)</f>
        <v>Produce</v>
      </c>
      <c r="F604">
        <v>21</v>
      </c>
      <c r="G604">
        <v>147</v>
      </c>
      <c r="H604">
        <v>0</v>
      </c>
      <c r="I604">
        <f>Table9[[#This Row],[quantity]]*Table9[[#This Row],[unitPrice]]*(1-Table9[[#This Row],[discount]]/100)</f>
        <v>3087</v>
      </c>
      <c r="J604" t="str">
        <f>_xlfn.XLOOKUP(_xlfn.XLOOKUP(A604,orders[orderID],orders[customerID],,0),customers__2[customerID],customers__2[companyName],,0)</f>
        <v>Pericles Comidas clásicas</v>
      </c>
      <c r="K604" t="str">
        <f>_xlfn.XLOOKUP(Table9[[#This Row],[Company Name]],customers__2[companyName],customers__2[country],,0)</f>
        <v>Mexico</v>
      </c>
      <c r="L604">
        <f>MONTH(Table9[[#This Row],[OrderDate ]])</f>
        <v>3</v>
      </c>
      <c r="M604" t="str">
        <f>TEXT(Table9[[#This Row],[OrderDate ]],"mmm")</f>
        <v>Mar</v>
      </c>
      <c r="N604">
        <f>YEAR(Table9[[#This Row],[OrderDate ]])</f>
        <v>2014</v>
      </c>
    </row>
    <row r="605" spans="1:14" x14ac:dyDescent="0.3">
      <c r="A605">
        <v>10474</v>
      </c>
      <c r="B605" s="2">
        <f>_xlfn.XLOOKUP(Table9[[#This Row],[orderID]],orders[orderID],orders[orderDate],,0)</f>
        <v>41711</v>
      </c>
      <c r="C605">
        <f>_xlfn.XLOOKUP(A605,order_details[orderID],order_details[productID],,0)</f>
        <v>14</v>
      </c>
      <c r="D605" t="str">
        <f>_xlfn.XLOOKUP(C605,products[productID],products[productName],,0)</f>
        <v>Tofu</v>
      </c>
      <c r="E605" t="str">
        <f>_xlfn.XLOOKUP(_xlfn.XLOOKUP(Table9[[#This Row],[ProductName ]],products[productName],products[categoryID],,0),categories[categoryID],categories[categoryName],,0)</f>
        <v>Produce</v>
      </c>
      <c r="F605">
        <v>10</v>
      </c>
      <c r="G605">
        <v>62</v>
      </c>
      <c r="H605">
        <v>0</v>
      </c>
      <c r="I605">
        <f>Table9[[#This Row],[quantity]]*Table9[[#This Row],[unitPrice]]*(1-Table9[[#This Row],[discount]]/100)</f>
        <v>620</v>
      </c>
      <c r="J605" t="str">
        <f>_xlfn.XLOOKUP(_xlfn.XLOOKUP(A605,orders[orderID],orders[customerID],,0),customers__2[customerID],customers__2[companyName],,0)</f>
        <v>Pericles Comidas clásicas</v>
      </c>
      <c r="K605" t="str">
        <f>_xlfn.XLOOKUP(Table9[[#This Row],[Company Name]],customers__2[companyName],customers__2[country],,0)</f>
        <v>Mexico</v>
      </c>
      <c r="L605">
        <f>MONTH(Table9[[#This Row],[OrderDate ]])</f>
        <v>3</v>
      </c>
      <c r="M605" t="str">
        <f>TEXT(Table9[[#This Row],[OrderDate ]],"mmm")</f>
        <v>Mar</v>
      </c>
      <c r="N605">
        <f>YEAR(Table9[[#This Row],[OrderDate ]])</f>
        <v>2014</v>
      </c>
    </row>
    <row r="606" spans="1:14" x14ac:dyDescent="0.3">
      <c r="A606">
        <v>10475</v>
      </c>
      <c r="B606" s="2">
        <f>_xlfn.XLOOKUP(Table9[[#This Row],[orderID]],orders[orderID],orders[orderDate],,0)</f>
        <v>41712</v>
      </c>
      <c r="C606">
        <f>_xlfn.XLOOKUP(A606,order_details[orderID],order_details[productID],,0)</f>
        <v>31</v>
      </c>
      <c r="D606" t="str">
        <f>_xlfn.XLOOKUP(C606,products[productID],products[productName],,0)</f>
        <v>Gorgonzola Telino</v>
      </c>
      <c r="E606" t="str">
        <f>_xlfn.XLOOKUP(_xlfn.XLOOKUP(Table9[[#This Row],[ProductName ]],products[productName],products[categoryID],,0),categories[categoryID],categories[categoryName],,0)</f>
        <v>Dairy Products</v>
      </c>
      <c r="F606">
        <v>35</v>
      </c>
      <c r="G606">
        <v>10</v>
      </c>
      <c r="H606">
        <v>15</v>
      </c>
      <c r="I606">
        <f>Table9[[#This Row],[quantity]]*Table9[[#This Row],[unitPrice]]*(1-Table9[[#This Row],[discount]]/100)</f>
        <v>297.5</v>
      </c>
      <c r="J606" t="str">
        <f>_xlfn.XLOOKUP(_xlfn.XLOOKUP(A606,orders[orderID],orders[customerID],,0),customers__2[customerID],customers__2[companyName],,0)</f>
        <v>Suprêmes délices</v>
      </c>
      <c r="K606" t="str">
        <f>_xlfn.XLOOKUP(Table9[[#This Row],[Company Name]],customers__2[companyName],customers__2[country],,0)</f>
        <v>Belgium</v>
      </c>
      <c r="L606">
        <f>MONTH(Table9[[#This Row],[OrderDate ]])</f>
        <v>3</v>
      </c>
      <c r="M606" t="str">
        <f>TEXT(Table9[[#This Row],[OrderDate ]],"mmm")</f>
        <v>Mar</v>
      </c>
      <c r="N606">
        <f>YEAR(Table9[[#This Row],[OrderDate ]])</f>
        <v>2014</v>
      </c>
    </row>
    <row r="607" spans="1:14" x14ac:dyDescent="0.3">
      <c r="A607">
        <v>10475</v>
      </c>
      <c r="B607" s="2">
        <f>_xlfn.XLOOKUP(Table9[[#This Row],[orderID]],orders[orderID],orders[orderDate],,0)</f>
        <v>41712</v>
      </c>
      <c r="C607">
        <f>_xlfn.XLOOKUP(A607,order_details[orderID],order_details[productID],,0)</f>
        <v>31</v>
      </c>
      <c r="D607" t="str">
        <f>_xlfn.XLOOKUP(C607,products[productID],products[productName],,0)</f>
        <v>Gorgonzola Telino</v>
      </c>
      <c r="E607" t="str">
        <f>_xlfn.XLOOKUP(_xlfn.XLOOKUP(Table9[[#This Row],[ProductName ]],products[productName],products[categoryID],,0),categories[categoryID],categories[categoryName],,0)</f>
        <v>Dairy Products</v>
      </c>
      <c r="F607">
        <v>60</v>
      </c>
      <c r="G607">
        <v>136</v>
      </c>
      <c r="H607">
        <v>15</v>
      </c>
      <c r="I607">
        <f>Table9[[#This Row],[quantity]]*Table9[[#This Row],[unitPrice]]*(1-Table9[[#This Row],[discount]]/100)</f>
        <v>6936</v>
      </c>
      <c r="J607" t="str">
        <f>_xlfn.XLOOKUP(_xlfn.XLOOKUP(A607,orders[orderID],orders[customerID],,0),customers__2[customerID],customers__2[companyName],,0)</f>
        <v>Suprêmes délices</v>
      </c>
      <c r="K607" t="str">
        <f>_xlfn.XLOOKUP(Table9[[#This Row],[Company Name]],customers__2[companyName],customers__2[country],,0)</f>
        <v>Belgium</v>
      </c>
      <c r="L607">
        <f>MONTH(Table9[[#This Row],[OrderDate ]])</f>
        <v>3</v>
      </c>
      <c r="M607" t="str">
        <f>TEXT(Table9[[#This Row],[OrderDate ]],"mmm")</f>
        <v>Mar</v>
      </c>
      <c r="N607">
        <f>YEAR(Table9[[#This Row],[OrderDate ]])</f>
        <v>2014</v>
      </c>
    </row>
    <row r="608" spans="1:14" x14ac:dyDescent="0.3">
      <c r="A608">
        <v>10475</v>
      </c>
      <c r="B608" s="2">
        <f>_xlfn.XLOOKUP(Table9[[#This Row],[orderID]],orders[orderID],orders[orderDate],,0)</f>
        <v>41712</v>
      </c>
      <c r="C608">
        <f>_xlfn.XLOOKUP(A608,order_details[orderID],order_details[productID],,0)</f>
        <v>31</v>
      </c>
      <c r="D608" t="str">
        <f>_xlfn.XLOOKUP(C608,products[productID],products[productName],,0)</f>
        <v>Gorgonzola Telino</v>
      </c>
      <c r="E608" t="str">
        <f>_xlfn.XLOOKUP(_xlfn.XLOOKUP(Table9[[#This Row],[ProductName ]],products[productName],products[categoryID],,0),categories[categoryID],categories[categoryName],,0)</f>
        <v>Dairy Products</v>
      </c>
      <c r="F608">
        <v>42</v>
      </c>
      <c r="G608">
        <v>144</v>
      </c>
      <c r="H608">
        <v>15</v>
      </c>
      <c r="I608">
        <f>Table9[[#This Row],[quantity]]*Table9[[#This Row],[unitPrice]]*(1-Table9[[#This Row],[discount]]/100)</f>
        <v>5140.8</v>
      </c>
      <c r="J608" t="str">
        <f>_xlfn.XLOOKUP(_xlfn.XLOOKUP(A608,orders[orderID],orders[customerID],,0),customers__2[customerID],customers__2[companyName],,0)</f>
        <v>Suprêmes délices</v>
      </c>
      <c r="K608" t="str">
        <f>_xlfn.XLOOKUP(Table9[[#This Row],[Company Name]],customers__2[companyName],customers__2[country],,0)</f>
        <v>Belgium</v>
      </c>
      <c r="L608">
        <f>MONTH(Table9[[#This Row],[OrderDate ]])</f>
        <v>3</v>
      </c>
      <c r="M608" t="str">
        <f>TEXT(Table9[[#This Row],[OrderDate ]],"mmm")</f>
        <v>Mar</v>
      </c>
      <c r="N608">
        <f>YEAR(Table9[[#This Row],[OrderDate ]])</f>
        <v>2014</v>
      </c>
    </row>
    <row r="609" spans="1:14" x14ac:dyDescent="0.3">
      <c r="A609">
        <v>10476</v>
      </c>
      <c r="B609" s="2">
        <f>_xlfn.XLOOKUP(Table9[[#This Row],[orderID]],orders[orderID],orders[orderDate],,0)</f>
        <v>41715</v>
      </c>
      <c r="C609">
        <f>_xlfn.XLOOKUP(A609,order_details[orderID],order_details[productID],,0)</f>
        <v>55</v>
      </c>
      <c r="D609" t="str">
        <f>_xlfn.XLOOKUP(C609,products[productID],products[productName],,0)</f>
        <v>Pâté chinois</v>
      </c>
      <c r="E609" t="str">
        <f>_xlfn.XLOOKUP(_xlfn.XLOOKUP(Table9[[#This Row],[ProductName ]],products[productName],products[categoryID],,0),categories[categoryID],categories[categoryName],,0)</f>
        <v>Meat &amp; Poultry</v>
      </c>
      <c r="F609">
        <v>2</v>
      </c>
      <c r="G609">
        <v>192</v>
      </c>
      <c r="H609">
        <v>5</v>
      </c>
      <c r="I609">
        <f>Table9[[#This Row],[quantity]]*Table9[[#This Row],[unitPrice]]*(1-Table9[[#This Row],[discount]]/100)</f>
        <v>364.79999999999995</v>
      </c>
      <c r="J609" t="str">
        <f>_xlfn.XLOOKUP(_xlfn.XLOOKUP(A609,orders[orderID],orders[customerID],,0),customers__2[customerID],customers__2[companyName],,0)</f>
        <v>HILARION-Abastos</v>
      </c>
      <c r="K609" t="str">
        <f>_xlfn.XLOOKUP(Table9[[#This Row],[Company Name]],customers__2[companyName],customers__2[country],,0)</f>
        <v>Venezuela</v>
      </c>
      <c r="L609">
        <f>MONTH(Table9[[#This Row],[OrderDate ]])</f>
        <v>3</v>
      </c>
      <c r="M609" t="str">
        <f>TEXT(Table9[[#This Row],[OrderDate ]],"mmm")</f>
        <v>Mar</v>
      </c>
      <c r="N609">
        <f>YEAR(Table9[[#This Row],[OrderDate ]])</f>
        <v>2014</v>
      </c>
    </row>
    <row r="610" spans="1:14" x14ac:dyDescent="0.3">
      <c r="A610">
        <v>10476</v>
      </c>
      <c r="B610" s="2">
        <f>_xlfn.XLOOKUP(Table9[[#This Row],[orderID]],orders[orderID],orders[orderDate],,0)</f>
        <v>41715</v>
      </c>
      <c r="C610">
        <f>_xlfn.XLOOKUP(A610,order_details[orderID],order_details[productID],,0)</f>
        <v>55</v>
      </c>
      <c r="D610" t="str">
        <f>_xlfn.XLOOKUP(C610,products[productID],products[productName],,0)</f>
        <v>Pâté chinois</v>
      </c>
      <c r="E610" t="str">
        <f>_xlfn.XLOOKUP(_xlfn.XLOOKUP(Table9[[#This Row],[ProductName ]],products[productName],products[categoryID],,0),categories[categoryID],categories[categoryName],,0)</f>
        <v>Meat &amp; Poultry</v>
      </c>
      <c r="F610">
        <v>12</v>
      </c>
      <c r="G610">
        <v>12</v>
      </c>
      <c r="H610">
        <v>0</v>
      </c>
      <c r="I610">
        <f>Table9[[#This Row],[quantity]]*Table9[[#This Row],[unitPrice]]*(1-Table9[[#This Row],[discount]]/100)</f>
        <v>144</v>
      </c>
      <c r="J610" t="str">
        <f>_xlfn.XLOOKUP(_xlfn.XLOOKUP(A610,orders[orderID],orders[customerID],,0),customers__2[customerID],customers__2[companyName],,0)</f>
        <v>HILARION-Abastos</v>
      </c>
      <c r="K610" t="str">
        <f>_xlfn.XLOOKUP(Table9[[#This Row],[Company Name]],customers__2[companyName],customers__2[country],,0)</f>
        <v>Venezuela</v>
      </c>
      <c r="L610">
        <f>MONTH(Table9[[#This Row],[OrderDate ]])</f>
        <v>3</v>
      </c>
      <c r="M610" t="str">
        <f>TEXT(Table9[[#This Row],[OrderDate ]],"mmm")</f>
        <v>Mar</v>
      </c>
      <c r="N610">
        <f>YEAR(Table9[[#This Row],[OrderDate ]])</f>
        <v>2014</v>
      </c>
    </row>
    <row r="611" spans="1:14" x14ac:dyDescent="0.3">
      <c r="A611">
        <v>10477</v>
      </c>
      <c r="B611" s="2">
        <f>_xlfn.XLOOKUP(Table9[[#This Row],[orderID]],orders[orderID],orders[orderDate],,0)</f>
        <v>41715</v>
      </c>
      <c r="C611">
        <f>_xlfn.XLOOKUP(A611,order_details[orderID],order_details[productID],,0)</f>
        <v>1</v>
      </c>
      <c r="D611" t="str">
        <f>_xlfn.XLOOKUP(C611,products[productID],products[productName],,0)</f>
        <v>Chai</v>
      </c>
      <c r="E611" t="str">
        <f>_xlfn.XLOOKUP(_xlfn.XLOOKUP(Table9[[#This Row],[ProductName ]],products[productName],products[categoryID],,0),categories[categoryID],categories[categoryName],,0)</f>
        <v>Beverages</v>
      </c>
      <c r="F611">
        <v>15</v>
      </c>
      <c r="G611">
        <v>144</v>
      </c>
      <c r="H611">
        <v>0</v>
      </c>
      <c r="I611">
        <f>Table9[[#This Row],[quantity]]*Table9[[#This Row],[unitPrice]]*(1-Table9[[#This Row],[discount]]/100)</f>
        <v>2160</v>
      </c>
      <c r="J611" t="str">
        <f>_xlfn.XLOOKUP(_xlfn.XLOOKUP(A611,orders[orderID],orders[customerID],,0),customers__2[customerID],customers__2[companyName],,0)</f>
        <v>Princesa Isabel Vinhos</v>
      </c>
      <c r="K611" t="str">
        <f>_xlfn.XLOOKUP(Table9[[#This Row],[Company Name]],customers__2[companyName],customers__2[country],,0)</f>
        <v>Portugal</v>
      </c>
      <c r="L611">
        <f>MONTH(Table9[[#This Row],[OrderDate ]])</f>
        <v>3</v>
      </c>
      <c r="M611" t="str">
        <f>TEXT(Table9[[#This Row],[OrderDate ]],"mmm")</f>
        <v>Mar</v>
      </c>
      <c r="N611">
        <f>YEAR(Table9[[#This Row],[OrderDate ]])</f>
        <v>2014</v>
      </c>
    </row>
    <row r="612" spans="1:14" x14ac:dyDescent="0.3">
      <c r="A612">
        <v>10477</v>
      </c>
      <c r="B612" s="2">
        <f>_xlfn.XLOOKUP(Table9[[#This Row],[orderID]],orders[orderID],orders[orderDate],,0)</f>
        <v>41715</v>
      </c>
      <c r="C612">
        <f>_xlfn.XLOOKUP(A612,order_details[orderID],order_details[productID],,0)</f>
        <v>1</v>
      </c>
      <c r="D612" t="str">
        <f>_xlfn.XLOOKUP(C612,products[productID],products[productName],,0)</f>
        <v>Chai</v>
      </c>
      <c r="E612" t="str">
        <f>_xlfn.XLOOKUP(_xlfn.XLOOKUP(Table9[[#This Row],[ProductName ]],products[productName],products[categoryID],,0),categories[categoryID],categories[categoryName],,0)</f>
        <v>Beverages</v>
      </c>
      <c r="F612">
        <v>21</v>
      </c>
      <c r="G612">
        <v>8</v>
      </c>
      <c r="H612">
        <v>25</v>
      </c>
      <c r="I612">
        <f>Table9[[#This Row],[quantity]]*Table9[[#This Row],[unitPrice]]*(1-Table9[[#This Row],[discount]]/100)</f>
        <v>126</v>
      </c>
      <c r="J612" t="str">
        <f>_xlfn.XLOOKUP(_xlfn.XLOOKUP(A612,orders[orderID],orders[customerID],,0),customers__2[customerID],customers__2[companyName],,0)</f>
        <v>Princesa Isabel Vinhos</v>
      </c>
      <c r="K612" t="str">
        <f>_xlfn.XLOOKUP(Table9[[#This Row],[Company Name]],customers__2[companyName],customers__2[country],,0)</f>
        <v>Portugal</v>
      </c>
      <c r="L612">
        <f>MONTH(Table9[[#This Row],[OrderDate ]])</f>
        <v>3</v>
      </c>
      <c r="M612" t="str">
        <f>TEXT(Table9[[#This Row],[OrderDate ]],"mmm")</f>
        <v>Mar</v>
      </c>
      <c r="N612">
        <f>YEAR(Table9[[#This Row],[OrderDate ]])</f>
        <v>2014</v>
      </c>
    </row>
    <row r="613" spans="1:14" x14ac:dyDescent="0.3">
      <c r="A613">
        <v>10477</v>
      </c>
      <c r="B613" s="2">
        <f>_xlfn.XLOOKUP(Table9[[#This Row],[orderID]],orders[orderID],orders[orderDate],,0)</f>
        <v>41715</v>
      </c>
      <c r="C613">
        <f>_xlfn.XLOOKUP(A613,order_details[orderID],order_details[productID],,0)</f>
        <v>1</v>
      </c>
      <c r="D613" t="str">
        <f>_xlfn.XLOOKUP(C613,products[productID],products[productName],,0)</f>
        <v>Chai</v>
      </c>
      <c r="E613" t="str">
        <f>_xlfn.XLOOKUP(_xlfn.XLOOKUP(Table9[[#This Row],[ProductName ]],products[productName],products[categoryID],,0),categories[categoryID],categories[categoryName],,0)</f>
        <v>Beverages</v>
      </c>
      <c r="F613">
        <v>20</v>
      </c>
      <c r="G613">
        <v>144</v>
      </c>
      <c r="H613">
        <v>25</v>
      </c>
      <c r="I613">
        <f>Table9[[#This Row],[quantity]]*Table9[[#This Row],[unitPrice]]*(1-Table9[[#This Row],[discount]]/100)</f>
        <v>2160</v>
      </c>
      <c r="J613" t="str">
        <f>_xlfn.XLOOKUP(_xlfn.XLOOKUP(A613,orders[orderID],orders[customerID],,0),customers__2[customerID],customers__2[companyName],,0)</f>
        <v>Princesa Isabel Vinhos</v>
      </c>
      <c r="K613" t="str">
        <f>_xlfn.XLOOKUP(Table9[[#This Row],[Company Name]],customers__2[companyName],customers__2[country],,0)</f>
        <v>Portugal</v>
      </c>
      <c r="L613">
        <f>MONTH(Table9[[#This Row],[OrderDate ]])</f>
        <v>3</v>
      </c>
      <c r="M613" t="str">
        <f>TEXT(Table9[[#This Row],[OrderDate ]],"mmm")</f>
        <v>Mar</v>
      </c>
      <c r="N613">
        <f>YEAR(Table9[[#This Row],[OrderDate ]])</f>
        <v>2014</v>
      </c>
    </row>
    <row r="614" spans="1:14" x14ac:dyDescent="0.3">
      <c r="A614">
        <v>10478</v>
      </c>
      <c r="B614" s="2">
        <f>_xlfn.XLOOKUP(Table9[[#This Row],[orderID]],orders[orderID],orders[orderDate],,0)</f>
        <v>41716</v>
      </c>
      <c r="C614">
        <f>_xlfn.XLOOKUP(A614,order_details[orderID],order_details[productID],,0)</f>
        <v>10</v>
      </c>
      <c r="D614" t="str">
        <f>_xlfn.XLOOKUP(C614,products[productID],products[productName],,0)</f>
        <v>Ikura</v>
      </c>
      <c r="E614" t="str">
        <f>_xlfn.XLOOKUP(_xlfn.XLOOKUP(Table9[[#This Row],[ProductName ]],products[productName],products[categoryID],,0),categories[categoryID],categories[categoryName],,0)</f>
        <v>Seafood</v>
      </c>
      <c r="F614">
        <v>20</v>
      </c>
      <c r="G614">
        <v>248</v>
      </c>
      <c r="H614">
        <v>5</v>
      </c>
      <c r="I614">
        <f>Table9[[#This Row],[quantity]]*Table9[[#This Row],[unitPrice]]*(1-Table9[[#This Row],[discount]]/100)</f>
        <v>4712</v>
      </c>
      <c r="J614" t="str">
        <f>_xlfn.XLOOKUP(_xlfn.XLOOKUP(A614,orders[orderID],orders[customerID],,0),customers__2[customerID],customers__2[companyName],,0)</f>
        <v>Victuailles en stock</v>
      </c>
      <c r="K614" t="str">
        <f>_xlfn.XLOOKUP(Table9[[#This Row],[Company Name]],customers__2[companyName],customers__2[country],,0)</f>
        <v>France</v>
      </c>
      <c r="L614">
        <f>MONTH(Table9[[#This Row],[OrderDate ]])</f>
        <v>3</v>
      </c>
      <c r="M614" t="str">
        <f>TEXT(Table9[[#This Row],[OrderDate ]],"mmm")</f>
        <v>Mar</v>
      </c>
      <c r="N614">
        <f>YEAR(Table9[[#This Row],[OrderDate ]])</f>
        <v>2014</v>
      </c>
    </row>
    <row r="615" spans="1:14" x14ac:dyDescent="0.3">
      <c r="A615">
        <v>10479</v>
      </c>
      <c r="B615" s="2">
        <f>_xlfn.XLOOKUP(Table9[[#This Row],[orderID]],orders[orderID],orders[orderDate],,0)</f>
        <v>41717</v>
      </c>
      <c r="C615">
        <f>_xlfn.XLOOKUP(A615,order_details[orderID],order_details[productID],,0)</f>
        <v>38</v>
      </c>
      <c r="D615" t="str">
        <f>_xlfn.XLOOKUP(C615,products[productID],products[productName],,0)</f>
        <v>Côte de Blaye</v>
      </c>
      <c r="E615" t="str">
        <f>_xlfn.XLOOKUP(_xlfn.XLOOKUP(Table9[[#This Row],[ProductName ]],products[productName],products[categoryID],,0),categories[categoryID],categories[categoryName],,0)</f>
        <v>Beverages</v>
      </c>
      <c r="F615">
        <v>30</v>
      </c>
      <c r="G615">
        <v>2108</v>
      </c>
      <c r="H615">
        <v>0</v>
      </c>
      <c r="I615">
        <f>Table9[[#This Row],[quantity]]*Table9[[#This Row],[unitPrice]]*(1-Table9[[#This Row],[discount]]/100)</f>
        <v>63240</v>
      </c>
      <c r="J615" t="str">
        <f>_xlfn.XLOOKUP(_xlfn.XLOOKUP(A615,orders[orderID],orders[customerID],,0),customers__2[customerID],customers__2[companyName],,0)</f>
        <v>Rattlesnake Canyon Grocery</v>
      </c>
      <c r="K615" t="str">
        <f>_xlfn.XLOOKUP(Table9[[#This Row],[Company Name]],customers__2[companyName],customers__2[country],,0)</f>
        <v>USA</v>
      </c>
      <c r="L615">
        <f>MONTH(Table9[[#This Row],[OrderDate ]])</f>
        <v>3</v>
      </c>
      <c r="M615" t="str">
        <f>TEXT(Table9[[#This Row],[OrderDate ]],"mmm")</f>
        <v>Mar</v>
      </c>
      <c r="N615">
        <f>YEAR(Table9[[#This Row],[OrderDate ]])</f>
        <v>2014</v>
      </c>
    </row>
    <row r="616" spans="1:14" x14ac:dyDescent="0.3">
      <c r="A616">
        <v>10479</v>
      </c>
      <c r="B616" s="2">
        <f>_xlfn.XLOOKUP(Table9[[#This Row],[orderID]],orders[orderID],orders[orderDate],,0)</f>
        <v>41717</v>
      </c>
      <c r="C616">
        <f>_xlfn.XLOOKUP(A616,order_details[orderID],order_details[productID],,0)</f>
        <v>38</v>
      </c>
      <c r="D616" t="str">
        <f>_xlfn.XLOOKUP(C616,products[productID],products[productName],,0)</f>
        <v>Côte de Blaye</v>
      </c>
      <c r="E616" t="str">
        <f>_xlfn.XLOOKUP(_xlfn.XLOOKUP(Table9[[#This Row],[ProductName ]],products[productName],products[categoryID],,0),categories[categoryID],categories[categoryName],,0)</f>
        <v>Beverages</v>
      </c>
      <c r="F616">
        <v>28</v>
      </c>
      <c r="G616">
        <v>262</v>
      </c>
      <c r="H616">
        <v>0</v>
      </c>
      <c r="I616">
        <f>Table9[[#This Row],[quantity]]*Table9[[#This Row],[unitPrice]]*(1-Table9[[#This Row],[discount]]/100)</f>
        <v>7336</v>
      </c>
      <c r="J616" t="str">
        <f>_xlfn.XLOOKUP(_xlfn.XLOOKUP(A616,orders[orderID],orders[customerID],,0),customers__2[customerID],customers__2[companyName],,0)</f>
        <v>Rattlesnake Canyon Grocery</v>
      </c>
      <c r="K616" t="str">
        <f>_xlfn.XLOOKUP(Table9[[#This Row],[Company Name]],customers__2[companyName],customers__2[country],,0)</f>
        <v>USA</v>
      </c>
      <c r="L616">
        <f>MONTH(Table9[[#This Row],[OrderDate ]])</f>
        <v>3</v>
      </c>
      <c r="M616" t="str">
        <f>TEXT(Table9[[#This Row],[OrderDate ]],"mmm")</f>
        <v>Mar</v>
      </c>
      <c r="N616">
        <f>YEAR(Table9[[#This Row],[OrderDate ]])</f>
        <v>2014</v>
      </c>
    </row>
    <row r="617" spans="1:14" x14ac:dyDescent="0.3">
      <c r="A617">
        <v>10479</v>
      </c>
      <c r="B617" s="2">
        <f>_xlfn.XLOOKUP(Table9[[#This Row],[orderID]],orders[orderID],orders[orderDate],,0)</f>
        <v>41717</v>
      </c>
      <c r="C617">
        <f>_xlfn.XLOOKUP(A617,order_details[orderID],order_details[productID],,0)</f>
        <v>38</v>
      </c>
      <c r="D617" t="str">
        <f>_xlfn.XLOOKUP(C617,products[productID],products[productName],,0)</f>
        <v>Côte de Blaye</v>
      </c>
      <c r="E617" t="str">
        <f>_xlfn.XLOOKUP(_xlfn.XLOOKUP(Table9[[#This Row],[ProductName ]],products[productName],products[categoryID],,0),categories[categoryID],categories[categoryName],,0)</f>
        <v>Beverages</v>
      </c>
      <c r="F617">
        <v>60</v>
      </c>
      <c r="G617">
        <v>44</v>
      </c>
      <c r="H617">
        <v>0</v>
      </c>
      <c r="I617">
        <f>Table9[[#This Row],[quantity]]*Table9[[#This Row],[unitPrice]]*(1-Table9[[#This Row],[discount]]/100)</f>
        <v>2640</v>
      </c>
      <c r="J617" t="str">
        <f>_xlfn.XLOOKUP(_xlfn.XLOOKUP(A617,orders[orderID],orders[customerID],,0),customers__2[customerID],customers__2[companyName],,0)</f>
        <v>Rattlesnake Canyon Grocery</v>
      </c>
      <c r="K617" t="str">
        <f>_xlfn.XLOOKUP(Table9[[#This Row],[Company Name]],customers__2[companyName],customers__2[country],,0)</f>
        <v>USA</v>
      </c>
      <c r="L617">
        <f>MONTH(Table9[[#This Row],[OrderDate ]])</f>
        <v>3</v>
      </c>
      <c r="M617" t="str">
        <f>TEXT(Table9[[#This Row],[OrderDate ]],"mmm")</f>
        <v>Mar</v>
      </c>
      <c r="N617">
        <f>YEAR(Table9[[#This Row],[OrderDate ]])</f>
        <v>2014</v>
      </c>
    </row>
    <row r="618" spans="1:14" x14ac:dyDescent="0.3">
      <c r="A618">
        <v>10479</v>
      </c>
      <c r="B618" s="2">
        <f>_xlfn.XLOOKUP(Table9[[#This Row],[orderID]],orders[orderID],orders[orderDate],,0)</f>
        <v>41717</v>
      </c>
      <c r="C618">
        <f>_xlfn.XLOOKUP(A618,order_details[orderID],order_details[productID],,0)</f>
        <v>38</v>
      </c>
      <c r="D618" t="str">
        <f>_xlfn.XLOOKUP(C618,products[productID],products[productName],,0)</f>
        <v>Côte de Blaye</v>
      </c>
      <c r="E618" t="str">
        <f>_xlfn.XLOOKUP(_xlfn.XLOOKUP(Table9[[#This Row],[ProductName ]],products[productName],products[categoryID],,0),categories[categoryID],categories[categoryName],,0)</f>
        <v>Beverages</v>
      </c>
      <c r="F618">
        <v>30</v>
      </c>
      <c r="G618">
        <v>266</v>
      </c>
      <c r="H618">
        <v>0</v>
      </c>
      <c r="I618">
        <f>Table9[[#This Row],[quantity]]*Table9[[#This Row],[unitPrice]]*(1-Table9[[#This Row],[discount]]/100)</f>
        <v>7980</v>
      </c>
      <c r="J618" t="str">
        <f>_xlfn.XLOOKUP(_xlfn.XLOOKUP(A618,orders[orderID],orders[customerID],,0),customers__2[customerID],customers__2[companyName],,0)</f>
        <v>Rattlesnake Canyon Grocery</v>
      </c>
      <c r="K618" t="str">
        <f>_xlfn.XLOOKUP(Table9[[#This Row],[Company Name]],customers__2[companyName],customers__2[country],,0)</f>
        <v>USA</v>
      </c>
      <c r="L618">
        <f>MONTH(Table9[[#This Row],[OrderDate ]])</f>
        <v>3</v>
      </c>
      <c r="M618" t="str">
        <f>TEXT(Table9[[#This Row],[OrderDate ]],"mmm")</f>
        <v>Mar</v>
      </c>
      <c r="N618">
        <f>YEAR(Table9[[#This Row],[OrderDate ]])</f>
        <v>2014</v>
      </c>
    </row>
    <row r="619" spans="1:14" x14ac:dyDescent="0.3">
      <c r="A619">
        <v>10480</v>
      </c>
      <c r="B619" s="2">
        <f>_xlfn.XLOOKUP(Table9[[#This Row],[orderID]],orders[orderID],orders[orderDate],,0)</f>
        <v>41718</v>
      </c>
      <c r="C619">
        <f>_xlfn.XLOOKUP(A619,order_details[orderID],order_details[productID],,0)</f>
        <v>47</v>
      </c>
      <c r="D619" t="str">
        <f>_xlfn.XLOOKUP(C619,products[productID],products[productName],,0)</f>
        <v>Zaanse koeken</v>
      </c>
      <c r="E619" t="str">
        <f>_xlfn.XLOOKUP(_xlfn.XLOOKUP(Table9[[#This Row],[ProductName ]],products[productName],products[categoryID],,0),categories[categoryID],categories[categoryName],,0)</f>
        <v>Confections</v>
      </c>
      <c r="F619">
        <v>30</v>
      </c>
      <c r="G619">
        <v>76</v>
      </c>
      <c r="H619">
        <v>0</v>
      </c>
      <c r="I619">
        <f>Table9[[#This Row],[quantity]]*Table9[[#This Row],[unitPrice]]*(1-Table9[[#This Row],[discount]]/100)</f>
        <v>2280</v>
      </c>
      <c r="J619" t="str">
        <f>_xlfn.XLOOKUP(_xlfn.XLOOKUP(A619,orders[orderID],orders[customerID],,0),customers__2[customerID],customers__2[companyName],,0)</f>
        <v>Folies gourmandes</v>
      </c>
      <c r="K619" t="str">
        <f>_xlfn.XLOOKUP(Table9[[#This Row],[Company Name]],customers__2[companyName],customers__2[country],,0)</f>
        <v>France</v>
      </c>
      <c r="L619">
        <f>MONTH(Table9[[#This Row],[OrderDate ]])</f>
        <v>3</v>
      </c>
      <c r="M619" t="str">
        <f>TEXT(Table9[[#This Row],[OrderDate ]],"mmm")</f>
        <v>Mar</v>
      </c>
      <c r="N619">
        <f>YEAR(Table9[[#This Row],[OrderDate ]])</f>
        <v>2014</v>
      </c>
    </row>
    <row r="620" spans="1:14" x14ac:dyDescent="0.3">
      <c r="A620">
        <v>10480</v>
      </c>
      <c r="B620" s="2">
        <f>_xlfn.XLOOKUP(Table9[[#This Row],[orderID]],orders[orderID],orders[orderDate],,0)</f>
        <v>41718</v>
      </c>
      <c r="C620">
        <f>_xlfn.XLOOKUP(A620,order_details[orderID],order_details[productID],,0)</f>
        <v>47</v>
      </c>
      <c r="D620" t="str">
        <f>_xlfn.XLOOKUP(C620,products[productID],products[productName],,0)</f>
        <v>Zaanse koeken</v>
      </c>
      <c r="E620" t="str">
        <f>_xlfn.XLOOKUP(_xlfn.XLOOKUP(Table9[[#This Row],[ProductName ]],products[productName],products[categoryID],,0),categories[categoryID],categories[categoryName],,0)</f>
        <v>Confections</v>
      </c>
      <c r="F620">
        <v>12</v>
      </c>
      <c r="G620">
        <v>44</v>
      </c>
      <c r="H620">
        <v>0</v>
      </c>
      <c r="I620">
        <f>Table9[[#This Row],[quantity]]*Table9[[#This Row],[unitPrice]]*(1-Table9[[#This Row],[discount]]/100)</f>
        <v>528</v>
      </c>
      <c r="J620" t="str">
        <f>_xlfn.XLOOKUP(_xlfn.XLOOKUP(A620,orders[orderID],orders[customerID],,0),customers__2[customerID],customers__2[companyName],,0)</f>
        <v>Folies gourmandes</v>
      </c>
      <c r="K620" t="str">
        <f>_xlfn.XLOOKUP(Table9[[#This Row],[Company Name]],customers__2[companyName],customers__2[country],,0)</f>
        <v>France</v>
      </c>
      <c r="L620">
        <f>MONTH(Table9[[#This Row],[OrderDate ]])</f>
        <v>3</v>
      </c>
      <c r="M620" t="str">
        <f>TEXT(Table9[[#This Row],[OrderDate ]],"mmm")</f>
        <v>Mar</v>
      </c>
      <c r="N620">
        <f>YEAR(Table9[[#This Row],[OrderDate ]])</f>
        <v>2014</v>
      </c>
    </row>
    <row r="621" spans="1:14" x14ac:dyDescent="0.3">
      <c r="A621">
        <v>10481</v>
      </c>
      <c r="B621" s="2">
        <f>_xlfn.XLOOKUP(Table9[[#This Row],[orderID]],orders[orderID],orders[orderDate],,0)</f>
        <v>41718</v>
      </c>
      <c r="C621">
        <f>_xlfn.XLOOKUP(A621,order_details[orderID],order_details[productID],,0)</f>
        <v>49</v>
      </c>
      <c r="D621" t="str">
        <f>_xlfn.XLOOKUP(C621,products[productID],products[productName],,0)</f>
        <v>Maxilaku</v>
      </c>
      <c r="E621" t="str">
        <f>_xlfn.XLOOKUP(_xlfn.XLOOKUP(Table9[[#This Row],[ProductName ]],products[productName],products[categoryID],,0),categories[categoryID],categories[categoryName],,0)</f>
        <v>Confections</v>
      </c>
      <c r="F621">
        <v>24</v>
      </c>
      <c r="G621">
        <v>16</v>
      </c>
      <c r="H621">
        <v>0</v>
      </c>
      <c r="I621">
        <f>Table9[[#This Row],[quantity]]*Table9[[#This Row],[unitPrice]]*(1-Table9[[#This Row],[discount]]/100)</f>
        <v>384</v>
      </c>
      <c r="J621" t="str">
        <f>_xlfn.XLOOKUP(_xlfn.XLOOKUP(A621,orders[orderID],orders[customerID],,0),customers__2[customerID],customers__2[companyName],,0)</f>
        <v>Ricardo Adocicados</v>
      </c>
      <c r="K621" t="str">
        <f>_xlfn.XLOOKUP(Table9[[#This Row],[Company Name]],customers__2[companyName],customers__2[country],,0)</f>
        <v>Brazil</v>
      </c>
      <c r="L621">
        <f>MONTH(Table9[[#This Row],[OrderDate ]])</f>
        <v>3</v>
      </c>
      <c r="M621" t="str">
        <f>TEXT(Table9[[#This Row],[OrderDate ]],"mmm")</f>
        <v>Mar</v>
      </c>
      <c r="N621">
        <f>YEAR(Table9[[#This Row],[OrderDate ]])</f>
        <v>2014</v>
      </c>
    </row>
    <row r="622" spans="1:14" x14ac:dyDescent="0.3">
      <c r="A622">
        <v>10481</v>
      </c>
      <c r="B622" s="2">
        <f>_xlfn.XLOOKUP(Table9[[#This Row],[orderID]],orders[orderID],orders[orderDate],,0)</f>
        <v>41718</v>
      </c>
      <c r="C622">
        <f>_xlfn.XLOOKUP(A622,order_details[orderID],order_details[productID],,0)</f>
        <v>49</v>
      </c>
      <c r="D622" t="str">
        <f>_xlfn.XLOOKUP(C622,products[productID],products[productName],,0)</f>
        <v>Maxilaku</v>
      </c>
      <c r="E622" t="str">
        <f>_xlfn.XLOOKUP(_xlfn.XLOOKUP(Table9[[#This Row],[ProductName ]],products[productName],products[categoryID],,0),categories[categoryID],categories[categoryName],,0)</f>
        <v>Confections</v>
      </c>
      <c r="F622">
        <v>40</v>
      </c>
      <c r="G622">
        <v>272</v>
      </c>
      <c r="H622">
        <v>0</v>
      </c>
      <c r="I622">
        <f>Table9[[#This Row],[quantity]]*Table9[[#This Row],[unitPrice]]*(1-Table9[[#This Row],[discount]]/100)</f>
        <v>10880</v>
      </c>
      <c r="J622" t="str">
        <f>_xlfn.XLOOKUP(_xlfn.XLOOKUP(A622,orders[orderID],orders[customerID],,0),customers__2[customerID],customers__2[companyName],,0)</f>
        <v>Ricardo Adocicados</v>
      </c>
      <c r="K622" t="str">
        <f>_xlfn.XLOOKUP(Table9[[#This Row],[Company Name]],customers__2[companyName],customers__2[country],,0)</f>
        <v>Brazil</v>
      </c>
      <c r="L622">
        <f>MONTH(Table9[[#This Row],[OrderDate ]])</f>
        <v>3</v>
      </c>
      <c r="M622" t="str">
        <f>TEXT(Table9[[#This Row],[OrderDate ]],"mmm")</f>
        <v>Mar</v>
      </c>
      <c r="N622">
        <f>YEAR(Table9[[#This Row],[OrderDate ]])</f>
        <v>2014</v>
      </c>
    </row>
    <row r="623" spans="1:14" x14ac:dyDescent="0.3">
      <c r="A623">
        <v>10482</v>
      </c>
      <c r="B623" s="2">
        <f>_xlfn.XLOOKUP(Table9[[#This Row],[orderID]],orders[orderID],orders[orderDate],,0)</f>
        <v>41719</v>
      </c>
      <c r="C623">
        <f>_xlfn.XLOOKUP(A623,order_details[orderID],order_details[productID],,0)</f>
        <v>40</v>
      </c>
      <c r="D623" t="str">
        <f>_xlfn.XLOOKUP(C623,products[productID],products[productName],,0)</f>
        <v>Boston Crab Meat</v>
      </c>
      <c r="E623" t="str">
        <f>_xlfn.XLOOKUP(_xlfn.XLOOKUP(Table9[[#This Row],[ProductName ]],products[productName],products[categoryID],,0),categories[categoryID],categories[categoryName],,0)</f>
        <v>Seafood</v>
      </c>
      <c r="F623">
        <v>10</v>
      </c>
      <c r="G623">
        <v>147</v>
      </c>
      <c r="H623">
        <v>0</v>
      </c>
      <c r="I623">
        <f>Table9[[#This Row],[quantity]]*Table9[[#This Row],[unitPrice]]*(1-Table9[[#This Row],[discount]]/100)</f>
        <v>1470</v>
      </c>
      <c r="J623" t="str">
        <f>_xlfn.XLOOKUP(_xlfn.XLOOKUP(A623,orders[orderID],orders[customerID],,0),customers__2[customerID],customers__2[companyName],,0)</f>
        <v>Lazy K Kountry Store</v>
      </c>
      <c r="K623" t="str">
        <f>_xlfn.XLOOKUP(Table9[[#This Row],[Company Name]],customers__2[companyName],customers__2[country],,0)</f>
        <v>USA</v>
      </c>
      <c r="L623">
        <f>MONTH(Table9[[#This Row],[OrderDate ]])</f>
        <v>3</v>
      </c>
      <c r="M623" t="str">
        <f>TEXT(Table9[[#This Row],[OrderDate ]],"mmm")</f>
        <v>Mar</v>
      </c>
      <c r="N623">
        <f>YEAR(Table9[[#This Row],[OrderDate ]])</f>
        <v>2014</v>
      </c>
    </row>
    <row r="624" spans="1:14" x14ac:dyDescent="0.3">
      <c r="A624">
        <v>10483</v>
      </c>
      <c r="B624" s="2">
        <f>_xlfn.XLOOKUP(Table9[[#This Row],[orderID]],orders[orderID],orders[orderDate],,0)</f>
        <v>41722</v>
      </c>
      <c r="C624">
        <f>_xlfn.XLOOKUP(A624,order_details[orderID],order_details[productID],,0)</f>
        <v>34</v>
      </c>
      <c r="D624" t="str">
        <f>_xlfn.XLOOKUP(C624,products[productID],products[productName],,0)</f>
        <v>Sasquatch Ale</v>
      </c>
      <c r="E624" t="str">
        <f>_xlfn.XLOOKUP(_xlfn.XLOOKUP(Table9[[#This Row],[ProductName ]],products[productName],products[categoryID],,0),categories[categoryID],categories[categoryName],,0)</f>
        <v>Beverages</v>
      </c>
      <c r="F624">
        <v>35</v>
      </c>
      <c r="G624">
        <v>112</v>
      </c>
      <c r="H624">
        <v>5</v>
      </c>
      <c r="I624">
        <f>Table9[[#This Row],[quantity]]*Table9[[#This Row],[unitPrice]]*(1-Table9[[#This Row],[discount]]/100)</f>
        <v>3724</v>
      </c>
      <c r="J624" t="str">
        <f>_xlfn.XLOOKUP(_xlfn.XLOOKUP(A624,orders[orderID],orders[customerID],,0),customers__2[customerID],customers__2[companyName],,0)</f>
        <v>White Clover Markets</v>
      </c>
      <c r="K624" t="str">
        <f>_xlfn.XLOOKUP(Table9[[#This Row],[Company Name]],customers__2[companyName],customers__2[country],,0)</f>
        <v>USA</v>
      </c>
      <c r="L624">
        <f>MONTH(Table9[[#This Row],[OrderDate ]])</f>
        <v>3</v>
      </c>
      <c r="M624" t="str">
        <f>TEXT(Table9[[#This Row],[OrderDate ]],"mmm")</f>
        <v>Mar</v>
      </c>
      <c r="N624">
        <f>YEAR(Table9[[#This Row],[OrderDate ]])</f>
        <v>2014</v>
      </c>
    </row>
    <row r="625" spans="1:14" x14ac:dyDescent="0.3">
      <c r="A625">
        <v>10483</v>
      </c>
      <c r="B625" s="2">
        <f>_xlfn.XLOOKUP(Table9[[#This Row],[orderID]],orders[orderID],orders[orderDate],,0)</f>
        <v>41722</v>
      </c>
      <c r="C625">
        <f>_xlfn.XLOOKUP(A625,order_details[orderID],order_details[productID],,0)</f>
        <v>34</v>
      </c>
      <c r="D625" t="str">
        <f>_xlfn.XLOOKUP(C625,products[productID],products[productName],,0)</f>
        <v>Sasquatch Ale</v>
      </c>
      <c r="E625" t="str">
        <f>_xlfn.XLOOKUP(_xlfn.XLOOKUP(Table9[[#This Row],[ProductName ]],products[productName],products[categoryID],,0),categories[categoryID],categories[categoryName],,0)</f>
        <v>Beverages</v>
      </c>
      <c r="F625">
        <v>30</v>
      </c>
      <c r="G625">
        <v>104</v>
      </c>
      <c r="H625">
        <v>5</v>
      </c>
      <c r="I625">
        <f>Table9[[#This Row],[quantity]]*Table9[[#This Row],[unitPrice]]*(1-Table9[[#This Row],[discount]]/100)</f>
        <v>2964</v>
      </c>
      <c r="J625" t="str">
        <f>_xlfn.XLOOKUP(_xlfn.XLOOKUP(A625,orders[orderID],orders[customerID],,0),customers__2[customerID],customers__2[companyName],,0)</f>
        <v>White Clover Markets</v>
      </c>
      <c r="K625" t="str">
        <f>_xlfn.XLOOKUP(Table9[[#This Row],[Company Name]],customers__2[companyName],customers__2[country],,0)</f>
        <v>USA</v>
      </c>
      <c r="L625">
        <f>MONTH(Table9[[#This Row],[OrderDate ]])</f>
        <v>3</v>
      </c>
      <c r="M625" t="str">
        <f>TEXT(Table9[[#This Row],[OrderDate ]],"mmm")</f>
        <v>Mar</v>
      </c>
      <c r="N625">
        <f>YEAR(Table9[[#This Row],[OrderDate ]])</f>
        <v>2014</v>
      </c>
    </row>
    <row r="626" spans="1:14" x14ac:dyDescent="0.3">
      <c r="A626">
        <v>10484</v>
      </c>
      <c r="B626" s="2">
        <f>_xlfn.XLOOKUP(Table9[[#This Row],[orderID]],orders[orderID],orders[orderDate],,0)</f>
        <v>41722</v>
      </c>
      <c r="C626">
        <f>_xlfn.XLOOKUP(A626,order_details[orderID],order_details[productID],,0)</f>
        <v>21</v>
      </c>
      <c r="D626" t="str">
        <f>_xlfn.XLOOKUP(C626,products[productID],products[productName],,0)</f>
        <v>Sir Rodney's Scones</v>
      </c>
      <c r="E626" t="str">
        <f>_xlfn.XLOOKUP(_xlfn.XLOOKUP(Table9[[#This Row],[ProductName ]],products[productName],products[categoryID],,0),categories[categoryID],categories[categoryName],,0)</f>
        <v>Confections</v>
      </c>
      <c r="F626">
        <v>14</v>
      </c>
      <c r="G626">
        <v>8</v>
      </c>
      <c r="H626">
        <v>0</v>
      </c>
      <c r="I626">
        <f>Table9[[#This Row],[quantity]]*Table9[[#This Row],[unitPrice]]*(1-Table9[[#This Row],[discount]]/100)</f>
        <v>112</v>
      </c>
      <c r="J626" t="str">
        <f>_xlfn.XLOOKUP(_xlfn.XLOOKUP(A626,orders[orderID],orders[customerID],,0),customers__2[customerID],customers__2[companyName],,0)</f>
        <v>B's Beverages</v>
      </c>
      <c r="K626" t="str">
        <f>_xlfn.XLOOKUP(Table9[[#This Row],[Company Name]],customers__2[companyName],customers__2[country],,0)</f>
        <v>UK</v>
      </c>
      <c r="L626">
        <f>MONTH(Table9[[#This Row],[OrderDate ]])</f>
        <v>3</v>
      </c>
      <c r="M626" t="str">
        <f>TEXT(Table9[[#This Row],[OrderDate ]],"mmm")</f>
        <v>Mar</v>
      </c>
      <c r="N626">
        <f>YEAR(Table9[[#This Row],[OrderDate ]])</f>
        <v>2014</v>
      </c>
    </row>
    <row r="627" spans="1:14" x14ac:dyDescent="0.3">
      <c r="A627">
        <v>10484</v>
      </c>
      <c r="B627" s="2">
        <f>_xlfn.XLOOKUP(Table9[[#This Row],[orderID]],orders[orderID],orders[orderDate],,0)</f>
        <v>41722</v>
      </c>
      <c r="C627">
        <f>_xlfn.XLOOKUP(A627,order_details[orderID],order_details[productID],,0)</f>
        <v>21</v>
      </c>
      <c r="D627" t="str">
        <f>_xlfn.XLOOKUP(C627,products[productID],products[productName],,0)</f>
        <v>Sir Rodney's Scones</v>
      </c>
      <c r="E627" t="str">
        <f>_xlfn.XLOOKUP(_xlfn.XLOOKUP(Table9[[#This Row],[ProductName ]],products[productName],products[categoryID],,0),categories[categoryID],categories[categoryName],,0)</f>
        <v>Confections</v>
      </c>
      <c r="F627">
        <v>10</v>
      </c>
      <c r="G627">
        <v>147</v>
      </c>
      <c r="H627">
        <v>0</v>
      </c>
      <c r="I627">
        <f>Table9[[#This Row],[quantity]]*Table9[[#This Row],[unitPrice]]*(1-Table9[[#This Row],[discount]]/100)</f>
        <v>1470</v>
      </c>
      <c r="J627" t="str">
        <f>_xlfn.XLOOKUP(_xlfn.XLOOKUP(A627,orders[orderID],orders[customerID],,0),customers__2[customerID],customers__2[companyName],,0)</f>
        <v>B's Beverages</v>
      </c>
      <c r="K627" t="str">
        <f>_xlfn.XLOOKUP(Table9[[#This Row],[Company Name]],customers__2[companyName],customers__2[country],,0)</f>
        <v>UK</v>
      </c>
      <c r="L627">
        <f>MONTH(Table9[[#This Row],[OrderDate ]])</f>
        <v>3</v>
      </c>
      <c r="M627" t="str">
        <f>TEXT(Table9[[#This Row],[OrderDate ]],"mmm")</f>
        <v>Mar</v>
      </c>
      <c r="N627">
        <f>YEAR(Table9[[#This Row],[OrderDate ]])</f>
        <v>2014</v>
      </c>
    </row>
    <row r="628" spans="1:14" x14ac:dyDescent="0.3">
      <c r="A628">
        <v>10484</v>
      </c>
      <c r="B628" s="2">
        <f>_xlfn.XLOOKUP(Table9[[#This Row],[orderID]],orders[orderID],orders[orderDate],,0)</f>
        <v>41722</v>
      </c>
      <c r="C628">
        <f>_xlfn.XLOOKUP(A628,order_details[orderID],order_details[productID],,0)</f>
        <v>21</v>
      </c>
      <c r="D628" t="str">
        <f>_xlfn.XLOOKUP(C628,products[productID],products[productName],,0)</f>
        <v>Sir Rodney's Scones</v>
      </c>
      <c r="E628" t="str">
        <f>_xlfn.XLOOKUP(_xlfn.XLOOKUP(Table9[[#This Row],[ProductName ]],products[productName],products[categoryID],,0),categories[categoryID],categories[categoryName],,0)</f>
        <v>Confections</v>
      </c>
      <c r="F628">
        <v>3</v>
      </c>
      <c r="G628">
        <v>424</v>
      </c>
      <c r="H628">
        <v>0</v>
      </c>
      <c r="I628">
        <f>Table9[[#This Row],[quantity]]*Table9[[#This Row],[unitPrice]]*(1-Table9[[#This Row],[discount]]/100)</f>
        <v>1272</v>
      </c>
      <c r="J628" t="str">
        <f>_xlfn.XLOOKUP(_xlfn.XLOOKUP(A628,orders[orderID],orders[customerID],,0),customers__2[customerID],customers__2[companyName],,0)</f>
        <v>B's Beverages</v>
      </c>
      <c r="K628" t="str">
        <f>_xlfn.XLOOKUP(Table9[[#This Row],[Company Name]],customers__2[companyName],customers__2[country],,0)</f>
        <v>UK</v>
      </c>
      <c r="L628">
        <f>MONTH(Table9[[#This Row],[OrderDate ]])</f>
        <v>3</v>
      </c>
      <c r="M628" t="str">
        <f>TEXT(Table9[[#This Row],[OrderDate ]],"mmm")</f>
        <v>Mar</v>
      </c>
      <c r="N628">
        <f>YEAR(Table9[[#This Row],[OrderDate ]])</f>
        <v>2014</v>
      </c>
    </row>
    <row r="629" spans="1:14" x14ac:dyDescent="0.3">
      <c r="A629">
        <v>10485</v>
      </c>
      <c r="B629" s="2">
        <f>_xlfn.XLOOKUP(Table9[[#This Row],[orderID]],orders[orderID],orders[orderDate],,0)</f>
        <v>41723</v>
      </c>
      <c r="C629">
        <f>_xlfn.XLOOKUP(A629,order_details[orderID],order_details[productID],,0)</f>
        <v>2</v>
      </c>
      <c r="D629" t="str">
        <f>_xlfn.XLOOKUP(C629,products[productID],products[productName],,0)</f>
        <v>Chang</v>
      </c>
      <c r="E629" t="str">
        <f>_xlfn.XLOOKUP(_xlfn.XLOOKUP(Table9[[#This Row],[ProductName ]],products[productName],products[categoryID],,0),categories[categoryID],categories[categoryName],,0)</f>
        <v>Beverages</v>
      </c>
      <c r="F629">
        <v>20</v>
      </c>
      <c r="G629">
        <v>152</v>
      </c>
      <c r="H629">
        <v>1</v>
      </c>
      <c r="I629">
        <f>Table9[[#This Row],[quantity]]*Table9[[#This Row],[unitPrice]]*(1-Table9[[#This Row],[discount]]/100)</f>
        <v>3009.6</v>
      </c>
      <c r="J629" t="str">
        <f>_xlfn.XLOOKUP(_xlfn.XLOOKUP(A629,orders[orderID],orders[customerID],,0),customers__2[customerID],customers__2[companyName],,0)</f>
        <v>LINO-Delicateses</v>
      </c>
      <c r="K629" t="str">
        <f>_xlfn.XLOOKUP(Table9[[#This Row],[Company Name]],customers__2[companyName],customers__2[country],,0)</f>
        <v>Venezuela</v>
      </c>
      <c r="L629">
        <f>MONTH(Table9[[#This Row],[OrderDate ]])</f>
        <v>3</v>
      </c>
      <c r="M629" t="str">
        <f>TEXT(Table9[[#This Row],[OrderDate ]],"mmm")</f>
        <v>Mar</v>
      </c>
      <c r="N629">
        <f>YEAR(Table9[[#This Row],[OrderDate ]])</f>
        <v>2014</v>
      </c>
    </row>
    <row r="630" spans="1:14" x14ac:dyDescent="0.3">
      <c r="A630">
        <v>10485</v>
      </c>
      <c r="B630" s="2">
        <f>_xlfn.XLOOKUP(Table9[[#This Row],[orderID]],orders[orderID],orders[orderDate],,0)</f>
        <v>41723</v>
      </c>
      <c r="C630">
        <f>_xlfn.XLOOKUP(A630,order_details[orderID],order_details[productID],,0)</f>
        <v>2</v>
      </c>
      <c r="D630" t="str">
        <f>_xlfn.XLOOKUP(C630,products[productID],products[productName],,0)</f>
        <v>Chang</v>
      </c>
      <c r="E630" t="str">
        <f>_xlfn.XLOOKUP(_xlfn.XLOOKUP(Table9[[#This Row],[ProductName ]],products[productName],products[categoryID],,0),categories[categoryID],categories[categoryName],,0)</f>
        <v>Beverages</v>
      </c>
      <c r="F630">
        <v>20</v>
      </c>
      <c r="G630">
        <v>8</v>
      </c>
      <c r="H630">
        <v>1</v>
      </c>
      <c r="I630">
        <f>Table9[[#This Row],[quantity]]*Table9[[#This Row],[unitPrice]]*(1-Table9[[#This Row],[discount]]/100)</f>
        <v>158.4</v>
      </c>
      <c r="J630" t="str">
        <f>_xlfn.XLOOKUP(_xlfn.XLOOKUP(A630,orders[orderID],orders[customerID],,0),customers__2[customerID],customers__2[companyName],,0)</f>
        <v>LINO-Delicateses</v>
      </c>
      <c r="K630" t="str">
        <f>_xlfn.XLOOKUP(Table9[[#This Row],[Company Name]],customers__2[companyName],customers__2[country],,0)</f>
        <v>Venezuela</v>
      </c>
      <c r="L630">
        <f>MONTH(Table9[[#This Row],[OrderDate ]])</f>
        <v>3</v>
      </c>
      <c r="M630" t="str">
        <f>TEXT(Table9[[#This Row],[OrderDate ]],"mmm")</f>
        <v>Mar</v>
      </c>
      <c r="N630">
        <f>YEAR(Table9[[#This Row],[OrderDate ]])</f>
        <v>2014</v>
      </c>
    </row>
    <row r="631" spans="1:14" x14ac:dyDescent="0.3">
      <c r="A631">
        <v>10485</v>
      </c>
      <c r="B631" s="2">
        <f>_xlfn.XLOOKUP(Table9[[#This Row],[orderID]],orders[orderID],orders[orderDate],,0)</f>
        <v>41723</v>
      </c>
      <c r="C631">
        <f>_xlfn.XLOOKUP(A631,order_details[orderID],order_details[productID],,0)</f>
        <v>2</v>
      </c>
      <c r="D631" t="str">
        <f>_xlfn.XLOOKUP(C631,products[productID],products[productName],,0)</f>
        <v>Chang</v>
      </c>
      <c r="E631" t="str">
        <f>_xlfn.XLOOKUP(_xlfn.XLOOKUP(Table9[[#This Row],[ProductName ]],products[productName],products[categoryID],,0),categories[categoryID],categories[categoryName],,0)</f>
        <v>Beverages</v>
      </c>
      <c r="F631">
        <v>30</v>
      </c>
      <c r="G631">
        <v>192</v>
      </c>
      <c r="H631">
        <v>1</v>
      </c>
      <c r="I631">
        <f>Table9[[#This Row],[quantity]]*Table9[[#This Row],[unitPrice]]*(1-Table9[[#This Row],[discount]]/100)</f>
        <v>5702.4</v>
      </c>
      <c r="J631" t="str">
        <f>_xlfn.XLOOKUP(_xlfn.XLOOKUP(A631,orders[orderID],orders[customerID],,0),customers__2[customerID],customers__2[companyName],,0)</f>
        <v>LINO-Delicateses</v>
      </c>
      <c r="K631" t="str">
        <f>_xlfn.XLOOKUP(Table9[[#This Row],[Company Name]],customers__2[companyName],customers__2[country],,0)</f>
        <v>Venezuela</v>
      </c>
      <c r="L631">
        <f>MONTH(Table9[[#This Row],[OrderDate ]])</f>
        <v>3</v>
      </c>
      <c r="M631" t="str">
        <f>TEXT(Table9[[#This Row],[OrderDate ]],"mmm")</f>
        <v>Mar</v>
      </c>
      <c r="N631">
        <f>YEAR(Table9[[#This Row],[OrderDate ]])</f>
        <v>2014</v>
      </c>
    </row>
    <row r="632" spans="1:14" x14ac:dyDescent="0.3">
      <c r="A632">
        <v>10485</v>
      </c>
      <c r="B632" s="2">
        <f>_xlfn.XLOOKUP(Table9[[#This Row],[orderID]],orders[orderID],orders[orderDate],,0)</f>
        <v>41723</v>
      </c>
      <c r="C632">
        <f>_xlfn.XLOOKUP(A632,order_details[orderID],order_details[productID],,0)</f>
        <v>2</v>
      </c>
      <c r="D632" t="str">
        <f>_xlfn.XLOOKUP(C632,products[productID],products[productName],,0)</f>
        <v>Chang</v>
      </c>
      <c r="E632" t="str">
        <f>_xlfn.XLOOKUP(_xlfn.XLOOKUP(Table9[[#This Row],[ProductName ]],products[productName],products[categoryID],,0),categories[categoryID],categories[categoryName],,0)</f>
        <v>Beverages</v>
      </c>
      <c r="F632">
        <v>60</v>
      </c>
      <c r="G632">
        <v>12</v>
      </c>
      <c r="H632">
        <v>1</v>
      </c>
      <c r="I632">
        <f>Table9[[#This Row],[quantity]]*Table9[[#This Row],[unitPrice]]*(1-Table9[[#This Row],[discount]]/100)</f>
        <v>712.8</v>
      </c>
      <c r="J632" t="str">
        <f>_xlfn.XLOOKUP(_xlfn.XLOOKUP(A632,orders[orderID],orders[customerID],,0),customers__2[customerID],customers__2[companyName],,0)</f>
        <v>LINO-Delicateses</v>
      </c>
      <c r="K632" t="str">
        <f>_xlfn.XLOOKUP(Table9[[#This Row],[Company Name]],customers__2[companyName],customers__2[country],,0)</f>
        <v>Venezuela</v>
      </c>
      <c r="L632">
        <f>MONTH(Table9[[#This Row],[OrderDate ]])</f>
        <v>3</v>
      </c>
      <c r="M632" t="str">
        <f>TEXT(Table9[[#This Row],[OrderDate ]],"mmm")</f>
        <v>Mar</v>
      </c>
      <c r="N632">
        <f>YEAR(Table9[[#This Row],[OrderDate ]])</f>
        <v>2014</v>
      </c>
    </row>
    <row r="633" spans="1:14" x14ac:dyDescent="0.3">
      <c r="A633">
        <v>10486</v>
      </c>
      <c r="B633" s="2">
        <f>_xlfn.XLOOKUP(Table9[[#This Row],[orderID]],orders[orderID],orders[orderDate],,0)</f>
        <v>41724</v>
      </c>
      <c r="C633">
        <f>_xlfn.XLOOKUP(A633,order_details[orderID],order_details[productID],,0)</f>
        <v>11</v>
      </c>
      <c r="D633" t="str">
        <f>_xlfn.XLOOKUP(C633,products[productID],products[productName],,0)</f>
        <v>Queso Cabrales</v>
      </c>
      <c r="E633" t="str">
        <f>_xlfn.XLOOKUP(_xlfn.XLOOKUP(Table9[[#This Row],[ProductName ]],products[productName],products[categoryID],,0),categories[categoryID],categories[categoryName],,0)</f>
        <v>Dairy Products</v>
      </c>
      <c r="F633">
        <v>5</v>
      </c>
      <c r="G633">
        <v>168</v>
      </c>
      <c r="H633">
        <v>0</v>
      </c>
      <c r="I633">
        <f>Table9[[#This Row],[quantity]]*Table9[[#This Row],[unitPrice]]*(1-Table9[[#This Row],[discount]]/100)</f>
        <v>840</v>
      </c>
      <c r="J633" t="str">
        <f>_xlfn.XLOOKUP(_xlfn.XLOOKUP(A633,orders[orderID],orders[customerID],,0),customers__2[customerID],customers__2[companyName],,0)</f>
        <v>HILARION-Abastos</v>
      </c>
      <c r="K633" t="str">
        <f>_xlfn.XLOOKUP(Table9[[#This Row],[Company Name]],customers__2[companyName],customers__2[country],,0)</f>
        <v>Venezuela</v>
      </c>
      <c r="L633">
        <f>MONTH(Table9[[#This Row],[OrderDate ]])</f>
        <v>3</v>
      </c>
      <c r="M633" t="str">
        <f>TEXT(Table9[[#This Row],[OrderDate ]],"mmm")</f>
        <v>Mar</v>
      </c>
      <c r="N633">
        <f>YEAR(Table9[[#This Row],[OrderDate ]])</f>
        <v>2014</v>
      </c>
    </row>
    <row r="634" spans="1:14" x14ac:dyDescent="0.3">
      <c r="A634">
        <v>10486</v>
      </c>
      <c r="B634" s="2">
        <f>_xlfn.XLOOKUP(Table9[[#This Row],[orderID]],orders[orderID],orders[orderDate],,0)</f>
        <v>41724</v>
      </c>
      <c r="C634">
        <f>_xlfn.XLOOKUP(A634,order_details[orderID],order_details[productID],,0)</f>
        <v>11</v>
      </c>
      <c r="D634" t="str">
        <f>_xlfn.XLOOKUP(C634,products[productID],products[productName],,0)</f>
        <v>Queso Cabrales</v>
      </c>
      <c r="E634" t="str">
        <f>_xlfn.XLOOKUP(_xlfn.XLOOKUP(Table9[[#This Row],[ProductName ]],products[productName],products[categoryID],,0),categories[categoryID],categories[categoryName],,0)</f>
        <v>Dairy Products</v>
      </c>
      <c r="F634">
        <v>25</v>
      </c>
      <c r="G634">
        <v>424</v>
      </c>
      <c r="H634">
        <v>0</v>
      </c>
      <c r="I634">
        <f>Table9[[#This Row],[quantity]]*Table9[[#This Row],[unitPrice]]*(1-Table9[[#This Row],[discount]]/100)</f>
        <v>10600</v>
      </c>
      <c r="J634" t="str">
        <f>_xlfn.XLOOKUP(_xlfn.XLOOKUP(A634,orders[orderID],orders[customerID],,0),customers__2[customerID],customers__2[companyName],,0)</f>
        <v>HILARION-Abastos</v>
      </c>
      <c r="K634" t="str">
        <f>_xlfn.XLOOKUP(Table9[[#This Row],[Company Name]],customers__2[companyName],customers__2[country],,0)</f>
        <v>Venezuela</v>
      </c>
      <c r="L634">
        <f>MONTH(Table9[[#This Row],[OrderDate ]])</f>
        <v>3</v>
      </c>
      <c r="M634" t="str">
        <f>TEXT(Table9[[#This Row],[OrderDate ]],"mmm")</f>
        <v>Mar</v>
      </c>
      <c r="N634">
        <f>YEAR(Table9[[#This Row],[OrderDate ]])</f>
        <v>2014</v>
      </c>
    </row>
    <row r="635" spans="1:14" x14ac:dyDescent="0.3">
      <c r="A635">
        <v>10486</v>
      </c>
      <c r="B635" s="2">
        <f>_xlfn.XLOOKUP(Table9[[#This Row],[orderID]],orders[orderID],orders[orderDate],,0)</f>
        <v>41724</v>
      </c>
      <c r="C635">
        <f>_xlfn.XLOOKUP(A635,order_details[orderID],order_details[productID],,0)</f>
        <v>11</v>
      </c>
      <c r="D635" t="str">
        <f>_xlfn.XLOOKUP(C635,products[productID],products[productName],,0)</f>
        <v>Queso Cabrales</v>
      </c>
      <c r="E635" t="str">
        <f>_xlfn.XLOOKUP(_xlfn.XLOOKUP(Table9[[#This Row],[ProductName ]],products[productName],products[categoryID],,0),categories[categoryID],categories[categoryName],,0)</f>
        <v>Dairy Products</v>
      </c>
      <c r="F635">
        <v>16</v>
      </c>
      <c r="G635">
        <v>8</v>
      </c>
      <c r="H635">
        <v>0</v>
      </c>
      <c r="I635">
        <f>Table9[[#This Row],[quantity]]*Table9[[#This Row],[unitPrice]]*(1-Table9[[#This Row],[discount]]/100)</f>
        <v>128</v>
      </c>
      <c r="J635" t="str">
        <f>_xlfn.XLOOKUP(_xlfn.XLOOKUP(A635,orders[orderID],orders[customerID],,0),customers__2[customerID],customers__2[companyName],,0)</f>
        <v>HILARION-Abastos</v>
      </c>
      <c r="K635" t="str">
        <f>_xlfn.XLOOKUP(Table9[[#This Row],[Company Name]],customers__2[companyName],customers__2[country],,0)</f>
        <v>Venezuela</v>
      </c>
      <c r="L635">
        <f>MONTH(Table9[[#This Row],[OrderDate ]])</f>
        <v>3</v>
      </c>
      <c r="M635" t="str">
        <f>TEXT(Table9[[#This Row],[OrderDate ]],"mmm")</f>
        <v>Mar</v>
      </c>
      <c r="N635">
        <f>YEAR(Table9[[#This Row],[OrderDate ]])</f>
        <v>2014</v>
      </c>
    </row>
    <row r="636" spans="1:14" x14ac:dyDescent="0.3">
      <c r="A636">
        <v>10487</v>
      </c>
      <c r="B636" s="2">
        <f>_xlfn.XLOOKUP(Table9[[#This Row],[orderID]],orders[orderID],orders[orderDate],,0)</f>
        <v>41724</v>
      </c>
      <c r="C636">
        <f>_xlfn.XLOOKUP(A636,order_details[orderID],order_details[productID],,0)</f>
        <v>19</v>
      </c>
      <c r="D636" t="str">
        <f>_xlfn.XLOOKUP(C636,products[productID],products[productName],,0)</f>
        <v>Teatime Chocolate Biscuits</v>
      </c>
      <c r="E636" t="str">
        <f>_xlfn.XLOOKUP(_xlfn.XLOOKUP(Table9[[#This Row],[ProductName ]],products[productName],products[categoryID],,0),categories[categoryID],categories[categoryName],,0)</f>
        <v>Confections</v>
      </c>
      <c r="F636">
        <v>5</v>
      </c>
      <c r="G636">
        <v>73</v>
      </c>
      <c r="H636">
        <v>0</v>
      </c>
      <c r="I636">
        <f>Table9[[#This Row],[quantity]]*Table9[[#This Row],[unitPrice]]*(1-Table9[[#This Row],[discount]]/100)</f>
        <v>365</v>
      </c>
      <c r="J636" t="str">
        <f>_xlfn.XLOOKUP(_xlfn.XLOOKUP(A636,orders[orderID],orders[customerID],,0),customers__2[customerID],customers__2[companyName],,0)</f>
        <v>Queen Cozinha</v>
      </c>
      <c r="K636" t="str">
        <f>_xlfn.XLOOKUP(Table9[[#This Row],[Company Name]],customers__2[companyName],customers__2[country],,0)</f>
        <v>Brazil</v>
      </c>
      <c r="L636">
        <f>MONTH(Table9[[#This Row],[OrderDate ]])</f>
        <v>3</v>
      </c>
      <c r="M636" t="str">
        <f>TEXT(Table9[[#This Row],[OrderDate ]],"mmm")</f>
        <v>Mar</v>
      </c>
      <c r="N636">
        <f>YEAR(Table9[[#This Row],[OrderDate ]])</f>
        <v>2014</v>
      </c>
    </row>
    <row r="637" spans="1:14" x14ac:dyDescent="0.3">
      <c r="A637">
        <v>10487</v>
      </c>
      <c r="B637" s="2">
        <f>_xlfn.XLOOKUP(Table9[[#This Row],[orderID]],orders[orderID],orders[orderDate],,0)</f>
        <v>41724</v>
      </c>
      <c r="C637">
        <f>_xlfn.XLOOKUP(A637,order_details[orderID],order_details[productID],,0)</f>
        <v>19</v>
      </c>
      <c r="D637" t="str">
        <f>_xlfn.XLOOKUP(C637,products[productID],products[productName],,0)</f>
        <v>Teatime Chocolate Biscuits</v>
      </c>
      <c r="E637" t="str">
        <f>_xlfn.XLOOKUP(_xlfn.XLOOKUP(Table9[[#This Row],[ProductName ]],products[productName],products[categoryID],,0),categories[categoryID],categories[categoryName],,0)</f>
        <v>Confections</v>
      </c>
      <c r="F637">
        <v>30</v>
      </c>
      <c r="G637">
        <v>249</v>
      </c>
      <c r="H637">
        <v>0</v>
      </c>
      <c r="I637">
        <f>Table9[[#This Row],[quantity]]*Table9[[#This Row],[unitPrice]]*(1-Table9[[#This Row],[discount]]/100)</f>
        <v>7470</v>
      </c>
      <c r="J637" t="str">
        <f>_xlfn.XLOOKUP(_xlfn.XLOOKUP(A637,orders[orderID],orders[customerID],,0),customers__2[customerID],customers__2[companyName],,0)</f>
        <v>Queen Cozinha</v>
      </c>
      <c r="K637" t="str">
        <f>_xlfn.XLOOKUP(Table9[[#This Row],[Company Name]],customers__2[companyName],customers__2[country],,0)</f>
        <v>Brazil</v>
      </c>
      <c r="L637">
        <f>MONTH(Table9[[#This Row],[OrderDate ]])</f>
        <v>3</v>
      </c>
      <c r="M637" t="str">
        <f>TEXT(Table9[[#This Row],[OrderDate ]],"mmm")</f>
        <v>Mar</v>
      </c>
      <c r="N637">
        <f>YEAR(Table9[[#This Row],[OrderDate ]])</f>
        <v>2014</v>
      </c>
    </row>
    <row r="638" spans="1:14" x14ac:dyDescent="0.3">
      <c r="A638">
        <v>10487</v>
      </c>
      <c r="B638" s="2">
        <f>_xlfn.XLOOKUP(Table9[[#This Row],[orderID]],orders[orderID],orders[orderDate],,0)</f>
        <v>41724</v>
      </c>
      <c r="C638">
        <f>_xlfn.XLOOKUP(A638,order_details[orderID],order_details[productID],,0)</f>
        <v>19</v>
      </c>
      <c r="D638" t="str">
        <f>_xlfn.XLOOKUP(C638,products[productID],products[productName],,0)</f>
        <v>Teatime Chocolate Biscuits</v>
      </c>
      <c r="E638" t="str">
        <f>_xlfn.XLOOKUP(_xlfn.XLOOKUP(Table9[[#This Row],[ProductName ]],products[productName],products[categoryID],,0),categories[categoryID],categories[categoryName],,0)</f>
        <v>Confections</v>
      </c>
      <c r="F638">
        <v>24</v>
      </c>
      <c r="G638">
        <v>59</v>
      </c>
      <c r="H638">
        <v>25</v>
      </c>
      <c r="I638">
        <f>Table9[[#This Row],[quantity]]*Table9[[#This Row],[unitPrice]]*(1-Table9[[#This Row],[discount]]/100)</f>
        <v>1062</v>
      </c>
      <c r="J638" t="str">
        <f>_xlfn.XLOOKUP(_xlfn.XLOOKUP(A638,orders[orderID],orders[customerID],,0),customers__2[customerID],customers__2[companyName],,0)</f>
        <v>Queen Cozinha</v>
      </c>
      <c r="K638" t="str">
        <f>_xlfn.XLOOKUP(Table9[[#This Row],[Company Name]],customers__2[companyName],customers__2[country],,0)</f>
        <v>Brazil</v>
      </c>
      <c r="L638">
        <f>MONTH(Table9[[#This Row],[OrderDate ]])</f>
        <v>3</v>
      </c>
      <c r="M638" t="str">
        <f>TEXT(Table9[[#This Row],[OrderDate ]],"mmm")</f>
        <v>Mar</v>
      </c>
      <c r="N638">
        <f>YEAR(Table9[[#This Row],[OrderDate ]])</f>
        <v>2014</v>
      </c>
    </row>
    <row r="639" spans="1:14" x14ac:dyDescent="0.3">
      <c r="A639">
        <v>10488</v>
      </c>
      <c r="B639" s="2">
        <f>_xlfn.XLOOKUP(Table9[[#This Row],[orderID]],orders[orderID],orders[orderDate],,0)</f>
        <v>41725</v>
      </c>
      <c r="C639">
        <f>_xlfn.XLOOKUP(A639,order_details[orderID],order_details[productID],,0)</f>
        <v>59</v>
      </c>
      <c r="D639" t="str">
        <f>_xlfn.XLOOKUP(C639,products[productID],products[productName],,0)</f>
        <v>Raclette Courdavault</v>
      </c>
      <c r="E639" t="str">
        <f>_xlfn.XLOOKUP(_xlfn.XLOOKUP(Table9[[#This Row],[ProductName ]],products[productName],products[categoryID],,0),categories[categoryID],categories[categoryName],,0)</f>
        <v>Dairy Products</v>
      </c>
      <c r="F639">
        <v>30</v>
      </c>
      <c r="G639">
        <v>44</v>
      </c>
      <c r="H639">
        <v>0</v>
      </c>
      <c r="I639">
        <f>Table9[[#This Row],[quantity]]*Table9[[#This Row],[unitPrice]]*(1-Table9[[#This Row],[discount]]/100)</f>
        <v>1320</v>
      </c>
      <c r="J639" t="str">
        <f>_xlfn.XLOOKUP(_xlfn.XLOOKUP(A639,orders[orderID],orders[customerID],,0),customers__2[customerID],customers__2[companyName],,0)</f>
        <v>Frankenversand</v>
      </c>
      <c r="K639" t="str">
        <f>_xlfn.XLOOKUP(Table9[[#This Row],[Company Name]],customers__2[companyName],customers__2[country],,0)</f>
        <v>Germany</v>
      </c>
      <c r="L639">
        <f>MONTH(Table9[[#This Row],[OrderDate ]])</f>
        <v>3</v>
      </c>
      <c r="M639" t="str">
        <f>TEXT(Table9[[#This Row],[OrderDate ]],"mmm")</f>
        <v>Mar</v>
      </c>
      <c r="N639">
        <f>YEAR(Table9[[#This Row],[OrderDate ]])</f>
        <v>2014</v>
      </c>
    </row>
    <row r="640" spans="1:14" x14ac:dyDescent="0.3">
      <c r="A640">
        <v>10488</v>
      </c>
      <c r="B640" s="2">
        <f>_xlfn.XLOOKUP(Table9[[#This Row],[orderID]],orders[orderID],orders[orderDate],,0)</f>
        <v>41725</v>
      </c>
      <c r="C640">
        <f>_xlfn.XLOOKUP(A640,order_details[orderID],order_details[productID],,0)</f>
        <v>59</v>
      </c>
      <c r="D640" t="str">
        <f>_xlfn.XLOOKUP(C640,products[productID],products[productName],,0)</f>
        <v>Raclette Courdavault</v>
      </c>
      <c r="E640" t="str">
        <f>_xlfn.XLOOKUP(_xlfn.XLOOKUP(Table9[[#This Row],[ProductName ]],products[productName],products[categoryID],,0),categories[categoryID],categories[categoryName],,0)</f>
        <v>Dairy Products</v>
      </c>
      <c r="F640">
        <v>20</v>
      </c>
      <c r="G640">
        <v>12</v>
      </c>
      <c r="H640">
        <v>2</v>
      </c>
      <c r="I640">
        <f>Table9[[#This Row],[quantity]]*Table9[[#This Row],[unitPrice]]*(1-Table9[[#This Row],[discount]]/100)</f>
        <v>235.2</v>
      </c>
      <c r="J640" t="str">
        <f>_xlfn.XLOOKUP(_xlfn.XLOOKUP(A640,orders[orderID],orders[customerID],,0),customers__2[customerID],customers__2[companyName],,0)</f>
        <v>Frankenversand</v>
      </c>
      <c r="K640" t="str">
        <f>_xlfn.XLOOKUP(Table9[[#This Row],[Company Name]],customers__2[companyName],customers__2[country],,0)</f>
        <v>Germany</v>
      </c>
      <c r="L640">
        <f>MONTH(Table9[[#This Row],[OrderDate ]])</f>
        <v>3</v>
      </c>
      <c r="M640" t="str">
        <f>TEXT(Table9[[#This Row],[OrderDate ]],"mmm")</f>
        <v>Mar</v>
      </c>
      <c r="N640">
        <f>YEAR(Table9[[#This Row],[OrderDate ]])</f>
        <v>2014</v>
      </c>
    </row>
    <row r="641" spans="1:14" x14ac:dyDescent="0.3">
      <c r="A641">
        <v>10489</v>
      </c>
      <c r="B641" s="2">
        <f>_xlfn.XLOOKUP(Table9[[#This Row],[orderID]],orders[orderID],orders[orderDate],,0)</f>
        <v>41726</v>
      </c>
      <c r="C641">
        <f>_xlfn.XLOOKUP(A641,order_details[orderID],order_details[productID],,0)</f>
        <v>11</v>
      </c>
      <c r="D641" t="str">
        <f>_xlfn.XLOOKUP(C641,products[productID],products[productName],,0)</f>
        <v>Queso Cabrales</v>
      </c>
      <c r="E641" t="str">
        <f>_xlfn.XLOOKUP(_xlfn.XLOOKUP(Table9[[#This Row],[ProductName ]],products[productName],products[categoryID],,0),categories[categoryID],categories[categoryName],,0)</f>
        <v>Dairy Products</v>
      </c>
      <c r="F641">
        <v>15</v>
      </c>
      <c r="G641">
        <v>168</v>
      </c>
      <c r="H641">
        <v>25</v>
      </c>
      <c r="I641">
        <f>Table9[[#This Row],[quantity]]*Table9[[#This Row],[unitPrice]]*(1-Table9[[#This Row],[discount]]/100)</f>
        <v>1890</v>
      </c>
      <c r="J641" t="str">
        <f>_xlfn.XLOOKUP(_xlfn.XLOOKUP(A641,orders[orderID],orders[customerID],,0),customers__2[customerID],customers__2[companyName],,0)</f>
        <v>Piccolo und mehr</v>
      </c>
      <c r="K641" t="str">
        <f>_xlfn.XLOOKUP(Table9[[#This Row],[Company Name]],customers__2[companyName],customers__2[country],,0)</f>
        <v>Austria</v>
      </c>
      <c r="L641">
        <f>MONTH(Table9[[#This Row],[OrderDate ]])</f>
        <v>3</v>
      </c>
      <c r="M641" t="str">
        <f>TEXT(Table9[[#This Row],[OrderDate ]],"mmm")</f>
        <v>Mar</v>
      </c>
      <c r="N641">
        <f>YEAR(Table9[[#This Row],[OrderDate ]])</f>
        <v>2014</v>
      </c>
    </row>
    <row r="642" spans="1:14" x14ac:dyDescent="0.3">
      <c r="A642">
        <v>10489</v>
      </c>
      <c r="B642" s="2">
        <f>_xlfn.XLOOKUP(Table9[[#This Row],[orderID]],orders[orderID],orders[orderDate],,0)</f>
        <v>41726</v>
      </c>
      <c r="C642">
        <f>_xlfn.XLOOKUP(A642,order_details[orderID],order_details[productID],,0)</f>
        <v>11</v>
      </c>
      <c r="D642" t="str">
        <f>_xlfn.XLOOKUP(C642,products[productID],products[productName],,0)</f>
        <v>Queso Cabrales</v>
      </c>
      <c r="E642" t="str">
        <f>_xlfn.XLOOKUP(_xlfn.XLOOKUP(Table9[[#This Row],[ProductName ]],products[productName],products[categoryID],,0),categories[categoryID],categories[categoryName],,0)</f>
        <v>Dairy Products</v>
      </c>
      <c r="F642">
        <v>18</v>
      </c>
      <c r="G642">
        <v>139</v>
      </c>
      <c r="H642">
        <v>0</v>
      </c>
      <c r="I642">
        <f>Table9[[#This Row],[quantity]]*Table9[[#This Row],[unitPrice]]*(1-Table9[[#This Row],[discount]]/100)</f>
        <v>2502</v>
      </c>
      <c r="J642" t="str">
        <f>_xlfn.XLOOKUP(_xlfn.XLOOKUP(A642,orders[orderID],orders[customerID],,0),customers__2[customerID],customers__2[companyName],,0)</f>
        <v>Piccolo und mehr</v>
      </c>
      <c r="K642" t="str">
        <f>_xlfn.XLOOKUP(Table9[[#This Row],[Company Name]],customers__2[companyName],customers__2[country],,0)</f>
        <v>Austria</v>
      </c>
      <c r="L642">
        <f>MONTH(Table9[[#This Row],[OrderDate ]])</f>
        <v>3</v>
      </c>
      <c r="M642" t="str">
        <f>TEXT(Table9[[#This Row],[OrderDate ]],"mmm")</f>
        <v>Mar</v>
      </c>
      <c r="N642">
        <f>YEAR(Table9[[#This Row],[OrderDate ]])</f>
        <v>2014</v>
      </c>
    </row>
    <row r="643" spans="1:14" x14ac:dyDescent="0.3">
      <c r="A643">
        <v>10490</v>
      </c>
      <c r="B643" s="2">
        <f>_xlfn.XLOOKUP(Table9[[#This Row],[orderID]],orders[orderID],orders[orderDate],,0)</f>
        <v>41729</v>
      </c>
      <c r="C643">
        <f>_xlfn.XLOOKUP(A643,order_details[orderID],order_details[productID],,0)</f>
        <v>59</v>
      </c>
      <c r="D643" t="str">
        <f>_xlfn.XLOOKUP(C643,products[productID],products[productName],,0)</f>
        <v>Raclette Courdavault</v>
      </c>
      <c r="E643" t="str">
        <f>_xlfn.XLOOKUP(_xlfn.XLOOKUP(Table9[[#This Row],[ProductName ]],products[productName],products[categoryID],,0),categories[categoryID],categories[categoryName],,0)</f>
        <v>Dairy Products</v>
      </c>
      <c r="F643">
        <v>60</v>
      </c>
      <c r="G643">
        <v>44</v>
      </c>
      <c r="H643">
        <v>0</v>
      </c>
      <c r="I643">
        <f>Table9[[#This Row],[quantity]]*Table9[[#This Row],[unitPrice]]*(1-Table9[[#This Row],[discount]]/100)</f>
        <v>2640</v>
      </c>
      <c r="J643" t="str">
        <f>_xlfn.XLOOKUP(_xlfn.XLOOKUP(A643,orders[orderID],orders[customerID],,0),customers__2[customerID],customers__2[companyName],,0)</f>
        <v>HILARION-Abastos</v>
      </c>
      <c r="K643" t="str">
        <f>_xlfn.XLOOKUP(Table9[[#This Row],[Company Name]],customers__2[companyName],customers__2[country],,0)</f>
        <v>Venezuela</v>
      </c>
      <c r="L643">
        <f>MONTH(Table9[[#This Row],[OrderDate ]])</f>
        <v>3</v>
      </c>
      <c r="M643" t="str">
        <f>TEXT(Table9[[#This Row],[OrderDate ]],"mmm")</f>
        <v>Mar</v>
      </c>
      <c r="N643">
        <f>YEAR(Table9[[#This Row],[OrderDate ]])</f>
        <v>2014</v>
      </c>
    </row>
    <row r="644" spans="1:14" x14ac:dyDescent="0.3">
      <c r="A644">
        <v>10490</v>
      </c>
      <c r="B644" s="2">
        <f>_xlfn.XLOOKUP(Table9[[#This Row],[orderID]],orders[orderID],orders[orderDate],,0)</f>
        <v>41729</v>
      </c>
      <c r="C644">
        <f>_xlfn.XLOOKUP(A644,order_details[orderID],order_details[productID],,0)</f>
        <v>59</v>
      </c>
      <c r="D644" t="str">
        <f>_xlfn.XLOOKUP(C644,products[productID],products[productName],,0)</f>
        <v>Raclette Courdavault</v>
      </c>
      <c r="E644" t="str">
        <f>_xlfn.XLOOKUP(_xlfn.XLOOKUP(Table9[[#This Row],[ProductName ]],products[productName],products[categoryID],,0),categories[categoryID],categories[categoryName],,0)</f>
        <v>Dairy Products</v>
      </c>
      <c r="F644">
        <v>30</v>
      </c>
      <c r="G644">
        <v>10</v>
      </c>
      <c r="H644">
        <v>0</v>
      </c>
      <c r="I644">
        <f>Table9[[#This Row],[quantity]]*Table9[[#This Row],[unitPrice]]*(1-Table9[[#This Row],[discount]]/100)</f>
        <v>300</v>
      </c>
      <c r="J644" t="str">
        <f>_xlfn.XLOOKUP(_xlfn.XLOOKUP(A644,orders[orderID],orders[customerID],,0),customers__2[customerID],customers__2[companyName],,0)</f>
        <v>HILARION-Abastos</v>
      </c>
      <c r="K644" t="str">
        <f>_xlfn.XLOOKUP(Table9[[#This Row],[Company Name]],customers__2[companyName],customers__2[country],,0)</f>
        <v>Venezuela</v>
      </c>
      <c r="L644">
        <f>MONTH(Table9[[#This Row],[OrderDate ]])</f>
        <v>3</v>
      </c>
      <c r="M644" t="str">
        <f>TEXT(Table9[[#This Row],[OrderDate ]],"mmm")</f>
        <v>Mar</v>
      </c>
      <c r="N644">
        <f>YEAR(Table9[[#This Row],[OrderDate ]])</f>
        <v>2014</v>
      </c>
    </row>
    <row r="645" spans="1:14" x14ac:dyDescent="0.3">
      <c r="A645">
        <v>10490</v>
      </c>
      <c r="B645" s="2">
        <f>_xlfn.XLOOKUP(Table9[[#This Row],[orderID]],orders[orderID],orders[orderDate],,0)</f>
        <v>41729</v>
      </c>
      <c r="C645">
        <f>_xlfn.XLOOKUP(A645,order_details[orderID],order_details[productID],,0)</f>
        <v>59</v>
      </c>
      <c r="D645" t="str">
        <f>_xlfn.XLOOKUP(C645,products[productID],products[productName],,0)</f>
        <v>Raclette Courdavault</v>
      </c>
      <c r="E645" t="str">
        <f>_xlfn.XLOOKUP(_xlfn.XLOOKUP(Table9[[#This Row],[ProductName ]],products[productName],products[categoryID],,0),categories[categoryID],categories[categoryName],,0)</f>
        <v>Dairy Products</v>
      </c>
      <c r="F645">
        <v>36</v>
      </c>
      <c r="G645">
        <v>62</v>
      </c>
      <c r="H645">
        <v>0</v>
      </c>
      <c r="I645">
        <f>Table9[[#This Row],[quantity]]*Table9[[#This Row],[unitPrice]]*(1-Table9[[#This Row],[discount]]/100)</f>
        <v>2232</v>
      </c>
      <c r="J645" t="str">
        <f>_xlfn.XLOOKUP(_xlfn.XLOOKUP(A645,orders[orderID],orders[customerID],,0),customers__2[customerID],customers__2[companyName],,0)</f>
        <v>HILARION-Abastos</v>
      </c>
      <c r="K645" t="str">
        <f>_xlfn.XLOOKUP(Table9[[#This Row],[Company Name]],customers__2[companyName],customers__2[country],,0)</f>
        <v>Venezuela</v>
      </c>
      <c r="L645">
        <f>MONTH(Table9[[#This Row],[OrderDate ]])</f>
        <v>3</v>
      </c>
      <c r="M645" t="str">
        <f>TEXT(Table9[[#This Row],[OrderDate ]],"mmm")</f>
        <v>Mar</v>
      </c>
      <c r="N645">
        <f>YEAR(Table9[[#This Row],[OrderDate ]])</f>
        <v>2014</v>
      </c>
    </row>
    <row r="646" spans="1:14" x14ac:dyDescent="0.3">
      <c r="A646">
        <v>10491</v>
      </c>
      <c r="B646" s="2">
        <f>_xlfn.XLOOKUP(Table9[[#This Row],[orderID]],orders[orderID],orders[orderDate],,0)</f>
        <v>41729</v>
      </c>
      <c r="C646">
        <f>_xlfn.XLOOKUP(A646,order_details[orderID],order_details[productID],,0)</f>
        <v>44</v>
      </c>
      <c r="D646" t="str">
        <f>_xlfn.XLOOKUP(C646,products[productID],products[productName],,0)</f>
        <v>Gula Malacca</v>
      </c>
      <c r="E646" t="str">
        <f>_xlfn.XLOOKUP(_xlfn.XLOOKUP(Table9[[#This Row],[ProductName ]],products[productName],products[categoryID],,0),categories[categoryID],categories[categoryName],,0)</f>
        <v>Condiments</v>
      </c>
      <c r="F646">
        <v>15</v>
      </c>
      <c r="G646">
        <v>155</v>
      </c>
      <c r="H646">
        <v>15</v>
      </c>
      <c r="I646">
        <f>Table9[[#This Row],[quantity]]*Table9[[#This Row],[unitPrice]]*(1-Table9[[#This Row],[discount]]/100)</f>
        <v>1976.25</v>
      </c>
      <c r="J646" t="str">
        <f>_xlfn.XLOOKUP(_xlfn.XLOOKUP(A646,orders[orderID],orders[customerID],,0),customers__2[customerID],customers__2[companyName],,0)</f>
        <v>Furia Bacalhau e Frutos do Mar</v>
      </c>
      <c r="K646" t="str">
        <f>_xlfn.XLOOKUP(Table9[[#This Row],[Company Name]],customers__2[companyName],customers__2[country],,0)</f>
        <v>Portugal</v>
      </c>
      <c r="L646">
        <f>MONTH(Table9[[#This Row],[OrderDate ]])</f>
        <v>3</v>
      </c>
      <c r="M646" t="str">
        <f>TEXT(Table9[[#This Row],[OrderDate ]],"mmm")</f>
        <v>Mar</v>
      </c>
      <c r="N646">
        <f>YEAR(Table9[[#This Row],[OrderDate ]])</f>
        <v>2014</v>
      </c>
    </row>
    <row r="647" spans="1:14" x14ac:dyDescent="0.3">
      <c r="A647">
        <v>10491</v>
      </c>
      <c r="B647" s="2">
        <f>_xlfn.XLOOKUP(Table9[[#This Row],[orderID]],orders[orderID],orders[orderDate],,0)</f>
        <v>41729</v>
      </c>
      <c r="C647">
        <f>_xlfn.XLOOKUP(A647,order_details[orderID],order_details[productID],,0)</f>
        <v>44</v>
      </c>
      <c r="D647" t="str">
        <f>_xlfn.XLOOKUP(C647,products[productID],products[productName],,0)</f>
        <v>Gula Malacca</v>
      </c>
      <c r="E647" t="str">
        <f>_xlfn.XLOOKUP(_xlfn.XLOOKUP(Table9[[#This Row],[ProductName ]],products[productName],products[categoryID],,0),categories[categoryID],categories[categoryName],,0)</f>
        <v>Condiments</v>
      </c>
      <c r="F647">
        <v>7</v>
      </c>
      <c r="G647">
        <v>104</v>
      </c>
      <c r="H647">
        <v>15</v>
      </c>
      <c r="I647">
        <f>Table9[[#This Row],[quantity]]*Table9[[#This Row],[unitPrice]]*(1-Table9[[#This Row],[discount]]/100)</f>
        <v>618.79999999999995</v>
      </c>
      <c r="J647" t="str">
        <f>_xlfn.XLOOKUP(_xlfn.XLOOKUP(A647,orders[orderID],orders[customerID],,0),customers__2[customerID],customers__2[companyName],,0)</f>
        <v>Furia Bacalhau e Frutos do Mar</v>
      </c>
      <c r="K647" t="str">
        <f>_xlfn.XLOOKUP(Table9[[#This Row],[Company Name]],customers__2[companyName],customers__2[country],,0)</f>
        <v>Portugal</v>
      </c>
      <c r="L647">
        <f>MONTH(Table9[[#This Row],[OrderDate ]])</f>
        <v>3</v>
      </c>
      <c r="M647" t="str">
        <f>TEXT(Table9[[#This Row],[OrderDate ]],"mmm")</f>
        <v>Mar</v>
      </c>
      <c r="N647">
        <f>YEAR(Table9[[#This Row],[OrderDate ]])</f>
        <v>2014</v>
      </c>
    </row>
    <row r="648" spans="1:14" x14ac:dyDescent="0.3">
      <c r="A648">
        <v>10492</v>
      </c>
      <c r="B648" s="2">
        <f>_xlfn.XLOOKUP(Table9[[#This Row],[orderID]],orders[orderID],orders[orderDate],,0)</f>
        <v>41730</v>
      </c>
      <c r="C648">
        <f>_xlfn.XLOOKUP(A648,order_details[orderID],order_details[productID],,0)</f>
        <v>25</v>
      </c>
      <c r="D648" t="str">
        <f>_xlfn.XLOOKUP(C648,products[productID],products[productName],,0)</f>
        <v>NuNuCa Nuß-Nougat-Creme</v>
      </c>
      <c r="E648" t="str">
        <f>_xlfn.XLOOKUP(_xlfn.XLOOKUP(Table9[[#This Row],[ProductName ]],products[productName],products[categoryID],,0),categories[categoryID],categories[categoryName],,0)</f>
        <v>Confections</v>
      </c>
      <c r="F648">
        <v>60</v>
      </c>
      <c r="G648">
        <v>112</v>
      </c>
      <c r="H648">
        <v>5</v>
      </c>
      <c r="I648">
        <f>Table9[[#This Row],[quantity]]*Table9[[#This Row],[unitPrice]]*(1-Table9[[#This Row],[discount]]/100)</f>
        <v>6384</v>
      </c>
      <c r="J648" t="str">
        <f>_xlfn.XLOOKUP(_xlfn.XLOOKUP(A648,orders[orderID],orders[customerID],,0),customers__2[customerID],customers__2[companyName],,0)</f>
        <v>Bottom-Dollar Markets</v>
      </c>
      <c r="K648" t="str">
        <f>_xlfn.XLOOKUP(Table9[[#This Row],[Company Name]],customers__2[companyName],customers__2[country],,0)</f>
        <v>Canada</v>
      </c>
      <c r="L648">
        <f>MONTH(Table9[[#This Row],[OrderDate ]])</f>
        <v>4</v>
      </c>
      <c r="M648" t="str">
        <f>TEXT(Table9[[#This Row],[OrderDate ]],"mmm")</f>
        <v>Apr</v>
      </c>
      <c r="N648">
        <f>YEAR(Table9[[#This Row],[OrderDate ]])</f>
        <v>2014</v>
      </c>
    </row>
    <row r="649" spans="1:14" x14ac:dyDescent="0.3">
      <c r="A649">
        <v>10492</v>
      </c>
      <c r="B649" s="2">
        <f>_xlfn.XLOOKUP(Table9[[#This Row],[orderID]],orders[orderID],orders[orderDate],,0)</f>
        <v>41730</v>
      </c>
      <c r="C649">
        <f>_xlfn.XLOOKUP(A649,order_details[orderID],order_details[productID],,0)</f>
        <v>25</v>
      </c>
      <c r="D649" t="str">
        <f>_xlfn.XLOOKUP(C649,products[productID],products[productName],,0)</f>
        <v>NuNuCa Nuß-Nougat-Creme</v>
      </c>
      <c r="E649" t="str">
        <f>_xlfn.XLOOKUP(_xlfn.XLOOKUP(Table9[[#This Row],[ProductName ]],products[productName],products[categoryID],,0),categories[categoryID],categories[categoryName],,0)</f>
        <v>Confections</v>
      </c>
      <c r="F649">
        <v>20</v>
      </c>
      <c r="G649">
        <v>112</v>
      </c>
      <c r="H649">
        <v>5</v>
      </c>
      <c r="I649">
        <f>Table9[[#This Row],[quantity]]*Table9[[#This Row],[unitPrice]]*(1-Table9[[#This Row],[discount]]/100)</f>
        <v>2128</v>
      </c>
      <c r="J649" t="str">
        <f>_xlfn.XLOOKUP(_xlfn.XLOOKUP(A649,orders[orderID],orders[customerID],,0),customers__2[customerID],customers__2[companyName],,0)</f>
        <v>Bottom-Dollar Markets</v>
      </c>
      <c r="K649" t="str">
        <f>_xlfn.XLOOKUP(Table9[[#This Row],[Company Name]],customers__2[companyName],customers__2[country],,0)</f>
        <v>Canada</v>
      </c>
      <c r="L649">
        <f>MONTH(Table9[[#This Row],[OrderDate ]])</f>
        <v>4</v>
      </c>
      <c r="M649" t="str">
        <f>TEXT(Table9[[#This Row],[OrderDate ]],"mmm")</f>
        <v>Apr</v>
      </c>
      <c r="N649">
        <f>YEAR(Table9[[#This Row],[OrderDate ]])</f>
        <v>2014</v>
      </c>
    </row>
    <row r="650" spans="1:14" x14ac:dyDescent="0.3">
      <c r="A650">
        <v>10493</v>
      </c>
      <c r="B650" s="2">
        <f>_xlfn.XLOOKUP(Table9[[#This Row],[orderID]],orders[orderID],orders[orderDate],,0)</f>
        <v>41731</v>
      </c>
      <c r="C650">
        <f>_xlfn.XLOOKUP(A650,order_details[orderID],order_details[productID],,0)</f>
        <v>65</v>
      </c>
      <c r="D650" t="str">
        <f>_xlfn.XLOOKUP(C650,products[productID],products[productName],,0)</f>
        <v>Louisiana Fiery Hot Pepper Sauce</v>
      </c>
      <c r="E650" t="str">
        <f>_xlfn.XLOOKUP(_xlfn.XLOOKUP(Table9[[#This Row],[ProductName ]],products[productName],products[categoryID],,0),categories[categoryID],categories[categoryName],,0)</f>
        <v>Condiments</v>
      </c>
      <c r="F650">
        <v>15</v>
      </c>
      <c r="G650">
        <v>168</v>
      </c>
      <c r="H650">
        <v>1</v>
      </c>
      <c r="I650">
        <f>Table9[[#This Row],[quantity]]*Table9[[#This Row],[unitPrice]]*(1-Table9[[#This Row],[discount]]/100)</f>
        <v>2494.8000000000002</v>
      </c>
      <c r="J650" t="str">
        <f>_xlfn.XLOOKUP(_xlfn.XLOOKUP(A650,orders[orderID],orders[customerID],,0),customers__2[customerID],customers__2[companyName],,0)</f>
        <v>La maison d'Asie</v>
      </c>
      <c r="K650" t="str">
        <f>_xlfn.XLOOKUP(Table9[[#This Row],[Company Name]],customers__2[companyName],customers__2[country],,0)</f>
        <v>France</v>
      </c>
      <c r="L650">
        <f>MONTH(Table9[[#This Row],[OrderDate ]])</f>
        <v>4</v>
      </c>
      <c r="M650" t="str">
        <f>TEXT(Table9[[#This Row],[OrderDate ]],"mmm")</f>
        <v>Apr</v>
      </c>
      <c r="N650">
        <f>YEAR(Table9[[#This Row],[OrderDate ]])</f>
        <v>2014</v>
      </c>
    </row>
    <row r="651" spans="1:14" x14ac:dyDescent="0.3">
      <c r="A651">
        <v>10493</v>
      </c>
      <c r="B651" s="2">
        <f>_xlfn.XLOOKUP(Table9[[#This Row],[orderID]],orders[orderID],orders[orderDate],,0)</f>
        <v>41731</v>
      </c>
      <c r="C651">
        <f>_xlfn.XLOOKUP(A651,order_details[orderID],order_details[productID],,0)</f>
        <v>65</v>
      </c>
      <c r="D651" t="str">
        <f>_xlfn.XLOOKUP(C651,products[productID],products[productName],,0)</f>
        <v>Louisiana Fiery Hot Pepper Sauce</v>
      </c>
      <c r="E651" t="str">
        <f>_xlfn.XLOOKUP(_xlfn.XLOOKUP(Table9[[#This Row],[ProductName ]],products[productName],products[categoryID],,0),categories[categoryID],categories[categoryName],,0)</f>
        <v>Condiments</v>
      </c>
      <c r="F651">
        <v>10</v>
      </c>
      <c r="G651">
        <v>136</v>
      </c>
      <c r="H651">
        <v>1</v>
      </c>
      <c r="I651">
        <f>Table9[[#This Row],[quantity]]*Table9[[#This Row],[unitPrice]]*(1-Table9[[#This Row],[discount]]/100)</f>
        <v>1346.4</v>
      </c>
      <c r="J651" t="str">
        <f>_xlfn.XLOOKUP(_xlfn.XLOOKUP(A651,orders[orderID],orders[customerID],,0),customers__2[customerID],customers__2[companyName],,0)</f>
        <v>La maison d'Asie</v>
      </c>
      <c r="K651" t="str">
        <f>_xlfn.XLOOKUP(Table9[[#This Row],[Company Name]],customers__2[companyName],customers__2[country],,0)</f>
        <v>France</v>
      </c>
      <c r="L651">
        <f>MONTH(Table9[[#This Row],[OrderDate ]])</f>
        <v>4</v>
      </c>
      <c r="M651" t="str">
        <f>TEXT(Table9[[#This Row],[OrderDate ]],"mmm")</f>
        <v>Apr</v>
      </c>
      <c r="N651">
        <f>YEAR(Table9[[#This Row],[OrderDate ]])</f>
        <v>2014</v>
      </c>
    </row>
    <row r="652" spans="1:14" x14ac:dyDescent="0.3">
      <c r="A652">
        <v>10493</v>
      </c>
      <c r="B652" s="2">
        <f>_xlfn.XLOOKUP(Table9[[#This Row],[orderID]],orders[orderID],orders[orderDate],,0)</f>
        <v>41731</v>
      </c>
      <c r="C652">
        <f>_xlfn.XLOOKUP(A652,order_details[orderID],order_details[productID],,0)</f>
        <v>65</v>
      </c>
      <c r="D652" t="str">
        <f>_xlfn.XLOOKUP(C652,products[productID],products[productName],,0)</f>
        <v>Louisiana Fiery Hot Pepper Sauce</v>
      </c>
      <c r="E652" t="str">
        <f>_xlfn.XLOOKUP(_xlfn.XLOOKUP(Table9[[#This Row],[ProductName ]],products[productName],products[categoryID],,0),categories[categoryID],categories[categoryName],,0)</f>
        <v>Condiments</v>
      </c>
      <c r="F652">
        <v>10</v>
      </c>
      <c r="G652">
        <v>288</v>
      </c>
      <c r="H652">
        <v>1</v>
      </c>
      <c r="I652">
        <f>Table9[[#This Row],[quantity]]*Table9[[#This Row],[unitPrice]]*(1-Table9[[#This Row],[discount]]/100)</f>
        <v>2851.2</v>
      </c>
      <c r="J652" t="str">
        <f>_xlfn.XLOOKUP(_xlfn.XLOOKUP(A652,orders[orderID],orders[customerID],,0),customers__2[customerID],customers__2[companyName],,0)</f>
        <v>La maison d'Asie</v>
      </c>
      <c r="K652" t="str">
        <f>_xlfn.XLOOKUP(Table9[[#This Row],[Company Name]],customers__2[companyName],customers__2[country],,0)</f>
        <v>France</v>
      </c>
      <c r="L652">
        <f>MONTH(Table9[[#This Row],[OrderDate ]])</f>
        <v>4</v>
      </c>
      <c r="M652" t="str">
        <f>TEXT(Table9[[#This Row],[OrderDate ]],"mmm")</f>
        <v>Apr</v>
      </c>
      <c r="N652">
        <f>YEAR(Table9[[#This Row],[OrderDate ]])</f>
        <v>2014</v>
      </c>
    </row>
    <row r="653" spans="1:14" x14ac:dyDescent="0.3">
      <c r="A653">
        <v>10494</v>
      </c>
      <c r="B653" s="2">
        <f>_xlfn.XLOOKUP(Table9[[#This Row],[orderID]],orders[orderID],orders[orderDate],,0)</f>
        <v>41731</v>
      </c>
      <c r="C653">
        <f>_xlfn.XLOOKUP(A653,order_details[orderID],order_details[productID],,0)</f>
        <v>56</v>
      </c>
      <c r="D653" t="str">
        <f>_xlfn.XLOOKUP(C653,products[productID],products[productName],,0)</f>
        <v>Gnocchi di nonna Alice</v>
      </c>
      <c r="E653" t="str">
        <f>_xlfn.XLOOKUP(_xlfn.XLOOKUP(Table9[[#This Row],[ProductName ]],products[productName],products[categoryID],,0),categories[categoryID],categories[categoryName],,0)</f>
        <v>Grains &amp; Cereals</v>
      </c>
      <c r="F653">
        <v>30</v>
      </c>
      <c r="G653">
        <v>304</v>
      </c>
      <c r="H653">
        <v>0</v>
      </c>
      <c r="I653">
        <f>Table9[[#This Row],[quantity]]*Table9[[#This Row],[unitPrice]]*(1-Table9[[#This Row],[discount]]/100)</f>
        <v>9120</v>
      </c>
      <c r="J653" t="str">
        <f>_xlfn.XLOOKUP(_xlfn.XLOOKUP(A653,orders[orderID],orders[customerID],,0),customers__2[customerID],customers__2[companyName],,0)</f>
        <v>Comércio Mineiro</v>
      </c>
      <c r="K653" t="str">
        <f>_xlfn.XLOOKUP(Table9[[#This Row],[Company Name]],customers__2[companyName],customers__2[country],,0)</f>
        <v>Brazil</v>
      </c>
      <c r="L653">
        <f>MONTH(Table9[[#This Row],[OrderDate ]])</f>
        <v>4</v>
      </c>
      <c r="M653" t="str">
        <f>TEXT(Table9[[#This Row],[OrderDate ]],"mmm")</f>
        <v>Apr</v>
      </c>
      <c r="N653">
        <f>YEAR(Table9[[#This Row],[OrderDate ]])</f>
        <v>2014</v>
      </c>
    </row>
    <row r="654" spans="1:14" x14ac:dyDescent="0.3">
      <c r="A654">
        <v>10495</v>
      </c>
      <c r="B654" s="2">
        <f>_xlfn.XLOOKUP(Table9[[#This Row],[orderID]],orders[orderID],orders[orderDate],,0)</f>
        <v>41732</v>
      </c>
      <c r="C654">
        <f>_xlfn.XLOOKUP(A654,order_details[orderID],order_details[productID],,0)</f>
        <v>23</v>
      </c>
      <c r="D654" t="str">
        <f>_xlfn.XLOOKUP(C654,products[productID],products[productName],,0)</f>
        <v>Tunnbröd</v>
      </c>
      <c r="E654" t="str">
        <f>_xlfn.XLOOKUP(_xlfn.XLOOKUP(Table9[[#This Row],[ProductName ]],products[productName],products[categoryID],,0),categories[categoryID],categories[categoryName],,0)</f>
        <v>Grains &amp; Cereals</v>
      </c>
      <c r="F654">
        <v>10</v>
      </c>
      <c r="G654">
        <v>72</v>
      </c>
      <c r="H654">
        <v>0</v>
      </c>
      <c r="I654">
        <f>Table9[[#This Row],[quantity]]*Table9[[#This Row],[unitPrice]]*(1-Table9[[#This Row],[discount]]/100)</f>
        <v>720</v>
      </c>
      <c r="J654" t="str">
        <f>_xlfn.XLOOKUP(_xlfn.XLOOKUP(A654,orders[orderID],orders[customerID],,0),customers__2[customerID],customers__2[companyName],,0)</f>
        <v>Laughing Bacchus Wine Cellars</v>
      </c>
      <c r="K654" t="str">
        <f>_xlfn.XLOOKUP(Table9[[#This Row],[Company Name]],customers__2[companyName],customers__2[country],,0)</f>
        <v>Canada</v>
      </c>
      <c r="L654">
        <f>MONTH(Table9[[#This Row],[OrderDate ]])</f>
        <v>4</v>
      </c>
      <c r="M654" t="str">
        <f>TEXT(Table9[[#This Row],[OrderDate ]],"mmm")</f>
        <v>Apr</v>
      </c>
      <c r="N654">
        <f>YEAR(Table9[[#This Row],[OrderDate ]])</f>
        <v>2014</v>
      </c>
    </row>
    <row r="655" spans="1:14" x14ac:dyDescent="0.3">
      <c r="A655">
        <v>10495</v>
      </c>
      <c r="B655" s="2">
        <f>_xlfn.XLOOKUP(Table9[[#This Row],[orderID]],orders[orderID],orders[orderDate],,0)</f>
        <v>41732</v>
      </c>
      <c r="C655">
        <f>_xlfn.XLOOKUP(A655,order_details[orderID],order_details[productID],,0)</f>
        <v>23</v>
      </c>
      <c r="D655" t="str">
        <f>_xlfn.XLOOKUP(C655,products[productID],products[productName],,0)</f>
        <v>Tunnbröd</v>
      </c>
      <c r="E655" t="str">
        <f>_xlfn.XLOOKUP(_xlfn.XLOOKUP(Table9[[#This Row],[ProductName ]],products[productName],products[categoryID],,0),categories[categoryID],categories[categoryName],,0)</f>
        <v>Grains &amp; Cereals</v>
      </c>
      <c r="F655">
        <v>20</v>
      </c>
      <c r="G655">
        <v>77</v>
      </c>
      <c r="H655">
        <v>0</v>
      </c>
      <c r="I655">
        <f>Table9[[#This Row],[quantity]]*Table9[[#This Row],[unitPrice]]*(1-Table9[[#This Row],[discount]]/100)</f>
        <v>1540</v>
      </c>
      <c r="J655" t="str">
        <f>_xlfn.XLOOKUP(_xlfn.XLOOKUP(A655,orders[orderID],orders[customerID],,0),customers__2[customerID],customers__2[companyName],,0)</f>
        <v>Laughing Bacchus Wine Cellars</v>
      </c>
      <c r="K655" t="str">
        <f>_xlfn.XLOOKUP(Table9[[#This Row],[Company Name]],customers__2[companyName],customers__2[country],,0)</f>
        <v>Canada</v>
      </c>
      <c r="L655">
        <f>MONTH(Table9[[#This Row],[OrderDate ]])</f>
        <v>4</v>
      </c>
      <c r="M655" t="str">
        <f>TEXT(Table9[[#This Row],[OrderDate ]],"mmm")</f>
        <v>Apr</v>
      </c>
      <c r="N655">
        <f>YEAR(Table9[[#This Row],[OrderDate ]])</f>
        <v>2014</v>
      </c>
    </row>
    <row r="656" spans="1:14" x14ac:dyDescent="0.3">
      <c r="A656">
        <v>10495</v>
      </c>
      <c r="B656" s="2">
        <f>_xlfn.XLOOKUP(Table9[[#This Row],[orderID]],orders[orderID],orders[orderDate],,0)</f>
        <v>41732</v>
      </c>
      <c r="C656">
        <f>_xlfn.XLOOKUP(A656,order_details[orderID],order_details[productID],,0)</f>
        <v>23</v>
      </c>
      <c r="D656" t="str">
        <f>_xlfn.XLOOKUP(C656,products[productID],products[productName],,0)</f>
        <v>Tunnbröd</v>
      </c>
      <c r="E656" t="str">
        <f>_xlfn.XLOOKUP(_xlfn.XLOOKUP(Table9[[#This Row],[ProductName ]],products[productName],products[categoryID],,0),categories[categoryID],categories[categoryName],,0)</f>
        <v>Grains &amp; Cereals</v>
      </c>
      <c r="F656">
        <v>5</v>
      </c>
      <c r="G656">
        <v>104</v>
      </c>
      <c r="H656">
        <v>0</v>
      </c>
      <c r="I656">
        <f>Table9[[#This Row],[quantity]]*Table9[[#This Row],[unitPrice]]*(1-Table9[[#This Row],[discount]]/100)</f>
        <v>520</v>
      </c>
      <c r="J656" t="str">
        <f>_xlfn.XLOOKUP(_xlfn.XLOOKUP(A656,orders[orderID],orders[customerID],,0),customers__2[customerID],customers__2[companyName],,0)</f>
        <v>Laughing Bacchus Wine Cellars</v>
      </c>
      <c r="K656" t="str">
        <f>_xlfn.XLOOKUP(Table9[[#This Row],[Company Name]],customers__2[companyName],customers__2[country],,0)</f>
        <v>Canada</v>
      </c>
      <c r="L656">
        <f>MONTH(Table9[[#This Row],[OrderDate ]])</f>
        <v>4</v>
      </c>
      <c r="M656" t="str">
        <f>TEXT(Table9[[#This Row],[OrderDate ]],"mmm")</f>
        <v>Apr</v>
      </c>
      <c r="N656">
        <f>YEAR(Table9[[#This Row],[OrderDate ]])</f>
        <v>2014</v>
      </c>
    </row>
    <row r="657" spans="1:14" x14ac:dyDescent="0.3">
      <c r="A657">
        <v>10496</v>
      </c>
      <c r="B657" s="2">
        <f>_xlfn.XLOOKUP(Table9[[#This Row],[orderID]],orders[orderID],orders[orderDate],,0)</f>
        <v>41733</v>
      </c>
      <c r="C657">
        <f>_xlfn.XLOOKUP(A657,order_details[orderID],order_details[productID],,0)</f>
        <v>31</v>
      </c>
      <c r="D657" t="str">
        <f>_xlfn.XLOOKUP(C657,products[productID],products[productName],,0)</f>
        <v>Gorgonzola Telino</v>
      </c>
      <c r="E657" t="str">
        <f>_xlfn.XLOOKUP(_xlfn.XLOOKUP(Table9[[#This Row],[ProductName ]],products[productName],products[categoryID],,0),categories[categoryID],categories[categoryName],,0)</f>
        <v>Dairy Products</v>
      </c>
      <c r="F657">
        <v>20</v>
      </c>
      <c r="G657">
        <v>10</v>
      </c>
      <c r="H657">
        <v>5</v>
      </c>
      <c r="I657">
        <f>Table9[[#This Row],[quantity]]*Table9[[#This Row],[unitPrice]]*(1-Table9[[#This Row],[discount]]/100)</f>
        <v>190</v>
      </c>
      <c r="J657" t="str">
        <f>_xlfn.XLOOKUP(_xlfn.XLOOKUP(A657,orders[orderID],orders[customerID],,0),customers__2[customerID],customers__2[companyName],,0)</f>
        <v>Tradição Hipermercados</v>
      </c>
      <c r="K657" t="str">
        <f>_xlfn.XLOOKUP(Table9[[#This Row],[Company Name]],customers__2[companyName],customers__2[country],,0)</f>
        <v>Brazil</v>
      </c>
      <c r="L657">
        <f>MONTH(Table9[[#This Row],[OrderDate ]])</f>
        <v>4</v>
      </c>
      <c r="M657" t="str">
        <f>TEXT(Table9[[#This Row],[OrderDate ]],"mmm")</f>
        <v>Apr</v>
      </c>
      <c r="N657">
        <f>YEAR(Table9[[#This Row],[OrderDate ]])</f>
        <v>2014</v>
      </c>
    </row>
    <row r="658" spans="1:14" x14ac:dyDescent="0.3">
      <c r="A658">
        <v>10497</v>
      </c>
      <c r="B658" s="2">
        <f>_xlfn.XLOOKUP(Table9[[#This Row],[orderID]],orders[orderID],orders[orderDate],,0)</f>
        <v>41733</v>
      </c>
      <c r="C658">
        <f>_xlfn.XLOOKUP(A658,order_details[orderID],order_details[productID],,0)</f>
        <v>56</v>
      </c>
      <c r="D658" t="str">
        <f>_xlfn.XLOOKUP(C658,products[productID],products[productName],,0)</f>
        <v>Gnocchi di nonna Alice</v>
      </c>
      <c r="E658" t="str">
        <f>_xlfn.XLOOKUP(_xlfn.XLOOKUP(Table9[[#This Row],[ProductName ]],products[productName],products[categoryID],,0),categories[categoryID],categories[categoryName],,0)</f>
        <v>Grains &amp; Cereals</v>
      </c>
      <c r="F658">
        <v>14</v>
      </c>
      <c r="G658">
        <v>304</v>
      </c>
      <c r="H658">
        <v>0</v>
      </c>
      <c r="I658">
        <f>Table9[[#This Row],[quantity]]*Table9[[#This Row],[unitPrice]]*(1-Table9[[#This Row],[discount]]/100)</f>
        <v>4256</v>
      </c>
      <c r="J658" t="str">
        <f>_xlfn.XLOOKUP(_xlfn.XLOOKUP(A658,orders[orderID],orders[customerID],,0),customers__2[customerID],customers__2[companyName],,0)</f>
        <v>Lehmanns Marktstand</v>
      </c>
      <c r="K658" t="str">
        <f>_xlfn.XLOOKUP(Table9[[#This Row],[Company Name]],customers__2[companyName],customers__2[country],,0)</f>
        <v>Germany</v>
      </c>
      <c r="L658">
        <f>MONTH(Table9[[#This Row],[OrderDate ]])</f>
        <v>4</v>
      </c>
      <c r="M658" t="str">
        <f>TEXT(Table9[[#This Row],[OrderDate ]],"mmm")</f>
        <v>Apr</v>
      </c>
      <c r="N658">
        <f>YEAR(Table9[[#This Row],[OrderDate ]])</f>
        <v>2014</v>
      </c>
    </row>
    <row r="659" spans="1:14" x14ac:dyDescent="0.3">
      <c r="A659">
        <v>10497</v>
      </c>
      <c r="B659" s="2">
        <f>_xlfn.XLOOKUP(Table9[[#This Row],[orderID]],orders[orderID],orders[orderDate],,0)</f>
        <v>41733</v>
      </c>
      <c r="C659">
        <f>_xlfn.XLOOKUP(A659,order_details[orderID],order_details[productID],,0)</f>
        <v>56</v>
      </c>
      <c r="D659" t="str">
        <f>_xlfn.XLOOKUP(C659,products[productID],products[productName],,0)</f>
        <v>Gnocchi di nonna Alice</v>
      </c>
      <c r="E659" t="str">
        <f>_xlfn.XLOOKUP(_xlfn.XLOOKUP(Table9[[#This Row],[ProductName ]],products[productName],products[categoryID],,0),categories[categoryID],categories[categoryName],,0)</f>
        <v>Grains &amp; Cereals</v>
      </c>
      <c r="F659">
        <v>25</v>
      </c>
      <c r="G659">
        <v>278</v>
      </c>
      <c r="H659">
        <v>0</v>
      </c>
      <c r="I659">
        <f>Table9[[#This Row],[quantity]]*Table9[[#This Row],[unitPrice]]*(1-Table9[[#This Row],[discount]]/100)</f>
        <v>6950</v>
      </c>
      <c r="J659" t="str">
        <f>_xlfn.XLOOKUP(_xlfn.XLOOKUP(A659,orders[orderID],orders[customerID],,0),customers__2[customerID],customers__2[companyName],,0)</f>
        <v>Lehmanns Marktstand</v>
      </c>
      <c r="K659" t="str">
        <f>_xlfn.XLOOKUP(Table9[[#This Row],[Company Name]],customers__2[companyName],customers__2[country],,0)</f>
        <v>Germany</v>
      </c>
      <c r="L659">
        <f>MONTH(Table9[[#This Row],[OrderDate ]])</f>
        <v>4</v>
      </c>
      <c r="M659" t="str">
        <f>TEXT(Table9[[#This Row],[OrderDate ]],"mmm")</f>
        <v>Apr</v>
      </c>
      <c r="N659">
        <f>YEAR(Table9[[#This Row],[OrderDate ]])</f>
        <v>2014</v>
      </c>
    </row>
    <row r="660" spans="1:14" x14ac:dyDescent="0.3">
      <c r="A660">
        <v>10497</v>
      </c>
      <c r="B660" s="2">
        <f>_xlfn.XLOOKUP(Table9[[#This Row],[orderID]],orders[orderID],orders[orderDate],,0)</f>
        <v>41733</v>
      </c>
      <c r="C660">
        <f>_xlfn.XLOOKUP(A660,order_details[orderID],order_details[productID],,0)</f>
        <v>56</v>
      </c>
      <c r="D660" t="str">
        <f>_xlfn.XLOOKUP(C660,products[productID],products[productName],,0)</f>
        <v>Gnocchi di nonna Alice</v>
      </c>
      <c r="E660" t="str">
        <f>_xlfn.XLOOKUP(_xlfn.XLOOKUP(Table9[[#This Row],[ProductName ]],products[productName],products[categoryID],,0),categories[categoryID],categories[categoryName],,0)</f>
        <v>Grains &amp; Cereals</v>
      </c>
      <c r="F660">
        <v>25</v>
      </c>
      <c r="G660">
        <v>104</v>
      </c>
      <c r="H660">
        <v>0</v>
      </c>
      <c r="I660">
        <f>Table9[[#This Row],[quantity]]*Table9[[#This Row],[unitPrice]]*(1-Table9[[#This Row],[discount]]/100)</f>
        <v>2600</v>
      </c>
      <c r="J660" t="str">
        <f>_xlfn.XLOOKUP(_xlfn.XLOOKUP(A660,orders[orderID],orders[customerID],,0),customers__2[customerID],customers__2[companyName],,0)</f>
        <v>Lehmanns Marktstand</v>
      </c>
      <c r="K660" t="str">
        <f>_xlfn.XLOOKUP(Table9[[#This Row],[Company Name]],customers__2[companyName],customers__2[country],,0)</f>
        <v>Germany</v>
      </c>
      <c r="L660">
        <f>MONTH(Table9[[#This Row],[OrderDate ]])</f>
        <v>4</v>
      </c>
      <c r="M660" t="str">
        <f>TEXT(Table9[[#This Row],[OrderDate ]],"mmm")</f>
        <v>Apr</v>
      </c>
      <c r="N660">
        <f>YEAR(Table9[[#This Row],[OrderDate ]])</f>
        <v>2014</v>
      </c>
    </row>
    <row r="661" spans="1:14" x14ac:dyDescent="0.3">
      <c r="A661">
        <v>10498</v>
      </c>
      <c r="B661" s="2">
        <f>_xlfn.XLOOKUP(Table9[[#This Row],[orderID]],orders[orderID],orders[orderDate],,0)</f>
        <v>41736</v>
      </c>
      <c r="C661">
        <f>_xlfn.XLOOKUP(A661,order_details[orderID],order_details[productID],,0)</f>
        <v>24</v>
      </c>
      <c r="D661" t="str">
        <f>_xlfn.XLOOKUP(C661,products[productID],products[productName],,0)</f>
        <v>Guarana Fantastica</v>
      </c>
      <c r="E661" t="str">
        <f>_xlfn.XLOOKUP(_xlfn.XLOOKUP(Table9[[#This Row],[ProductName ]],products[productName],products[categoryID],,0),categories[categoryID],categories[categoryName],,0)</f>
        <v>Beverages</v>
      </c>
      <c r="F661">
        <v>14</v>
      </c>
      <c r="G661">
        <v>45</v>
      </c>
      <c r="H661">
        <v>0</v>
      </c>
      <c r="I661">
        <f>Table9[[#This Row],[quantity]]*Table9[[#This Row],[unitPrice]]*(1-Table9[[#This Row],[discount]]/100)</f>
        <v>630</v>
      </c>
      <c r="J661" t="str">
        <f>_xlfn.XLOOKUP(_xlfn.XLOOKUP(A661,orders[orderID],orders[customerID],,0),customers__2[customerID],customers__2[companyName],,0)</f>
        <v>HILARION-Abastos</v>
      </c>
      <c r="K661" t="str">
        <f>_xlfn.XLOOKUP(Table9[[#This Row],[Company Name]],customers__2[companyName],customers__2[country],,0)</f>
        <v>Venezuela</v>
      </c>
      <c r="L661">
        <f>MONTH(Table9[[#This Row],[OrderDate ]])</f>
        <v>4</v>
      </c>
      <c r="M661" t="str">
        <f>TEXT(Table9[[#This Row],[OrderDate ]],"mmm")</f>
        <v>Apr</v>
      </c>
      <c r="N661">
        <f>YEAR(Table9[[#This Row],[OrderDate ]])</f>
        <v>2014</v>
      </c>
    </row>
    <row r="662" spans="1:14" x14ac:dyDescent="0.3">
      <c r="A662">
        <v>10498</v>
      </c>
      <c r="B662" s="2">
        <f>_xlfn.XLOOKUP(Table9[[#This Row],[orderID]],orders[orderID],orders[orderDate],,0)</f>
        <v>41736</v>
      </c>
      <c r="C662">
        <f>_xlfn.XLOOKUP(A662,order_details[orderID],order_details[productID],,0)</f>
        <v>24</v>
      </c>
      <c r="D662" t="str">
        <f>_xlfn.XLOOKUP(C662,products[productID],products[productName],,0)</f>
        <v>Guarana Fantastica</v>
      </c>
      <c r="E662" t="str">
        <f>_xlfn.XLOOKUP(_xlfn.XLOOKUP(Table9[[#This Row],[ProductName ]],products[productName],products[categoryID],,0),categories[categoryID],categories[categoryName],,0)</f>
        <v>Beverages</v>
      </c>
      <c r="F662">
        <v>5</v>
      </c>
      <c r="G662">
        <v>184</v>
      </c>
      <c r="H662">
        <v>0</v>
      </c>
      <c r="I662">
        <f>Table9[[#This Row],[quantity]]*Table9[[#This Row],[unitPrice]]*(1-Table9[[#This Row],[discount]]/100)</f>
        <v>920</v>
      </c>
      <c r="J662" t="str">
        <f>_xlfn.XLOOKUP(_xlfn.XLOOKUP(A662,orders[orderID],orders[customerID],,0),customers__2[customerID],customers__2[companyName],,0)</f>
        <v>HILARION-Abastos</v>
      </c>
      <c r="K662" t="str">
        <f>_xlfn.XLOOKUP(Table9[[#This Row],[Company Name]],customers__2[companyName],customers__2[country],,0)</f>
        <v>Venezuela</v>
      </c>
      <c r="L662">
        <f>MONTH(Table9[[#This Row],[OrderDate ]])</f>
        <v>4</v>
      </c>
      <c r="M662" t="str">
        <f>TEXT(Table9[[#This Row],[OrderDate ]],"mmm")</f>
        <v>Apr</v>
      </c>
      <c r="N662">
        <f>YEAR(Table9[[#This Row],[OrderDate ]])</f>
        <v>2014</v>
      </c>
    </row>
    <row r="663" spans="1:14" x14ac:dyDescent="0.3">
      <c r="A663">
        <v>10498</v>
      </c>
      <c r="B663" s="2">
        <f>_xlfn.XLOOKUP(Table9[[#This Row],[orderID]],orders[orderID],orders[orderDate],,0)</f>
        <v>41736</v>
      </c>
      <c r="C663">
        <f>_xlfn.XLOOKUP(A663,order_details[orderID],order_details[productID],,0)</f>
        <v>24</v>
      </c>
      <c r="D663" t="str">
        <f>_xlfn.XLOOKUP(C663,products[productID],products[productName],,0)</f>
        <v>Guarana Fantastica</v>
      </c>
      <c r="E663" t="str">
        <f>_xlfn.XLOOKUP(_xlfn.XLOOKUP(Table9[[#This Row],[ProductName ]],products[productName],products[categoryID],,0),categories[categoryID],categories[categoryName],,0)</f>
        <v>Beverages</v>
      </c>
      <c r="F663">
        <v>30</v>
      </c>
      <c r="G663">
        <v>14</v>
      </c>
      <c r="H663">
        <v>0</v>
      </c>
      <c r="I663">
        <f>Table9[[#This Row],[quantity]]*Table9[[#This Row],[unitPrice]]*(1-Table9[[#This Row],[discount]]/100)</f>
        <v>420</v>
      </c>
      <c r="J663" t="str">
        <f>_xlfn.XLOOKUP(_xlfn.XLOOKUP(A663,orders[orderID],orders[customerID],,0),customers__2[customerID],customers__2[companyName],,0)</f>
        <v>HILARION-Abastos</v>
      </c>
      <c r="K663" t="str">
        <f>_xlfn.XLOOKUP(Table9[[#This Row],[Company Name]],customers__2[companyName],customers__2[country],,0)</f>
        <v>Venezuela</v>
      </c>
      <c r="L663">
        <f>MONTH(Table9[[#This Row],[OrderDate ]])</f>
        <v>4</v>
      </c>
      <c r="M663" t="str">
        <f>TEXT(Table9[[#This Row],[OrderDate ]],"mmm")</f>
        <v>Apr</v>
      </c>
      <c r="N663">
        <f>YEAR(Table9[[#This Row],[OrderDate ]])</f>
        <v>2014</v>
      </c>
    </row>
    <row r="664" spans="1:14" x14ac:dyDescent="0.3">
      <c r="A664">
        <v>10499</v>
      </c>
      <c r="B664" s="2">
        <f>_xlfn.XLOOKUP(Table9[[#This Row],[orderID]],orders[orderID],orders[orderDate],,0)</f>
        <v>41737</v>
      </c>
      <c r="C664">
        <f>_xlfn.XLOOKUP(A664,order_details[orderID],order_details[productID],,0)</f>
        <v>28</v>
      </c>
      <c r="D664" t="str">
        <f>_xlfn.XLOOKUP(C664,products[productID],products[productName],,0)</f>
        <v>Rössle Sauerkraut</v>
      </c>
      <c r="E664" t="str">
        <f>_xlfn.XLOOKUP(_xlfn.XLOOKUP(Table9[[#This Row],[ProductName ]],products[productName],products[categoryID],,0),categories[categoryID],categories[categoryName],,0)</f>
        <v>Produce</v>
      </c>
      <c r="F664">
        <v>20</v>
      </c>
      <c r="G664">
        <v>456</v>
      </c>
      <c r="H664">
        <v>0</v>
      </c>
      <c r="I664">
        <f>Table9[[#This Row],[quantity]]*Table9[[#This Row],[unitPrice]]*(1-Table9[[#This Row],[discount]]/100)</f>
        <v>9120</v>
      </c>
      <c r="J664" t="str">
        <f>_xlfn.XLOOKUP(_xlfn.XLOOKUP(A664,orders[orderID],orders[customerID],,0),customers__2[customerID],customers__2[companyName],,0)</f>
        <v>LILA-Supermercado</v>
      </c>
      <c r="K664" t="str">
        <f>_xlfn.XLOOKUP(Table9[[#This Row],[Company Name]],customers__2[companyName],customers__2[country],,0)</f>
        <v>Venezuela</v>
      </c>
      <c r="L664">
        <f>MONTH(Table9[[#This Row],[OrderDate ]])</f>
        <v>4</v>
      </c>
      <c r="M664" t="str">
        <f>TEXT(Table9[[#This Row],[OrderDate ]],"mmm")</f>
        <v>Apr</v>
      </c>
      <c r="N664">
        <f>YEAR(Table9[[#This Row],[OrderDate ]])</f>
        <v>2014</v>
      </c>
    </row>
    <row r="665" spans="1:14" x14ac:dyDescent="0.3">
      <c r="A665">
        <v>10499</v>
      </c>
      <c r="B665" s="2">
        <f>_xlfn.XLOOKUP(Table9[[#This Row],[orderID]],orders[orderID],orders[orderDate],,0)</f>
        <v>41737</v>
      </c>
      <c r="C665">
        <f>_xlfn.XLOOKUP(A665,order_details[orderID],order_details[productID],,0)</f>
        <v>28</v>
      </c>
      <c r="D665" t="str">
        <f>_xlfn.XLOOKUP(C665,products[productID],products[productName],,0)</f>
        <v>Rössle Sauerkraut</v>
      </c>
      <c r="E665" t="str">
        <f>_xlfn.XLOOKUP(_xlfn.XLOOKUP(Table9[[#This Row],[ProductName ]],products[productName],products[categoryID],,0),categories[categoryID],categories[categoryName],,0)</f>
        <v>Produce</v>
      </c>
      <c r="F665">
        <v>25</v>
      </c>
      <c r="G665">
        <v>20</v>
      </c>
      <c r="H665">
        <v>0</v>
      </c>
      <c r="I665">
        <f>Table9[[#This Row],[quantity]]*Table9[[#This Row],[unitPrice]]*(1-Table9[[#This Row],[discount]]/100)</f>
        <v>500</v>
      </c>
      <c r="J665" t="str">
        <f>_xlfn.XLOOKUP(_xlfn.XLOOKUP(A665,orders[orderID],orders[customerID],,0),customers__2[customerID],customers__2[companyName],,0)</f>
        <v>LILA-Supermercado</v>
      </c>
      <c r="K665" t="str">
        <f>_xlfn.XLOOKUP(Table9[[#This Row],[Company Name]],customers__2[companyName],customers__2[country],,0)</f>
        <v>Venezuela</v>
      </c>
      <c r="L665">
        <f>MONTH(Table9[[#This Row],[OrderDate ]])</f>
        <v>4</v>
      </c>
      <c r="M665" t="str">
        <f>TEXT(Table9[[#This Row],[OrderDate ]],"mmm")</f>
        <v>Apr</v>
      </c>
      <c r="N665">
        <f>YEAR(Table9[[#This Row],[OrderDate ]])</f>
        <v>2014</v>
      </c>
    </row>
    <row r="666" spans="1:14" x14ac:dyDescent="0.3">
      <c r="A666">
        <v>10500</v>
      </c>
      <c r="B666" s="2">
        <f>_xlfn.XLOOKUP(Table9[[#This Row],[orderID]],orders[orderID],orders[orderDate],,0)</f>
        <v>41738</v>
      </c>
      <c r="C666">
        <f>_xlfn.XLOOKUP(A666,order_details[orderID],order_details[productID],,0)</f>
        <v>15</v>
      </c>
      <c r="D666" t="str">
        <f>_xlfn.XLOOKUP(C666,products[productID],products[productName],,0)</f>
        <v>Genen Shouyu</v>
      </c>
      <c r="E666" t="str">
        <f>_xlfn.XLOOKUP(_xlfn.XLOOKUP(Table9[[#This Row],[ProductName ]],products[productName],products[categoryID],,0),categories[categoryID],categories[categoryName],,0)</f>
        <v>Condiments</v>
      </c>
      <c r="F666">
        <v>12</v>
      </c>
      <c r="G666">
        <v>155</v>
      </c>
      <c r="H666">
        <v>5</v>
      </c>
      <c r="I666">
        <f>Table9[[#This Row],[quantity]]*Table9[[#This Row],[unitPrice]]*(1-Table9[[#This Row],[discount]]/100)</f>
        <v>1767</v>
      </c>
      <c r="J666" t="str">
        <f>_xlfn.XLOOKUP(_xlfn.XLOOKUP(A666,orders[orderID],orders[customerID],,0),customers__2[customerID],customers__2[companyName],,0)</f>
        <v>La maison d'Asie</v>
      </c>
      <c r="K666" t="str">
        <f>_xlfn.XLOOKUP(Table9[[#This Row],[Company Name]],customers__2[companyName],customers__2[country],,0)</f>
        <v>France</v>
      </c>
      <c r="L666">
        <f>MONTH(Table9[[#This Row],[OrderDate ]])</f>
        <v>4</v>
      </c>
      <c r="M666" t="str">
        <f>TEXT(Table9[[#This Row],[OrderDate ]],"mmm")</f>
        <v>Apr</v>
      </c>
      <c r="N666">
        <f>YEAR(Table9[[#This Row],[OrderDate ]])</f>
        <v>2014</v>
      </c>
    </row>
    <row r="667" spans="1:14" x14ac:dyDescent="0.3">
      <c r="A667">
        <v>10500</v>
      </c>
      <c r="B667" s="2">
        <f>_xlfn.XLOOKUP(Table9[[#This Row],[orderID]],orders[orderID],orders[orderDate],,0)</f>
        <v>41738</v>
      </c>
      <c r="C667">
        <f>_xlfn.XLOOKUP(A667,order_details[orderID],order_details[productID],,0)</f>
        <v>15</v>
      </c>
      <c r="D667" t="str">
        <f>_xlfn.XLOOKUP(C667,products[productID],products[productName],,0)</f>
        <v>Genen Shouyu</v>
      </c>
      <c r="E667" t="str">
        <f>_xlfn.XLOOKUP(_xlfn.XLOOKUP(Table9[[#This Row],[ProductName ]],products[productName],products[categoryID],,0),categories[categoryID],categories[categoryName],,0)</f>
        <v>Condiments</v>
      </c>
      <c r="F667">
        <v>8</v>
      </c>
      <c r="G667">
        <v>456</v>
      </c>
      <c r="H667">
        <v>5</v>
      </c>
      <c r="I667">
        <f>Table9[[#This Row],[quantity]]*Table9[[#This Row],[unitPrice]]*(1-Table9[[#This Row],[discount]]/100)</f>
        <v>3465.6</v>
      </c>
      <c r="J667" t="str">
        <f>_xlfn.XLOOKUP(_xlfn.XLOOKUP(A667,orders[orderID],orders[customerID],,0),customers__2[customerID],customers__2[companyName],,0)</f>
        <v>La maison d'Asie</v>
      </c>
      <c r="K667" t="str">
        <f>_xlfn.XLOOKUP(Table9[[#This Row],[Company Name]],customers__2[companyName],customers__2[country],,0)</f>
        <v>France</v>
      </c>
      <c r="L667">
        <f>MONTH(Table9[[#This Row],[OrderDate ]])</f>
        <v>4</v>
      </c>
      <c r="M667" t="str">
        <f>TEXT(Table9[[#This Row],[OrderDate ]],"mmm")</f>
        <v>Apr</v>
      </c>
      <c r="N667">
        <f>YEAR(Table9[[#This Row],[OrderDate ]])</f>
        <v>2014</v>
      </c>
    </row>
    <row r="668" spans="1:14" x14ac:dyDescent="0.3">
      <c r="A668">
        <v>10501</v>
      </c>
      <c r="B668" s="2">
        <f>_xlfn.XLOOKUP(Table9[[#This Row],[orderID]],orders[orderID],orders[orderDate],,0)</f>
        <v>41738</v>
      </c>
      <c r="C668">
        <f>_xlfn.XLOOKUP(A668,order_details[orderID],order_details[productID],,0)</f>
        <v>54</v>
      </c>
      <c r="D668" t="str">
        <f>_xlfn.XLOOKUP(C668,products[productID],products[productName],,0)</f>
        <v>Tourtière</v>
      </c>
      <c r="E668" t="str">
        <f>_xlfn.XLOOKUP(_xlfn.XLOOKUP(Table9[[#This Row],[ProductName ]],products[productName],products[categoryID],,0),categories[categoryID],categories[categoryName],,0)</f>
        <v>Meat &amp; Poultry</v>
      </c>
      <c r="F668">
        <v>20</v>
      </c>
      <c r="G668">
        <v>745</v>
      </c>
      <c r="H668">
        <v>0</v>
      </c>
      <c r="I668">
        <f>Table9[[#This Row],[quantity]]*Table9[[#This Row],[unitPrice]]*(1-Table9[[#This Row],[discount]]/100)</f>
        <v>14900</v>
      </c>
      <c r="J668" t="str">
        <f>_xlfn.XLOOKUP(_xlfn.XLOOKUP(A668,orders[orderID],orders[customerID],,0),customers__2[customerID],customers__2[companyName],,0)</f>
        <v>Blauer See Delikatessen</v>
      </c>
      <c r="K668" t="str">
        <f>_xlfn.XLOOKUP(Table9[[#This Row],[Company Name]],customers__2[companyName],customers__2[country],,0)</f>
        <v>Germany</v>
      </c>
      <c r="L668">
        <f>MONTH(Table9[[#This Row],[OrderDate ]])</f>
        <v>4</v>
      </c>
      <c r="M668" t="str">
        <f>TEXT(Table9[[#This Row],[OrderDate ]],"mmm")</f>
        <v>Apr</v>
      </c>
      <c r="N668">
        <f>YEAR(Table9[[#This Row],[OrderDate ]])</f>
        <v>2014</v>
      </c>
    </row>
    <row r="669" spans="1:14" x14ac:dyDescent="0.3">
      <c r="A669">
        <v>10502</v>
      </c>
      <c r="B669" s="2">
        <f>_xlfn.XLOOKUP(Table9[[#This Row],[orderID]],orders[orderID],orders[orderDate],,0)</f>
        <v>41739</v>
      </c>
      <c r="C669">
        <f>_xlfn.XLOOKUP(A669,order_details[orderID],order_details[productID],,0)</f>
        <v>45</v>
      </c>
      <c r="D669" t="str">
        <f>_xlfn.XLOOKUP(C669,products[productID],products[productName],,0)</f>
        <v>Rogede sild</v>
      </c>
      <c r="E669" t="str">
        <f>_xlfn.XLOOKUP(_xlfn.XLOOKUP(Table9[[#This Row],[ProductName ]],products[productName],products[categoryID],,0),categories[categoryID],categories[categoryName],,0)</f>
        <v>Seafood</v>
      </c>
      <c r="F669">
        <v>21</v>
      </c>
      <c r="G669">
        <v>95</v>
      </c>
      <c r="H669">
        <v>0</v>
      </c>
      <c r="I669">
        <f>Table9[[#This Row],[quantity]]*Table9[[#This Row],[unitPrice]]*(1-Table9[[#This Row],[discount]]/100)</f>
        <v>1995</v>
      </c>
      <c r="J669" t="str">
        <f>_xlfn.XLOOKUP(_xlfn.XLOOKUP(A669,orders[orderID],orders[customerID],,0),customers__2[customerID],customers__2[companyName],,0)</f>
        <v>Pericles Comidas clásicas</v>
      </c>
      <c r="K669" t="str">
        <f>_xlfn.XLOOKUP(Table9[[#This Row],[Company Name]],customers__2[companyName],customers__2[country],,0)</f>
        <v>Mexico</v>
      </c>
      <c r="L669">
        <f>MONTH(Table9[[#This Row],[OrderDate ]])</f>
        <v>4</v>
      </c>
      <c r="M669" t="str">
        <f>TEXT(Table9[[#This Row],[OrderDate ]],"mmm")</f>
        <v>Apr</v>
      </c>
      <c r="N669">
        <f>YEAR(Table9[[#This Row],[OrderDate ]])</f>
        <v>2014</v>
      </c>
    </row>
    <row r="670" spans="1:14" x14ac:dyDescent="0.3">
      <c r="A670">
        <v>10502</v>
      </c>
      <c r="B670" s="2">
        <f>_xlfn.XLOOKUP(Table9[[#This Row],[orderID]],orders[orderID],orders[orderDate],,0)</f>
        <v>41739</v>
      </c>
      <c r="C670">
        <f>_xlfn.XLOOKUP(A670,order_details[orderID],order_details[productID],,0)</f>
        <v>45</v>
      </c>
      <c r="D670" t="str">
        <f>_xlfn.XLOOKUP(C670,products[productID],products[productName],,0)</f>
        <v>Rogede sild</v>
      </c>
      <c r="E670" t="str">
        <f>_xlfn.XLOOKUP(_xlfn.XLOOKUP(Table9[[#This Row],[ProductName ]],products[productName],products[categoryID],,0),categories[categoryID],categories[categoryName],,0)</f>
        <v>Seafood</v>
      </c>
      <c r="F670">
        <v>6</v>
      </c>
      <c r="G670">
        <v>328</v>
      </c>
      <c r="H670">
        <v>0</v>
      </c>
      <c r="I670">
        <f>Table9[[#This Row],[quantity]]*Table9[[#This Row],[unitPrice]]*(1-Table9[[#This Row],[discount]]/100)</f>
        <v>1968</v>
      </c>
      <c r="J670" t="str">
        <f>_xlfn.XLOOKUP(_xlfn.XLOOKUP(A670,orders[orderID],orders[customerID],,0),customers__2[customerID],customers__2[companyName],,0)</f>
        <v>Pericles Comidas clásicas</v>
      </c>
      <c r="K670" t="str">
        <f>_xlfn.XLOOKUP(Table9[[#This Row],[Company Name]],customers__2[companyName],customers__2[country],,0)</f>
        <v>Mexico</v>
      </c>
      <c r="L670">
        <f>MONTH(Table9[[#This Row],[OrderDate ]])</f>
        <v>4</v>
      </c>
      <c r="M670" t="str">
        <f>TEXT(Table9[[#This Row],[OrderDate ]],"mmm")</f>
        <v>Apr</v>
      </c>
      <c r="N670">
        <f>YEAR(Table9[[#This Row],[OrderDate ]])</f>
        <v>2014</v>
      </c>
    </row>
    <row r="671" spans="1:14" x14ac:dyDescent="0.3">
      <c r="A671">
        <v>10502</v>
      </c>
      <c r="B671" s="2">
        <f>_xlfn.XLOOKUP(Table9[[#This Row],[orderID]],orders[orderID],orders[orderDate],,0)</f>
        <v>41739</v>
      </c>
      <c r="C671">
        <f>_xlfn.XLOOKUP(A671,order_details[orderID],order_details[productID],,0)</f>
        <v>45</v>
      </c>
      <c r="D671" t="str">
        <f>_xlfn.XLOOKUP(C671,products[productID],products[productName],,0)</f>
        <v>Rogede sild</v>
      </c>
      <c r="E671" t="str">
        <f>_xlfn.XLOOKUP(_xlfn.XLOOKUP(Table9[[#This Row],[ProductName ]],products[productName],products[categoryID],,0),categories[categoryID],categories[categoryName],,0)</f>
        <v>Seafood</v>
      </c>
      <c r="F671">
        <v>30</v>
      </c>
      <c r="G671">
        <v>14</v>
      </c>
      <c r="H671">
        <v>0</v>
      </c>
      <c r="I671">
        <f>Table9[[#This Row],[quantity]]*Table9[[#This Row],[unitPrice]]*(1-Table9[[#This Row],[discount]]/100)</f>
        <v>420</v>
      </c>
      <c r="J671" t="str">
        <f>_xlfn.XLOOKUP(_xlfn.XLOOKUP(A671,orders[orderID],orders[customerID],,0),customers__2[customerID],customers__2[companyName],,0)</f>
        <v>Pericles Comidas clásicas</v>
      </c>
      <c r="K671" t="str">
        <f>_xlfn.XLOOKUP(Table9[[#This Row],[Company Name]],customers__2[companyName],customers__2[country],,0)</f>
        <v>Mexico</v>
      </c>
      <c r="L671">
        <f>MONTH(Table9[[#This Row],[OrderDate ]])</f>
        <v>4</v>
      </c>
      <c r="M671" t="str">
        <f>TEXT(Table9[[#This Row],[OrderDate ]],"mmm")</f>
        <v>Apr</v>
      </c>
      <c r="N671">
        <f>YEAR(Table9[[#This Row],[OrderDate ]])</f>
        <v>2014</v>
      </c>
    </row>
    <row r="672" spans="1:14" x14ac:dyDescent="0.3">
      <c r="A672">
        <v>10503</v>
      </c>
      <c r="B672" s="2">
        <f>_xlfn.XLOOKUP(Table9[[#This Row],[orderID]],orders[orderID],orders[orderDate],,0)</f>
        <v>41740</v>
      </c>
      <c r="C672">
        <f>_xlfn.XLOOKUP(A672,order_details[orderID],order_details[productID],,0)</f>
        <v>14</v>
      </c>
      <c r="D672" t="str">
        <f>_xlfn.XLOOKUP(C672,products[productID],products[productName],,0)</f>
        <v>Tofu</v>
      </c>
      <c r="E672" t="str">
        <f>_xlfn.XLOOKUP(_xlfn.XLOOKUP(Table9[[#This Row],[ProductName ]],products[productName],products[categoryID],,0),categories[categoryID],categories[categoryName],,0)</f>
        <v>Produce</v>
      </c>
      <c r="F672">
        <v>70</v>
      </c>
      <c r="G672">
        <v>2325</v>
      </c>
      <c r="H672">
        <v>0</v>
      </c>
      <c r="I672">
        <f>Table9[[#This Row],[quantity]]*Table9[[#This Row],[unitPrice]]*(1-Table9[[#This Row],[discount]]/100)</f>
        <v>162750</v>
      </c>
      <c r="J672" t="str">
        <f>_xlfn.XLOOKUP(_xlfn.XLOOKUP(A672,orders[orderID],orders[customerID],,0),customers__2[customerID],customers__2[companyName],,0)</f>
        <v>Hungry Owl All-Night Grocers</v>
      </c>
      <c r="K672" t="str">
        <f>_xlfn.XLOOKUP(Table9[[#This Row],[Company Name]],customers__2[companyName],customers__2[country],,0)</f>
        <v>Ireland</v>
      </c>
      <c r="L672">
        <f>MONTH(Table9[[#This Row],[OrderDate ]])</f>
        <v>4</v>
      </c>
      <c r="M672" t="str">
        <f>TEXT(Table9[[#This Row],[OrderDate ]],"mmm")</f>
        <v>Apr</v>
      </c>
      <c r="N672">
        <f>YEAR(Table9[[#This Row],[OrderDate ]])</f>
        <v>2014</v>
      </c>
    </row>
    <row r="673" spans="1:14" x14ac:dyDescent="0.3">
      <c r="A673">
        <v>10503</v>
      </c>
      <c r="B673" s="2">
        <f>_xlfn.XLOOKUP(Table9[[#This Row],[orderID]],orders[orderID],orders[orderDate],,0)</f>
        <v>41740</v>
      </c>
      <c r="C673">
        <f>_xlfn.XLOOKUP(A673,order_details[orderID],order_details[productID],,0)</f>
        <v>14</v>
      </c>
      <c r="D673" t="str">
        <f>_xlfn.XLOOKUP(C673,products[productID],products[productName],,0)</f>
        <v>Tofu</v>
      </c>
      <c r="E673" t="str">
        <f>_xlfn.XLOOKUP(_xlfn.XLOOKUP(Table9[[#This Row],[ProductName ]],products[productName],products[categoryID],,0),categories[categoryID],categories[categoryName],,0)</f>
        <v>Produce</v>
      </c>
      <c r="F673">
        <v>20</v>
      </c>
      <c r="G673">
        <v>2105</v>
      </c>
      <c r="H673">
        <v>0</v>
      </c>
      <c r="I673">
        <f>Table9[[#This Row],[quantity]]*Table9[[#This Row],[unitPrice]]*(1-Table9[[#This Row],[discount]]/100)</f>
        <v>42100</v>
      </c>
      <c r="J673" t="str">
        <f>_xlfn.XLOOKUP(_xlfn.XLOOKUP(A673,orders[orderID],orders[customerID],,0),customers__2[customerID],customers__2[companyName],,0)</f>
        <v>Hungry Owl All-Night Grocers</v>
      </c>
      <c r="K673" t="str">
        <f>_xlfn.XLOOKUP(Table9[[#This Row],[Company Name]],customers__2[companyName],customers__2[country],,0)</f>
        <v>Ireland</v>
      </c>
      <c r="L673">
        <f>MONTH(Table9[[#This Row],[OrderDate ]])</f>
        <v>4</v>
      </c>
      <c r="M673" t="str">
        <f>TEXT(Table9[[#This Row],[OrderDate ]],"mmm")</f>
        <v>Apr</v>
      </c>
      <c r="N673">
        <f>YEAR(Table9[[#This Row],[OrderDate ]])</f>
        <v>2014</v>
      </c>
    </row>
    <row r="674" spans="1:14" x14ac:dyDescent="0.3">
      <c r="A674">
        <v>10504</v>
      </c>
      <c r="B674" s="2">
        <f>_xlfn.XLOOKUP(Table9[[#This Row],[orderID]],orders[orderID],orders[orderDate],,0)</f>
        <v>41740</v>
      </c>
      <c r="C674">
        <f>_xlfn.XLOOKUP(A674,order_details[orderID],order_details[productID],,0)</f>
        <v>2</v>
      </c>
      <c r="D674" t="str">
        <f>_xlfn.XLOOKUP(C674,products[productID],products[productName],,0)</f>
        <v>Chang</v>
      </c>
      <c r="E674" t="str">
        <f>_xlfn.XLOOKUP(_xlfn.XLOOKUP(Table9[[#This Row],[ProductName ]],products[productName],products[categoryID],,0),categories[categoryID],categories[categoryName],,0)</f>
        <v>Beverages</v>
      </c>
      <c r="F674">
        <v>12</v>
      </c>
      <c r="G674">
        <v>19</v>
      </c>
      <c r="H674">
        <v>0</v>
      </c>
      <c r="I674">
        <f>Table9[[#This Row],[quantity]]*Table9[[#This Row],[unitPrice]]*(1-Table9[[#This Row],[discount]]/100)</f>
        <v>228</v>
      </c>
      <c r="J674" t="str">
        <f>_xlfn.XLOOKUP(_xlfn.XLOOKUP(A674,orders[orderID],orders[customerID],,0),customers__2[customerID],customers__2[companyName],,0)</f>
        <v>White Clover Markets</v>
      </c>
      <c r="K674" t="str">
        <f>_xlfn.XLOOKUP(Table9[[#This Row],[Company Name]],customers__2[companyName],customers__2[country],,0)</f>
        <v>USA</v>
      </c>
      <c r="L674">
        <f>MONTH(Table9[[#This Row],[OrderDate ]])</f>
        <v>4</v>
      </c>
      <c r="M674" t="str">
        <f>TEXT(Table9[[#This Row],[OrderDate ]],"mmm")</f>
        <v>Apr</v>
      </c>
      <c r="N674">
        <f>YEAR(Table9[[#This Row],[OrderDate ]])</f>
        <v>2014</v>
      </c>
    </row>
    <row r="675" spans="1:14" x14ac:dyDescent="0.3">
      <c r="A675">
        <v>10504</v>
      </c>
      <c r="B675" s="2">
        <f>_xlfn.XLOOKUP(Table9[[#This Row],[orderID]],orders[orderID],orders[orderDate],,0)</f>
        <v>41740</v>
      </c>
      <c r="C675">
        <f>_xlfn.XLOOKUP(A675,order_details[orderID],order_details[productID],,0)</f>
        <v>2</v>
      </c>
      <c r="D675" t="str">
        <f>_xlfn.XLOOKUP(C675,products[productID],products[productName],,0)</f>
        <v>Chang</v>
      </c>
      <c r="E675" t="str">
        <f>_xlfn.XLOOKUP(_xlfn.XLOOKUP(Table9[[#This Row],[ProductName ]],products[productName],products[categoryID],,0),categories[categoryID],categories[categoryName],,0)</f>
        <v>Beverages</v>
      </c>
      <c r="F675">
        <v>12</v>
      </c>
      <c r="G675">
        <v>10</v>
      </c>
      <c r="H675">
        <v>0</v>
      </c>
      <c r="I675">
        <f>Table9[[#This Row],[quantity]]*Table9[[#This Row],[unitPrice]]*(1-Table9[[#This Row],[discount]]/100)</f>
        <v>120</v>
      </c>
      <c r="J675" t="str">
        <f>_xlfn.XLOOKUP(_xlfn.XLOOKUP(A675,orders[orderID],orders[customerID],,0),customers__2[customerID],customers__2[companyName],,0)</f>
        <v>White Clover Markets</v>
      </c>
      <c r="K675" t="str">
        <f>_xlfn.XLOOKUP(Table9[[#This Row],[Company Name]],customers__2[companyName],customers__2[country],,0)</f>
        <v>USA</v>
      </c>
      <c r="L675">
        <f>MONTH(Table9[[#This Row],[OrderDate ]])</f>
        <v>4</v>
      </c>
      <c r="M675" t="str">
        <f>TEXT(Table9[[#This Row],[OrderDate ]],"mmm")</f>
        <v>Apr</v>
      </c>
      <c r="N675">
        <f>YEAR(Table9[[#This Row],[OrderDate ]])</f>
        <v>2014</v>
      </c>
    </row>
    <row r="676" spans="1:14" x14ac:dyDescent="0.3">
      <c r="A676">
        <v>10504</v>
      </c>
      <c r="B676" s="2">
        <f>_xlfn.XLOOKUP(Table9[[#This Row],[orderID]],orders[orderID],orders[orderDate],,0)</f>
        <v>41740</v>
      </c>
      <c r="C676">
        <f>_xlfn.XLOOKUP(A676,order_details[orderID],order_details[productID],,0)</f>
        <v>2</v>
      </c>
      <c r="D676" t="str">
        <f>_xlfn.XLOOKUP(C676,products[productID],products[productName],,0)</f>
        <v>Chang</v>
      </c>
      <c r="E676" t="str">
        <f>_xlfn.XLOOKUP(_xlfn.XLOOKUP(Table9[[#This Row],[ProductName ]],products[productName],products[categoryID],,0),categories[categoryID],categories[categoryName],,0)</f>
        <v>Beverages</v>
      </c>
      <c r="F676">
        <v>10</v>
      </c>
      <c r="G676">
        <v>328</v>
      </c>
      <c r="H676">
        <v>0</v>
      </c>
      <c r="I676">
        <f>Table9[[#This Row],[quantity]]*Table9[[#This Row],[unitPrice]]*(1-Table9[[#This Row],[discount]]/100)</f>
        <v>3280</v>
      </c>
      <c r="J676" t="str">
        <f>_xlfn.XLOOKUP(_xlfn.XLOOKUP(A676,orders[orderID],orders[customerID],,0),customers__2[customerID],customers__2[companyName],,0)</f>
        <v>White Clover Markets</v>
      </c>
      <c r="K676" t="str">
        <f>_xlfn.XLOOKUP(Table9[[#This Row],[Company Name]],customers__2[companyName],customers__2[country],,0)</f>
        <v>USA</v>
      </c>
      <c r="L676">
        <f>MONTH(Table9[[#This Row],[OrderDate ]])</f>
        <v>4</v>
      </c>
      <c r="M676" t="str">
        <f>TEXT(Table9[[#This Row],[OrderDate ]],"mmm")</f>
        <v>Apr</v>
      </c>
      <c r="N676">
        <f>YEAR(Table9[[#This Row],[OrderDate ]])</f>
        <v>2014</v>
      </c>
    </row>
    <row r="677" spans="1:14" x14ac:dyDescent="0.3">
      <c r="A677">
        <v>10504</v>
      </c>
      <c r="B677" s="2">
        <f>_xlfn.XLOOKUP(Table9[[#This Row],[orderID]],orders[orderID],orders[orderDate],,0)</f>
        <v>41740</v>
      </c>
      <c r="C677">
        <f>_xlfn.XLOOKUP(A677,order_details[orderID],order_details[productID],,0)</f>
        <v>2</v>
      </c>
      <c r="D677" t="str">
        <f>_xlfn.XLOOKUP(C677,products[productID],products[productName],,0)</f>
        <v>Chang</v>
      </c>
      <c r="E677" t="str">
        <f>_xlfn.XLOOKUP(_xlfn.XLOOKUP(Table9[[#This Row],[ProductName ]],products[productName],products[categoryID],,0),categories[categoryID],categories[categoryName],,0)</f>
        <v>Beverages</v>
      </c>
      <c r="F677">
        <v>25</v>
      </c>
      <c r="G677">
        <v>285</v>
      </c>
      <c r="H677">
        <v>0</v>
      </c>
      <c r="I677">
        <f>Table9[[#This Row],[quantity]]*Table9[[#This Row],[unitPrice]]*(1-Table9[[#This Row],[discount]]/100)</f>
        <v>7125</v>
      </c>
      <c r="J677" t="str">
        <f>_xlfn.XLOOKUP(_xlfn.XLOOKUP(A677,orders[orderID],orders[customerID],,0),customers__2[customerID],customers__2[companyName],,0)</f>
        <v>White Clover Markets</v>
      </c>
      <c r="K677" t="str">
        <f>_xlfn.XLOOKUP(Table9[[#This Row],[Company Name]],customers__2[companyName],customers__2[country],,0)</f>
        <v>USA</v>
      </c>
      <c r="L677">
        <f>MONTH(Table9[[#This Row],[OrderDate ]])</f>
        <v>4</v>
      </c>
      <c r="M677" t="str">
        <f>TEXT(Table9[[#This Row],[OrderDate ]],"mmm")</f>
        <v>Apr</v>
      </c>
      <c r="N677">
        <f>YEAR(Table9[[#This Row],[OrderDate ]])</f>
        <v>2014</v>
      </c>
    </row>
    <row r="678" spans="1:14" x14ac:dyDescent="0.3">
      <c r="A678">
        <v>10505</v>
      </c>
      <c r="B678" s="2">
        <f>_xlfn.XLOOKUP(Table9[[#This Row],[orderID]],orders[orderID],orders[orderDate],,0)</f>
        <v>41743</v>
      </c>
      <c r="C678">
        <f>_xlfn.XLOOKUP(A678,order_details[orderID],order_details[productID],,0)</f>
        <v>62</v>
      </c>
      <c r="D678" t="str">
        <f>_xlfn.XLOOKUP(C678,products[productID],products[productName],,0)</f>
        <v>Tarte au sucre</v>
      </c>
      <c r="E678" t="str">
        <f>_xlfn.XLOOKUP(_xlfn.XLOOKUP(Table9[[#This Row],[ProductName ]],products[productName],products[categoryID],,0),categories[categoryID],categories[categoryName],,0)</f>
        <v>Confections</v>
      </c>
      <c r="F678">
        <v>3</v>
      </c>
      <c r="G678">
        <v>493</v>
      </c>
      <c r="H678">
        <v>0</v>
      </c>
      <c r="I678">
        <f>Table9[[#This Row],[quantity]]*Table9[[#This Row],[unitPrice]]*(1-Table9[[#This Row],[discount]]/100)</f>
        <v>1479</v>
      </c>
      <c r="J678" t="str">
        <f>_xlfn.XLOOKUP(_xlfn.XLOOKUP(A678,orders[orderID],orders[customerID],,0),customers__2[customerID],customers__2[companyName],,0)</f>
        <v>Mère Paillarde</v>
      </c>
      <c r="K678" t="str">
        <f>_xlfn.XLOOKUP(Table9[[#This Row],[Company Name]],customers__2[companyName],customers__2[country],,0)</f>
        <v>Canada</v>
      </c>
      <c r="L678">
        <f>MONTH(Table9[[#This Row],[OrderDate ]])</f>
        <v>4</v>
      </c>
      <c r="M678" t="str">
        <f>TEXT(Table9[[#This Row],[OrderDate ]],"mmm")</f>
        <v>Apr</v>
      </c>
      <c r="N678">
        <f>YEAR(Table9[[#This Row],[OrderDate ]])</f>
        <v>2014</v>
      </c>
    </row>
    <row r="679" spans="1:14" x14ac:dyDescent="0.3">
      <c r="A679">
        <v>10506</v>
      </c>
      <c r="B679" s="2">
        <f>_xlfn.XLOOKUP(Table9[[#This Row],[orderID]],orders[orderID],orders[orderDate],,0)</f>
        <v>41744</v>
      </c>
      <c r="C679">
        <f>_xlfn.XLOOKUP(A679,order_details[orderID],order_details[productID],,0)</f>
        <v>25</v>
      </c>
      <c r="D679" t="str">
        <f>_xlfn.XLOOKUP(C679,products[productID],products[productName],,0)</f>
        <v>NuNuCa Nuß-Nougat-Creme</v>
      </c>
      <c r="E679" t="str">
        <f>_xlfn.XLOOKUP(_xlfn.XLOOKUP(Table9[[#This Row],[ProductName ]],products[productName],products[categoryID],,0),categories[categoryID],categories[categoryName],,0)</f>
        <v>Confections</v>
      </c>
      <c r="F679">
        <v>18</v>
      </c>
      <c r="G679">
        <v>14</v>
      </c>
      <c r="H679">
        <v>1</v>
      </c>
      <c r="I679">
        <f>Table9[[#This Row],[quantity]]*Table9[[#This Row],[unitPrice]]*(1-Table9[[#This Row],[discount]]/100)</f>
        <v>249.48</v>
      </c>
      <c r="J679" t="str">
        <f>_xlfn.XLOOKUP(_xlfn.XLOOKUP(A679,orders[orderID],orders[customerID],,0),customers__2[customerID],customers__2[companyName],,0)</f>
        <v>Königlich Essen</v>
      </c>
      <c r="K679" t="str">
        <f>_xlfn.XLOOKUP(Table9[[#This Row],[Company Name]],customers__2[companyName],customers__2[country],,0)</f>
        <v>Germany</v>
      </c>
      <c r="L679">
        <f>MONTH(Table9[[#This Row],[OrderDate ]])</f>
        <v>4</v>
      </c>
      <c r="M679" t="str">
        <f>TEXT(Table9[[#This Row],[OrderDate ]],"mmm")</f>
        <v>Apr</v>
      </c>
      <c r="N679">
        <f>YEAR(Table9[[#This Row],[OrderDate ]])</f>
        <v>2014</v>
      </c>
    </row>
    <row r="680" spans="1:14" x14ac:dyDescent="0.3">
      <c r="A680">
        <v>10506</v>
      </c>
      <c r="B680" s="2">
        <f>_xlfn.XLOOKUP(Table9[[#This Row],[orderID]],orders[orderID],orders[orderDate],,0)</f>
        <v>41744</v>
      </c>
      <c r="C680">
        <f>_xlfn.XLOOKUP(A680,order_details[orderID],order_details[productID],,0)</f>
        <v>25</v>
      </c>
      <c r="D680" t="str">
        <f>_xlfn.XLOOKUP(C680,products[productID],products[productName],,0)</f>
        <v>NuNuCa Nuß-Nougat-Creme</v>
      </c>
      <c r="E680" t="str">
        <f>_xlfn.XLOOKUP(_xlfn.XLOOKUP(Table9[[#This Row],[ProductName ]],products[productName],products[categoryID],,0),categories[categoryID],categories[categoryName],,0)</f>
        <v>Confections</v>
      </c>
      <c r="F680">
        <v>14</v>
      </c>
      <c r="G680">
        <v>15</v>
      </c>
      <c r="H680">
        <v>1</v>
      </c>
      <c r="I680">
        <f>Table9[[#This Row],[quantity]]*Table9[[#This Row],[unitPrice]]*(1-Table9[[#This Row],[discount]]/100)</f>
        <v>207.9</v>
      </c>
      <c r="J680" t="str">
        <f>_xlfn.XLOOKUP(_xlfn.XLOOKUP(A680,orders[orderID],orders[customerID],,0),customers__2[customerID],customers__2[companyName],,0)</f>
        <v>Königlich Essen</v>
      </c>
      <c r="K680" t="str">
        <f>_xlfn.XLOOKUP(Table9[[#This Row],[Company Name]],customers__2[companyName],customers__2[country],,0)</f>
        <v>Germany</v>
      </c>
      <c r="L680">
        <f>MONTH(Table9[[#This Row],[OrderDate ]])</f>
        <v>4</v>
      </c>
      <c r="M680" t="str">
        <f>TEXT(Table9[[#This Row],[OrderDate ]],"mmm")</f>
        <v>Apr</v>
      </c>
      <c r="N680">
        <f>YEAR(Table9[[#This Row],[OrderDate ]])</f>
        <v>2014</v>
      </c>
    </row>
    <row r="681" spans="1:14" x14ac:dyDescent="0.3">
      <c r="A681">
        <v>10507</v>
      </c>
      <c r="B681" s="2">
        <f>_xlfn.XLOOKUP(Table9[[#This Row],[orderID]],orders[orderID],orders[orderDate],,0)</f>
        <v>41744</v>
      </c>
      <c r="C681">
        <f>_xlfn.XLOOKUP(A681,order_details[orderID],order_details[productID],,0)</f>
        <v>43</v>
      </c>
      <c r="D681" t="str">
        <f>_xlfn.XLOOKUP(C681,products[productID],products[productName],,0)</f>
        <v>Ipoh Coffee</v>
      </c>
      <c r="E681" t="str">
        <f>_xlfn.XLOOKUP(_xlfn.XLOOKUP(Table9[[#This Row],[ProductName ]],products[productName],products[categoryID],,0),categories[categoryID],categories[categoryName],,0)</f>
        <v>Beverages</v>
      </c>
      <c r="F681">
        <v>15</v>
      </c>
      <c r="G681">
        <v>46</v>
      </c>
      <c r="H681">
        <v>15</v>
      </c>
      <c r="I681">
        <f>Table9[[#This Row],[quantity]]*Table9[[#This Row],[unitPrice]]*(1-Table9[[#This Row],[discount]]/100)</f>
        <v>586.5</v>
      </c>
      <c r="J681" t="str">
        <f>_xlfn.XLOOKUP(_xlfn.XLOOKUP(A681,orders[orderID],orders[customerID],,0),customers__2[customerID],customers__2[companyName],,0)</f>
        <v>Antonio Moreno Taquería</v>
      </c>
      <c r="K681" t="str">
        <f>_xlfn.XLOOKUP(Table9[[#This Row],[Company Name]],customers__2[companyName],customers__2[country],,0)</f>
        <v>Mexico</v>
      </c>
      <c r="L681">
        <f>MONTH(Table9[[#This Row],[OrderDate ]])</f>
        <v>4</v>
      </c>
      <c r="M681" t="str">
        <f>TEXT(Table9[[#This Row],[OrderDate ]],"mmm")</f>
        <v>Apr</v>
      </c>
      <c r="N681">
        <f>YEAR(Table9[[#This Row],[OrderDate ]])</f>
        <v>2014</v>
      </c>
    </row>
    <row r="682" spans="1:14" x14ac:dyDescent="0.3">
      <c r="A682">
        <v>10507</v>
      </c>
      <c r="B682" s="2">
        <f>_xlfn.XLOOKUP(Table9[[#This Row],[orderID]],orders[orderID],orders[orderDate],,0)</f>
        <v>41744</v>
      </c>
      <c r="C682">
        <f>_xlfn.XLOOKUP(A682,order_details[orderID],order_details[productID],,0)</f>
        <v>43</v>
      </c>
      <c r="D682" t="str">
        <f>_xlfn.XLOOKUP(C682,products[productID],products[productName],,0)</f>
        <v>Ipoh Coffee</v>
      </c>
      <c r="E682" t="str">
        <f>_xlfn.XLOOKUP(_xlfn.XLOOKUP(Table9[[#This Row],[ProductName ]],products[productName],products[categoryID],,0),categories[categoryID],categories[categoryName],,0)</f>
        <v>Beverages</v>
      </c>
      <c r="F682">
        <v>15</v>
      </c>
      <c r="G682">
        <v>1275</v>
      </c>
      <c r="H682">
        <v>15</v>
      </c>
      <c r="I682">
        <f>Table9[[#This Row],[quantity]]*Table9[[#This Row],[unitPrice]]*(1-Table9[[#This Row],[discount]]/100)</f>
        <v>16256.25</v>
      </c>
      <c r="J682" t="str">
        <f>_xlfn.XLOOKUP(_xlfn.XLOOKUP(A682,orders[orderID],orders[customerID],,0),customers__2[customerID],customers__2[companyName],,0)</f>
        <v>Antonio Moreno Taquería</v>
      </c>
      <c r="K682" t="str">
        <f>_xlfn.XLOOKUP(Table9[[#This Row],[Company Name]],customers__2[companyName],customers__2[country],,0)</f>
        <v>Mexico</v>
      </c>
      <c r="L682">
        <f>MONTH(Table9[[#This Row],[OrderDate ]])</f>
        <v>4</v>
      </c>
      <c r="M682" t="str">
        <f>TEXT(Table9[[#This Row],[OrderDate ]],"mmm")</f>
        <v>Apr</v>
      </c>
      <c r="N682">
        <f>YEAR(Table9[[#This Row],[OrderDate ]])</f>
        <v>2014</v>
      </c>
    </row>
    <row r="683" spans="1:14" x14ac:dyDescent="0.3">
      <c r="A683">
        <v>10508</v>
      </c>
      <c r="B683" s="2">
        <f>_xlfn.XLOOKUP(Table9[[#This Row],[orderID]],orders[orderID],orders[orderDate],,0)</f>
        <v>41745</v>
      </c>
      <c r="C683">
        <f>_xlfn.XLOOKUP(A683,order_details[orderID],order_details[productID],,0)</f>
        <v>13</v>
      </c>
      <c r="D683" t="str">
        <f>_xlfn.XLOOKUP(C683,products[productID],products[productName],,0)</f>
        <v>Konbu</v>
      </c>
      <c r="E683" t="str">
        <f>_xlfn.XLOOKUP(_xlfn.XLOOKUP(Table9[[#This Row],[ProductName ]],products[productName],products[categoryID],,0),categories[categoryID],categories[categoryName],,0)</f>
        <v>Seafood</v>
      </c>
      <c r="F683">
        <v>10</v>
      </c>
      <c r="G683">
        <v>6</v>
      </c>
      <c r="H683">
        <v>0</v>
      </c>
      <c r="I683">
        <f>Table9[[#This Row],[quantity]]*Table9[[#This Row],[unitPrice]]*(1-Table9[[#This Row],[discount]]/100)</f>
        <v>60</v>
      </c>
      <c r="J683" t="str">
        <f>_xlfn.XLOOKUP(_xlfn.XLOOKUP(A683,orders[orderID],orders[customerID],,0),customers__2[customerID],customers__2[companyName],,0)</f>
        <v>Ottilies Käseladen</v>
      </c>
      <c r="K683" t="str">
        <f>_xlfn.XLOOKUP(Table9[[#This Row],[Company Name]],customers__2[companyName],customers__2[country],,0)</f>
        <v>Germany</v>
      </c>
      <c r="L683">
        <f>MONTH(Table9[[#This Row],[OrderDate ]])</f>
        <v>4</v>
      </c>
      <c r="M683" t="str">
        <f>TEXT(Table9[[#This Row],[OrderDate ]],"mmm")</f>
        <v>Apr</v>
      </c>
      <c r="N683">
        <f>YEAR(Table9[[#This Row],[OrderDate ]])</f>
        <v>2014</v>
      </c>
    </row>
    <row r="684" spans="1:14" x14ac:dyDescent="0.3">
      <c r="A684">
        <v>10508</v>
      </c>
      <c r="B684" s="2">
        <f>_xlfn.XLOOKUP(Table9[[#This Row],[orderID]],orders[orderID],orders[orderDate],,0)</f>
        <v>41745</v>
      </c>
      <c r="C684">
        <f>_xlfn.XLOOKUP(A684,order_details[orderID],order_details[productID],,0)</f>
        <v>13</v>
      </c>
      <c r="D684" t="str">
        <f>_xlfn.XLOOKUP(C684,products[productID],products[productName],,0)</f>
        <v>Konbu</v>
      </c>
      <c r="E684" t="str">
        <f>_xlfn.XLOOKUP(_xlfn.XLOOKUP(Table9[[#This Row],[ProductName ]],products[productName],products[categoryID],,0),categories[categoryID],categories[categoryName],,0)</f>
        <v>Seafood</v>
      </c>
      <c r="F684">
        <v>10</v>
      </c>
      <c r="G684">
        <v>18</v>
      </c>
      <c r="H684">
        <v>0</v>
      </c>
      <c r="I684">
        <f>Table9[[#This Row],[quantity]]*Table9[[#This Row],[unitPrice]]*(1-Table9[[#This Row],[discount]]/100)</f>
        <v>180</v>
      </c>
      <c r="J684" t="str">
        <f>_xlfn.XLOOKUP(_xlfn.XLOOKUP(A684,orders[orderID],orders[customerID],,0),customers__2[customerID],customers__2[companyName],,0)</f>
        <v>Ottilies Käseladen</v>
      </c>
      <c r="K684" t="str">
        <f>_xlfn.XLOOKUP(Table9[[#This Row],[Company Name]],customers__2[companyName],customers__2[country],,0)</f>
        <v>Germany</v>
      </c>
      <c r="L684">
        <f>MONTH(Table9[[#This Row],[OrderDate ]])</f>
        <v>4</v>
      </c>
      <c r="M684" t="str">
        <f>TEXT(Table9[[#This Row],[OrderDate ]],"mmm")</f>
        <v>Apr</v>
      </c>
      <c r="N684">
        <f>YEAR(Table9[[#This Row],[OrderDate ]])</f>
        <v>2014</v>
      </c>
    </row>
    <row r="685" spans="1:14" x14ac:dyDescent="0.3">
      <c r="A685">
        <v>10509</v>
      </c>
      <c r="B685" s="2">
        <f>_xlfn.XLOOKUP(Table9[[#This Row],[orderID]],orders[orderID],orders[orderDate],,0)</f>
        <v>41746</v>
      </c>
      <c r="C685">
        <f>_xlfn.XLOOKUP(A685,order_details[orderID],order_details[productID],,0)</f>
        <v>28</v>
      </c>
      <c r="D685" t="str">
        <f>_xlfn.XLOOKUP(C685,products[productID],products[productName],,0)</f>
        <v>Rössle Sauerkraut</v>
      </c>
      <c r="E685" t="str">
        <f>_xlfn.XLOOKUP(_xlfn.XLOOKUP(Table9[[#This Row],[ProductName ]],products[productName],products[categoryID],,0),categories[categoryID],categories[categoryName],,0)</f>
        <v>Produce</v>
      </c>
      <c r="F685">
        <v>3</v>
      </c>
      <c r="G685">
        <v>456</v>
      </c>
      <c r="H685">
        <v>0</v>
      </c>
      <c r="I685">
        <f>Table9[[#This Row],[quantity]]*Table9[[#This Row],[unitPrice]]*(1-Table9[[#This Row],[discount]]/100)</f>
        <v>1368</v>
      </c>
      <c r="J685" t="str">
        <f>_xlfn.XLOOKUP(_xlfn.XLOOKUP(A685,orders[orderID],orders[customerID],,0),customers__2[customerID],customers__2[companyName],,0)</f>
        <v>Blauer See Delikatessen</v>
      </c>
      <c r="K685" t="str">
        <f>_xlfn.XLOOKUP(Table9[[#This Row],[Company Name]],customers__2[companyName],customers__2[country],,0)</f>
        <v>Germany</v>
      </c>
      <c r="L685">
        <f>MONTH(Table9[[#This Row],[OrderDate ]])</f>
        <v>4</v>
      </c>
      <c r="M685" t="str">
        <f>TEXT(Table9[[#This Row],[OrderDate ]],"mmm")</f>
        <v>Apr</v>
      </c>
      <c r="N685">
        <f>YEAR(Table9[[#This Row],[OrderDate ]])</f>
        <v>2014</v>
      </c>
    </row>
    <row r="686" spans="1:14" x14ac:dyDescent="0.3">
      <c r="A686">
        <v>10510</v>
      </c>
      <c r="B686" s="2">
        <f>_xlfn.XLOOKUP(Table9[[#This Row],[orderID]],orders[orderID],orders[orderDate],,0)</f>
        <v>41747</v>
      </c>
      <c r="C686">
        <f>_xlfn.XLOOKUP(A686,order_details[orderID],order_details[productID],,0)</f>
        <v>29</v>
      </c>
      <c r="D686" t="str">
        <f>_xlfn.XLOOKUP(C686,products[productID],products[productName],,0)</f>
        <v>Thüringer Rostbratwurst</v>
      </c>
      <c r="E686" t="str">
        <f>_xlfn.XLOOKUP(_xlfn.XLOOKUP(Table9[[#This Row],[ProductName ]],products[productName],products[categoryID],,0),categories[categoryID],categories[categoryName],,0)</f>
        <v>Meat &amp; Poultry</v>
      </c>
      <c r="F686">
        <v>36</v>
      </c>
      <c r="G686">
        <v>12379</v>
      </c>
      <c r="H686">
        <v>0</v>
      </c>
      <c r="I686">
        <f>Table9[[#This Row],[quantity]]*Table9[[#This Row],[unitPrice]]*(1-Table9[[#This Row],[discount]]/100)</f>
        <v>445644</v>
      </c>
      <c r="J686" t="str">
        <f>_xlfn.XLOOKUP(_xlfn.XLOOKUP(A686,orders[orderID],orders[customerID],,0),customers__2[customerID],customers__2[companyName],,0)</f>
        <v>Save-a-lot Markets</v>
      </c>
      <c r="K686" t="str">
        <f>_xlfn.XLOOKUP(Table9[[#This Row],[Company Name]],customers__2[companyName],customers__2[country],,0)</f>
        <v>USA</v>
      </c>
      <c r="L686">
        <f>MONTH(Table9[[#This Row],[OrderDate ]])</f>
        <v>4</v>
      </c>
      <c r="M686" t="str">
        <f>TEXT(Table9[[#This Row],[OrderDate ]],"mmm")</f>
        <v>Apr</v>
      </c>
      <c r="N686">
        <f>YEAR(Table9[[#This Row],[OrderDate ]])</f>
        <v>2014</v>
      </c>
    </row>
    <row r="687" spans="1:14" x14ac:dyDescent="0.3">
      <c r="A687">
        <v>10510</v>
      </c>
      <c r="B687" s="2">
        <f>_xlfn.XLOOKUP(Table9[[#This Row],[orderID]],orders[orderID],orders[orderDate],,0)</f>
        <v>41747</v>
      </c>
      <c r="C687">
        <f>_xlfn.XLOOKUP(A687,order_details[orderID],order_details[productID],,0)</f>
        <v>29</v>
      </c>
      <c r="D687" t="str">
        <f>_xlfn.XLOOKUP(C687,products[productID],products[productName],,0)</f>
        <v>Thüringer Rostbratwurst</v>
      </c>
      <c r="E687" t="str">
        <f>_xlfn.XLOOKUP(_xlfn.XLOOKUP(Table9[[#This Row],[ProductName ]],products[productName],products[categoryID],,0),categories[categoryID],categories[categoryName],,0)</f>
        <v>Meat &amp; Poultry</v>
      </c>
      <c r="F687">
        <v>36</v>
      </c>
      <c r="G687">
        <v>775</v>
      </c>
      <c r="H687">
        <v>1</v>
      </c>
      <c r="I687">
        <f>Table9[[#This Row],[quantity]]*Table9[[#This Row],[unitPrice]]*(1-Table9[[#This Row],[discount]]/100)</f>
        <v>27621</v>
      </c>
      <c r="J687" t="str">
        <f>_xlfn.XLOOKUP(_xlfn.XLOOKUP(A687,orders[orderID],orders[customerID],,0),customers__2[customerID],customers__2[companyName],,0)</f>
        <v>Save-a-lot Markets</v>
      </c>
      <c r="K687" t="str">
        <f>_xlfn.XLOOKUP(Table9[[#This Row],[Company Name]],customers__2[companyName],customers__2[country],,0)</f>
        <v>USA</v>
      </c>
      <c r="L687">
        <f>MONTH(Table9[[#This Row],[OrderDate ]])</f>
        <v>4</v>
      </c>
      <c r="M687" t="str">
        <f>TEXT(Table9[[#This Row],[OrderDate ]],"mmm")</f>
        <v>Apr</v>
      </c>
      <c r="N687">
        <f>YEAR(Table9[[#This Row],[OrderDate ]])</f>
        <v>2014</v>
      </c>
    </row>
    <row r="688" spans="1:14" x14ac:dyDescent="0.3">
      <c r="A688">
        <v>10511</v>
      </c>
      <c r="B688" s="2">
        <f>_xlfn.XLOOKUP(Table9[[#This Row],[orderID]],orders[orderID],orders[orderDate],,0)</f>
        <v>41747</v>
      </c>
      <c r="C688">
        <f>_xlfn.XLOOKUP(A688,order_details[orderID],order_details[productID],,0)</f>
        <v>4</v>
      </c>
      <c r="D688" t="str">
        <f>_xlfn.XLOOKUP(C688,products[productID],products[productName],,0)</f>
        <v>Chef Anton's Cajun Seasoning</v>
      </c>
      <c r="E688" t="str">
        <f>_xlfn.XLOOKUP(_xlfn.XLOOKUP(Table9[[#This Row],[ProductName ]],products[productName],products[categoryID],,0),categories[categoryID],categories[categoryName],,0)</f>
        <v>Condiments</v>
      </c>
      <c r="F688">
        <v>50</v>
      </c>
      <c r="G688">
        <v>22</v>
      </c>
      <c r="H688">
        <v>15</v>
      </c>
      <c r="I688">
        <f>Table9[[#This Row],[quantity]]*Table9[[#This Row],[unitPrice]]*(1-Table9[[#This Row],[discount]]/100)</f>
        <v>935</v>
      </c>
      <c r="J688" t="str">
        <f>_xlfn.XLOOKUP(_xlfn.XLOOKUP(A688,orders[orderID],orders[customerID],,0),customers__2[customerID],customers__2[companyName],,0)</f>
        <v>Bon app'</v>
      </c>
      <c r="K688" t="str">
        <f>_xlfn.XLOOKUP(Table9[[#This Row],[Company Name]],customers__2[companyName],customers__2[country],,0)</f>
        <v>France</v>
      </c>
      <c r="L688">
        <f>MONTH(Table9[[#This Row],[OrderDate ]])</f>
        <v>4</v>
      </c>
      <c r="M688" t="str">
        <f>TEXT(Table9[[#This Row],[OrderDate ]],"mmm")</f>
        <v>Apr</v>
      </c>
      <c r="N688">
        <f>YEAR(Table9[[#This Row],[OrderDate ]])</f>
        <v>2014</v>
      </c>
    </row>
    <row r="689" spans="1:14" x14ac:dyDescent="0.3">
      <c r="A689">
        <v>10511</v>
      </c>
      <c r="B689" s="2">
        <f>_xlfn.XLOOKUP(Table9[[#This Row],[orderID]],orders[orderID],orders[orderDate],,0)</f>
        <v>41747</v>
      </c>
      <c r="C689">
        <f>_xlfn.XLOOKUP(A689,order_details[orderID],order_details[productID],,0)</f>
        <v>4</v>
      </c>
      <c r="D689" t="str">
        <f>_xlfn.XLOOKUP(C689,products[productID],products[productName],,0)</f>
        <v>Chef Anton's Cajun Seasoning</v>
      </c>
      <c r="E689" t="str">
        <f>_xlfn.XLOOKUP(_xlfn.XLOOKUP(Table9[[#This Row],[ProductName ]],products[productName],products[categoryID],,0),categories[categoryID],categories[categoryName],,0)</f>
        <v>Condiments</v>
      </c>
      <c r="F689">
        <v>50</v>
      </c>
      <c r="G689">
        <v>30</v>
      </c>
      <c r="H689">
        <v>15</v>
      </c>
      <c r="I689">
        <f>Table9[[#This Row],[quantity]]*Table9[[#This Row],[unitPrice]]*(1-Table9[[#This Row],[discount]]/100)</f>
        <v>1275</v>
      </c>
      <c r="J689" t="str">
        <f>_xlfn.XLOOKUP(_xlfn.XLOOKUP(A689,orders[orderID],orders[customerID],,0),customers__2[customerID],customers__2[companyName],,0)</f>
        <v>Bon app'</v>
      </c>
      <c r="K689" t="str">
        <f>_xlfn.XLOOKUP(Table9[[#This Row],[Company Name]],customers__2[companyName],customers__2[country],,0)</f>
        <v>France</v>
      </c>
      <c r="L689">
        <f>MONTH(Table9[[#This Row],[OrderDate ]])</f>
        <v>4</v>
      </c>
      <c r="M689" t="str">
        <f>TEXT(Table9[[#This Row],[OrderDate ]],"mmm")</f>
        <v>Apr</v>
      </c>
      <c r="N689">
        <f>YEAR(Table9[[#This Row],[OrderDate ]])</f>
        <v>2014</v>
      </c>
    </row>
    <row r="690" spans="1:14" x14ac:dyDescent="0.3">
      <c r="A690">
        <v>10511</v>
      </c>
      <c r="B690" s="2">
        <f>_xlfn.XLOOKUP(Table9[[#This Row],[orderID]],orders[orderID],orders[orderDate],,0)</f>
        <v>41747</v>
      </c>
      <c r="C690">
        <f>_xlfn.XLOOKUP(A690,order_details[orderID],order_details[productID],,0)</f>
        <v>4</v>
      </c>
      <c r="D690" t="str">
        <f>_xlfn.XLOOKUP(C690,products[productID],products[productName],,0)</f>
        <v>Chef Anton's Cajun Seasoning</v>
      </c>
      <c r="E690" t="str">
        <f>_xlfn.XLOOKUP(_xlfn.XLOOKUP(Table9[[#This Row],[ProductName ]],products[productName],products[categoryID],,0),categories[categoryID],categories[categoryName],,0)</f>
        <v>Condiments</v>
      </c>
      <c r="F690">
        <v>10</v>
      </c>
      <c r="G690">
        <v>40</v>
      </c>
      <c r="H690">
        <v>15</v>
      </c>
      <c r="I690">
        <f>Table9[[#This Row],[quantity]]*Table9[[#This Row],[unitPrice]]*(1-Table9[[#This Row],[discount]]/100)</f>
        <v>340</v>
      </c>
      <c r="J690" t="str">
        <f>_xlfn.XLOOKUP(_xlfn.XLOOKUP(A690,orders[orderID],orders[customerID],,0),customers__2[customerID],customers__2[companyName],,0)</f>
        <v>Bon app'</v>
      </c>
      <c r="K690" t="str">
        <f>_xlfn.XLOOKUP(Table9[[#This Row],[Company Name]],customers__2[companyName],customers__2[country],,0)</f>
        <v>France</v>
      </c>
      <c r="L690">
        <f>MONTH(Table9[[#This Row],[OrderDate ]])</f>
        <v>4</v>
      </c>
      <c r="M690" t="str">
        <f>TEXT(Table9[[#This Row],[OrderDate ]],"mmm")</f>
        <v>Apr</v>
      </c>
      <c r="N690">
        <f>YEAR(Table9[[#This Row],[OrderDate ]])</f>
        <v>2014</v>
      </c>
    </row>
    <row r="691" spans="1:14" x14ac:dyDescent="0.3">
      <c r="A691">
        <v>10512</v>
      </c>
      <c r="B691" s="2">
        <f>_xlfn.XLOOKUP(Table9[[#This Row],[orderID]],orders[orderID],orders[orderDate],,0)</f>
        <v>41750</v>
      </c>
      <c r="C691">
        <f>_xlfn.XLOOKUP(A691,order_details[orderID],order_details[productID],,0)</f>
        <v>24</v>
      </c>
      <c r="D691" t="str">
        <f>_xlfn.XLOOKUP(C691,products[productID],products[productName],,0)</f>
        <v>Guarana Fantastica</v>
      </c>
      <c r="E691" t="str">
        <f>_xlfn.XLOOKUP(_xlfn.XLOOKUP(Table9[[#This Row],[ProductName ]],products[productName],products[categoryID],,0),categories[categoryID],categories[categoryName],,0)</f>
        <v>Beverages</v>
      </c>
      <c r="F691">
        <v>10</v>
      </c>
      <c r="G691">
        <v>45</v>
      </c>
      <c r="H691">
        <v>15</v>
      </c>
      <c r="I691">
        <f>Table9[[#This Row],[quantity]]*Table9[[#This Row],[unitPrice]]*(1-Table9[[#This Row],[discount]]/100)</f>
        <v>382.5</v>
      </c>
      <c r="J691" t="str">
        <f>_xlfn.XLOOKUP(_xlfn.XLOOKUP(A691,orders[orderID],orders[customerID],,0),customers__2[customerID],customers__2[companyName],,0)</f>
        <v>Familia Arquibaldo</v>
      </c>
      <c r="K691" t="str">
        <f>_xlfn.XLOOKUP(Table9[[#This Row],[Company Name]],customers__2[companyName],customers__2[country],,0)</f>
        <v>Brazil</v>
      </c>
      <c r="L691">
        <f>MONTH(Table9[[#This Row],[OrderDate ]])</f>
        <v>4</v>
      </c>
      <c r="M691" t="str">
        <f>TEXT(Table9[[#This Row],[OrderDate ]],"mmm")</f>
        <v>Apr</v>
      </c>
      <c r="N691">
        <f>YEAR(Table9[[#This Row],[OrderDate ]])</f>
        <v>2014</v>
      </c>
    </row>
    <row r="692" spans="1:14" x14ac:dyDescent="0.3">
      <c r="A692">
        <v>10512</v>
      </c>
      <c r="B692" s="2">
        <f>_xlfn.XLOOKUP(Table9[[#This Row],[orderID]],orders[orderID],orders[orderDate],,0)</f>
        <v>41750</v>
      </c>
      <c r="C692">
        <f>_xlfn.XLOOKUP(A692,order_details[orderID],order_details[productID],,0)</f>
        <v>24</v>
      </c>
      <c r="D692" t="str">
        <f>_xlfn.XLOOKUP(C692,products[productID],products[productName],,0)</f>
        <v>Guarana Fantastica</v>
      </c>
      <c r="E692" t="str">
        <f>_xlfn.XLOOKUP(_xlfn.XLOOKUP(Table9[[#This Row],[ProductName ]],products[productName],products[categoryID],,0),categories[categoryID],categories[categoryName],,0)</f>
        <v>Beverages</v>
      </c>
      <c r="F692">
        <v>9</v>
      </c>
      <c r="G692">
        <v>12</v>
      </c>
      <c r="H692">
        <v>15</v>
      </c>
      <c r="I692">
        <f>Table9[[#This Row],[quantity]]*Table9[[#This Row],[unitPrice]]*(1-Table9[[#This Row],[discount]]/100)</f>
        <v>91.8</v>
      </c>
      <c r="J692" t="str">
        <f>_xlfn.XLOOKUP(_xlfn.XLOOKUP(A692,orders[orderID],orders[customerID],,0),customers__2[customerID],customers__2[companyName],,0)</f>
        <v>Familia Arquibaldo</v>
      </c>
      <c r="K692" t="str">
        <f>_xlfn.XLOOKUP(Table9[[#This Row],[Company Name]],customers__2[companyName],customers__2[country],,0)</f>
        <v>Brazil</v>
      </c>
      <c r="L692">
        <f>MONTH(Table9[[#This Row],[OrderDate ]])</f>
        <v>4</v>
      </c>
      <c r="M692" t="str">
        <f>TEXT(Table9[[#This Row],[OrderDate ]],"mmm")</f>
        <v>Apr</v>
      </c>
      <c r="N692">
        <f>YEAR(Table9[[#This Row],[OrderDate ]])</f>
        <v>2014</v>
      </c>
    </row>
    <row r="693" spans="1:14" x14ac:dyDescent="0.3">
      <c r="A693">
        <v>10512</v>
      </c>
      <c r="B693" s="2">
        <f>_xlfn.XLOOKUP(Table9[[#This Row],[orderID]],orders[orderID],orders[orderDate],,0)</f>
        <v>41750</v>
      </c>
      <c r="C693">
        <f>_xlfn.XLOOKUP(A693,order_details[orderID],order_details[productID],,0)</f>
        <v>24</v>
      </c>
      <c r="D693" t="str">
        <f>_xlfn.XLOOKUP(C693,products[productID],products[productName],,0)</f>
        <v>Guarana Fantastica</v>
      </c>
      <c r="E693" t="str">
        <f>_xlfn.XLOOKUP(_xlfn.XLOOKUP(Table9[[#This Row],[ProductName ]],products[productName],products[categoryID],,0),categories[categoryID],categories[categoryName],,0)</f>
        <v>Beverages</v>
      </c>
      <c r="F693">
        <v>6</v>
      </c>
      <c r="G693">
        <v>95</v>
      </c>
      <c r="H693">
        <v>15</v>
      </c>
      <c r="I693">
        <f>Table9[[#This Row],[quantity]]*Table9[[#This Row],[unitPrice]]*(1-Table9[[#This Row],[discount]]/100)</f>
        <v>484.5</v>
      </c>
      <c r="J693" t="str">
        <f>_xlfn.XLOOKUP(_xlfn.XLOOKUP(A693,orders[orderID],orders[customerID],,0),customers__2[customerID],customers__2[companyName],,0)</f>
        <v>Familia Arquibaldo</v>
      </c>
      <c r="K693" t="str">
        <f>_xlfn.XLOOKUP(Table9[[#This Row],[Company Name]],customers__2[companyName],customers__2[country],,0)</f>
        <v>Brazil</v>
      </c>
      <c r="L693">
        <f>MONTH(Table9[[#This Row],[OrderDate ]])</f>
        <v>4</v>
      </c>
      <c r="M693" t="str">
        <f>TEXT(Table9[[#This Row],[OrderDate ]],"mmm")</f>
        <v>Apr</v>
      </c>
      <c r="N693">
        <f>YEAR(Table9[[#This Row],[OrderDate ]])</f>
        <v>2014</v>
      </c>
    </row>
    <row r="694" spans="1:14" x14ac:dyDescent="0.3">
      <c r="A694">
        <v>10512</v>
      </c>
      <c r="B694" s="2">
        <f>_xlfn.XLOOKUP(Table9[[#This Row],[orderID]],orders[orderID],orders[orderDate],,0)</f>
        <v>41750</v>
      </c>
      <c r="C694">
        <f>_xlfn.XLOOKUP(A694,order_details[orderID],order_details[productID],,0)</f>
        <v>24</v>
      </c>
      <c r="D694" t="str">
        <f>_xlfn.XLOOKUP(C694,products[productID],products[productName],,0)</f>
        <v>Guarana Fantastica</v>
      </c>
      <c r="E694" t="str">
        <f>_xlfn.XLOOKUP(_xlfn.XLOOKUP(Table9[[#This Row],[ProductName ]],products[productName],products[categoryID],,0),categories[categoryID],categories[categoryName],,0)</f>
        <v>Beverages</v>
      </c>
      <c r="F694">
        <v>12</v>
      </c>
      <c r="G694">
        <v>34</v>
      </c>
      <c r="H694">
        <v>15</v>
      </c>
      <c r="I694">
        <f>Table9[[#This Row],[quantity]]*Table9[[#This Row],[unitPrice]]*(1-Table9[[#This Row],[discount]]/100)</f>
        <v>346.8</v>
      </c>
      <c r="J694" t="str">
        <f>_xlfn.XLOOKUP(_xlfn.XLOOKUP(A694,orders[orderID],orders[customerID],,0),customers__2[customerID],customers__2[companyName],,0)</f>
        <v>Familia Arquibaldo</v>
      </c>
      <c r="K694" t="str">
        <f>_xlfn.XLOOKUP(Table9[[#This Row],[Company Name]],customers__2[companyName],customers__2[country],,0)</f>
        <v>Brazil</v>
      </c>
      <c r="L694">
        <f>MONTH(Table9[[#This Row],[OrderDate ]])</f>
        <v>4</v>
      </c>
      <c r="M694" t="str">
        <f>TEXT(Table9[[#This Row],[OrderDate ]],"mmm")</f>
        <v>Apr</v>
      </c>
      <c r="N694">
        <f>YEAR(Table9[[#This Row],[OrderDate ]])</f>
        <v>2014</v>
      </c>
    </row>
    <row r="695" spans="1:14" x14ac:dyDescent="0.3">
      <c r="A695">
        <v>10513</v>
      </c>
      <c r="B695" s="2">
        <f>_xlfn.XLOOKUP(Table9[[#This Row],[orderID]],orders[orderID],orders[orderDate],,0)</f>
        <v>41751</v>
      </c>
      <c r="C695">
        <f>_xlfn.XLOOKUP(A695,order_details[orderID],order_details[productID],,0)</f>
        <v>21</v>
      </c>
      <c r="D695" t="str">
        <f>_xlfn.XLOOKUP(C695,products[productID],products[productName],,0)</f>
        <v>Sir Rodney's Scones</v>
      </c>
      <c r="E695" t="str">
        <f>_xlfn.XLOOKUP(_xlfn.XLOOKUP(Table9[[#This Row],[ProductName ]],products[productName],products[categoryID],,0),categories[categoryID],categories[categoryName],,0)</f>
        <v>Confections</v>
      </c>
      <c r="F695">
        <v>40</v>
      </c>
      <c r="G695">
        <v>10</v>
      </c>
      <c r="H695">
        <v>2</v>
      </c>
      <c r="I695">
        <f>Table9[[#This Row],[quantity]]*Table9[[#This Row],[unitPrice]]*(1-Table9[[#This Row],[discount]]/100)</f>
        <v>392</v>
      </c>
      <c r="J695" t="str">
        <f>_xlfn.XLOOKUP(_xlfn.XLOOKUP(A695,orders[orderID],orders[customerID],,0),customers__2[customerID],customers__2[companyName],,0)</f>
        <v>Die Wandernde Kuh</v>
      </c>
      <c r="K695" t="str">
        <f>_xlfn.XLOOKUP(Table9[[#This Row],[Company Name]],customers__2[companyName],customers__2[country],,0)</f>
        <v>Germany</v>
      </c>
      <c r="L695">
        <f>MONTH(Table9[[#This Row],[OrderDate ]])</f>
        <v>4</v>
      </c>
      <c r="M695" t="str">
        <f>TEXT(Table9[[#This Row],[OrderDate ]],"mmm")</f>
        <v>Apr</v>
      </c>
      <c r="N695">
        <f>YEAR(Table9[[#This Row],[OrderDate ]])</f>
        <v>2014</v>
      </c>
    </row>
    <row r="696" spans="1:14" x14ac:dyDescent="0.3">
      <c r="A696">
        <v>10513</v>
      </c>
      <c r="B696" s="2">
        <f>_xlfn.XLOOKUP(Table9[[#This Row],[orderID]],orders[orderID],orders[orderDate],,0)</f>
        <v>41751</v>
      </c>
      <c r="C696">
        <f>_xlfn.XLOOKUP(A696,order_details[orderID],order_details[productID],,0)</f>
        <v>21</v>
      </c>
      <c r="D696" t="str">
        <f>_xlfn.XLOOKUP(C696,products[productID],products[productName],,0)</f>
        <v>Sir Rodney's Scones</v>
      </c>
      <c r="E696" t="str">
        <f>_xlfn.XLOOKUP(_xlfn.XLOOKUP(Table9[[#This Row],[ProductName ]],products[productName],products[categoryID],,0),categories[categoryID],categories[categoryName],,0)</f>
        <v>Confections</v>
      </c>
      <c r="F696">
        <v>50</v>
      </c>
      <c r="G696">
        <v>32</v>
      </c>
      <c r="H696">
        <v>2</v>
      </c>
      <c r="I696">
        <f>Table9[[#This Row],[quantity]]*Table9[[#This Row],[unitPrice]]*(1-Table9[[#This Row],[discount]]/100)</f>
        <v>1568</v>
      </c>
      <c r="J696" t="str">
        <f>_xlfn.XLOOKUP(_xlfn.XLOOKUP(A696,orders[orderID],orders[customerID],,0),customers__2[customerID],customers__2[companyName],,0)</f>
        <v>Die Wandernde Kuh</v>
      </c>
      <c r="K696" t="str">
        <f>_xlfn.XLOOKUP(Table9[[#This Row],[Company Name]],customers__2[companyName],customers__2[country],,0)</f>
        <v>Germany</v>
      </c>
      <c r="L696">
        <f>MONTH(Table9[[#This Row],[OrderDate ]])</f>
        <v>4</v>
      </c>
      <c r="M696" t="str">
        <f>TEXT(Table9[[#This Row],[OrderDate ]],"mmm")</f>
        <v>Apr</v>
      </c>
      <c r="N696">
        <f>YEAR(Table9[[#This Row],[OrderDate ]])</f>
        <v>2014</v>
      </c>
    </row>
    <row r="697" spans="1:14" x14ac:dyDescent="0.3">
      <c r="A697">
        <v>10513</v>
      </c>
      <c r="B697" s="2">
        <f>_xlfn.XLOOKUP(Table9[[#This Row],[orderID]],orders[orderID],orders[orderDate],,0)</f>
        <v>41751</v>
      </c>
      <c r="C697">
        <f>_xlfn.XLOOKUP(A697,order_details[orderID],order_details[productID],,0)</f>
        <v>21</v>
      </c>
      <c r="D697" t="str">
        <f>_xlfn.XLOOKUP(C697,products[productID],products[productName],,0)</f>
        <v>Sir Rodney's Scones</v>
      </c>
      <c r="E697" t="str">
        <f>_xlfn.XLOOKUP(_xlfn.XLOOKUP(Table9[[#This Row],[ProductName ]],products[productName],products[categoryID],,0),categories[categoryID],categories[categoryName],,0)</f>
        <v>Confections</v>
      </c>
      <c r="F697">
        <v>15</v>
      </c>
      <c r="G697">
        <v>285</v>
      </c>
      <c r="H697">
        <v>2</v>
      </c>
      <c r="I697">
        <f>Table9[[#This Row],[quantity]]*Table9[[#This Row],[unitPrice]]*(1-Table9[[#This Row],[discount]]/100)</f>
        <v>4189.5</v>
      </c>
      <c r="J697" t="str">
        <f>_xlfn.XLOOKUP(_xlfn.XLOOKUP(A697,orders[orderID],orders[customerID],,0),customers__2[customerID],customers__2[companyName],,0)</f>
        <v>Die Wandernde Kuh</v>
      </c>
      <c r="K697" t="str">
        <f>_xlfn.XLOOKUP(Table9[[#This Row],[Company Name]],customers__2[companyName],customers__2[country],,0)</f>
        <v>Germany</v>
      </c>
      <c r="L697">
        <f>MONTH(Table9[[#This Row],[OrderDate ]])</f>
        <v>4</v>
      </c>
      <c r="M697" t="str">
        <f>TEXT(Table9[[#This Row],[OrderDate ]],"mmm")</f>
        <v>Apr</v>
      </c>
      <c r="N697">
        <f>YEAR(Table9[[#This Row],[OrderDate ]])</f>
        <v>2014</v>
      </c>
    </row>
    <row r="698" spans="1:14" x14ac:dyDescent="0.3">
      <c r="A698">
        <v>10514</v>
      </c>
      <c r="B698" s="2">
        <f>_xlfn.XLOOKUP(Table9[[#This Row],[orderID]],orders[orderID],orders[orderDate],,0)</f>
        <v>41751</v>
      </c>
      <c r="C698">
        <f>_xlfn.XLOOKUP(A698,order_details[orderID],order_details[productID],,0)</f>
        <v>20</v>
      </c>
      <c r="D698" t="str">
        <f>_xlfn.XLOOKUP(C698,products[productID],products[productName],,0)</f>
        <v>Sir Rodney's Marmalade</v>
      </c>
      <c r="E698" t="str">
        <f>_xlfn.XLOOKUP(_xlfn.XLOOKUP(Table9[[#This Row],[ProductName ]],products[productName],products[categoryID],,0),categories[categoryID],categories[categoryName],,0)</f>
        <v>Confections</v>
      </c>
      <c r="F698">
        <v>39</v>
      </c>
      <c r="G698">
        <v>81</v>
      </c>
      <c r="H698">
        <v>0</v>
      </c>
      <c r="I698">
        <f>Table9[[#This Row],[quantity]]*Table9[[#This Row],[unitPrice]]*(1-Table9[[#This Row],[discount]]/100)</f>
        <v>3159</v>
      </c>
      <c r="J698" t="str">
        <f>_xlfn.XLOOKUP(_xlfn.XLOOKUP(A698,orders[orderID],orders[customerID],,0),customers__2[customerID],customers__2[companyName],,0)</f>
        <v>Ernst Handel</v>
      </c>
      <c r="K698" t="str">
        <f>_xlfn.XLOOKUP(Table9[[#This Row],[Company Name]],customers__2[companyName],customers__2[country],,0)</f>
        <v>Austria</v>
      </c>
      <c r="L698">
        <f>MONTH(Table9[[#This Row],[OrderDate ]])</f>
        <v>4</v>
      </c>
      <c r="M698" t="str">
        <f>TEXT(Table9[[#This Row],[OrderDate ]],"mmm")</f>
        <v>Apr</v>
      </c>
      <c r="N698">
        <f>YEAR(Table9[[#This Row],[OrderDate ]])</f>
        <v>2014</v>
      </c>
    </row>
    <row r="699" spans="1:14" x14ac:dyDescent="0.3">
      <c r="A699">
        <v>10514</v>
      </c>
      <c r="B699" s="2">
        <f>_xlfn.XLOOKUP(Table9[[#This Row],[orderID]],orders[orderID],orders[orderDate],,0)</f>
        <v>41751</v>
      </c>
      <c r="C699">
        <f>_xlfn.XLOOKUP(A699,order_details[orderID],order_details[productID],,0)</f>
        <v>20</v>
      </c>
      <c r="D699" t="str">
        <f>_xlfn.XLOOKUP(C699,products[productID],products[productName],,0)</f>
        <v>Sir Rodney's Marmalade</v>
      </c>
      <c r="E699" t="str">
        <f>_xlfn.XLOOKUP(_xlfn.XLOOKUP(Table9[[#This Row],[ProductName ]],products[productName],products[categoryID],,0),categories[categoryID],categories[categoryName],,0)</f>
        <v>Confections</v>
      </c>
      <c r="F699">
        <v>35</v>
      </c>
      <c r="G699">
        <v>456</v>
      </c>
      <c r="H699">
        <v>0</v>
      </c>
      <c r="I699">
        <f>Table9[[#This Row],[quantity]]*Table9[[#This Row],[unitPrice]]*(1-Table9[[#This Row],[discount]]/100)</f>
        <v>15960</v>
      </c>
      <c r="J699" t="str">
        <f>_xlfn.XLOOKUP(_xlfn.XLOOKUP(A699,orders[orderID],orders[customerID],,0),customers__2[customerID],customers__2[companyName],,0)</f>
        <v>Ernst Handel</v>
      </c>
      <c r="K699" t="str">
        <f>_xlfn.XLOOKUP(Table9[[#This Row],[Company Name]],customers__2[companyName],customers__2[country],,0)</f>
        <v>Austria</v>
      </c>
      <c r="L699">
        <f>MONTH(Table9[[#This Row],[OrderDate ]])</f>
        <v>4</v>
      </c>
      <c r="M699" t="str">
        <f>TEXT(Table9[[#This Row],[OrderDate ]],"mmm")</f>
        <v>Apr</v>
      </c>
      <c r="N699">
        <f>YEAR(Table9[[#This Row],[OrderDate ]])</f>
        <v>2014</v>
      </c>
    </row>
    <row r="700" spans="1:14" x14ac:dyDescent="0.3">
      <c r="A700">
        <v>10514</v>
      </c>
      <c r="B700" s="2">
        <f>_xlfn.XLOOKUP(Table9[[#This Row],[orderID]],orders[orderID],orders[orderDate],,0)</f>
        <v>41751</v>
      </c>
      <c r="C700">
        <f>_xlfn.XLOOKUP(A700,order_details[orderID],order_details[productID],,0)</f>
        <v>20</v>
      </c>
      <c r="D700" t="str">
        <f>_xlfn.XLOOKUP(C700,products[productID],products[productName],,0)</f>
        <v>Sir Rodney's Marmalade</v>
      </c>
      <c r="E700" t="str">
        <f>_xlfn.XLOOKUP(_xlfn.XLOOKUP(Table9[[#This Row],[ProductName ]],products[productName],products[categoryID],,0),categories[categoryID],categories[categoryName],,0)</f>
        <v>Confections</v>
      </c>
      <c r="F700">
        <v>70</v>
      </c>
      <c r="G700">
        <v>38</v>
      </c>
      <c r="H700">
        <v>0</v>
      </c>
      <c r="I700">
        <f>Table9[[#This Row],[quantity]]*Table9[[#This Row],[unitPrice]]*(1-Table9[[#This Row],[discount]]/100)</f>
        <v>2660</v>
      </c>
      <c r="J700" t="str">
        <f>_xlfn.XLOOKUP(_xlfn.XLOOKUP(A700,orders[orderID],orders[customerID],,0),customers__2[customerID],customers__2[companyName],,0)</f>
        <v>Ernst Handel</v>
      </c>
      <c r="K700" t="str">
        <f>_xlfn.XLOOKUP(Table9[[#This Row],[Company Name]],customers__2[companyName],customers__2[country],,0)</f>
        <v>Austria</v>
      </c>
      <c r="L700">
        <f>MONTH(Table9[[#This Row],[OrderDate ]])</f>
        <v>4</v>
      </c>
      <c r="M700" t="str">
        <f>TEXT(Table9[[#This Row],[OrderDate ]],"mmm")</f>
        <v>Apr</v>
      </c>
      <c r="N700">
        <f>YEAR(Table9[[#This Row],[OrderDate ]])</f>
        <v>2014</v>
      </c>
    </row>
    <row r="701" spans="1:14" x14ac:dyDescent="0.3">
      <c r="A701">
        <v>10514</v>
      </c>
      <c r="B701" s="2">
        <f>_xlfn.XLOOKUP(Table9[[#This Row],[orderID]],orders[orderID],orders[orderDate],,0)</f>
        <v>41751</v>
      </c>
      <c r="C701">
        <f>_xlfn.XLOOKUP(A701,order_details[orderID],order_details[productID],,0)</f>
        <v>20</v>
      </c>
      <c r="D701" t="str">
        <f>_xlfn.XLOOKUP(C701,products[productID],products[productName],,0)</f>
        <v>Sir Rodney's Marmalade</v>
      </c>
      <c r="E701" t="str">
        <f>_xlfn.XLOOKUP(_xlfn.XLOOKUP(Table9[[#This Row],[ProductName ]],products[productName],products[categoryID],,0),categories[categoryID],categories[categoryName],,0)</f>
        <v>Confections</v>
      </c>
      <c r="F701">
        <v>39</v>
      </c>
      <c r="G701">
        <v>2105</v>
      </c>
      <c r="H701">
        <v>0</v>
      </c>
      <c r="I701">
        <f>Table9[[#This Row],[quantity]]*Table9[[#This Row],[unitPrice]]*(1-Table9[[#This Row],[discount]]/100)</f>
        <v>82095</v>
      </c>
      <c r="J701" t="str">
        <f>_xlfn.XLOOKUP(_xlfn.XLOOKUP(A701,orders[orderID],orders[customerID],,0),customers__2[customerID],customers__2[companyName],,0)</f>
        <v>Ernst Handel</v>
      </c>
      <c r="K701" t="str">
        <f>_xlfn.XLOOKUP(Table9[[#This Row],[Company Name]],customers__2[companyName],customers__2[country],,0)</f>
        <v>Austria</v>
      </c>
      <c r="L701">
        <f>MONTH(Table9[[#This Row],[OrderDate ]])</f>
        <v>4</v>
      </c>
      <c r="M701" t="str">
        <f>TEXT(Table9[[#This Row],[OrderDate ]],"mmm")</f>
        <v>Apr</v>
      </c>
      <c r="N701">
        <f>YEAR(Table9[[#This Row],[OrderDate ]])</f>
        <v>2014</v>
      </c>
    </row>
    <row r="702" spans="1:14" x14ac:dyDescent="0.3">
      <c r="A702">
        <v>10514</v>
      </c>
      <c r="B702" s="2">
        <f>_xlfn.XLOOKUP(Table9[[#This Row],[orderID]],orders[orderID],orders[orderDate],,0)</f>
        <v>41751</v>
      </c>
      <c r="C702">
        <f>_xlfn.XLOOKUP(A702,order_details[orderID],order_details[productID],,0)</f>
        <v>20</v>
      </c>
      <c r="D702" t="str">
        <f>_xlfn.XLOOKUP(C702,products[productID],products[productName],,0)</f>
        <v>Sir Rodney's Marmalade</v>
      </c>
      <c r="E702" t="str">
        <f>_xlfn.XLOOKUP(_xlfn.XLOOKUP(Table9[[#This Row],[ProductName ]],products[productName],products[categoryID],,0),categories[categoryID],categories[categoryName],,0)</f>
        <v>Confections</v>
      </c>
      <c r="F702">
        <v>50</v>
      </c>
      <c r="G702">
        <v>775</v>
      </c>
      <c r="H702">
        <v>0</v>
      </c>
      <c r="I702">
        <f>Table9[[#This Row],[quantity]]*Table9[[#This Row],[unitPrice]]*(1-Table9[[#This Row],[discount]]/100)</f>
        <v>38750</v>
      </c>
      <c r="J702" t="str">
        <f>_xlfn.XLOOKUP(_xlfn.XLOOKUP(A702,orders[orderID],orders[customerID],,0),customers__2[customerID],customers__2[companyName],,0)</f>
        <v>Ernst Handel</v>
      </c>
      <c r="K702" t="str">
        <f>_xlfn.XLOOKUP(Table9[[#This Row],[Company Name]],customers__2[companyName],customers__2[country],,0)</f>
        <v>Austria</v>
      </c>
      <c r="L702">
        <f>MONTH(Table9[[#This Row],[OrderDate ]])</f>
        <v>4</v>
      </c>
      <c r="M702" t="str">
        <f>TEXT(Table9[[#This Row],[OrderDate ]],"mmm")</f>
        <v>Apr</v>
      </c>
      <c r="N702">
        <f>YEAR(Table9[[#This Row],[OrderDate ]])</f>
        <v>2014</v>
      </c>
    </row>
    <row r="703" spans="1:14" x14ac:dyDescent="0.3">
      <c r="A703">
        <v>10515</v>
      </c>
      <c r="B703" s="2">
        <f>_xlfn.XLOOKUP(Table9[[#This Row],[orderID]],orders[orderID],orders[orderDate],,0)</f>
        <v>41752</v>
      </c>
      <c r="C703">
        <f>_xlfn.XLOOKUP(A703,order_details[orderID],order_details[productID],,0)</f>
        <v>9</v>
      </c>
      <c r="D703" t="str">
        <f>_xlfn.XLOOKUP(C703,products[productID],products[productName],,0)</f>
        <v>Mishi Kobe Niku</v>
      </c>
      <c r="E703" t="str">
        <f>_xlfn.XLOOKUP(_xlfn.XLOOKUP(Table9[[#This Row],[ProductName ]],products[productName],products[categoryID],,0),categories[categoryID],categories[categoryName],,0)</f>
        <v>Meat &amp; Poultry</v>
      </c>
      <c r="F703">
        <v>16</v>
      </c>
      <c r="G703">
        <v>97</v>
      </c>
      <c r="H703">
        <v>15</v>
      </c>
      <c r="I703">
        <f>Table9[[#This Row],[quantity]]*Table9[[#This Row],[unitPrice]]*(1-Table9[[#This Row],[discount]]/100)</f>
        <v>1319.2</v>
      </c>
      <c r="J703" t="str">
        <f>_xlfn.XLOOKUP(_xlfn.XLOOKUP(A703,orders[orderID],orders[customerID],,0),customers__2[customerID],customers__2[companyName],,0)</f>
        <v>QUICK-Stop</v>
      </c>
      <c r="K703" t="str">
        <f>_xlfn.XLOOKUP(Table9[[#This Row],[Company Name]],customers__2[companyName],customers__2[country],,0)</f>
        <v>Germany</v>
      </c>
      <c r="L703">
        <f>MONTH(Table9[[#This Row],[OrderDate ]])</f>
        <v>4</v>
      </c>
      <c r="M703" t="str">
        <f>TEXT(Table9[[#This Row],[OrderDate ]],"mmm")</f>
        <v>Apr</v>
      </c>
      <c r="N703">
        <f>YEAR(Table9[[#This Row],[OrderDate ]])</f>
        <v>2014</v>
      </c>
    </row>
    <row r="704" spans="1:14" x14ac:dyDescent="0.3">
      <c r="A704">
        <v>10515</v>
      </c>
      <c r="B704" s="2">
        <f>_xlfn.XLOOKUP(Table9[[#This Row],[orderID]],orders[orderID],orders[orderDate],,0)</f>
        <v>41752</v>
      </c>
      <c r="C704">
        <f>_xlfn.XLOOKUP(A704,order_details[orderID],order_details[productID],,0)</f>
        <v>9</v>
      </c>
      <c r="D704" t="str">
        <f>_xlfn.XLOOKUP(C704,products[productID],products[productName],,0)</f>
        <v>Mishi Kobe Niku</v>
      </c>
      <c r="E704" t="str">
        <f>_xlfn.XLOOKUP(_xlfn.XLOOKUP(Table9[[#This Row],[ProductName ]],products[productName],products[categoryID],,0),categories[categoryID],categories[categoryName],,0)</f>
        <v>Meat &amp; Poultry</v>
      </c>
      <c r="F704">
        <v>50</v>
      </c>
      <c r="G704">
        <v>1745</v>
      </c>
      <c r="H704">
        <v>0</v>
      </c>
      <c r="I704">
        <f>Table9[[#This Row],[quantity]]*Table9[[#This Row],[unitPrice]]*(1-Table9[[#This Row],[discount]]/100)</f>
        <v>87250</v>
      </c>
      <c r="J704" t="str">
        <f>_xlfn.XLOOKUP(_xlfn.XLOOKUP(A704,orders[orderID],orders[customerID],,0),customers__2[customerID],customers__2[companyName],,0)</f>
        <v>QUICK-Stop</v>
      </c>
      <c r="K704" t="str">
        <f>_xlfn.XLOOKUP(Table9[[#This Row],[Company Name]],customers__2[companyName],customers__2[country],,0)</f>
        <v>Germany</v>
      </c>
      <c r="L704">
        <f>MONTH(Table9[[#This Row],[OrderDate ]])</f>
        <v>4</v>
      </c>
      <c r="M704" t="str">
        <f>TEXT(Table9[[#This Row],[OrderDate ]],"mmm")</f>
        <v>Apr</v>
      </c>
      <c r="N704">
        <f>YEAR(Table9[[#This Row],[OrderDate ]])</f>
        <v>2014</v>
      </c>
    </row>
    <row r="705" spans="1:14" x14ac:dyDescent="0.3">
      <c r="A705">
        <v>10515</v>
      </c>
      <c r="B705" s="2">
        <f>_xlfn.XLOOKUP(Table9[[#This Row],[orderID]],orders[orderID],orders[orderDate],,0)</f>
        <v>41752</v>
      </c>
      <c r="C705">
        <f>_xlfn.XLOOKUP(A705,order_details[orderID],order_details[productID],,0)</f>
        <v>9</v>
      </c>
      <c r="D705" t="str">
        <f>_xlfn.XLOOKUP(C705,products[productID],products[productName],,0)</f>
        <v>Mishi Kobe Niku</v>
      </c>
      <c r="E705" t="str">
        <f>_xlfn.XLOOKUP(_xlfn.XLOOKUP(Table9[[#This Row],[ProductName ]],products[productName],products[categoryID],,0),categories[categoryID],categories[categoryName],,0)</f>
        <v>Meat &amp; Poultry</v>
      </c>
      <c r="F705">
        <v>120</v>
      </c>
      <c r="G705">
        <v>439</v>
      </c>
      <c r="H705">
        <v>0</v>
      </c>
      <c r="I705">
        <f>Table9[[#This Row],[quantity]]*Table9[[#This Row],[unitPrice]]*(1-Table9[[#This Row],[discount]]/100)</f>
        <v>52680</v>
      </c>
      <c r="J705" t="str">
        <f>_xlfn.XLOOKUP(_xlfn.XLOOKUP(A705,orders[orderID],orders[customerID],,0),customers__2[customerID],customers__2[companyName],,0)</f>
        <v>QUICK-Stop</v>
      </c>
      <c r="K705" t="str">
        <f>_xlfn.XLOOKUP(Table9[[#This Row],[Company Name]],customers__2[companyName],customers__2[country],,0)</f>
        <v>Germany</v>
      </c>
      <c r="L705">
        <f>MONTH(Table9[[#This Row],[OrderDate ]])</f>
        <v>4</v>
      </c>
      <c r="M705" t="str">
        <f>TEXT(Table9[[#This Row],[OrderDate ]],"mmm")</f>
        <v>Apr</v>
      </c>
      <c r="N705">
        <f>YEAR(Table9[[#This Row],[OrderDate ]])</f>
        <v>2014</v>
      </c>
    </row>
    <row r="706" spans="1:14" x14ac:dyDescent="0.3">
      <c r="A706">
        <v>10515</v>
      </c>
      <c r="B706" s="2">
        <f>_xlfn.XLOOKUP(Table9[[#This Row],[orderID]],orders[orderID],orders[orderDate],,0)</f>
        <v>41752</v>
      </c>
      <c r="C706">
        <f>_xlfn.XLOOKUP(A706,order_details[orderID],order_details[productID],,0)</f>
        <v>9</v>
      </c>
      <c r="D706" t="str">
        <f>_xlfn.XLOOKUP(C706,products[productID],products[productName],,0)</f>
        <v>Mishi Kobe Niku</v>
      </c>
      <c r="E706" t="str">
        <f>_xlfn.XLOOKUP(_xlfn.XLOOKUP(Table9[[#This Row],[ProductName ]],products[productName],products[categoryID],,0),categories[categoryID],categories[categoryName],,0)</f>
        <v>Meat &amp; Poultry</v>
      </c>
      <c r="F706">
        <v>16</v>
      </c>
      <c r="G706">
        <v>25</v>
      </c>
      <c r="H706">
        <v>15</v>
      </c>
      <c r="I706">
        <f>Table9[[#This Row],[quantity]]*Table9[[#This Row],[unitPrice]]*(1-Table9[[#This Row],[discount]]/100)</f>
        <v>340</v>
      </c>
      <c r="J706" t="str">
        <f>_xlfn.XLOOKUP(_xlfn.XLOOKUP(A706,orders[orderID],orders[customerID],,0),customers__2[customerID],customers__2[companyName],,0)</f>
        <v>QUICK-Stop</v>
      </c>
      <c r="K706" t="str">
        <f>_xlfn.XLOOKUP(Table9[[#This Row],[Company Name]],customers__2[companyName],customers__2[country],,0)</f>
        <v>Germany</v>
      </c>
      <c r="L706">
        <f>MONTH(Table9[[#This Row],[OrderDate ]])</f>
        <v>4</v>
      </c>
      <c r="M706" t="str">
        <f>TEXT(Table9[[#This Row],[OrderDate ]],"mmm")</f>
        <v>Apr</v>
      </c>
      <c r="N706">
        <f>YEAR(Table9[[#This Row],[OrderDate ]])</f>
        <v>2014</v>
      </c>
    </row>
    <row r="707" spans="1:14" x14ac:dyDescent="0.3">
      <c r="A707">
        <v>10515</v>
      </c>
      <c r="B707" s="2">
        <f>_xlfn.XLOOKUP(Table9[[#This Row],[orderID]],orders[orderID],orders[orderDate],,0)</f>
        <v>41752</v>
      </c>
      <c r="C707">
        <f>_xlfn.XLOOKUP(A707,order_details[orderID],order_details[productID],,0)</f>
        <v>9</v>
      </c>
      <c r="D707" t="str">
        <f>_xlfn.XLOOKUP(C707,products[productID],products[productName],,0)</f>
        <v>Mishi Kobe Niku</v>
      </c>
      <c r="E707" t="str">
        <f>_xlfn.XLOOKUP(_xlfn.XLOOKUP(Table9[[#This Row],[ProductName ]],products[productName],products[categoryID],,0),categories[categoryID],categories[categoryName],,0)</f>
        <v>Meat &amp; Poultry</v>
      </c>
      <c r="F707">
        <v>84</v>
      </c>
      <c r="G707">
        <v>34</v>
      </c>
      <c r="H707">
        <v>15</v>
      </c>
      <c r="I707">
        <f>Table9[[#This Row],[quantity]]*Table9[[#This Row],[unitPrice]]*(1-Table9[[#This Row],[discount]]/100)</f>
        <v>2427.6</v>
      </c>
      <c r="J707" t="str">
        <f>_xlfn.XLOOKUP(_xlfn.XLOOKUP(A707,orders[orderID],orders[customerID],,0),customers__2[customerID],customers__2[companyName],,0)</f>
        <v>QUICK-Stop</v>
      </c>
      <c r="K707" t="str">
        <f>_xlfn.XLOOKUP(Table9[[#This Row],[Company Name]],customers__2[companyName],customers__2[country],,0)</f>
        <v>Germany</v>
      </c>
      <c r="L707">
        <f>MONTH(Table9[[#This Row],[OrderDate ]])</f>
        <v>4</v>
      </c>
      <c r="M707" t="str">
        <f>TEXT(Table9[[#This Row],[OrderDate ]],"mmm")</f>
        <v>Apr</v>
      </c>
      <c r="N707">
        <f>YEAR(Table9[[#This Row],[OrderDate ]])</f>
        <v>2014</v>
      </c>
    </row>
    <row r="708" spans="1:14" x14ac:dyDescent="0.3">
      <c r="A708">
        <v>10516</v>
      </c>
      <c r="B708" s="2">
        <f>_xlfn.XLOOKUP(Table9[[#This Row],[orderID]],orders[orderID],orders[orderDate],,0)</f>
        <v>41753</v>
      </c>
      <c r="C708">
        <f>_xlfn.XLOOKUP(A708,order_details[orderID],order_details[productID],,0)</f>
        <v>18</v>
      </c>
      <c r="D708" t="str">
        <f>_xlfn.XLOOKUP(C708,products[productID],products[productName],,0)</f>
        <v>Carnarvon Tigers</v>
      </c>
      <c r="E708" t="str">
        <f>_xlfn.XLOOKUP(_xlfn.XLOOKUP(Table9[[#This Row],[ProductName ]],products[productName],products[categoryID],,0),categories[categoryID],categories[categoryName],,0)</f>
        <v>Seafood</v>
      </c>
      <c r="F708">
        <v>25</v>
      </c>
      <c r="G708">
        <v>625</v>
      </c>
      <c r="H708">
        <v>1</v>
      </c>
      <c r="I708">
        <f>Table9[[#This Row],[quantity]]*Table9[[#This Row],[unitPrice]]*(1-Table9[[#This Row],[discount]]/100)</f>
        <v>15468.75</v>
      </c>
      <c r="J708" t="str">
        <f>_xlfn.XLOOKUP(_xlfn.XLOOKUP(A708,orders[orderID],orders[customerID],,0),customers__2[customerID],customers__2[companyName],,0)</f>
        <v>Hungry Owl All-Night Grocers</v>
      </c>
      <c r="K708" t="str">
        <f>_xlfn.XLOOKUP(Table9[[#This Row],[Company Name]],customers__2[companyName],customers__2[country],,0)</f>
        <v>Ireland</v>
      </c>
      <c r="L708">
        <f>MONTH(Table9[[#This Row],[OrderDate ]])</f>
        <v>4</v>
      </c>
      <c r="M708" t="str">
        <f>TEXT(Table9[[#This Row],[OrderDate ]],"mmm")</f>
        <v>Apr</v>
      </c>
      <c r="N708">
        <f>YEAR(Table9[[#This Row],[OrderDate ]])</f>
        <v>2014</v>
      </c>
    </row>
    <row r="709" spans="1:14" x14ac:dyDescent="0.3">
      <c r="A709">
        <v>10516</v>
      </c>
      <c r="B709" s="2">
        <f>_xlfn.XLOOKUP(Table9[[#This Row],[orderID]],orders[orderID],orders[orderDate],,0)</f>
        <v>41753</v>
      </c>
      <c r="C709">
        <f>_xlfn.XLOOKUP(A709,order_details[orderID],order_details[productID],,0)</f>
        <v>18</v>
      </c>
      <c r="D709" t="str">
        <f>_xlfn.XLOOKUP(C709,products[productID],products[productName],,0)</f>
        <v>Carnarvon Tigers</v>
      </c>
      <c r="E709" t="str">
        <f>_xlfn.XLOOKUP(_xlfn.XLOOKUP(Table9[[#This Row],[ProductName ]],products[productName],products[categoryID],,0),categories[categoryID],categories[categoryName],,0)</f>
        <v>Seafood</v>
      </c>
      <c r="F709">
        <v>80</v>
      </c>
      <c r="G709">
        <v>965</v>
      </c>
      <c r="H709">
        <v>1</v>
      </c>
      <c r="I709">
        <f>Table9[[#This Row],[quantity]]*Table9[[#This Row],[unitPrice]]*(1-Table9[[#This Row],[discount]]/100)</f>
        <v>76428</v>
      </c>
      <c r="J709" t="str">
        <f>_xlfn.XLOOKUP(_xlfn.XLOOKUP(A709,orders[orderID],orders[customerID],,0),customers__2[customerID],customers__2[companyName],,0)</f>
        <v>Hungry Owl All-Night Grocers</v>
      </c>
      <c r="K709" t="str">
        <f>_xlfn.XLOOKUP(Table9[[#This Row],[Company Name]],customers__2[companyName],customers__2[country],,0)</f>
        <v>Ireland</v>
      </c>
      <c r="L709">
        <f>MONTH(Table9[[#This Row],[OrderDate ]])</f>
        <v>4</v>
      </c>
      <c r="M709" t="str">
        <f>TEXT(Table9[[#This Row],[OrderDate ]],"mmm")</f>
        <v>Apr</v>
      </c>
      <c r="N709">
        <f>YEAR(Table9[[#This Row],[OrderDate ]])</f>
        <v>2014</v>
      </c>
    </row>
    <row r="710" spans="1:14" x14ac:dyDescent="0.3">
      <c r="A710">
        <v>10516</v>
      </c>
      <c r="B710" s="2">
        <f>_xlfn.XLOOKUP(Table9[[#This Row],[orderID]],orders[orderID],orders[orderDate],,0)</f>
        <v>41753</v>
      </c>
      <c r="C710">
        <f>_xlfn.XLOOKUP(A710,order_details[orderID],order_details[productID],,0)</f>
        <v>18</v>
      </c>
      <c r="D710" t="str">
        <f>_xlfn.XLOOKUP(C710,products[productID],products[productName],,0)</f>
        <v>Carnarvon Tigers</v>
      </c>
      <c r="E710" t="str">
        <f>_xlfn.XLOOKUP(_xlfn.XLOOKUP(Table9[[#This Row],[ProductName ]],products[productName],products[categoryID],,0),categories[categoryID],categories[categoryName],,0)</f>
        <v>Seafood</v>
      </c>
      <c r="F710">
        <v>20</v>
      </c>
      <c r="G710">
        <v>14</v>
      </c>
      <c r="H710">
        <v>0</v>
      </c>
      <c r="I710">
        <f>Table9[[#This Row],[quantity]]*Table9[[#This Row],[unitPrice]]*(1-Table9[[#This Row],[discount]]/100)</f>
        <v>280</v>
      </c>
      <c r="J710" t="str">
        <f>_xlfn.XLOOKUP(_xlfn.XLOOKUP(A710,orders[orderID],orders[customerID],,0),customers__2[customerID],customers__2[companyName],,0)</f>
        <v>Hungry Owl All-Night Grocers</v>
      </c>
      <c r="K710" t="str">
        <f>_xlfn.XLOOKUP(Table9[[#This Row],[Company Name]],customers__2[companyName],customers__2[country],,0)</f>
        <v>Ireland</v>
      </c>
      <c r="L710">
        <f>MONTH(Table9[[#This Row],[OrderDate ]])</f>
        <v>4</v>
      </c>
      <c r="M710" t="str">
        <f>TEXT(Table9[[#This Row],[OrderDate ]],"mmm")</f>
        <v>Apr</v>
      </c>
      <c r="N710">
        <f>YEAR(Table9[[#This Row],[OrderDate ]])</f>
        <v>2014</v>
      </c>
    </row>
    <row r="711" spans="1:14" x14ac:dyDescent="0.3">
      <c r="A711">
        <v>10517</v>
      </c>
      <c r="B711" s="2">
        <f>_xlfn.XLOOKUP(Table9[[#This Row],[orderID]],orders[orderID],orders[orderDate],,0)</f>
        <v>41753</v>
      </c>
      <c r="C711">
        <f>_xlfn.XLOOKUP(A711,order_details[orderID],order_details[productID],,0)</f>
        <v>52</v>
      </c>
      <c r="D711" t="str">
        <f>_xlfn.XLOOKUP(C711,products[productID],products[productName],,0)</f>
        <v>Filo Mix</v>
      </c>
      <c r="E711" t="str">
        <f>_xlfn.XLOOKUP(_xlfn.XLOOKUP(Table9[[#This Row],[ProductName ]],products[productName],products[categoryID],,0),categories[categoryID],categories[categoryName],,0)</f>
        <v>Grains &amp; Cereals</v>
      </c>
      <c r="F711">
        <v>6</v>
      </c>
      <c r="G711">
        <v>7</v>
      </c>
      <c r="H711">
        <v>0</v>
      </c>
      <c r="I711">
        <f>Table9[[#This Row],[quantity]]*Table9[[#This Row],[unitPrice]]*(1-Table9[[#This Row],[discount]]/100)</f>
        <v>42</v>
      </c>
      <c r="J711" t="str">
        <f>_xlfn.XLOOKUP(_xlfn.XLOOKUP(A711,orders[orderID],orders[customerID],,0),customers__2[customerID],customers__2[companyName],,0)</f>
        <v>North/South</v>
      </c>
      <c r="K711" t="str">
        <f>_xlfn.XLOOKUP(Table9[[#This Row],[Company Name]],customers__2[companyName],customers__2[country],,0)</f>
        <v>UK</v>
      </c>
      <c r="L711">
        <f>MONTH(Table9[[#This Row],[OrderDate ]])</f>
        <v>4</v>
      </c>
      <c r="M711" t="str">
        <f>TEXT(Table9[[#This Row],[OrderDate ]],"mmm")</f>
        <v>Apr</v>
      </c>
      <c r="N711">
        <f>YEAR(Table9[[#This Row],[OrderDate ]])</f>
        <v>2014</v>
      </c>
    </row>
    <row r="712" spans="1:14" x14ac:dyDescent="0.3">
      <c r="A712">
        <v>10517</v>
      </c>
      <c r="B712" s="2">
        <f>_xlfn.XLOOKUP(Table9[[#This Row],[orderID]],orders[orderID],orders[orderDate],,0)</f>
        <v>41753</v>
      </c>
      <c r="C712">
        <f>_xlfn.XLOOKUP(A712,order_details[orderID],order_details[productID],,0)</f>
        <v>52</v>
      </c>
      <c r="D712" t="str">
        <f>_xlfn.XLOOKUP(C712,products[productID],products[productName],,0)</f>
        <v>Filo Mix</v>
      </c>
      <c r="E712" t="str">
        <f>_xlfn.XLOOKUP(_xlfn.XLOOKUP(Table9[[#This Row],[ProductName ]],products[productName],products[categoryID],,0),categories[categoryID],categories[categoryName],,0)</f>
        <v>Grains &amp; Cereals</v>
      </c>
      <c r="F712">
        <v>4</v>
      </c>
      <c r="G712">
        <v>55</v>
      </c>
      <c r="H712">
        <v>0</v>
      </c>
      <c r="I712">
        <f>Table9[[#This Row],[quantity]]*Table9[[#This Row],[unitPrice]]*(1-Table9[[#This Row],[discount]]/100)</f>
        <v>220</v>
      </c>
      <c r="J712" t="str">
        <f>_xlfn.XLOOKUP(_xlfn.XLOOKUP(A712,orders[orderID],orders[customerID],,0),customers__2[customerID],customers__2[companyName],,0)</f>
        <v>North/South</v>
      </c>
      <c r="K712" t="str">
        <f>_xlfn.XLOOKUP(Table9[[#This Row],[Company Name]],customers__2[companyName],customers__2[country],,0)</f>
        <v>UK</v>
      </c>
      <c r="L712">
        <f>MONTH(Table9[[#This Row],[OrderDate ]])</f>
        <v>4</v>
      </c>
      <c r="M712" t="str">
        <f>TEXT(Table9[[#This Row],[OrderDate ]],"mmm")</f>
        <v>Apr</v>
      </c>
      <c r="N712">
        <f>YEAR(Table9[[#This Row],[OrderDate ]])</f>
        <v>2014</v>
      </c>
    </row>
    <row r="713" spans="1:14" x14ac:dyDescent="0.3">
      <c r="A713">
        <v>10517</v>
      </c>
      <c r="B713" s="2">
        <f>_xlfn.XLOOKUP(Table9[[#This Row],[orderID]],orders[orderID],orders[orderDate],,0)</f>
        <v>41753</v>
      </c>
      <c r="C713">
        <f>_xlfn.XLOOKUP(A713,order_details[orderID],order_details[productID],,0)</f>
        <v>52</v>
      </c>
      <c r="D713" t="str">
        <f>_xlfn.XLOOKUP(C713,products[productID],products[productName],,0)</f>
        <v>Filo Mix</v>
      </c>
      <c r="E713" t="str">
        <f>_xlfn.XLOOKUP(_xlfn.XLOOKUP(Table9[[#This Row],[ProductName ]],products[productName],products[categoryID],,0),categories[categoryID],categories[categoryName],,0)</f>
        <v>Grains &amp; Cereals</v>
      </c>
      <c r="F713">
        <v>6</v>
      </c>
      <c r="G713">
        <v>15</v>
      </c>
      <c r="H713">
        <v>0</v>
      </c>
      <c r="I713">
        <f>Table9[[#This Row],[quantity]]*Table9[[#This Row],[unitPrice]]*(1-Table9[[#This Row],[discount]]/100)</f>
        <v>90</v>
      </c>
      <c r="J713" t="str">
        <f>_xlfn.XLOOKUP(_xlfn.XLOOKUP(A713,orders[orderID],orders[customerID],,0),customers__2[customerID],customers__2[companyName],,0)</f>
        <v>North/South</v>
      </c>
      <c r="K713" t="str">
        <f>_xlfn.XLOOKUP(Table9[[#This Row],[Company Name]],customers__2[companyName],customers__2[country],,0)</f>
        <v>UK</v>
      </c>
      <c r="L713">
        <f>MONTH(Table9[[#This Row],[OrderDate ]])</f>
        <v>4</v>
      </c>
      <c r="M713" t="str">
        <f>TEXT(Table9[[#This Row],[OrderDate ]],"mmm")</f>
        <v>Apr</v>
      </c>
      <c r="N713">
        <f>YEAR(Table9[[#This Row],[OrderDate ]])</f>
        <v>2014</v>
      </c>
    </row>
    <row r="714" spans="1:14" x14ac:dyDescent="0.3">
      <c r="A714">
        <v>10518</v>
      </c>
      <c r="B714" s="2">
        <f>_xlfn.XLOOKUP(Table9[[#This Row],[orderID]],orders[orderID],orders[orderDate],,0)</f>
        <v>41754</v>
      </c>
      <c r="C714">
        <f>_xlfn.XLOOKUP(A714,order_details[orderID],order_details[productID],,0)</f>
        <v>24</v>
      </c>
      <c r="D714" t="str">
        <f>_xlfn.XLOOKUP(C714,products[productID],products[productName],,0)</f>
        <v>Guarana Fantastica</v>
      </c>
      <c r="E714" t="str">
        <f>_xlfn.XLOOKUP(_xlfn.XLOOKUP(Table9[[#This Row],[ProductName ]],products[productName],products[categoryID],,0),categories[categoryID],categories[categoryName],,0)</f>
        <v>Beverages</v>
      </c>
      <c r="F714">
        <v>5</v>
      </c>
      <c r="G714">
        <v>45</v>
      </c>
      <c r="H714">
        <v>0</v>
      </c>
      <c r="I714">
        <f>Table9[[#This Row],[quantity]]*Table9[[#This Row],[unitPrice]]*(1-Table9[[#This Row],[discount]]/100)</f>
        <v>225</v>
      </c>
      <c r="J714" t="str">
        <f>_xlfn.XLOOKUP(_xlfn.XLOOKUP(A714,orders[orderID],orders[customerID],,0),customers__2[customerID],customers__2[companyName],,0)</f>
        <v>Tortuga Restaurante</v>
      </c>
      <c r="K714" t="str">
        <f>_xlfn.XLOOKUP(Table9[[#This Row],[Company Name]],customers__2[companyName],customers__2[country],,0)</f>
        <v>Mexico</v>
      </c>
      <c r="L714">
        <f>MONTH(Table9[[#This Row],[OrderDate ]])</f>
        <v>4</v>
      </c>
      <c r="M714" t="str">
        <f>TEXT(Table9[[#This Row],[OrderDate ]],"mmm")</f>
        <v>Apr</v>
      </c>
      <c r="N714">
        <f>YEAR(Table9[[#This Row],[OrderDate ]])</f>
        <v>2014</v>
      </c>
    </row>
    <row r="715" spans="1:14" x14ac:dyDescent="0.3">
      <c r="A715">
        <v>10518</v>
      </c>
      <c r="B715" s="2">
        <f>_xlfn.XLOOKUP(Table9[[#This Row],[orderID]],orders[orderID],orders[orderDate],,0)</f>
        <v>41754</v>
      </c>
      <c r="C715">
        <f>_xlfn.XLOOKUP(A715,order_details[orderID],order_details[productID],,0)</f>
        <v>24</v>
      </c>
      <c r="D715" t="str">
        <f>_xlfn.XLOOKUP(C715,products[productID],products[productName],,0)</f>
        <v>Guarana Fantastica</v>
      </c>
      <c r="E715" t="str">
        <f>_xlfn.XLOOKUP(_xlfn.XLOOKUP(Table9[[#This Row],[ProductName ]],products[productName],products[categoryID],,0),categories[categoryID],categories[categoryName],,0)</f>
        <v>Beverages</v>
      </c>
      <c r="F715">
        <v>15</v>
      </c>
      <c r="G715">
        <v>2635</v>
      </c>
      <c r="H715">
        <v>0</v>
      </c>
      <c r="I715">
        <f>Table9[[#This Row],[quantity]]*Table9[[#This Row],[unitPrice]]*(1-Table9[[#This Row],[discount]]/100)</f>
        <v>39525</v>
      </c>
      <c r="J715" t="str">
        <f>_xlfn.XLOOKUP(_xlfn.XLOOKUP(A715,orders[orderID],orders[customerID],,0),customers__2[customerID],customers__2[companyName],,0)</f>
        <v>Tortuga Restaurante</v>
      </c>
      <c r="K715" t="str">
        <f>_xlfn.XLOOKUP(Table9[[#This Row],[Company Name]],customers__2[companyName],customers__2[country],,0)</f>
        <v>Mexico</v>
      </c>
      <c r="L715">
        <f>MONTH(Table9[[#This Row],[OrderDate ]])</f>
        <v>4</v>
      </c>
      <c r="M715" t="str">
        <f>TEXT(Table9[[#This Row],[OrderDate ]],"mmm")</f>
        <v>Apr</v>
      </c>
      <c r="N715">
        <f>YEAR(Table9[[#This Row],[OrderDate ]])</f>
        <v>2014</v>
      </c>
    </row>
    <row r="716" spans="1:14" x14ac:dyDescent="0.3">
      <c r="A716">
        <v>10518</v>
      </c>
      <c r="B716" s="2">
        <f>_xlfn.XLOOKUP(Table9[[#This Row],[orderID]],orders[orderID],orders[orderDate],,0)</f>
        <v>41754</v>
      </c>
      <c r="C716">
        <f>_xlfn.XLOOKUP(A716,order_details[orderID],order_details[productID],,0)</f>
        <v>24</v>
      </c>
      <c r="D716" t="str">
        <f>_xlfn.XLOOKUP(C716,products[productID],products[productName],,0)</f>
        <v>Guarana Fantastica</v>
      </c>
      <c r="E716" t="str">
        <f>_xlfn.XLOOKUP(_xlfn.XLOOKUP(Table9[[#This Row],[ProductName ]],products[productName],products[categoryID],,0),categories[categoryID],categories[categoryName],,0)</f>
        <v>Beverages</v>
      </c>
      <c r="F716">
        <v>9</v>
      </c>
      <c r="G716">
        <v>1945</v>
      </c>
      <c r="H716">
        <v>0</v>
      </c>
      <c r="I716">
        <f>Table9[[#This Row],[quantity]]*Table9[[#This Row],[unitPrice]]*(1-Table9[[#This Row],[discount]]/100)</f>
        <v>17505</v>
      </c>
      <c r="J716" t="str">
        <f>_xlfn.XLOOKUP(_xlfn.XLOOKUP(A716,orders[orderID],orders[customerID],,0),customers__2[customerID],customers__2[companyName],,0)</f>
        <v>Tortuga Restaurante</v>
      </c>
      <c r="K716" t="str">
        <f>_xlfn.XLOOKUP(Table9[[#This Row],[Company Name]],customers__2[companyName],customers__2[country],,0)</f>
        <v>Mexico</v>
      </c>
      <c r="L716">
        <f>MONTH(Table9[[#This Row],[OrderDate ]])</f>
        <v>4</v>
      </c>
      <c r="M716" t="str">
        <f>TEXT(Table9[[#This Row],[OrderDate ]],"mmm")</f>
        <v>Apr</v>
      </c>
      <c r="N716">
        <f>YEAR(Table9[[#This Row],[OrderDate ]])</f>
        <v>2014</v>
      </c>
    </row>
    <row r="717" spans="1:14" x14ac:dyDescent="0.3">
      <c r="A717">
        <v>10519</v>
      </c>
      <c r="B717" s="2">
        <f>_xlfn.XLOOKUP(Table9[[#This Row],[orderID]],orders[orderID],orders[orderDate],,0)</f>
        <v>41757</v>
      </c>
      <c r="C717">
        <f>_xlfn.XLOOKUP(A717,order_details[orderID],order_details[productID],,0)</f>
        <v>10</v>
      </c>
      <c r="D717" t="str">
        <f>_xlfn.XLOOKUP(C717,products[productID],products[productName],,0)</f>
        <v>Ikura</v>
      </c>
      <c r="E717" t="str">
        <f>_xlfn.XLOOKUP(_xlfn.XLOOKUP(Table9[[#This Row],[ProductName ]],products[productName],products[categoryID],,0),categories[categoryID],categories[categoryName],,0)</f>
        <v>Seafood</v>
      </c>
      <c r="F717">
        <v>16</v>
      </c>
      <c r="G717">
        <v>31</v>
      </c>
      <c r="H717">
        <v>5</v>
      </c>
      <c r="I717">
        <f>Table9[[#This Row],[quantity]]*Table9[[#This Row],[unitPrice]]*(1-Table9[[#This Row],[discount]]/100)</f>
        <v>471.2</v>
      </c>
      <c r="J717" t="str">
        <f>_xlfn.XLOOKUP(_xlfn.XLOOKUP(A717,orders[orderID],orders[customerID],,0),customers__2[customerID],customers__2[companyName],,0)</f>
        <v>Chop-suey Chinese</v>
      </c>
      <c r="K717" t="str">
        <f>_xlfn.XLOOKUP(Table9[[#This Row],[Company Name]],customers__2[companyName],customers__2[country],,0)</f>
        <v>Switzerland</v>
      </c>
      <c r="L717">
        <f>MONTH(Table9[[#This Row],[OrderDate ]])</f>
        <v>4</v>
      </c>
      <c r="M717" t="str">
        <f>TEXT(Table9[[#This Row],[OrderDate ]],"mmm")</f>
        <v>Apr</v>
      </c>
      <c r="N717">
        <f>YEAR(Table9[[#This Row],[OrderDate ]])</f>
        <v>2014</v>
      </c>
    </row>
    <row r="718" spans="1:14" x14ac:dyDescent="0.3">
      <c r="A718">
        <v>10519</v>
      </c>
      <c r="B718" s="2">
        <f>_xlfn.XLOOKUP(Table9[[#This Row],[orderID]],orders[orderID],orders[orderDate],,0)</f>
        <v>41757</v>
      </c>
      <c r="C718">
        <f>_xlfn.XLOOKUP(A718,order_details[orderID],order_details[productID],,0)</f>
        <v>10</v>
      </c>
      <c r="D718" t="str">
        <f>_xlfn.XLOOKUP(C718,products[productID],products[productName],,0)</f>
        <v>Ikura</v>
      </c>
      <c r="E718" t="str">
        <f>_xlfn.XLOOKUP(_xlfn.XLOOKUP(Table9[[#This Row],[ProductName ]],products[productName],products[categoryID],,0),categories[categoryID],categories[categoryName],,0)</f>
        <v>Seafood</v>
      </c>
      <c r="F718">
        <v>40</v>
      </c>
      <c r="G718">
        <v>38</v>
      </c>
      <c r="H718">
        <v>0</v>
      </c>
      <c r="I718">
        <f>Table9[[#This Row],[quantity]]*Table9[[#This Row],[unitPrice]]*(1-Table9[[#This Row],[discount]]/100)</f>
        <v>1520</v>
      </c>
      <c r="J718" t="str">
        <f>_xlfn.XLOOKUP(_xlfn.XLOOKUP(A718,orders[orderID],orders[customerID],,0),customers__2[customerID],customers__2[companyName],,0)</f>
        <v>Chop-suey Chinese</v>
      </c>
      <c r="K718" t="str">
        <f>_xlfn.XLOOKUP(Table9[[#This Row],[Company Name]],customers__2[companyName],customers__2[country],,0)</f>
        <v>Switzerland</v>
      </c>
      <c r="L718">
        <f>MONTH(Table9[[#This Row],[OrderDate ]])</f>
        <v>4</v>
      </c>
      <c r="M718" t="str">
        <f>TEXT(Table9[[#This Row],[OrderDate ]],"mmm")</f>
        <v>Apr</v>
      </c>
      <c r="N718">
        <f>YEAR(Table9[[#This Row],[OrderDate ]])</f>
        <v>2014</v>
      </c>
    </row>
    <row r="719" spans="1:14" x14ac:dyDescent="0.3">
      <c r="A719">
        <v>10519</v>
      </c>
      <c r="B719" s="2">
        <f>_xlfn.XLOOKUP(Table9[[#This Row],[orderID]],orders[orderID],orders[orderDate],,0)</f>
        <v>41757</v>
      </c>
      <c r="C719">
        <f>_xlfn.XLOOKUP(A719,order_details[orderID],order_details[productID],,0)</f>
        <v>10</v>
      </c>
      <c r="D719" t="str">
        <f>_xlfn.XLOOKUP(C719,products[productID],products[productName],,0)</f>
        <v>Ikura</v>
      </c>
      <c r="E719" t="str">
        <f>_xlfn.XLOOKUP(_xlfn.XLOOKUP(Table9[[#This Row],[ProductName ]],products[productName],products[categoryID],,0),categories[categoryID],categories[categoryName],,0)</f>
        <v>Seafood</v>
      </c>
      <c r="F719">
        <v>10</v>
      </c>
      <c r="G719">
        <v>34</v>
      </c>
      <c r="H719">
        <v>5</v>
      </c>
      <c r="I719">
        <f>Table9[[#This Row],[quantity]]*Table9[[#This Row],[unitPrice]]*(1-Table9[[#This Row],[discount]]/100)</f>
        <v>323</v>
      </c>
      <c r="J719" t="str">
        <f>_xlfn.XLOOKUP(_xlfn.XLOOKUP(A719,orders[orderID],orders[customerID],,0),customers__2[customerID],customers__2[companyName],,0)</f>
        <v>Chop-suey Chinese</v>
      </c>
      <c r="K719" t="str">
        <f>_xlfn.XLOOKUP(Table9[[#This Row],[Company Name]],customers__2[companyName],customers__2[country],,0)</f>
        <v>Switzerland</v>
      </c>
      <c r="L719">
        <f>MONTH(Table9[[#This Row],[OrderDate ]])</f>
        <v>4</v>
      </c>
      <c r="M719" t="str">
        <f>TEXT(Table9[[#This Row],[OrderDate ]],"mmm")</f>
        <v>Apr</v>
      </c>
      <c r="N719">
        <f>YEAR(Table9[[#This Row],[OrderDate ]])</f>
        <v>2014</v>
      </c>
    </row>
    <row r="720" spans="1:14" x14ac:dyDescent="0.3">
      <c r="A720">
        <v>10520</v>
      </c>
      <c r="B720" s="2">
        <f>_xlfn.XLOOKUP(Table9[[#This Row],[orderID]],orders[orderID],orders[orderDate],,0)</f>
        <v>41758</v>
      </c>
      <c r="C720">
        <f>_xlfn.XLOOKUP(A720,order_details[orderID],order_details[productID],,0)</f>
        <v>24</v>
      </c>
      <c r="D720" t="str">
        <f>_xlfn.XLOOKUP(C720,products[productID],products[productName],,0)</f>
        <v>Guarana Fantastica</v>
      </c>
      <c r="E720" t="str">
        <f>_xlfn.XLOOKUP(_xlfn.XLOOKUP(Table9[[#This Row],[ProductName ]],products[productName],products[categoryID],,0),categories[categoryID],categories[categoryName],,0)</f>
        <v>Beverages</v>
      </c>
      <c r="F720">
        <v>8</v>
      </c>
      <c r="G720">
        <v>45</v>
      </c>
      <c r="H720">
        <v>0</v>
      </c>
      <c r="I720">
        <f>Table9[[#This Row],[quantity]]*Table9[[#This Row],[unitPrice]]*(1-Table9[[#This Row],[discount]]/100)</f>
        <v>360</v>
      </c>
      <c r="J720" t="str">
        <f>_xlfn.XLOOKUP(_xlfn.XLOOKUP(A720,orders[orderID],orders[customerID],,0),customers__2[customerID],customers__2[companyName],,0)</f>
        <v>Santé Gourmet</v>
      </c>
      <c r="K720" t="str">
        <f>_xlfn.XLOOKUP(Table9[[#This Row],[Company Name]],customers__2[companyName],customers__2[country],,0)</f>
        <v>Norway</v>
      </c>
      <c r="L720">
        <f>MONTH(Table9[[#This Row],[OrderDate ]])</f>
        <v>4</v>
      </c>
      <c r="M720" t="str">
        <f>TEXT(Table9[[#This Row],[OrderDate ]],"mmm")</f>
        <v>Apr</v>
      </c>
      <c r="N720">
        <f>YEAR(Table9[[#This Row],[OrderDate ]])</f>
        <v>2014</v>
      </c>
    </row>
    <row r="721" spans="1:14" x14ac:dyDescent="0.3">
      <c r="A721">
        <v>10520</v>
      </c>
      <c r="B721" s="2">
        <f>_xlfn.XLOOKUP(Table9[[#This Row],[orderID]],orders[orderID],orders[orderDate],,0)</f>
        <v>41758</v>
      </c>
      <c r="C721">
        <f>_xlfn.XLOOKUP(A721,order_details[orderID],order_details[productID],,0)</f>
        <v>24</v>
      </c>
      <c r="D721" t="str">
        <f>_xlfn.XLOOKUP(C721,products[productID],products[productName],,0)</f>
        <v>Guarana Fantastica</v>
      </c>
      <c r="E721" t="str">
        <f>_xlfn.XLOOKUP(_xlfn.XLOOKUP(Table9[[#This Row],[ProductName ]],products[productName],products[categoryID],,0),categories[categoryID],categories[categoryName],,0)</f>
        <v>Beverages</v>
      </c>
      <c r="F721">
        <v>5</v>
      </c>
      <c r="G721">
        <v>328</v>
      </c>
      <c r="H721">
        <v>0</v>
      </c>
      <c r="I721">
        <f>Table9[[#This Row],[quantity]]*Table9[[#This Row],[unitPrice]]*(1-Table9[[#This Row],[discount]]/100)</f>
        <v>1640</v>
      </c>
      <c r="J721" t="str">
        <f>_xlfn.XLOOKUP(_xlfn.XLOOKUP(A721,orders[orderID],orders[customerID],,0),customers__2[customerID],customers__2[companyName],,0)</f>
        <v>Santé Gourmet</v>
      </c>
      <c r="K721" t="str">
        <f>_xlfn.XLOOKUP(Table9[[#This Row],[Company Name]],customers__2[companyName],customers__2[country],,0)</f>
        <v>Norway</v>
      </c>
      <c r="L721">
        <f>MONTH(Table9[[#This Row],[OrderDate ]])</f>
        <v>4</v>
      </c>
      <c r="M721" t="str">
        <f>TEXT(Table9[[#This Row],[OrderDate ]],"mmm")</f>
        <v>Apr</v>
      </c>
      <c r="N721">
        <f>YEAR(Table9[[#This Row],[OrderDate ]])</f>
        <v>2014</v>
      </c>
    </row>
    <row r="722" spans="1:14" x14ac:dyDescent="0.3">
      <c r="A722">
        <v>10521</v>
      </c>
      <c r="B722" s="2">
        <f>_xlfn.XLOOKUP(Table9[[#This Row],[orderID]],orders[orderID],orders[orderDate],,0)</f>
        <v>41758</v>
      </c>
      <c r="C722">
        <f>_xlfn.XLOOKUP(A722,order_details[orderID],order_details[productID],,0)</f>
        <v>35</v>
      </c>
      <c r="D722" t="str">
        <f>_xlfn.XLOOKUP(C722,products[productID],products[productName],,0)</f>
        <v>Steeleye Stout</v>
      </c>
      <c r="E722" t="str">
        <f>_xlfn.XLOOKUP(_xlfn.XLOOKUP(Table9[[#This Row],[ProductName ]],products[productName],products[categoryID],,0),categories[categoryID],categories[categoryName],,0)</f>
        <v>Beverages</v>
      </c>
      <c r="F722">
        <v>3</v>
      </c>
      <c r="G722">
        <v>18</v>
      </c>
      <c r="H722">
        <v>0</v>
      </c>
      <c r="I722">
        <f>Table9[[#This Row],[quantity]]*Table9[[#This Row],[unitPrice]]*(1-Table9[[#This Row],[discount]]/100)</f>
        <v>54</v>
      </c>
      <c r="J722" t="str">
        <f>_xlfn.XLOOKUP(_xlfn.XLOOKUP(A722,orders[orderID],orders[customerID],,0),customers__2[customerID],customers__2[companyName],,0)</f>
        <v>Cactus Comidas para llevar</v>
      </c>
      <c r="K722" t="str">
        <f>_xlfn.XLOOKUP(Table9[[#This Row],[Company Name]],customers__2[companyName],customers__2[country],,0)</f>
        <v>Argentina</v>
      </c>
      <c r="L722">
        <f>MONTH(Table9[[#This Row],[OrderDate ]])</f>
        <v>4</v>
      </c>
      <c r="M722" t="str">
        <f>TEXT(Table9[[#This Row],[OrderDate ]],"mmm")</f>
        <v>Apr</v>
      </c>
      <c r="N722">
        <f>YEAR(Table9[[#This Row],[OrderDate ]])</f>
        <v>2014</v>
      </c>
    </row>
    <row r="723" spans="1:14" x14ac:dyDescent="0.3">
      <c r="A723">
        <v>10521</v>
      </c>
      <c r="B723" s="2">
        <f>_xlfn.XLOOKUP(Table9[[#This Row],[orderID]],orders[orderID],orders[orderDate],,0)</f>
        <v>41758</v>
      </c>
      <c r="C723">
        <f>_xlfn.XLOOKUP(A723,order_details[orderID],order_details[productID],,0)</f>
        <v>35</v>
      </c>
      <c r="D723" t="str">
        <f>_xlfn.XLOOKUP(C723,products[productID],products[productName],,0)</f>
        <v>Steeleye Stout</v>
      </c>
      <c r="E723" t="str">
        <f>_xlfn.XLOOKUP(_xlfn.XLOOKUP(Table9[[#This Row],[ProductName ]],products[productName],products[categoryID],,0),categories[categoryID],categories[categoryName],,0)</f>
        <v>Beverages</v>
      </c>
      <c r="F723">
        <v>10</v>
      </c>
      <c r="G723">
        <v>965</v>
      </c>
      <c r="H723">
        <v>0</v>
      </c>
      <c r="I723">
        <f>Table9[[#This Row],[quantity]]*Table9[[#This Row],[unitPrice]]*(1-Table9[[#This Row],[discount]]/100)</f>
        <v>9650</v>
      </c>
      <c r="J723" t="str">
        <f>_xlfn.XLOOKUP(_xlfn.XLOOKUP(A723,orders[orderID],orders[customerID],,0),customers__2[customerID],customers__2[companyName],,0)</f>
        <v>Cactus Comidas para llevar</v>
      </c>
      <c r="K723" t="str">
        <f>_xlfn.XLOOKUP(Table9[[#This Row],[Company Name]],customers__2[companyName],customers__2[country],,0)</f>
        <v>Argentina</v>
      </c>
      <c r="L723">
        <f>MONTH(Table9[[#This Row],[OrderDate ]])</f>
        <v>4</v>
      </c>
      <c r="M723" t="str">
        <f>TEXT(Table9[[#This Row],[OrderDate ]],"mmm")</f>
        <v>Apr</v>
      </c>
      <c r="N723">
        <f>YEAR(Table9[[#This Row],[OrderDate ]])</f>
        <v>2014</v>
      </c>
    </row>
    <row r="724" spans="1:14" x14ac:dyDescent="0.3">
      <c r="A724">
        <v>10521</v>
      </c>
      <c r="B724" s="2">
        <f>_xlfn.XLOOKUP(Table9[[#This Row],[orderID]],orders[orderID],orders[orderDate],,0)</f>
        <v>41758</v>
      </c>
      <c r="C724">
        <f>_xlfn.XLOOKUP(A724,order_details[orderID],order_details[productID],,0)</f>
        <v>35</v>
      </c>
      <c r="D724" t="str">
        <f>_xlfn.XLOOKUP(C724,products[productID],products[productName],,0)</f>
        <v>Steeleye Stout</v>
      </c>
      <c r="E724" t="str">
        <f>_xlfn.XLOOKUP(_xlfn.XLOOKUP(Table9[[#This Row],[ProductName ]],products[productName],products[categoryID],,0),categories[categoryID],categories[categoryName],,0)</f>
        <v>Beverages</v>
      </c>
      <c r="F724">
        <v>6</v>
      </c>
      <c r="G724">
        <v>125</v>
      </c>
      <c r="H724">
        <v>0</v>
      </c>
      <c r="I724">
        <f>Table9[[#This Row],[quantity]]*Table9[[#This Row],[unitPrice]]*(1-Table9[[#This Row],[discount]]/100)</f>
        <v>750</v>
      </c>
      <c r="J724" t="str">
        <f>_xlfn.XLOOKUP(_xlfn.XLOOKUP(A724,orders[orderID],orders[customerID],,0),customers__2[customerID],customers__2[companyName],,0)</f>
        <v>Cactus Comidas para llevar</v>
      </c>
      <c r="K724" t="str">
        <f>_xlfn.XLOOKUP(Table9[[#This Row],[Company Name]],customers__2[companyName],customers__2[country],,0)</f>
        <v>Argentina</v>
      </c>
      <c r="L724">
        <f>MONTH(Table9[[#This Row],[OrderDate ]])</f>
        <v>4</v>
      </c>
      <c r="M724" t="str">
        <f>TEXT(Table9[[#This Row],[OrderDate ]],"mmm")</f>
        <v>Apr</v>
      </c>
      <c r="N724">
        <f>YEAR(Table9[[#This Row],[OrderDate ]])</f>
        <v>2014</v>
      </c>
    </row>
    <row r="725" spans="1:14" x14ac:dyDescent="0.3">
      <c r="A725">
        <v>10522</v>
      </c>
      <c r="B725" s="2">
        <f>_xlfn.XLOOKUP(Table9[[#This Row],[orderID]],orders[orderID],orders[orderDate],,0)</f>
        <v>41759</v>
      </c>
      <c r="C725">
        <f>_xlfn.XLOOKUP(A725,order_details[orderID],order_details[productID],,0)</f>
        <v>1</v>
      </c>
      <c r="D725" t="str">
        <f>_xlfn.XLOOKUP(C725,products[productID],products[productName],,0)</f>
        <v>Chai</v>
      </c>
      <c r="E725" t="str">
        <f>_xlfn.XLOOKUP(_xlfn.XLOOKUP(Table9[[#This Row],[ProductName ]],products[productName],products[categoryID],,0),categories[categoryID],categories[categoryName],,0)</f>
        <v>Beverages</v>
      </c>
      <c r="F725">
        <v>40</v>
      </c>
      <c r="G725">
        <v>18</v>
      </c>
      <c r="H725">
        <v>2</v>
      </c>
      <c r="I725">
        <f>Table9[[#This Row],[quantity]]*Table9[[#This Row],[unitPrice]]*(1-Table9[[#This Row],[discount]]/100)</f>
        <v>705.6</v>
      </c>
      <c r="J725" t="str">
        <f>_xlfn.XLOOKUP(_xlfn.XLOOKUP(A725,orders[orderID],orders[customerID],,0),customers__2[customerID],customers__2[companyName],,0)</f>
        <v>Lehmanns Marktstand</v>
      </c>
      <c r="K725" t="str">
        <f>_xlfn.XLOOKUP(Table9[[#This Row],[Company Name]],customers__2[companyName],customers__2[country],,0)</f>
        <v>Germany</v>
      </c>
      <c r="L725">
        <f>MONTH(Table9[[#This Row],[OrderDate ]])</f>
        <v>4</v>
      </c>
      <c r="M725" t="str">
        <f>TEXT(Table9[[#This Row],[OrderDate ]],"mmm")</f>
        <v>Apr</v>
      </c>
      <c r="N725">
        <f>YEAR(Table9[[#This Row],[OrderDate ]])</f>
        <v>2014</v>
      </c>
    </row>
    <row r="726" spans="1:14" x14ac:dyDescent="0.3">
      <c r="A726">
        <v>10522</v>
      </c>
      <c r="B726" s="2">
        <f>_xlfn.XLOOKUP(Table9[[#This Row],[orderID]],orders[orderID],orders[orderDate],,0)</f>
        <v>41759</v>
      </c>
      <c r="C726">
        <f>_xlfn.XLOOKUP(A726,order_details[orderID],order_details[productID],,0)</f>
        <v>1</v>
      </c>
      <c r="D726" t="str">
        <f>_xlfn.XLOOKUP(C726,products[productID],products[productName],,0)</f>
        <v>Chai</v>
      </c>
      <c r="E726" t="str">
        <f>_xlfn.XLOOKUP(_xlfn.XLOOKUP(Table9[[#This Row],[ProductName ]],products[productName],products[categoryID],,0),categories[categoryID],categories[categoryName],,0)</f>
        <v>Beverages</v>
      </c>
      <c r="F726">
        <v>24</v>
      </c>
      <c r="G726">
        <v>40</v>
      </c>
      <c r="H726">
        <v>0</v>
      </c>
      <c r="I726">
        <f>Table9[[#This Row],[quantity]]*Table9[[#This Row],[unitPrice]]*(1-Table9[[#This Row],[discount]]/100)</f>
        <v>960</v>
      </c>
      <c r="J726" t="str">
        <f>_xlfn.XLOOKUP(_xlfn.XLOOKUP(A726,orders[orderID],orders[customerID],,0),customers__2[customerID],customers__2[companyName],,0)</f>
        <v>Lehmanns Marktstand</v>
      </c>
      <c r="K726" t="str">
        <f>_xlfn.XLOOKUP(Table9[[#This Row],[Company Name]],customers__2[companyName],customers__2[country],,0)</f>
        <v>Germany</v>
      </c>
      <c r="L726">
        <f>MONTH(Table9[[#This Row],[OrderDate ]])</f>
        <v>4</v>
      </c>
      <c r="M726" t="str">
        <f>TEXT(Table9[[#This Row],[OrderDate ]],"mmm")</f>
        <v>Apr</v>
      </c>
      <c r="N726">
        <f>YEAR(Table9[[#This Row],[OrderDate ]])</f>
        <v>2014</v>
      </c>
    </row>
    <row r="727" spans="1:14" x14ac:dyDescent="0.3">
      <c r="A727">
        <v>10522</v>
      </c>
      <c r="B727" s="2">
        <f>_xlfn.XLOOKUP(Table9[[#This Row],[orderID]],orders[orderID],orders[orderDate],,0)</f>
        <v>41759</v>
      </c>
      <c r="C727">
        <f>_xlfn.XLOOKUP(A727,order_details[orderID],order_details[productID],,0)</f>
        <v>1</v>
      </c>
      <c r="D727" t="str">
        <f>_xlfn.XLOOKUP(C727,products[productID],products[productName],,0)</f>
        <v>Chai</v>
      </c>
      <c r="E727" t="str">
        <f>_xlfn.XLOOKUP(_xlfn.XLOOKUP(Table9[[#This Row],[ProductName ]],products[productName],products[categoryID],,0),categories[categoryID],categories[categoryName],,0)</f>
        <v>Beverages</v>
      </c>
      <c r="F727">
        <v>20</v>
      </c>
      <c r="G727">
        <v>2589</v>
      </c>
      <c r="H727">
        <v>2</v>
      </c>
      <c r="I727">
        <f>Table9[[#This Row],[quantity]]*Table9[[#This Row],[unitPrice]]*(1-Table9[[#This Row],[discount]]/100)</f>
        <v>50744.4</v>
      </c>
      <c r="J727" t="str">
        <f>_xlfn.XLOOKUP(_xlfn.XLOOKUP(A727,orders[orderID],orders[customerID],,0),customers__2[customerID],customers__2[companyName],,0)</f>
        <v>Lehmanns Marktstand</v>
      </c>
      <c r="K727" t="str">
        <f>_xlfn.XLOOKUP(Table9[[#This Row],[Company Name]],customers__2[companyName],customers__2[country],,0)</f>
        <v>Germany</v>
      </c>
      <c r="L727">
        <f>MONTH(Table9[[#This Row],[OrderDate ]])</f>
        <v>4</v>
      </c>
      <c r="M727" t="str">
        <f>TEXT(Table9[[#This Row],[OrderDate ]],"mmm")</f>
        <v>Apr</v>
      </c>
      <c r="N727">
        <f>YEAR(Table9[[#This Row],[OrderDate ]])</f>
        <v>2014</v>
      </c>
    </row>
    <row r="728" spans="1:14" x14ac:dyDescent="0.3">
      <c r="A728">
        <v>10522</v>
      </c>
      <c r="B728" s="2">
        <f>_xlfn.XLOOKUP(Table9[[#This Row],[orderID]],orders[orderID],orders[orderDate],,0)</f>
        <v>41759</v>
      </c>
      <c r="C728">
        <f>_xlfn.XLOOKUP(A728,order_details[orderID],order_details[productID],,0)</f>
        <v>1</v>
      </c>
      <c r="D728" t="str">
        <f>_xlfn.XLOOKUP(C728,products[productID],products[productName],,0)</f>
        <v>Chai</v>
      </c>
      <c r="E728" t="str">
        <f>_xlfn.XLOOKUP(_xlfn.XLOOKUP(Table9[[#This Row],[ProductName ]],products[productName],products[categoryID],,0),categories[categoryID],categories[categoryName],,0)</f>
        <v>Beverages</v>
      </c>
      <c r="F728">
        <v>25</v>
      </c>
      <c r="G728">
        <v>184</v>
      </c>
      <c r="H728">
        <v>2</v>
      </c>
      <c r="I728">
        <f>Table9[[#This Row],[quantity]]*Table9[[#This Row],[unitPrice]]*(1-Table9[[#This Row],[discount]]/100)</f>
        <v>4508</v>
      </c>
      <c r="J728" t="str">
        <f>_xlfn.XLOOKUP(_xlfn.XLOOKUP(A728,orders[orderID],orders[customerID],,0),customers__2[customerID],customers__2[companyName],,0)</f>
        <v>Lehmanns Marktstand</v>
      </c>
      <c r="K728" t="str">
        <f>_xlfn.XLOOKUP(Table9[[#This Row],[Company Name]],customers__2[companyName],customers__2[country],,0)</f>
        <v>Germany</v>
      </c>
      <c r="L728">
        <f>MONTH(Table9[[#This Row],[OrderDate ]])</f>
        <v>4</v>
      </c>
      <c r="M728" t="str">
        <f>TEXT(Table9[[#This Row],[OrderDate ]],"mmm")</f>
        <v>Apr</v>
      </c>
      <c r="N728">
        <f>YEAR(Table9[[#This Row],[OrderDate ]])</f>
        <v>2014</v>
      </c>
    </row>
    <row r="729" spans="1:14" x14ac:dyDescent="0.3">
      <c r="A729">
        <v>10523</v>
      </c>
      <c r="B729" s="2">
        <f>_xlfn.XLOOKUP(Table9[[#This Row],[orderID]],orders[orderID],orders[orderDate],,0)</f>
        <v>41760</v>
      </c>
      <c r="C729">
        <f>_xlfn.XLOOKUP(A729,order_details[orderID],order_details[productID],,0)</f>
        <v>17</v>
      </c>
      <c r="D729" t="str">
        <f>_xlfn.XLOOKUP(C729,products[productID],products[productName],,0)</f>
        <v>Alice Mutton</v>
      </c>
      <c r="E729" t="str">
        <f>_xlfn.XLOOKUP(_xlfn.XLOOKUP(Table9[[#This Row],[ProductName ]],products[productName],products[categoryID],,0),categories[categoryID],categories[categoryName],,0)</f>
        <v>Meat &amp; Poultry</v>
      </c>
      <c r="F729">
        <v>25</v>
      </c>
      <c r="G729">
        <v>39</v>
      </c>
      <c r="H729">
        <v>1</v>
      </c>
      <c r="I729">
        <f>Table9[[#This Row],[quantity]]*Table9[[#This Row],[unitPrice]]*(1-Table9[[#This Row],[discount]]/100)</f>
        <v>965.25</v>
      </c>
      <c r="J729" t="str">
        <f>_xlfn.XLOOKUP(_xlfn.XLOOKUP(A729,orders[orderID],orders[customerID],,0),customers__2[customerID],customers__2[companyName],,0)</f>
        <v>Seven Seas Imports</v>
      </c>
      <c r="K729" t="str">
        <f>_xlfn.XLOOKUP(Table9[[#This Row],[Company Name]],customers__2[companyName],customers__2[country],,0)</f>
        <v>UK</v>
      </c>
      <c r="L729">
        <f>MONTH(Table9[[#This Row],[OrderDate ]])</f>
        <v>5</v>
      </c>
      <c r="M729" t="str">
        <f>TEXT(Table9[[#This Row],[OrderDate ]],"mmm")</f>
        <v>May</v>
      </c>
      <c r="N729">
        <f>YEAR(Table9[[#This Row],[OrderDate ]])</f>
        <v>2014</v>
      </c>
    </row>
    <row r="730" spans="1:14" x14ac:dyDescent="0.3">
      <c r="A730">
        <v>10523</v>
      </c>
      <c r="B730" s="2">
        <f>_xlfn.XLOOKUP(Table9[[#This Row],[orderID]],orders[orderID],orders[orderDate],,0)</f>
        <v>41760</v>
      </c>
      <c r="C730">
        <f>_xlfn.XLOOKUP(A730,order_details[orderID],order_details[productID],,0)</f>
        <v>17</v>
      </c>
      <c r="D730" t="str">
        <f>_xlfn.XLOOKUP(C730,products[productID],products[productName],,0)</f>
        <v>Alice Mutton</v>
      </c>
      <c r="E730" t="str">
        <f>_xlfn.XLOOKUP(_xlfn.XLOOKUP(Table9[[#This Row],[ProductName ]],products[productName],products[categoryID],,0),categories[categoryID],categories[categoryName],,0)</f>
        <v>Meat &amp; Poultry</v>
      </c>
      <c r="F730">
        <v>15</v>
      </c>
      <c r="G730">
        <v>81</v>
      </c>
      <c r="H730">
        <v>1</v>
      </c>
      <c r="I730">
        <f>Table9[[#This Row],[quantity]]*Table9[[#This Row],[unitPrice]]*(1-Table9[[#This Row],[discount]]/100)</f>
        <v>1202.8499999999999</v>
      </c>
      <c r="J730" t="str">
        <f>_xlfn.XLOOKUP(_xlfn.XLOOKUP(A730,orders[orderID],orders[customerID],,0),customers__2[customerID],customers__2[companyName],,0)</f>
        <v>Seven Seas Imports</v>
      </c>
      <c r="K730" t="str">
        <f>_xlfn.XLOOKUP(Table9[[#This Row],[Company Name]],customers__2[companyName],customers__2[country],,0)</f>
        <v>UK</v>
      </c>
      <c r="L730">
        <f>MONTH(Table9[[#This Row],[OrderDate ]])</f>
        <v>5</v>
      </c>
      <c r="M730" t="str">
        <f>TEXT(Table9[[#This Row],[OrderDate ]],"mmm")</f>
        <v>May</v>
      </c>
      <c r="N730">
        <f>YEAR(Table9[[#This Row],[OrderDate ]])</f>
        <v>2014</v>
      </c>
    </row>
    <row r="731" spans="1:14" x14ac:dyDescent="0.3">
      <c r="A731">
        <v>10523</v>
      </c>
      <c r="B731" s="2">
        <f>_xlfn.XLOOKUP(Table9[[#This Row],[orderID]],orders[orderID],orders[orderDate],,0)</f>
        <v>41760</v>
      </c>
      <c r="C731">
        <f>_xlfn.XLOOKUP(A731,order_details[orderID],order_details[productID],,0)</f>
        <v>17</v>
      </c>
      <c r="D731" t="str">
        <f>_xlfn.XLOOKUP(C731,products[productID],products[productName],,0)</f>
        <v>Alice Mutton</v>
      </c>
      <c r="E731" t="str">
        <f>_xlfn.XLOOKUP(_xlfn.XLOOKUP(Table9[[#This Row],[ProductName ]],products[productName],products[categoryID],,0),categories[categoryID],categories[categoryName],,0)</f>
        <v>Meat &amp; Poultry</v>
      </c>
      <c r="F731">
        <v>18</v>
      </c>
      <c r="G731">
        <v>26</v>
      </c>
      <c r="H731">
        <v>1</v>
      </c>
      <c r="I731">
        <f>Table9[[#This Row],[quantity]]*Table9[[#This Row],[unitPrice]]*(1-Table9[[#This Row],[discount]]/100)</f>
        <v>463.32</v>
      </c>
      <c r="J731" t="str">
        <f>_xlfn.XLOOKUP(_xlfn.XLOOKUP(A731,orders[orderID],orders[customerID],,0),customers__2[customerID],customers__2[companyName],,0)</f>
        <v>Seven Seas Imports</v>
      </c>
      <c r="K731" t="str">
        <f>_xlfn.XLOOKUP(Table9[[#This Row],[Company Name]],customers__2[companyName],customers__2[country],,0)</f>
        <v>UK</v>
      </c>
      <c r="L731">
        <f>MONTH(Table9[[#This Row],[OrderDate ]])</f>
        <v>5</v>
      </c>
      <c r="M731" t="str">
        <f>TEXT(Table9[[#This Row],[OrderDate ]],"mmm")</f>
        <v>May</v>
      </c>
      <c r="N731">
        <f>YEAR(Table9[[#This Row],[OrderDate ]])</f>
        <v>2014</v>
      </c>
    </row>
    <row r="732" spans="1:14" x14ac:dyDescent="0.3">
      <c r="A732">
        <v>10523</v>
      </c>
      <c r="B732" s="2">
        <f>_xlfn.XLOOKUP(Table9[[#This Row],[orderID]],orders[orderID],orders[orderDate],,0)</f>
        <v>41760</v>
      </c>
      <c r="C732">
        <f>_xlfn.XLOOKUP(A732,order_details[orderID],order_details[productID],,0)</f>
        <v>17</v>
      </c>
      <c r="D732" t="str">
        <f>_xlfn.XLOOKUP(C732,products[productID],products[productName],,0)</f>
        <v>Alice Mutton</v>
      </c>
      <c r="E732" t="str">
        <f>_xlfn.XLOOKUP(_xlfn.XLOOKUP(Table9[[#This Row],[ProductName ]],products[productName],products[categoryID],,0),categories[categoryID],categories[categoryName],,0)</f>
        <v>Meat &amp; Poultry</v>
      </c>
      <c r="F732">
        <v>6</v>
      </c>
      <c r="G732">
        <v>965</v>
      </c>
      <c r="H732">
        <v>1</v>
      </c>
      <c r="I732">
        <f>Table9[[#This Row],[quantity]]*Table9[[#This Row],[unitPrice]]*(1-Table9[[#This Row],[discount]]/100)</f>
        <v>5732.1</v>
      </c>
      <c r="J732" t="str">
        <f>_xlfn.XLOOKUP(_xlfn.XLOOKUP(A732,orders[orderID],orders[customerID],,0),customers__2[customerID],customers__2[companyName],,0)</f>
        <v>Seven Seas Imports</v>
      </c>
      <c r="K732" t="str">
        <f>_xlfn.XLOOKUP(Table9[[#This Row],[Company Name]],customers__2[companyName],customers__2[country],,0)</f>
        <v>UK</v>
      </c>
      <c r="L732">
        <f>MONTH(Table9[[#This Row],[OrderDate ]])</f>
        <v>5</v>
      </c>
      <c r="M732" t="str">
        <f>TEXT(Table9[[#This Row],[OrderDate ]],"mmm")</f>
        <v>May</v>
      </c>
      <c r="N732">
        <f>YEAR(Table9[[#This Row],[OrderDate ]])</f>
        <v>2014</v>
      </c>
    </row>
    <row r="733" spans="1:14" x14ac:dyDescent="0.3">
      <c r="A733">
        <v>10524</v>
      </c>
      <c r="B733" s="2">
        <f>_xlfn.XLOOKUP(Table9[[#This Row],[orderID]],orders[orderID],orders[orderDate],,0)</f>
        <v>41760</v>
      </c>
      <c r="C733">
        <f>_xlfn.XLOOKUP(A733,order_details[orderID],order_details[productID],,0)</f>
        <v>10</v>
      </c>
      <c r="D733" t="str">
        <f>_xlfn.XLOOKUP(C733,products[productID],products[productName],,0)</f>
        <v>Ikura</v>
      </c>
      <c r="E733" t="str">
        <f>_xlfn.XLOOKUP(_xlfn.XLOOKUP(Table9[[#This Row],[ProductName ]],products[productName],products[categoryID],,0),categories[categoryID],categories[categoryName],,0)</f>
        <v>Seafood</v>
      </c>
      <c r="F733">
        <v>2</v>
      </c>
      <c r="G733">
        <v>31</v>
      </c>
      <c r="H733">
        <v>0</v>
      </c>
      <c r="I733">
        <f>Table9[[#This Row],[quantity]]*Table9[[#This Row],[unitPrice]]*(1-Table9[[#This Row],[discount]]/100)</f>
        <v>62</v>
      </c>
      <c r="J733" t="str">
        <f>_xlfn.XLOOKUP(_xlfn.XLOOKUP(A733,orders[orderID],orders[customerID],,0),customers__2[customerID],customers__2[companyName],,0)</f>
        <v>Berglunds snabbköp</v>
      </c>
      <c r="K733" t="str">
        <f>_xlfn.XLOOKUP(Table9[[#This Row],[Company Name]],customers__2[companyName],customers__2[country],,0)</f>
        <v>Sweden</v>
      </c>
      <c r="L733">
        <f>MONTH(Table9[[#This Row],[OrderDate ]])</f>
        <v>5</v>
      </c>
      <c r="M733" t="str">
        <f>TEXT(Table9[[#This Row],[OrderDate ]],"mmm")</f>
        <v>May</v>
      </c>
      <c r="N733">
        <f>YEAR(Table9[[#This Row],[OrderDate ]])</f>
        <v>2014</v>
      </c>
    </row>
    <row r="734" spans="1:14" x14ac:dyDescent="0.3">
      <c r="A734">
        <v>10524</v>
      </c>
      <c r="B734" s="2">
        <f>_xlfn.XLOOKUP(Table9[[#This Row],[orderID]],orders[orderID],orders[orderDate],,0)</f>
        <v>41760</v>
      </c>
      <c r="C734">
        <f>_xlfn.XLOOKUP(A734,order_details[orderID],order_details[productID],,0)</f>
        <v>10</v>
      </c>
      <c r="D734" t="str">
        <f>_xlfn.XLOOKUP(C734,products[productID],products[productName],,0)</f>
        <v>Ikura</v>
      </c>
      <c r="E734" t="str">
        <f>_xlfn.XLOOKUP(_xlfn.XLOOKUP(Table9[[#This Row],[ProductName ]],products[productName],products[categoryID],,0),categories[categoryID],categories[categoryName],,0)</f>
        <v>Seafood</v>
      </c>
      <c r="F734">
        <v>10</v>
      </c>
      <c r="G734">
        <v>2589</v>
      </c>
      <c r="H734">
        <v>0</v>
      </c>
      <c r="I734">
        <f>Table9[[#This Row],[quantity]]*Table9[[#This Row],[unitPrice]]*(1-Table9[[#This Row],[discount]]/100)</f>
        <v>25890</v>
      </c>
      <c r="J734" t="str">
        <f>_xlfn.XLOOKUP(_xlfn.XLOOKUP(A734,orders[orderID],orders[customerID],,0),customers__2[customerID],customers__2[companyName],,0)</f>
        <v>Berglunds snabbköp</v>
      </c>
      <c r="K734" t="str">
        <f>_xlfn.XLOOKUP(Table9[[#This Row],[Company Name]],customers__2[companyName],customers__2[country],,0)</f>
        <v>Sweden</v>
      </c>
      <c r="L734">
        <f>MONTH(Table9[[#This Row],[OrderDate ]])</f>
        <v>5</v>
      </c>
      <c r="M734" t="str">
        <f>TEXT(Table9[[#This Row],[OrderDate ]],"mmm")</f>
        <v>May</v>
      </c>
      <c r="N734">
        <f>YEAR(Table9[[#This Row],[OrderDate ]])</f>
        <v>2014</v>
      </c>
    </row>
    <row r="735" spans="1:14" x14ac:dyDescent="0.3">
      <c r="A735">
        <v>10524</v>
      </c>
      <c r="B735" s="2">
        <f>_xlfn.XLOOKUP(Table9[[#This Row],[orderID]],orders[orderID],orders[orderDate],,0)</f>
        <v>41760</v>
      </c>
      <c r="C735">
        <f>_xlfn.XLOOKUP(A735,order_details[orderID],order_details[productID],,0)</f>
        <v>10</v>
      </c>
      <c r="D735" t="str">
        <f>_xlfn.XLOOKUP(C735,products[productID],products[productName],,0)</f>
        <v>Ikura</v>
      </c>
      <c r="E735" t="str">
        <f>_xlfn.XLOOKUP(_xlfn.XLOOKUP(Table9[[#This Row],[ProductName ]],products[productName],products[categoryID],,0),categories[categoryID],categories[categoryName],,0)</f>
        <v>Seafood</v>
      </c>
      <c r="F735">
        <v>60</v>
      </c>
      <c r="G735">
        <v>46</v>
      </c>
      <c r="H735">
        <v>0</v>
      </c>
      <c r="I735">
        <f>Table9[[#This Row],[quantity]]*Table9[[#This Row],[unitPrice]]*(1-Table9[[#This Row],[discount]]/100)</f>
        <v>2760</v>
      </c>
      <c r="J735" t="str">
        <f>_xlfn.XLOOKUP(_xlfn.XLOOKUP(A735,orders[orderID],orders[customerID],,0),customers__2[customerID],customers__2[companyName],,0)</f>
        <v>Berglunds snabbköp</v>
      </c>
      <c r="K735" t="str">
        <f>_xlfn.XLOOKUP(Table9[[#This Row],[Company Name]],customers__2[companyName],customers__2[country],,0)</f>
        <v>Sweden</v>
      </c>
      <c r="L735">
        <f>MONTH(Table9[[#This Row],[OrderDate ]])</f>
        <v>5</v>
      </c>
      <c r="M735" t="str">
        <f>TEXT(Table9[[#This Row],[OrderDate ]],"mmm")</f>
        <v>May</v>
      </c>
      <c r="N735">
        <f>YEAR(Table9[[#This Row],[OrderDate ]])</f>
        <v>2014</v>
      </c>
    </row>
    <row r="736" spans="1:14" x14ac:dyDescent="0.3">
      <c r="A736">
        <v>10524</v>
      </c>
      <c r="B736" s="2">
        <f>_xlfn.XLOOKUP(Table9[[#This Row],[orderID]],orders[orderID],orders[orderDate],,0)</f>
        <v>41760</v>
      </c>
      <c r="C736">
        <f>_xlfn.XLOOKUP(A736,order_details[orderID],order_details[productID],,0)</f>
        <v>10</v>
      </c>
      <c r="D736" t="str">
        <f>_xlfn.XLOOKUP(C736,products[productID],products[productName],,0)</f>
        <v>Ikura</v>
      </c>
      <c r="E736" t="str">
        <f>_xlfn.XLOOKUP(_xlfn.XLOOKUP(Table9[[#This Row],[ProductName ]],products[productName],products[categoryID],,0),categories[categoryID],categories[categoryName],,0)</f>
        <v>Seafood</v>
      </c>
      <c r="F736">
        <v>15</v>
      </c>
      <c r="G736">
        <v>745</v>
      </c>
      <c r="H736">
        <v>0</v>
      </c>
      <c r="I736">
        <f>Table9[[#This Row],[quantity]]*Table9[[#This Row],[unitPrice]]*(1-Table9[[#This Row],[discount]]/100)</f>
        <v>11175</v>
      </c>
      <c r="J736" t="str">
        <f>_xlfn.XLOOKUP(_xlfn.XLOOKUP(A736,orders[orderID],orders[customerID],,0),customers__2[customerID],customers__2[companyName],,0)</f>
        <v>Berglunds snabbköp</v>
      </c>
      <c r="K736" t="str">
        <f>_xlfn.XLOOKUP(Table9[[#This Row],[Company Name]],customers__2[companyName],customers__2[country],,0)</f>
        <v>Sweden</v>
      </c>
      <c r="L736">
        <f>MONTH(Table9[[#This Row],[OrderDate ]])</f>
        <v>5</v>
      </c>
      <c r="M736" t="str">
        <f>TEXT(Table9[[#This Row],[OrderDate ]],"mmm")</f>
        <v>May</v>
      </c>
      <c r="N736">
        <f>YEAR(Table9[[#This Row],[OrderDate ]])</f>
        <v>2014</v>
      </c>
    </row>
    <row r="737" spans="1:14" x14ac:dyDescent="0.3">
      <c r="A737">
        <v>10525</v>
      </c>
      <c r="B737" s="2">
        <f>_xlfn.XLOOKUP(Table9[[#This Row],[orderID]],orders[orderID],orders[orderDate],,0)</f>
        <v>41761</v>
      </c>
      <c r="C737">
        <f>_xlfn.XLOOKUP(A737,order_details[orderID],order_details[productID],,0)</f>
        <v>36</v>
      </c>
      <c r="D737" t="str">
        <f>_xlfn.XLOOKUP(C737,products[productID],products[productName],,0)</f>
        <v>Inlagd Sill</v>
      </c>
      <c r="E737" t="str">
        <f>_xlfn.XLOOKUP(_xlfn.XLOOKUP(Table9[[#This Row],[ProductName ]],products[productName],products[categoryID],,0),categories[categoryID],categories[categoryName],,0)</f>
        <v>Seafood</v>
      </c>
      <c r="F737">
        <v>30</v>
      </c>
      <c r="G737">
        <v>19</v>
      </c>
      <c r="H737">
        <v>0</v>
      </c>
      <c r="I737">
        <f>Table9[[#This Row],[quantity]]*Table9[[#This Row],[unitPrice]]*(1-Table9[[#This Row],[discount]]/100)</f>
        <v>570</v>
      </c>
      <c r="J737" t="str">
        <f>_xlfn.XLOOKUP(_xlfn.XLOOKUP(A737,orders[orderID],orders[customerID],,0),customers__2[customerID],customers__2[companyName],,0)</f>
        <v>Bon app'</v>
      </c>
      <c r="K737" t="str">
        <f>_xlfn.XLOOKUP(Table9[[#This Row],[Company Name]],customers__2[companyName],customers__2[country],,0)</f>
        <v>France</v>
      </c>
      <c r="L737">
        <f>MONTH(Table9[[#This Row],[OrderDate ]])</f>
        <v>5</v>
      </c>
      <c r="M737" t="str">
        <f>TEXT(Table9[[#This Row],[OrderDate ]],"mmm")</f>
        <v>May</v>
      </c>
      <c r="N737">
        <f>YEAR(Table9[[#This Row],[OrderDate ]])</f>
        <v>2014</v>
      </c>
    </row>
    <row r="738" spans="1:14" x14ac:dyDescent="0.3">
      <c r="A738">
        <v>10525</v>
      </c>
      <c r="B738" s="2">
        <f>_xlfn.XLOOKUP(Table9[[#This Row],[orderID]],orders[orderID],orders[orderDate],,0)</f>
        <v>41761</v>
      </c>
      <c r="C738">
        <f>_xlfn.XLOOKUP(A738,order_details[orderID],order_details[productID],,0)</f>
        <v>36</v>
      </c>
      <c r="D738" t="str">
        <f>_xlfn.XLOOKUP(C738,products[productID],products[productName],,0)</f>
        <v>Inlagd Sill</v>
      </c>
      <c r="E738" t="str">
        <f>_xlfn.XLOOKUP(_xlfn.XLOOKUP(Table9[[#This Row],[ProductName ]],products[productName],products[categoryID],,0),categories[categoryID],categories[categoryName],,0)</f>
        <v>Seafood</v>
      </c>
      <c r="F738">
        <v>15</v>
      </c>
      <c r="G738">
        <v>184</v>
      </c>
      <c r="H738">
        <v>1</v>
      </c>
      <c r="I738">
        <f>Table9[[#This Row],[quantity]]*Table9[[#This Row],[unitPrice]]*(1-Table9[[#This Row],[discount]]/100)</f>
        <v>2732.4</v>
      </c>
      <c r="J738" t="str">
        <f>_xlfn.XLOOKUP(_xlfn.XLOOKUP(A738,orders[orderID],orders[customerID],,0),customers__2[customerID],customers__2[companyName],,0)</f>
        <v>Bon app'</v>
      </c>
      <c r="K738" t="str">
        <f>_xlfn.XLOOKUP(Table9[[#This Row],[Company Name]],customers__2[companyName],customers__2[country],,0)</f>
        <v>France</v>
      </c>
      <c r="L738">
        <f>MONTH(Table9[[#This Row],[OrderDate ]])</f>
        <v>5</v>
      </c>
      <c r="M738" t="str">
        <f>TEXT(Table9[[#This Row],[OrderDate ]],"mmm")</f>
        <v>May</v>
      </c>
      <c r="N738">
        <f>YEAR(Table9[[#This Row],[OrderDate ]])</f>
        <v>2014</v>
      </c>
    </row>
    <row r="739" spans="1:14" x14ac:dyDescent="0.3">
      <c r="A739">
        <v>10526</v>
      </c>
      <c r="B739" s="2">
        <f>_xlfn.XLOOKUP(Table9[[#This Row],[orderID]],orders[orderID],orders[orderDate],,0)</f>
        <v>41764</v>
      </c>
      <c r="C739">
        <f>_xlfn.XLOOKUP(A739,order_details[orderID],order_details[productID],,0)</f>
        <v>1</v>
      </c>
      <c r="D739" t="str">
        <f>_xlfn.XLOOKUP(C739,products[productID],products[productName],,0)</f>
        <v>Chai</v>
      </c>
      <c r="E739" t="str">
        <f>_xlfn.XLOOKUP(_xlfn.XLOOKUP(Table9[[#This Row],[ProductName ]],products[productName],products[categoryID],,0),categories[categoryID],categories[categoryName],,0)</f>
        <v>Beverages</v>
      </c>
      <c r="F739">
        <v>8</v>
      </c>
      <c r="G739">
        <v>18</v>
      </c>
      <c r="H739">
        <v>15</v>
      </c>
      <c r="I739">
        <f>Table9[[#This Row],[quantity]]*Table9[[#This Row],[unitPrice]]*(1-Table9[[#This Row],[discount]]/100)</f>
        <v>122.39999999999999</v>
      </c>
      <c r="J739" t="str">
        <f>_xlfn.XLOOKUP(_xlfn.XLOOKUP(A739,orders[orderID],orders[customerID],,0),customers__2[customerID],customers__2[companyName],,0)</f>
        <v>Wartian Herkku</v>
      </c>
      <c r="K739" t="str">
        <f>_xlfn.XLOOKUP(Table9[[#This Row],[Company Name]],customers__2[companyName],customers__2[country],,0)</f>
        <v>Finland</v>
      </c>
      <c r="L739">
        <f>MONTH(Table9[[#This Row],[OrderDate ]])</f>
        <v>5</v>
      </c>
      <c r="M739" t="str">
        <f>TEXT(Table9[[#This Row],[OrderDate ]],"mmm")</f>
        <v>May</v>
      </c>
      <c r="N739">
        <f>YEAR(Table9[[#This Row],[OrderDate ]])</f>
        <v>2014</v>
      </c>
    </row>
    <row r="740" spans="1:14" x14ac:dyDescent="0.3">
      <c r="A740">
        <v>10526</v>
      </c>
      <c r="B740" s="2">
        <f>_xlfn.XLOOKUP(Table9[[#This Row],[orderID]],orders[orderID],orders[orderDate],,0)</f>
        <v>41764</v>
      </c>
      <c r="C740">
        <f>_xlfn.XLOOKUP(A740,order_details[orderID],order_details[productID],,0)</f>
        <v>1</v>
      </c>
      <c r="D740" t="str">
        <f>_xlfn.XLOOKUP(C740,products[productID],products[productName],,0)</f>
        <v>Chai</v>
      </c>
      <c r="E740" t="str">
        <f>_xlfn.XLOOKUP(_xlfn.XLOOKUP(Table9[[#This Row],[ProductName ]],products[productName],products[categoryID],,0),categories[categoryID],categories[categoryName],,0)</f>
        <v>Beverages</v>
      </c>
      <c r="F740">
        <v>10</v>
      </c>
      <c r="G740">
        <v>6</v>
      </c>
      <c r="H740">
        <v>0</v>
      </c>
      <c r="I740">
        <f>Table9[[#This Row],[quantity]]*Table9[[#This Row],[unitPrice]]*(1-Table9[[#This Row],[discount]]/100)</f>
        <v>60</v>
      </c>
      <c r="J740" t="str">
        <f>_xlfn.XLOOKUP(_xlfn.XLOOKUP(A740,orders[orderID],orders[customerID],,0),customers__2[customerID],customers__2[companyName],,0)</f>
        <v>Wartian Herkku</v>
      </c>
      <c r="K740" t="str">
        <f>_xlfn.XLOOKUP(Table9[[#This Row],[Company Name]],customers__2[companyName],customers__2[country],,0)</f>
        <v>Finland</v>
      </c>
      <c r="L740">
        <f>MONTH(Table9[[#This Row],[OrderDate ]])</f>
        <v>5</v>
      </c>
      <c r="M740" t="str">
        <f>TEXT(Table9[[#This Row],[OrderDate ]],"mmm")</f>
        <v>May</v>
      </c>
      <c r="N740">
        <f>YEAR(Table9[[#This Row],[OrderDate ]])</f>
        <v>2014</v>
      </c>
    </row>
    <row r="741" spans="1:14" x14ac:dyDescent="0.3">
      <c r="A741">
        <v>10526</v>
      </c>
      <c r="B741" s="2">
        <f>_xlfn.XLOOKUP(Table9[[#This Row],[orderID]],orders[orderID],orders[orderDate],,0)</f>
        <v>41764</v>
      </c>
      <c r="C741">
        <f>_xlfn.XLOOKUP(A741,order_details[orderID],order_details[productID],,0)</f>
        <v>1</v>
      </c>
      <c r="D741" t="str">
        <f>_xlfn.XLOOKUP(C741,products[productID],products[productName],,0)</f>
        <v>Chai</v>
      </c>
      <c r="E741" t="str">
        <f>_xlfn.XLOOKUP(_xlfn.XLOOKUP(Table9[[#This Row],[ProductName ]],products[productName],products[categoryID],,0),categories[categoryID],categories[categoryName],,0)</f>
        <v>Beverages</v>
      </c>
      <c r="F741">
        <v>30</v>
      </c>
      <c r="G741">
        <v>38</v>
      </c>
      <c r="H741">
        <v>15</v>
      </c>
      <c r="I741">
        <f>Table9[[#This Row],[quantity]]*Table9[[#This Row],[unitPrice]]*(1-Table9[[#This Row],[discount]]/100)</f>
        <v>969</v>
      </c>
      <c r="J741" t="str">
        <f>_xlfn.XLOOKUP(_xlfn.XLOOKUP(A741,orders[orderID],orders[customerID],,0),customers__2[customerID],customers__2[companyName],,0)</f>
        <v>Wartian Herkku</v>
      </c>
      <c r="K741" t="str">
        <f>_xlfn.XLOOKUP(Table9[[#This Row],[Company Name]],customers__2[companyName],customers__2[country],,0)</f>
        <v>Finland</v>
      </c>
      <c r="L741">
        <f>MONTH(Table9[[#This Row],[OrderDate ]])</f>
        <v>5</v>
      </c>
      <c r="M741" t="str">
        <f>TEXT(Table9[[#This Row],[OrderDate ]],"mmm")</f>
        <v>May</v>
      </c>
      <c r="N741">
        <f>YEAR(Table9[[#This Row],[OrderDate ]])</f>
        <v>2014</v>
      </c>
    </row>
    <row r="742" spans="1:14" x14ac:dyDescent="0.3">
      <c r="A742">
        <v>10527</v>
      </c>
      <c r="B742" s="2">
        <f>_xlfn.XLOOKUP(Table9[[#This Row],[orderID]],orders[orderID],orders[orderDate],,0)</f>
        <v>41764</v>
      </c>
      <c r="C742">
        <f>_xlfn.XLOOKUP(A742,order_details[orderID],order_details[productID],,0)</f>
        <v>4</v>
      </c>
      <c r="D742" t="str">
        <f>_xlfn.XLOOKUP(C742,products[productID],products[productName],,0)</f>
        <v>Chef Anton's Cajun Seasoning</v>
      </c>
      <c r="E742" t="str">
        <f>_xlfn.XLOOKUP(_xlfn.XLOOKUP(Table9[[#This Row],[ProductName ]],products[productName],products[categoryID],,0),categories[categoryID],categories[categoryName],,0)</f>
        <v>Condiments</v>
      </c>
      <c r="F742">
        <v>50</v>
      </c>
      <c r="G742">
        <v>22</v>
      </c>
      <c r="H742">
        <v>1</v>
      </c>
      <c r="I742">
        <f>Table9[[#This Row],[quantity]]*Table9[[#This Row],[unitPrice]]*(1-Table9[[#This Row],[discount]]/100)</f>
        <v>1089</v>
      </c>
      <c r="J742" t="str">
        <f>_xlfn.XLOOKUP(_xlfn.XLOOKUP(A742,orders[orderID],orders[customerID],,0),customers__2[customerID],customers__2[companyName],,0)</f>
        <v>QUICK-Stop</v>
      </c>
      <c r="K742" t="str">
        <f>_xlfn.XLOOKUP(Table9[[#This Row],[Company Name]],customers__2[companyName],customers__2[country],,0)</f>
        <v>Germany</v>
      </c>
      <c r="L742">
        <f>MONTH(Table9[[#This Row],[OrderDate ]])</f>
        <v>5</v>
      </c>
      <c r="M742" t="str">
        <f>TEXT(Table9[[#This Row],[OrderDate ]],"mmm")</f>
        <v>May</v>
      </c>
      <c r="N742">
        <f>YEAR(Table9[[#This Row],[OrderDate ]])</f>
        <v>2014</v>
      </c>
    </row>
    <row r="743" spans="1:14" x14ac:dyDescent="0.3">
      <c r="A743">
        <v>10527</v>
      </c>
      <c r="B743" s="2">
        <f>_xlfn.XLOOKUP(Table9[[#This Row],[orderID]],orders[orderID],orders[orderDate],,0)</f>
        <v>41764</v>
      </c>
      <c r="C743">
        <f>_xlfn.XLOOKUP(A743,order_details[orderID],order_details[productID],,0)</f>
        <v>4</v>
      </c>
      <c r="D743" t="str">
        <f>_xlfn.XLOOKUP(C743,products[productID],products[productName],,0)</f>
        <v>Chef Anton's Cajun Seasoning</v>
      </c>
      <c r="E743" t="str">
        <f>_xlfn.XLOOKUP(_xlfn.XLOOKUP(Table9[[#This Row],[ProductName ]],products[productName],products[categoryID],,0),categories[categoryID],categories[categoryName],,0)</f>
        <v>Condiments</v>
      </c>
      <c r="F743">
        <v>30</v>
      </c>
      <c r="G743">
        <v>19</v>
      </c>
      <c r="H743">
        <v>1</v>
      </c>
      <c r="I743">
        <f>Table9[[#This Row],[quantity]]*Table9[[#This Row],[unitPrice]]*(1-Table9[[#This Row],[discount]]/100)</f>
        <v>564.29999999999995</v>
      </c>
      <c r="J743" t="str">
        <f>_xlfn.XLOOKUP(_xlfn.XLOOKUP(A743,orders[orderID],orders[customerID],,0),customers__2[customerID],customers__2[companyName],,0)</f>
        <v>QUICK-Stop</v>
      </c>
      <c r="K743" t="str">
        <f>_xlfn.XLOOKUP(Table9[[#This Row],[Company Name]],customers__2[companyName],customers__2[country],,0)</f>
        <v>Germany</v>
      </c>
      <c r="L743">
        <f>MONTH(Table9[[#This Row],[OrderDate ]])</f>
        <v>5</v>
      </c>
      <c r="M743" t="str">
        <f>TEXT(Table9[[#This Row],[OrderDate ]],"mmm")</f>
        <v>May</v>
      </c>
      <c r="N743">
        <f>YEAR(Table9[[#This Row],[OrderDate ]])</f>
        <v>2014</v>
      </c>
    </row>
    <row r="744" spans="1:14" x14ac:dyDescent="0.3">
      <c r="A744">
        <v>10528</v>
      </c>
      <c r="B744" s="2">
        <f>_xlfn.XLOOKUP(Table9[[#This Row],[orderID]],orders[orderID],orders[orderDate],,0)</f>
        <v>41765</v>
      </c>
      <c r="C744">
        <f>_xlfn.XLOOKUP(A744,order_details[orderID],order_details[productID],,0)</f>
        <v>11</v>
      </c>
      <c r="D744" t="str">
        <f>_xlfn.XLOOKUP(C744,products[productID],products[productName],,0)</f>
        <v>Queso Cabrales</v>
      </c>
      <c r="E744" t="str">
        <f>_xlfn.XLOOKUP(_xlfn.XLOOKUP(Table9[[#This Row],[ProductName ]],products[productName],products[categoryID],,0),categories[categoryID],categories[categoryName],,0)</f>
        <v>Dairy Products</v>
      </c>
      <c r="F744">
        <v>3</v>
      </c>
      <c r="G744">
        <v>21</v>
      </c>
      <c r="H744">
        <v>0</v>
      </c>
      <c r="I744">
        <f>Table9[[#This Row],[quantity]]*Table9[[#This Row],[unitPrice]]*(1-Table9[[#This Row],[discount]]/100)</f>
        <v>63</v>
      </c>
      <c r="J744" t="str">
        <f>_xlfn.XLOOKUP(_xlfn.XLOOKUP(A744,orders[orderID],orders[customerID],,0),customers__2[customerID],customers__2[companyName],,0)</f>
        <v>Great Lakes Food Market</v>
      </c>
      <c r="K744" t="str">
        <f>_xlfn.XLOOKUP(Table9[[#This Row],[Company Name]],customers__2[companyName],customers__2[country],,0)</f>
        <v>USA</v>
      </c>
      <c r="L744">
        <f>MONTH(Table9[[#This Row],[OrderDate ]])</f>
        <v>5</v>
      </c>
      <c r="M744" t="str">
        <f>TEXT(Table9[[#This Row],[OrderDate ]],"mmm")</f>
        <v>May</v>
      </c>
      <c r="N744">
        <f>YEAR(Table9[[#This Row],[OrderDate ]])</f>
        <v>2014</v>
      </c>
    </row>
    <row r="745" spans="1:14" x14ac:dyDescent="0.3">
      <c r="A745">
        <v>10528</v>
      </c>
      <c r="B745" s="2">
        <f>_xlfn.XLOOKUP(Table9[[#This Row],[orderID]],orders[orderID],orders[orderDate],,0)</f>
        <v>41765</v>
      </c>
      <c r="C745">
        <f>_xlfn.XLOOKUP(A745,order_details[orderID],order_details[productID],,0)</f>
        <v>11</v>
      </c>
      <c r="D745" t="str">
        <f>_xlfn.XLOOKUP(C745,products[productID],products[productName],,0)</f>
        <v>Queso Cabrales</v>
      </c>
      <c r="E745" t="str">
        <f>_xlfn.XLOOKUP(_xlfn.XLOOKUP(Table9[[#This Row],[ProductName ]],products[productName],products[categoryID],,0),categories[categoryID],categories[categoryName],,0)</f>
        <v>Dairy Products</v>
      </c>
      <c r="F745">
        <v>8</v>
      </c>
      <c r="G745">
        <v>25</v>
      </c>
      <c r="H745">
        <v>2</v>
      </c>
      <c r="I745">
        <f>Table9[[#This Row],[quantity]]*Table9[[#This Row],[unitPrice]]*(1-Table9[[#This Row],[discount]]/100)</f>
        <v>196</v>
      </c>
      <c r="J745" t="str">
        <f>_xlfn.XLOOKUP(_xlfn.XLOOKUP(A745,orders[orderID],orders[customerID],,0),customers__2[customerID],customers__2[companyName],,0)</f>
        <v>Great Lakes Food Market</v>
      </c>
      <c r="K745" t="str">
        <f>_xlfn.XLOOKUP(Table9[[#This Row],[Company Name]],customers__2[companyName],customers__2[country],,0)</f>
        <v>USA</v>
      </c>
      <c r="L745">
        <f>MONTH(Table9[[#This Row],[OrderDate ]])</f>
        <v>5</v>
      </c>
      <c r="M745" t="str">
        <f>TEXT(Table9[[#This Row],[OrderDate ]],"mmm")</f>
        <v>May</v>
      </c>
      <c r="N745">
        <f>YEAR(Table9[[#This Row],[OrderDate ]])</f>
        <v>2014</v>
      </c>
    </row>
    <row r="746" spans="1:14" x14ac:dyDescent="0.3">
      <c r="A746">
        <v>10528</v>
      </c>
      <c r="B746" s="2">
        <f>_xlfn.XLOOKUP(Table9[[#This Row],[orderID]],orders[orderID],orders[orderDate],,0)</f>
        <v>41765</v>
      </c>
      <c r="C746">
        <f>_xlfn.XLOOKUP(A746,order_details[orderID],order_details[productID],,0)</f>
        <v>11</v>
      </c>
      <c r="D746" t="str">
        <f>_xlfn.XLOOKUP(C746,products[productID],products[productName],,0)</f>
        <v>Queso Cabrales</v>
      </c>
      <c r="E746" t="str">
        <f>_xlfn.XLOOKUP(_xlfn.XLOOKUP(Table9[[#This Row],[ProductName ]],products[productName],products[categoryID],,0),categories[categoryID],categories[categoryName],,0)</f>
        <v>Dairy Products</v>
      </c>
      <c r="F746">
        <v>9</v>
      </c>
      <c r="G746">
        <v>348</v>
      </c>
      <c r="H746">
        <v>0</v>
      </c>
      <c r="I746">
        <f>Table9[[#This Row],[quantity]]*Table9[[#This Row],[unitPrice]]*(1-Table9[[#This Row],[discount]]/100)</f>
        <v>3132</v>
      </c>
      <c r="J746" t="str">
        <f>_xlfn.XLOOKUP(_xlfn.XLOOKUP(A746,orders[orderID],orders[customerID],,0),customers__2[customerID],customers__2[companyName],,0)</f>
        <v>Great Lakes Food Market</v>
      </c>
      <c r="K746" t="str">
        <f>_xlfn.XLOOKUP(Table9[[#This Row],[Company Name]],customers__2[companyName],customers__2[country],,0)</f>
        <v>USA</v>
      </c>
      <c r="L746">
        <f>MONTH(Table9[[#This Row],[OrderDate ]])</f>
        <v>5</v>
      </c>
      <c r="M746" t="str">
        <f>TEXT(Table9[[#This Row],[OrderDate ]],"mmm")</f>
        <v>May</v>
      </c>
      <c r="N746">
        <f>YEAR(Table9[[#This Row],[OrderDate ]])</f>
        <v>2014</v>
      </c>
    </row>
    <row r="747" spans="1:14" x14ac:dyDescent="0.3">
      <c r="A747">
        <v>10529</v>
      </c>
      <c r="B747" s="2">
        <f>_xlfn.XLOOKUP(Table9[[#This Row],[orderID]],orders[orderID],orders[orderDate],,0)</f>
        <v>41766</v>
      </c>
      <c r="C747">
        <f>_xlfn.XLOOKUP(A747,order_details[orderID],order_details[productID],,0)</f>
        <v>55</v>
      </c>
      <c r="D747" t="str">
        <f>_xlfn.XLOOKUP(C747,products[productID],products[productName],,0)</f>
        <v>Pâté chinois</v>
      </c>
      <c r="E747" t="str">
        <f>_xlfn.XLOOKUP(_xlfn.XLOOKUP(Table9[[#This Row],[ProductName ]],products[productName],products[categoryID],,0),categories[categoryID],categories[categoryName],,0)</f>
        <v>Meat &amp; Poultry</v>
      </c>
      <c r="F747">
        <v>14</v>
      </c>
      <c r="G747">
        <v>24</v>
      </c>
      <c r="H747">
        <v>0</v>
      </c>
      <c r="I747">
        <f>Table9[[#This Row],[quantity]]*Table9[[#This Row],[unitPrice]]*(1-Table9[[#This Row],[discount]]/100)</f>
        <v>336</v>
      </c>
      <c r="J747" t="str">
        <f>_xlfn.XLOOKUP(_xlfn.XLOOKUP(A747,orders[orderID],orders[customerID],,0),customers__2[customerID],customers__2[companyName],,0)</f>
        <v>Maison Dewey</v>
      </c>
      <c r="K747" t="str">
        <f>_xlfn.XLOOKUP(Table9[[#This Row],[Company Name]],customers__2[companyName],customers__2[country],,0)</f>
        <v>Belgium</v>
      </c>
      <c r="L747">
        <f>MONTH(Table9[[#This Row],[OrderDate ]])</f>
        <v>5</v>
      </c>
      <c r="M747" t="str">
        <f>TEXT(Table9[[#This Row],[OrderDate ]],"mmm")</f>
        <v>May</v>
      </c>
      <c r="N747">
        <f>YEAR(Table9[[#This Row],[OrderDate ]])</f>
        <v>2014</v>
      </c>
    </row>
    <row r="748" spans="1:14" x14ac:dyDescent="0.3">
      <c r="A748">
        <v>10529</v>
      </c>
      <c r="B748" s="2">
        <f>_xlfn.XLOOKUP(Table9[[#This Row],[orderID]],orders[orderID],orders[orderDate],,0)</f>
        <v>41766</v>
      </c>
      <c r="C748">
        <f>_xlfn.XLOOKUP(A748,order_details[orderID],order_details[productID],,0)</f>
        <v>55</v>
      </c>
      <c r="D748" t="str">
        <f>_xlfn.XLOOKUP(C748,products[productID],products[productName],,0)</f>
        <v>Pâté chinois</v>
      </c>
      <c r="E748" t="str">
        <f>_xlfn.XLOOKUP(_xlfn.XLOOKUP(Table9[[#This Row],[ProductName ]],products[productName],products[categoryID],,0),categories[categoryID],categories[categoryName],,0)</f>
        <v>Meat &amp; Poultry</v>
      </c>
      <c r="F748">
        <v>20</v>
      </c>
      <c r="G748">
        <v>125</v>
      </c>
      <c r="H748">
        <v>0</v>
      </c>
      <c r="I748">
        <f>Table9[[#This Row],[quantity]]*Table9[[#This Row],[unitPrice]]*(1-Table9[[#This Row],[discount]]/100)</f>
        <v>2500</v>
      </c>
      <c r="J748" t="str">
        <f>_xlfn.XLOOKUP(_xlfn.XLOOKUP(A748,orders[orderID],orders[customerID],,0),customers__2[customerID],customers__2[companyName],,0)</f>
        <v>Maison Dewey</v>
      </c>
      <c r="K748" t="str">
        <f>_xlfn.XLOOKUP(Table9[[#This Row],[Company Name]],customers__2[companyName],customers__2[country],,0)</f>
        <v>Belgium</v>
      </c>
      <c r="L748">
        <f>MONTH(Table9[[#This Row],[OrderDate ]])</f>
        <v>5</v>
      </c>
      <c r="M748" t="str">
        <f>TEXT(Table9[[#This Row],[OrderDate ]],"mmm")</f>
        <v>May</v>
      </c>
      <c r="N748">
        <f>YEAR(Table9[[#This Row],[OrderDate ]])</f>
        <v>2014</v>
      </c>
    </row>
    <row r="749" spans="1:14" x14ac:dyDescent="0.3">
      <c r="A749">
        <v>10529</v>
      </c>
      <c r="B749" s="2">
        <f>_xlfn.XLOOKUP(Table9[[#This Row],[orderID]],orders[orderID],orders[orderDate],,0)</f>
        <v>41766</v>
      </c>
      <c r="C749">
        <f>_xlfn.XLOOKUP(A749,order_details[orderID],order_details[productID],,0)</f>
        <v>55</v>
      </c>
      <c r="D749" t="str">
        <f>_xlfn.XLOOKUP(C749,products[productID],products[productName],,0)</f>
        <v>Pâté chinois</v>
      </c>
      <c r="E749" t="str">
        <f>_xlfn.XLOOKUP(_xlfn.XLOOKUP(Table9[[#This Row],[ProductName ]],products[productName],products[categoryID],,0),categories[categoryID],categories[categoryName],,0)</f>
        <v>Meat &amp; Poultry</v>
      </c>
      <c r="F749">
        <v>10</v>
      </c>
      <c r="G749">
        <v>36</v>
      </c>
      <c r="H749">
        <v>0</v>
      </c>
      <c r="I749">
        <f>Table9[[#This Row],[quantity]]*Table9[[#This Row],[unitPrice]]*(1-Table9[[#This Row],[discount]]/100)</f>
        <v>360</v>
      </c>
      <c r="J749" t="str">
        <f>_xlfn.XLOOKUP(_xlfn.XLOOKUP(A749,orders[orderID],orders[customerID],,0),customers__2[customerID],customers__2[companyName],,0)</f>
        <v>Maison Dewey</v>
      </c>
      <c r="K749" t="str">
        <f>_xlfn.XLOOKUP(Table9[[#This Row],[Company Name]],customers__2[companyName],customers__2[country],,0)</f>
        <v>Belgium</v>
      </c>
      <c r="L749">
        <f>MONTH(Table9[[#This Row],[OrderDate ]])</f>
        <v>5</v>
      </c>
      <c r="M749" t="str">
        <f>TEXT(Table9[[#This Row],[OrderDate ]],"mmm")</f>
        <v>May</v>
      </c>
      <c r="N749">
        <f>YEAR(Table9[[#This Row],[OrderDate ]])</f>
        <v>2014</v>
      </c>
    </row>
    <row r="750" spans="1:14" x14ac:dyDescent="0.3">
      <c r="A750">
        <v>10530</v>
      </c>
      <c r="B750" s="2">
        <f>_xlfn.XLOOKUP(Table9[[#This Row],[orderID]],orders[orderID],orders[orderDate],,0)</f>
        <v>41767</v>
      </c>
      <c r="C750">
        <f>_xlfn.XLOOKUP(A750,order_details[orderID],order_details[productID],,0)</f>
        <v>17</v>
      </c>
      <c r="D750" t="str">
        <f>_xlfn.XLOOKUP(C750,products[productID],products[productName],,0)</f>
        <v>Alice Mutton</v>
      </c>
      <c r="E750" t="str">
        <f>_xlfn.XLOOKUP(_xlfn.XLOOKUP(Table9[[#This Row],[ProductName ]],products[productName],products[categoryID],,0),categories[categoryID],categories[categoryName],,0)</f>
        <v>Meat &amp; Poultry</v>
      </c>
      <c r="F750">
        <v>40</v>
      </c>
      <c r="G750">
        <v>39</v>
      </c>
      <c r="H750">
        <v>0</v>
      </c>
      <c r="I750">
        <f>Table9[[#This Row],[quantity]]*Table9[[#This Row],[unitPrice]]*(1-Table9[[#This Row],[discount]]/100)</f>
        <v>1560</v>
      </c>
      <c r="J750" t="str">
        <f>_xlfn.XLOOKUP(_xlfn.XLOOKUP(A750,orders[orderID],orders[customerID],,0),customers__2[customerID],customers__2[companyName],,0)</f>
        <v>Piccolo und mehr</v>
      </c>
      <c r="K750" t="str">
        <f>_xlfn.XLOOKUP(Table9[[#This Row],[Company Name]],customers__2[companyName],customers__2[country],,0)</f>
        <v>Austria</v>
      </c>
      <c r="L750">
        <f>MONTH(Table9[[#This Row],[OrderDate ]])</f>
        <v>5</v>
      </c>
      <c r="M750" t="str">
        <f>TEXT(Table9[[#This Row],[OrderDate ]],"mmm")</f>
        <v>May</v>
      </c>
      <c r="N750">
        <f>YEAR(Table9[[#This Row],[OrderDate ]])</f>
        <v>2014</v>
      </c>
    </row>
    <row r="751" spans="1:14" x14ac:dyDescent="0.3">
      <c r="A751">
        <v>10530</v>
      </c>
      <c r="B751" s="2">
        <f>_xlfn.XLOOKUP(Table9[[#This Row],[orderID]],orders[orderID],orders[orderDate],,0)</f>
        <v>41767</v>
      </c>
      <c r="C751">
        <f>_xlfn.XLOOKUP(A751,order_details[orderID],order_details[productID],,0)</f>
        <v>17</v>
      </c>
      <c r="D751" t="str">
        <f>_xlfn.XLOOKUP(C751,products[productID],products[productName],,0)</f>
        <v>Alice Mutton</v>
      </c>
      <c r="E751" t="str">
        <f>_xlfn.XLOOKUP(_xlfn.XLOOKUP(Table9[[#This Row],[ProductName ]],products[productName],products[categoryID],,0),categories[categoryID],categories[categoryName],,0)</f>
        <v>Meat &amp; Poultry</v>
      </c>
      <c r="F751">
        <v>25</v>
      </c>
      <c r="G751">
        <v>46</v>
      </c>
      <c r="H751">
        <v>0</v>
      </c>
      <c r="I751">
        <f>Table9[[#This Row],[quantity]]*Table9[[#This Row],[unitPrice]]*(1-Table9[[#This Row],[discount]]/100)</f>
        <v>1150</v>
      </c>
      <c r="J751" t="str">
        <f>_xlfn.XLOOKUP(_xlfn.XLOOKUP(A751,orders[orderID],orders[customerID],,0),customers__2[customerID],customers__2[companyName],,0)</f>
        <v>Piccolo und mehr</v>
      </c>
      <c r="K751" t="str">
        <f>_xlfn.XLOOKUP(Table9[[#This Row],[Company Name]],customers__2[companyName],customers__2[country],,0)</f>
        <v>Austria</v>
      </c>
      <c r="L751">
        <f>MONTH(Table9[[#This Row],[OrderDate ]])</f>
        <v>5</v>
      </c>
      <c r="M751" t="str">
        <f>TEXT(Table9[[#This Row],[OrderDate ]],"mmm")</f>
        <v>May</v>
      </c>
      <c r="N751">
        <f>YEAR(Table9[[#This Row],[OrderDate ]])</f>
        <v>2014</v>
      </c>
    </row>
    <row r="752" spans="1:14" x14ac:dyDescent="0.3">
      <c r="A752">
        <v>10530</v>
      </c>
      <c r="B752" s="2">
        <f>_xlfn.XLOOKUP(Table9[[#This Row],[orderID]],orders[orderID],orders[orderDate],,0)</f>
        <v>41767</v>
      </c>
      <c r="C752">
        <f>_xlfn.XLOOKUP(A752,order_details[orderID],order_details[productID],,0)</f>
        <v>17</v>
      </c>
      <c r="D752" t="str">
        <f>_xlfn.XLOOKUP(C752,products[productID],products[productName],,0)</f>
        <v>Alice Mutton</v>
      </c>
      <c r="E752" t="str">
        <f>_xlfn.XLOOKUP(_xlfn.XLOOKUP(Table9[[#This Row],[ProductName ]],products[productName],products[categoryID],,0),categories[categoryID],categories[categoryName],,0)</f>
        <v>Meat &amp; Poultry</v>
      </c>
      <c r="F752">
        <v>20</v>
      </c>
      <c r="G752">
        <v>285</v>
      </c>
      <c r="H752">
        <v>0</v>
      </c>
      <c r="I752">
        <f>Table9[[#This Row],[quantity]]*Table9[[#This Row],[unitPrice]]*(1-Table9[[#This Row],[discount]]/100)</f>
        <v>5700</v>
      </c>
      <c r="J752" t="str">
        <f>_xlfn.XLOOKUP(_xlfn.XLOOKUP(A752,orders[orderID],orders[customerID],,0),customers__2[customerID],customers__2[companyName],,0)</f>
        <v>Piccolo und mehr</v>
      </c>
      <c r="K752" t="str">
        <f>_xlfn.XLOOKUP(Table9[[#This Row],[Company Name]],customers__2[companyName],customers__2[country],,0)</f>
        <v>Austria</v>
      </c>
      <c r="L752">
        <f>MONTH(Table9[[#This Row],[OrderDate ]])</f>
        <v>5</v>
      </c>
      <c r="M752" t="str">
        <f>TEXT(Table9[[#This Row],[OrderDate ]],"mmm")</f>
        <v>May</v>
      </c>
      <c r="N752">
        <f>YEAR(Table9[[#This Row],[OrderDate ]])</f>
        <v>2014</v>
      </c>
    </row>
    <row r="753" spans="1:14" x14ac:dyDescent="0.3">
      <c r="A753">
        <v>10530</v>
      </c>
      <c r="B753" s="2">
        <f>_xlfn.XLOOKUP(Table9[[#This Row],[orderID]],orders[orderID],orders[orderDate],,0)</f>
        <v>41767</v>
      </c>
      <c r="C753">
        <f>_xlfn.XLOOKUP(A753,order_details[orderID],order_details[productID],,0)</f>
        <v>17</v>
      </c>
      <c r="D753" t="str">
        <f>_xlfn.XLOOKUP(C753,products[productID],products[productName],,0)</f>
        <v>Alice Mutton</v>
      </c>
      <c r="E753" t="str">
        <f>_xlfn.XLOOKUP(_xlfn.XLOOKUP(Table9[[#This Row],[ProductName ]],products[productName],products[categoryID],,0),categories[categoryID],categories[categoryName],,0)</f>
        <v>Meat &amp; Poultry</v>
      </c>
      <c r="F753">
        <v>50</v>
      </c>
      <c r="G753">
        <v>18</v>
      </c>
      <c r="H753">
        <v>0</v>
      </c>
      <c r="I753">
        <f>Table9[[#This Row],[quantity]]*Table9[[#This Row],[unitPrice]]*(1-Table9[[#This Row],[discount]]/100)</f>
        <v>900</v>
      </c>
      <c r="J753" t="str">
        <f>_xlfn.XLOOKUP(_xlfn.XLOOKUP(A753,orders[orderID],orders[customerID],,0),customers__2[customerID],customers__2[companyName],,0)</f>
        <v>Piccolo und mehr</v>
      </c>
      <c r="K753" t="str">
        <f>_xlfn.XLOOKUP(Table9[[#This Row],[Company Name]],customers__2[companyName],customers__2[country],,0)</f>
        <v>Austria</v>
      </c>
      <c r="L753">
        <f>MONTH(Table9[[#This Row],[OrderDate ]])</f>
        <v>5</v>
      </c>
      <c r="M753" t="str">
        <f>TEXT(Table9[[#This Row],[OrderDate ]],"mmm")</f>
        <v>May</v>
      </c>
      <c r="N753">
        <f>YEAR(Table9[[#This Row],[OrderDate ]])</f>
        <v>2014</v>
      </c>
    </row>
    <row r="754" spans="1:14" x14ac:dyDescent="0.3">
      <c r="A754">
        <v>10531</v>
      </c>
      <c r="B754" s="2">
        <f>_xlfn.XLOOKUP(Table9[[#This Row],[orderID]],orders[orderID],orders[orderDate],,0)</f>
        <v>41767</v>
      </c>
      <c r="C754">
        <f>_xlfn.XLOOKUP(A754,order_details[orderID],order_details[productID],,0)</f>
        <v>59</v>
      </c>
      <c r="D754" t="str">
        <f>_xlfn.XLOOKUP(C754,products[productID],products[productName],,0)</f>
        <v>Raclette Courdavault</v>
      </c>
      <c r="E754" t="str">
        <f>_xlfn.XLOOKUP(_xlfn.XLOOKUP(Table9[[#This Row],[ProductName ]],products[productName],products[categoryID],,0),categories[categoryID],categories[categoryName],,0)</f>
        <v>Dairy Products</v>
      </c>
      <c r="F754">
        <v>2</v>
      </c>
      <c r="G754">
        <v>55</v>
      </c>
      <c r="H754">
        <v>0</v>
      </c>
      <c r="I754">
        <f>Table9[[#This Row],[quantity]]*Table9[[#This Row],[unitPrice]]*(1-Table9[[#This Row],[discount]]/100)</f>
        <v>110</v>
      </c>
      <c r="J754" t="str">
        <f>_xlfn.XLOOKUP(_xlfn.XLOOKUP(A754,orders[orderID],orders[customerID],,0),customers__2[customerID],customers__2[companyName],,0)</f>
        <v>Océano Atlántico Ltda.</v>
      </c>
      <c r="K754" t="str">
        <f>_xlfn.XLOOKUP(Table9[[#This Row],[Company Name]],customers__2[companyName],customers__2[country],,0)</f>
        <v>Argentina</v>
      </c>
      <c r="L754">
        <f>MONTH(Table9[[#This Row],[OrderDate ]])</f>
        <v>5</v>
      </c>
      <c r="M754" t="str">
        <f>TEXT(Table9[[#This Row],[OrderDate ]],"mmm")</f>
        <v>May</v>
      </c>
      <c r="N754">
        <f>YEAR(Table9[[#This Row],[OrderDate ]])</f>
        <v>2014</v>
      </c>
    </row>
    <row r="755" spans="1:14" x14ac:dyDescent="0.3">
      <c r="A755">
        <v>10532</v>
      </c>
      <c r="B755" s="2">
        <f>_xlfn.XLOOKUP(Table9[[#This Row],[orderID]],orders[orderID],orders[orderDate],,0)</f>
        <v>41768</v>
      </c>
      <c r="C755">
        <f>_xlfn.XLOOKUP(A755,order_details[orderID],order_details[productID],,0)</f>
        <v>30</v>
      </c>
      <c r="D755" t="str">
        <f>_xlfn.XLOOKUP(C755,products[productID],products[productName],,0)</f>
        <v>Nord-Ost Matjeshering</v>
      </c>
      <c r="E755" t="str">
        <f>_xlfn.XLOOKUP(_xlfn.XLOOKUP(Table9[[#This Row],[ProductName ]],products[productName],products[categoryID],,0),categories[categoryID],categories[categoryName],,0)</f>
        <v>Seafood</v>
      </c>
      <c r="F755">
        <v>15</v>
      </c>
      <c r="G755">
        <v>2589</v>
      </c>
      <c r="H755">
        <v>0</v>
      </c>
      <c r="I755">
        <f>Table9[[#This Row],[quantity]]*Table9[[#This Row],[unitPrice]]*(1-Table9[[#This Row],[discount]]/100)</f>
        <v>38835</v>
      </c>
      <c r="J755" t="str">
        <f>_xlfn.XLOOKUP(_xlfn.XLOOKUP(A755,orders[orderID],orders[customerID],,0),customers__2[customerID],customers__2[companyName],,0)</f>
        <v>Eastern Connection</v>
      </c>
      <c r="K755" t="str">
        <f>_xlfn.XLOOKUP(Table9[[#This Row],[Company Name]],customers__2[companyName],customers__2[country],,0)</f>
        <v>UK</v>
      </c>
      <c r="L755">
        <f>MONTH(Table9[[#This Row],[OrderDate ]])</f>
        <v>5</v>
      </c>
      <c r="M755" t="str">
        <f>TEXT(Table9[[#This Row],[OrderDate ]],"mmm")</f>
        <v>May</v>
      </c>
      <c r="N755">
        <f>YEAR(Table9[[#This Row],[OrderDate ]])</f>
        <v>2014</v>
      </c>
    </row>
    <row r="756" spans="1:14" x14ac:dyDescent="0.3">
      <c r="A756">
        <v>10532</v>
      </c>
      <c r="B756" s="2">
        <f>_xlfn.XLOOKUP(Table9[[#This Row],[orderID]],orders[orderID],orders[orderDate],,0)</f>
        <v>41768</v>
      </c>
      <c r="C756">
        <f>_xlfn.XLOOKUP(A756,order_details[orderID],order_details[productID],,0)</f>
        <v>30</v>
      </c>
      <c r="D756" t="str">
        <f>_xlfn.XLOOKUP(C756,products[productID],products[productName],,0)</f>
        <v>Nord-Ost Matjeshering</v>
      </c>
      <c r="E756" t="str">
        <f>_xlfn.XLOOKUP(_xlfn.XLOOKUP(Table9[[#This Row],[ProductName ]],products[productName],products[categoryID],,0),categories[categoryID],categories[categoryName],,0)</f>
        <v>Seafood</v>
      </c>
      <c r="F756">
        <v>24</v>
      </c>
      <c r="G756">
        <v>17</v>
      </c>
      <c r="H756">
        <v>0</v>
      </c>
      <c r="I756">
        <f>Table9[[#This Row],[quantity]]*Table9[[#This Row],[unitPrice]]*(1-Table9[[#This Row],[discount]]/100)</f>
        <v>408</v>
      </c>
      <c r="J756" t="str">
        <f>_xlfn.XLOOKUP(_xlfn.XLOOKUP(A756,orders[orderID],orders[customerID],,0),customers__2[customerID],customers__2[companyName],,0)</f>
        <v>Eastern Connection</v>
      </c>
      <c r="K756" t="str">
        <f>_xlfn.XLOOKUP(Table9[[#This Row],[Company Name]],customers__2[companyName],customers__2[country],,0)</f>
        <v>UK</v>
      </c>
      <c r="L756">
        <f>MONTH(Table9[[#This Row],[OrderDate ]])</f>
        <v>5</v>
      </c>
      <c r="M756" t="str">
        <f>TEXT(Table9[[#This Row],[OrderDate ]],"mmm")</f>
        <v>May</v>
      </c>
      <c r="N756">
        <f>YEAR(Table9[[#This Row],[OrderDate ]])</f>
        <v>2014</v>
      </c>
    </row>
    <row r="757" spans="1:14" x14ac:dyDescent="0.3">
      <c r="A757">
        <v>10533</v>
      </c>
      <c r="B757" s="2">
        <f>_xlfn.XLOOKUP(Table9[[#This Row],[orderID]],orders[orderID],orders[orderDate],,0)</f>
        <v>41771</v>
      </c>
      <c r="C757">
        <f>_xlfn.XLOOKUP(A757,order_details[orderID],order_details[productID],,0)</f>
        <v>4</v>
      </c>
      <c r="D757" t="str">
        <f>_xlfn.XLOOKUP(C757,products[productID],products[productName],,0)</f>
        <v>Chef Anton's Cajun Seasoning</v>
      </c>
      <c r="E757" t="str">
        <f>_xlfn.XLOOKUP(_xlfn.XLOOKUP(Table9[[#This Row],[ProductName ]],products[productName],products[categoryID],,0),categories[categoryID],categories[categoryName],,0)</f>
        <v>Condiments</v>
      </c>
      <c r="F757">
        <v>50</v>
      </c>
      <c r="G757">
        <v>22</v>
      </c>
      <c r="H757">
        <v>5</v>
      </c>
      <c r="I757">
        <f>Table9[[#This Row],[quantity]]*Table9[[#This Row],[unitPrice]]*(1-Table9[[#This Row],[discount]]/100)</f>
        <v>1045</v>
      </c>
      <c r="J757" t="str">
        <f>_xlfn.XLOOKUP(_xlfn.XLOOKUP(A757,orders[orderID],orders[customerID],,0),customers__2[customerID],customers__2[companyName],,0)</f>
        <v>Folk och fä HB</v>
      </c>
      <c r="K757" t="str">
        <f>_xlfn.XLOOKUP(Table9[[#This Row],[Company Name]],customers__2[companyName],customers__2[country],,0)</f>
        <v>Sweden</v>
      </c>
      <c r="L757">
        <f>MONTH(Table9[[#This Row],[OrderDate ]])</f>
        <v>5</v>
      </c>
      <c r="M757" t="str">
        <f>TEXT(Table9[[#This Row],[OrderDate ]],"mmm")</f>
        <v>May</v>
      </c>
      <c r="N757">
        <f>YEAR(Table9[[#This Row],[OrderDate ]])</f>
        <v>2014</v>
      </c>
    </row>
    <row r="758" spans="1:14" x14ac:dyDescent="0.3">
      <c r="A758">
        <v>10533</v>
      </c>
      <c r="B758" s="2">
        <f>_xlfn.XLOOKUP(Table9[[#This Row],[orderID]],orders[orderID],orders[orderDate],,0)</f>
        <v>41771</v>
      </c>
      <c r="C758">
        <f>_xlfn.XLOOKUP(A758,order_details[orderID],order_details[productID],,0)</f>
        <v>4</v>
      </c>
      <c r="D758" t="str">
        <f>_xlfn.XLOOKUP(C758,products[productID],products[productName],,0)</f>
        <v>Chef Anton's Cajun Seasoning</v>
      </c>
      <c r="E758" t="str">
        <f>_xlfn.XLOOKUP(_xlfn.XLOOKUP(Table9[[#This Row],[ProductName ]],products[productName],products[categoryID],,0),categories[categoryID],categories[categoryName],,0)</f>
        <v>Condiments</v>
      </c>
      <c r="F758">
        <v>24</v>
      </c>
      <c r="G758">
        <v>348</v>
      </c>
      <c r="H758">
        <v>0</v>
      </c>
      <c r="I758">
        <f>Table9[[#This Row],[quantity]]*Table9[[#This Row],[unitPrice]]*(1-Table9[[#This Row],[discount]]/100)</f>
        <v>8352</v>
      </c>
      <c r="J758" t="str">
        <f>_xlfn.XLOOKUP(_xlfn.XLOOKUP(A758,orders[orderID],orders[customerID],,0),customers__2[customerID],customers__2[companyName],,0)</f>
        <v>Folk och fä HB</v>
      </c>
      <c r="K758" t="str">
        <f>_xlfn.XLOOKUP(Table9[[#This Row],[Company Name]],customers__2[companyName],customers__2[country],,0)</f>
        <v>Sweden</v>
      </c>
      <c r="L758">
        <f>MONTH(Table9[[#This Row],[OrderDate ]])</f>
        <v>5</v>
      </c>
      <c r="M758" t="str">
        <f>TEXT(Table9[[#This Row],[OrderDate ]],"mmm")</f>
        <v>May</v>
      </c>
      <c r="N758">
        <f>YEAR(Table9[[#This Row],[OrderDate ]])</f>
        <v>2014</v>
      </c>
    </row>
    <row r="759" spans="1:14" x14ac:dyDescent="0.3">
      <c r="A759">
        <v>10533</v>
      </c>
      <c r="B759" s="2">
        <f>_xlfn.XLOOKUP(Table9[[#This Row],[orderID]],orders[orderID],orders[orderDate],,0)</f>
        <v>41771</v>
      </c>
      <c r="C759">
        <f>_xlfn.XLOOKUP(A759,order_details[orderID],order_details[productID],,0)</f>
        <v>4</v>
      </c>
      <c r="D759" t="str">
        <f>_xlfn.XLOOKUP(C759,products[productID],products[productName],,0)</f>
        <v>Chef Anton's Cajun Seasoning</v>
      </c>
      <c r="E759" t="str">
        <f>_xlfn.XLOOKUP(_xlfn.XLOOKUP(Table9[[#This Row],[ProductName ]],products[productName],products[categoryID],,0),categories[categoryID],categories[categoryName],,0)</f>
        <v>Condiments</v>
      </c>
      <c r="F759">
        <v>24</v>
      </c>
      <c r="G759">
        <v>15</v>
      </c>
      <c r="H759">
        <v>5</v>
      </c>
      <c r="I759">
        <f>Table9[[#This Row],[quantity]]*Table9[[#This Row],[unitPrice]]*(1-Table9[[#This Row],[discount]]/100)</f>
        <v>342</v>
      </c>
      <c r="J759" t="str">
        <f>_xlfn.XLOOKUP(_xlfn.XLOOKUP(A759,orders[orderID],orders[customerID],,0),customers__2[customerID],customers__2[companyName],,0)</f>
        <v>Folk och fä HB</v>
      </c>
      <c r="K759" t="str">
        <f>_xlfn.XLOOKUP(Table9[[#This Row],[Company Name]],customers__2[companyName],customers__2[country],,0)</f>
        <v>Sweden</v>
      </c>
      <c r="L759">
        <f>MONTH(Table9[[#This Row],[OrderDate ]])</f>
        <v>5</v>
      </c>
      <c r="M759" t="str">
        <f>TEXT(Table9[[#This Row],[OrderDate ]],"mmm")</f>
        <v>May</v>
      </c>
      <c r="N759">
        <f>YEAR(Table9[[#This Row],[OrderDate ]])</f>
        <v>2014</v>
      </c>
    </row>
    <row r="760" spans="1:14" x14ac:dyDescent="0.3">
      <c r="A760">
        <v>10534</v>
      </c>
      <c r="B760" s="2">
        <f>_xlfn.XLOOKUP(Table9[[#This Row],[orderID]],orders[orderID],orders[orderDate],,0)</f>
        <v>41771</v>
      </c>
      <c r="C760">
        <f>_xlfn.XLOOKUP(A760,order_details[orderID],order_details[productID],,0)</f>
        <v>30</v>
      </c>
      <c r="D760" t="str">
        <f>_xlfn.XLOOKUP(C760,products[productID],products[productName],,0)</f>
        <v>Nord-Ost Matjeshering</v>
      </c>
      <c r="E760" t="str">
        <f>_xlfn.XLOOKUP(_xlfn.XLOOKUP(Table9[[#This Row],[ProductName ]],products[productName],products[categoryID],,0),categories[categoryID],categories[categoryName],,0)</f>
        <v>Seafood</v>
      </c>
      <c r="F760">
        <v>10</v>
      </c>
      <c r="G760">
        <v>2589</v>
      </c>
      <c r="H760">
        <v>0</v>
      </c>
      <c r="I760">
        <f>Table9[[#This Row],[quantity]]*Table9[[#This Row],[unitPrice]]*(1-Table9[[#This Row],[discount]]/100)</f>
        <v>25890</v>
      </c>
      <c r="J760" t="str">
        <f>_xlfn.XLOOKUP(_xlfn.XLOOKUP(A760,orders[orderID],orders[customerID],,0),customers__2[customerID],customers__2[companyName],,0)</f>
        <v>Lehmanns Marktstand</v>
      </c>
      <c r="K760" t="str">
        <f>_xlfn.XLOOKUP(Table9[[#This Row],[Company Name]],customers__2[companyName],customers__2[country],,0)</f>
        <v>Germany</v>
      </c>
      <c r="L760">
        <f>MONTH(Table9[[#This Row],[OrderDate ]])</f>
        <v>5</v>
      </c>
      <c r="M760" t="str">
        <f>TEXT(Table9[[#This Row],[OrderDate ]],"mmm")</f>
        <v>May</v>
      </c>
      <c r="N760">
        <f>YEAR(Table9[[#This Row],[OrderDate ]])</f>
        <v>2014</v>
      </c>
    </row>
    <row r="761" spans="1:14" x14ac:dyDescent="0.3">
      <c r="A761">
        <v>10534</v>
      </c>
      <c r="B761" s="2">
        <f>_xlfn.XLOOKUP(Table9[[#This Row],[orderID]],orders[orderID],orders[orderDate],,0)</f>
        <v>41771</v>
      </c>
      <c r="C761">
        <f>_xlfn.XLOOKUP(A761,order_details[orderID],order_details[productID],,0)</f>
        <v>30</v>
      </c>
      <c r="D761" t="str">
        <f>_xlfn.XLOOKUP(C761,products[productID],products[productName],,0)</f>
        <v>Nord-Ost Matjeshering</v>
      </c>
      <c r="E761" t="str">
        <f>_xlfn.XLOOKUP(_xlfn.XLOOKUP(Table9[[#This Row],[ProductName ]],products[productName],products[categoryID],,0),categories[categoryID],categories[categoryName],,0)</f>
        <v>Seafood</v>
      </c>
      <c r="F761">
        <v>10</v>
      </c>
      <c r="G761">
        <v>184</v>
      </c>
      <c r="H761">
        <v>2</v>
      </c>
      <c r="I761">
        <f>Table9[[#This Row],[quantity]]*Table9[[#This Row],[unitPrice]]*(1-Table9[[#This Row],[discount]]/100)</f>
        <v>1803.2</v>
      </c>
      <c r="J761" t="str">
        <f>_xlfn.XLOOKUP(_xlfn.XLOOKUP(A761,orders[orderID],orders[customerID],,0),customers__2[customerID],customers__2[companyName],,0)</f>
        <v>Lehmanns Marktstand</v>
      </c>
      <c r="K761" t="str">
        <f>_xlfn.XLOOKUP(Table9[[#This Row],[Company Name]],customers__2[companyName],customers__2[country],,0)</f>
        <v>Germany</v>
      </c>
      <c r="L761">
        <f>MONTH(Table9[[#This Row],[OrderDate ]])</f>
        <v>5</v>
      </c>
      <c r="M761" t="str">
        <f>TEXT(Table9[[#This Row],[OrderDate ]],"mmm")</f>
        <v>May</v>
      </c>
      <c r="N761">
        <f>YEAR(Table9[[#This Row],[OrderDate ]])</f>
        <v>2014</v>
      </c>
    </row>
    <row r="762" spans="1:14" x14ac:dyDescent="0.3">
      <c r="A762">
        <v>10534</v>
      </c>
      <c r="B762" s="2">
        <f>_xlfn.XLOOKUP(Table9[[#This Row],[orderID]],orders[orderID],orders[orderDate],,0)</f>
        <v>41771</v>
      </c>
      <c r="C762">
        <f>_xlfn.XLOOKUP(A762,order_details[orderID],order_details[productID],,0)</f>
        <v>30</v>
      </c>
      <c r="D762" t="str">
        <f>_xlfn.XLOOKUP(C762,products[productID],products[productName],,0)</f>
        <v>Nord-Ost Matjeshering</v>
      </c>
      <c r="E762" t="str">
        <f>_xlfn.XLOOKUP(_xlfn.XLOOKUP(Table9[[#This Row],[ProductName ]],products[productName],products[categoryID],,0),categories[categoryID],categories[categoryName],,0)</f>
        <v>Seafood</v>
      </c>
      <c r="F762">
        <v>10</v>
      </c>
      <c r="G762">
        <v>745</v>
      </c>
      <c r="H762">
        <v>2</v>
      </c>
      <c r="I762">
        <f>Table9[[#This Row],[quantity]]*Table9[[#This Row],[unitPrice]]*(1-Table9[[#This Row],[discount]]/100)</f>
        <v>7301</v>
      </c>
      <c r="J762" t="str">
        <f>_xlfn.XLOOKUP(_xlfn.XLOOKUP(A762,orders[orderID],orders[customerID],,0),customers__2[customerID],customers__2[companyName],,0)</f>
        <v>Lehmanns Marktstand</v>
      </c>
      <c r="K762" t="str">
        <f>_xlfn.XLOOKUP(Table9[[#This Row],[Company Name]],customers__2[companyName],customers__2[country],,0)</f>
        <v>Germany</v>
      </c>
      <c r="L762">
        <f>MONTH(Table9[[#This Row],[OrderDate ]])</f>
        <v>5</v>
      </c>
      <c r="M762" t="str">
        <f>TEXT(Table9[[#This Row],[OrderDate ]],"mmm")</f>
        <v>May</v>
      </c>
      <c r="N762">
        <f>YEAR(Table9[[#This Row],[OrderDate ]])</f>
        <v>2014</v>
      </c>
    </row>
    <row r="763" spans="1:14" x14ac:dyDescent="0.3">
      <c r="A763">
        <v>10535</v>
      </c>
      <c r="B763" s="2">
        <f>_xlfn.XLOOKUP(Table9[[#This Row],[orderID]],orders[orderID],orders[orderDate],,0)</f>
        <v>41772</v>
      </c>
      <c r="C763">
        <f>_xlfn.XLOOKUP(A763,order_details[orderID],order_details[productID],,0)</f>
        <v>11</v>
      </c>
      <c r="D763" t="str">
        <f>_xlfn.XLOOKUP(C763,products[productID],products[productName],,0)</f>
        <v>Queso Cabrales</v>
      </c>
      <c r="E763" t="str">
        <f>_xlfn.XLOOKUP(_xlfn.XLOOKUP(Table9[[#This Row],[ProductName ]],products[productName],products[categoryID],,0),categories[categoryID],categories[categoryName],,0)</f>
        <v>Dairy Products</v>
      </c>
      <c r="F763">
        <v>50</v>
      </c>
      <c r="G763">
        <v>21</v>
      </c>
      <c r="H763">
        <v>1</v>
      </c>
      <c r="I763">
        <f>Table9[[#This Row],[quantity]]*Table9[[#This Row],[unitPrice]]*(1-Table9[[#This Row],[discount]]/100)</f>
        <v>1039.5</v>
      </c>
      <c r="J763" t="str">
        <f>_xlfn.XLOOKUP(_xlfn.XLOOKUP(A763,orders[orderID],orders[customerID],,0),customers__2[customerID],customers__2[companyName],,0)</f>
        <v>Antonio Moreno Taquería</v>
      </c>
      <c r="K763" t="str">
        <f>_xlfn.XLOOKUP(Table9[[#This Row],[Company Name]],customers__2[companyName],customers__2[country],,0)</f>
        <v>Mexico</v>
      </c>
      <c r="L763">
        <f>MONTH(Table9[[#This Row],[OrderDate ]])</f>
        <v>5</v>
      </c>
      <c r="M763" t="str">
        <f>TEXT(Table9[[#This Row],[OrderDate ]],"mmm")</f>
        <v>May</v>
      </c>
      <c r="N763">
        <f>YEAR(Table9[[#This Row],[OrderDate ]])</f>
        <v>2014</v>
      </c>
    </row>
    <row r="764" spans="1:14" x14ac:dyDescent="0.3">
      <c r="A764">
        <v>10535</v>
      </c>
      <c r="B764" s="2">
        <f>_xlfn.XLOOKUP(Table9[[#This Row],[orderID]],orders[orderID],orders[orderDate],,0)</f>
        <v>41772</v>
      </c>
      <c r="C764">
        <f>_xlfn.XLOOKUP(A764,order_details[orderID],order_details[productID],,0)</f>
        <v>11</v>
      </c>
      <c r="D764" t="str">
        <f>_xlfn.XLOOKUP(C764,products[productID],products[productName],,0)</f>
        <v>Queso Cabrales</v>
      </c>
      <c r="E764" t="str">
        <f>_xlfn.XLOOKUP(_xlfn.XLOOKUP(Table9[[#This Row],[ProductName ]],products[productName],products[categoryID],,0),categories[categoryID],categories[categoryName],,0)</f>
        <v>Dairy Products</v>
      </c>
      <c r="F764">
        <v>10</v>
      </c>
      <c r="G764">
        <v>184</v>
      </c>
      <c r="H764">
        <v>1</v>
      </c>
      <c r="I764">
        <f>Table9[[#This Row],[quantity]]*Table9[[#This Row],[unitPrice]]*(1-Table9[[#This Row],[discount]]/100)</f>
        <v>1821.6</v>
      </c>
      <c r="J764" t="str">
        <f>_xlfn.XLOOKUP(_xlfn.XLOOKUP(A764,orders[orderID],orders[customerID],,0),customers__2[customerID],customers__2[companyName],,0)</f>
        <v>Antonio Moreno Taquería</v>
      </c>
      <c r="K764" t="str">
        <f>_xlfn.XLOOKUP(Table9[[#This Row],[Company Name]],customers__2[companyName],customers__2[country],,0)</f>
        <v>Mexico</v>
      </c>
      <c r="L764">
        <f>MONTH(Table9[[#This Row],[OrderDate ]])</f>
        <v>5</v>
      </c>
      <c r="M764" t="str">
        <f>TEXT(Table9[[#This Row],[OrderDate ]],"mmm")</f>
        <v>May</v>
      </c>
      <c r="N764">
        <f>YEAR(Table9[[#This Row],[OrderDate ]])</f>
        <v>2014</v>
      </c>
    </row>
    <row r="765" spans="1:14" x14ac:dyDescent="0.3">
      <c r="A765">
        <v>10535</v>
      </c>
      <c r="B765" s="2">
        <f>_xlfn.XLOOKUP(Table9[[#This Row],[orderID]],orders[orderID],orders[orderDate],,0)</f>
        <v>41772</v>
      </c>
      <c r="C765">
        <f>_xlfn.XLOOKUP(A765,order_details[orderID],order_details[productID],,0)</f>
        <v>11</v>
      </c>
      <c r="D765" t="str">
        <f>_xlfn.XLOOKUP(C765,products[productID],products[productName],,0)</f>
        <v>Queso Cabrales</v>
      </c>
      <c r="E765" t="str">
        <f>_xlfn.XLOOKUP(_xlfn.XLOOKUP(Table9[[#This Row],[ProductName ]],products[productName],products[categoryID],,0),categories[categoryID],categories[categoryName],,0)</f>
        <v>Dairy Products</v>
      </c>
      <c r="F765">
        <v>5</v>
      </c>
      <c r="G765">
        <v>195</v>
      </c>
      <c r="H765">
        <v>1</v>
      </c>
      <c r="I765">
        <f>Table9[[#This Row],[quantity]]*Table9[[#This Row],[unitPrice]]*(1-Table9[[#This Row],[discount]]/100)</f>
        <v>965.25</v>
      </c>
      <c r="J765" t="str">
        <f>_xlfn.XLOOKUP(_xlfn.XLOOKUP(A765,orders[orderID],orders[customerID],,0),customers__2[customerID],customers__2[companyName],,0)</f>
        <v>Antonio Moreno Taquería</v>
      </c>
      <c r="K765" t="str">
        <f>_xlfn.XLOOKUP(Table9[[#This Row],[Company Name]],customers__2[companyName],customers__2[country],,0)</f>
        <v>Mexico</v>
      </c>
      <c r="L765">
        <f>MONTH(Table9[[#This Row],[OrderDate ]])</f>
        <v>5</v>
      </c>
      <c r="M765" t="str">
        <f>TEXT(Table9[[#This Row],[OrderDate ]],"mmm")</f>
        <v>May</v>
      </c>
      <c r="N765">
        <f>YEAR(Table9[[#This Row],[OrderDate ]])</f>
        <v>2014</v>
      </c>
    </row>
    <row r="766" spans="1:14" x14ac:dyDescent="0.3">
      <c r="A766">
        <v>10535</v>
      </c>
      <c r="B766" s="2">
        <f>_xlfn.XLOOKUP(Table9[[#This Row],[orderID]],orders[orderID],orders[orderDate],,0)</f>
        <v>41772</v>
      </c>
      <c r="C766">
        <f>_xlfn.XLOOKUP(A766,order_details[orderID],order_details[productID],,0)</f>
        <v>11</v>
      </c>
      <c r="D766" t="str">
        <f>_xlfn.XLOOKUP(C766,products[productID],products[productName],,0)</f>
        <v>Queso Cabrales</v>
      </c>
      <c r="E766" t="str">
        <f>_xlfn.XLOOKUP(_xlfn.XLOOKUP(Table9[[#This Row],[ProductName ]],products[productName],products[categoryID],,0),categories[categoryID],categories[categoryName],,0)</f>
        <v>Dairy Products</v>
      </c>
      <c r="F766">
        <v>15</v>
      </c>
      <c r="G766">
        <v>55</v>
      </c>
      <c r="H766">
        <v>1</v>
      </c>
      <c r="I766">
        <f>Table9[[#This Row],[quantity]]*Table9[[#This Row],[unitPrice]]*(1-Table9[[#This Row],[discount]]/100)</f>
        <v>816.75</v>
      </c>
      <c r="J766" t="str">
        <f>_xlfn.XLOOKUP(_xlfn.XLOOKUP(A766,orders[orderID],orders[customerID],,0),customers__2[customerID],customers__2[companyName],,0)</f>
        <v>Antonio Moreno Taquería</v>
      </c>
      <c r="K766" t="str">
        <f>_xlfn.XLOOKUP(Table9[[#This Row],[Company Name]],customers__2[companyName],customers__2[country],,0)</f>
        <v>Mexico</v>
      </c>
      <c r="L766">
        <f>MONTH(Table9[[#This Row],[OrderDate ]])</f>
        <v>5</v>
      </c>
      <c r="M766" t="str">
        <f>TEXT(Table9[[#This Row],[OrderDate ]],"mmm")</f>
        <v>May</v>
      </c>
      <c r="N766">
        <f>YEAR(Table9[[#This Row],[OrderDate ]])</f>
        <v>2014</v>
      </c>
    </row>
    <row r="767" spans="1:14" x14ac:dyDescent="0.3">
      <c r="A767">
        <v>10536</v>
      </c>
      <c r="B767" s="2">
        <f>_xlfn.XLOOKUP(Table9[[#This Row],[orderID]],orders[orderID],orders[orderDate],,0)</f>
        <v>41773</v>
      </c>
      <c r="C767">
        <f>_xlfn.XLOOKUP(A767,order_details[orderID],order_details[productID],,0)</f>
        <v>12</v>
      </c>
      <c r="D767" t="str">
        <f>_xlfn.XLOOKUP(C767,products[productID],products[productName],,0)</f>
        <v>Queso Manchego La Pastora</v>
      </c>
      <c r="E767" t="str">
        <f>_xlfn.XLOOKUP(_xlfn.XLOOKUP(Table9[[#This Row],[ProductName ]],products[productName],products[categoryID],,0),categories[categoryID],categories[categoryName],,0)</f>
        <v>Dairy Products</v>
      </c>
      <c r="F767">
        <v>15</v>
      </c>
      <c r="G767">
        <v>38</v>
      </c>
      <c r="H767">
        <v>25</v>
      </c>
      <c r="I767">
        <f>Table9[[#This Row],[quantity]]*Table9[[#This Row],[unitPrice]]*(1-Table9[[#This Row],[discount]]/100)</f>
        <v>427.5</v>
      </c>
      <c r="J767" t="str">
        <f>_xlfn.XLOOKUP(_xlfn.XLOOKUP(A767,orders[orderID],orders[customerID],,0),customers__2[customerID],customers__2[companyName],,0)</f>
        <v>Lehmanns Marktstand</v>
      </c>
      <c r="K767" t="str">
        <f>_xlfn.XLOOKUP(Table9[[#This Row],[Company Name]],customers__2[companyName],customers__2[country],,0)</f>
        <v>Germany</v>
      </c>
      <c r="L767">
        <f>MONTH(Table9[[#This Row],[OrderDate ]])</f>
        <v>5</v>
      </c>
      <c r="M767" t="str">
        <f>TEXT(Table9[[#This Row],[OrderDate ]],"mmm")</f>
        <v>May</v>
      </c>
      <c r="N767">
        <f>YEAR(Table9[[#This Row],[OrderDate ]])</f>
        <v>2014</v>
      </c>
    </row>
    <row r="768" spans="1:14" x14ac:dyDescent="0.3">
      <c r="A768">
        <v>10536</v>
      </c>
      <c r="B768" s="2">
        <f>_xlfn.XLOOKUP(Table9[[#This Row],[orderID]],orders[orderID],orders[orderDate],,0)</f>
        <v>41773</v>
      </c>
      <c r="C768">
        <f>_xlfn.XLOOKUP(A768,order_details[orderID],order_details[productID],,0)</f>
        <v>12</v>
      </c>
      <c r="D768" t="str">
        <f>_xlfn.XLOOKUP(C768,products[productID],products[productName],,0)</f>
        <v>Queso Manchego La Pastora</v>
      </c>
      <c r="E768" t="str">
        <f>_xlfn.XLOOKUP(_xlfn.XLOOKUP(Table9[[#This Row],[ProductName ]],products[productName],products[categoryID],,0),categories[categoryID],categories[categoryName],,0)</f>
        <v>Dairy Products</v>
      </c>
      <c r="F768">
        <v>20</v>
      </c>
      <c r="G768">
        <v>125</v>
      </c>
      <c r="H768">
        <v>0</v>
      </c>
      <c r="I768">
        <f>Table9[[#This Row],[quantity]]*Table9[[#This Row],[unitPrice]]*(1-Table9[[#This Row],[discount]]/100)</f>
        <v>2500</v>
      </c>
      <c r="J768" t="str">
        <f>_xlfn.XLOOKUP(_xlfn.XLOOKUP(A768,orders[orderID],orders[customerID],,0),customers__2[customerID],customers__2[companyName],,0)</f>
        <v>Lehmanns Marktstand</v>
      </c>
      <c r="K768" t="str">
        <f>_xlfn.XLOOKUP(Table9[[#This Row],[Company Name]],customers__2[companyName],customers__2[country],,0)</f>
        <v>Germany</v>
      </c>
      <c r="L768">
        <f>MONTH(Table9[[#This Row],[OrderDate ]])</f>
        <v>5</v>
      </c>
      <c r="M768" t="str">
        <f>TEXT(Table9[[#This Row],[OrderDate ]],"mmm")</f>
        <v>May</v>
      </c>
      <c r="N768">
        <f>YEAR(Table9[[#This Row],[OrderDate ]])</f>
        <v>2014</v>
      </c>
    </row>
    <row r="769" spans="1:14" x14ac:dyDescent="0.3">
      <c r="A769">
        <v>10536</v>
      </c>
      <c r="B769" s="2">
        <f>_xlfn.XLOOKUP(Table9[[#This Row],[orderID]],orders[orderID],orders[orderDate],,0)</f>
        <v>41773</v>
      </c>
      <c r="C769">
        <f>_xlfn.XLOOKUP(A769,order_details[orderID],order_details[productID],,0)</f>
        <v>12</v>
      </c>
      <c r="D769" t="str">
        <f>_xlfn.XLOOKUP(C769,products[productID],products[productName],,0)</f>
        <v>Queso Manchego La Pastora</v>
      </c>
      <c r="E769" t="str">
        <f>_xlfn.XLOOKUP(_xlfn.XLOOKUP(Table9[[#This Row],[ProductName ]],products[productName],products[categoryID],,0),categories[categoryID],categories[categoryName],,0)</f>
        <v>Dairy Products</v>
      </c>
      <c r="F769">
        <v>30</v>
      </c>
      <c r="G769">
        <v>25</v>
      </c>
      <c r="H769">
        <v>0</v>
      </c>
      <c r="I769">
        <f>Table9[[#This Row],[quantity]]*Table9[[#This Row],[unitPrice]]*(1-Table9[[#This Row],[discount]]/100)</f>
        <v>750</v>
      </c>
      <c r="J769" t="str">
        <f>_xlfn.XLOOKUP(_xlfn.XLOOKUP(A769,orders[orderID],orders[customerID],,0),customers__2[customerID],customers__2[companyName],,0)</f>
        <v>Lehmanns Marktstand</v>
      </c>
      <c r="K769" t="str">
        <f>_xlfn.XLOOKUP(Table9[[#This Row],[Company Name]],customers__2[companyName],customers__2[country],,0)</f>
        <v>Germany</v>
      </c>
      <c r="L769">
        <f>MONTH(Table9[[#This Row],[OrderDate ]])</f>
        <v>5</v>
      </c>
      <c r="M769" t="str">
        <f>TEXT(Table9[[#This Row],[OrderDate ]],"mmm")</f>
        <v>May</v>
      </c>
      <c r="N769">
        <f>YEAR(Table9[[#This Row],[OrderDate ]])</f>
        <v>2014</v>
      </c>
    </row>
    <row r="770" spans="1:14" x14ac:dyDescent="0.3">
      <c r="A770">
        <v>10536</v>
      </c>
      <c r="B770" s="2">
        <f>_xlfn.XLOOKUP(Table9[[#This Row],[orderID]],orders[orderID],orders[orderDate],,0)</f>
        <v>41773</v>
      </c>
      <c r="C770">
        <f>_xlfn.XLOOKUP(A770,order_details[orderID],order_details[productID],,0)</f>
        <v>12</v>
      </c>
      <c r="D770" t="str">
        <f>_xlfn.XLOOKUP(C770,products[productID],products[productName],,0)</f>
        <v>Queso Manchego La Pastora</v>
      </c>
      <c r="E770" t="str">
        <f>_xlfn.XLOOKUP(_xlfn.XLOOKUP(Table9[[#This Row],[ProductName ]],products[productName],products[categoryID],,0),categories[categoryID],categories[categoryName],,0)</f>
        <v>Dairy Products</v>
      </c>
      <c r="F770">
        <v>35</v>
      </c>
      <c r="G770">
        <v>34</v>
      </c>
      <c r="H770">
        <v>25</v>
      </c>
      <c r="I770">
        <f>Table9[[#This Row],[quantity]]*Table9[[#This Row],[unitPrice]]*(1-Table9[[#This Row],[discount]]/100)</f>
        <v>892.5</v>
      </c>
      <c r="J770" t="str">
        <f>_xlfn.XLOOKUP(_xlfn.XLOOKUP(A770,orders[orderID],orders[customerID],,0),customers__2[customerID],customers__2[companyName],,0)</f>
        <v>Lehmanns Marktstand</v>
      </c>
      <c r="K770" t="str">
        <f>_xlfn.XLOOKUP(Table9[[#This Row],[Company Name]],customers__2[companyName],customers__2[country],,0)</f>
        <v>Germany</v>
      </c>
      <c r="L770">
        <f>MONTH(Table9[[#This Row],[OrderDate ]])</f>
        <v>5</v>
      </c>
      <c r="M770" t="str">
        <f>TEXT(Table9[[#This Row],[OrderDate ]],"mmm")</f>
        <v>May</v>
      </c>
      <c r="N770">
        <f>YEAR(Table9[[#This Row],[OrderDate ]])</f>
        <v>2014</v>
      </c>
    </row>
    <row r="771" spans="1:14" x14ac:dyDescent="0.3">
      <c r="A771">
        <v>10537</v>
      </c>
      <c r="B771" s="2">
        <f>_xlfn.XLOOKUP(Table9[[#This Row],[orderID]],orders[orderID],orders[orderDate],,0)</f>
        <v>41773</v>
      </c>
      <c r="C771">
        <f>_xlfn.XLOOKUP(A771,order_details[orderID],order_details[productID],,0)</f>
        <v>31</v>
      </c>
      <c r="D771" t="str">
        <f>_xlfn.XLOOKUP(C771,products[productID],products[productName],,0)</f>
        <v>Gorgonzola Telino</v>
      </c>
      <c r="E771" t="str">
        <f>_xlfn.XLOOKUP(_xlfn.XLOOKUP(Table9[[#This Row],[ProductName ]],products[productName],products[categoryID],,0),categories[categoryID],categories[categoryName],,0)</f>
        <v>Dairy Products</v>
      </c>
      <c r="F771">
        <v>30</v>
      </c>
      <c r="G771">
        <v>125</v>
      </c>
      <c r="H771">
        <v>0</v>
      </c>
      <c r="I771">
        <f>Table9[[#This Row],[quantity]]*Table9[[#This Row],[unitPrice]]*(1-Table9[[#This Row],[discount]]/100)</f>
        <v>3750</v>
      </c>
      <c r="J771" t="str">
        <f>_xlfn.XLOOKUP(_xlfn.XLOOKUP(A771,orders[orderID],orders[customerID],,0),customers__2[customerID],customers__2[companyName],,0)</f>
        <v>Richter Supermarkt</v>
      </c>
      <c r="K771" t="str">
        <f>_xlfn.XLOOKUP(Table9[[#This Row],[Company Name]],customers__2[companyName],customers__2[country],,0)</f>
        <v>Switzerland</v>
      </c>
      <c r="L771">
        <f>MONTH(Table9[[#This Row],[OrderDate ]])</f>
        <v>5</v>
      </c>
      <c r="M771" t="str">
        <f>TEXT(Table9[[#This Row],[OrderDate ]],"mmm")</f>
        <v>May</v>
      </c>
      <c r="N771">
        <f>YEAR(Table9[[#This Row],[OrderDate ]])</f>
        <v>2014</v>
      </c>
    </row>
    <row r="772" spans="1:14" x14ac:dyDescent="0.3">
      <c r="A772">
        <v>10537</v>
      </c>
      <c r="B772" s="2">
        <f>_xlfn.XLOOKUP(Table9[[#This Row],[orderID]],orders[orderID],orders[orderDate],,0)</f>
        <v>41773</v>
      </c>
      <c r="C772">
        <f>_xlfn.XLOOKUP(A772,order_details[orderID],order_details[productID],,0)</f>
        <v>31</v>
      </c>
      <c r="D772" t="str">
        <f>_xlfn.XLOOKUP(C772,products[productID],products[productName],,0)</f>
        <v>Gorgonzola Telino</v>
      </c>
      <c r="E772" t="str">
        <f>_xlfn.XLOOKUP(_xlfn.XLOOKUP(Table9[[#This Row],[ProductName ]],products[productName],products[categoryID],,0),categories[categoryID],categories[categoryName],,0)</f>
        <v>Dairy Products</v>
      </c>
      <c r="F772">
        <v>6</v>
      </c>
      <c r="G772">
        <v>53</v>
      </c>
      <c r="H772">
        <v>0</v>
      </c>
      <c r="I772">
        <f>Table9[[#This Row],[quantity]]*Table9[[#This Row],[unitPrice]]*(1-Table9[[#This Row],[discount]]/100)</f>
        <v>318</v>
      </c>
      <c r="J772" t="str">
        <f>_xlfn.XLOOKUP(_xlfn.XLOOKUP(A772,orders[orderID],orders[customerID],,0),customers__2[customerID],customers__2[companyName],,0)</f>
        <v>Richter Supermarkt</v>
      </c>
      <c r="K772" t="str">
        <f>_xlfn.XLOOKUP(Table9[[#This Row],[Company Name]],customers__2[companyName],customers__2[country],,0)</f>
        <v>Switzerland</v>
      </c>
      <c r="L772">
        <f>MONTH(Table9[[#This Row],[OrderDate ]])</f>
        <v>5</v>
      </c>
      <c r="M772" t="str">
        <f>TEXT(Table9[[#This Row],[OrderDate ]],"mmm")</f>
        <v>May</v>
      </c>
      <c r="N772">
        <f>YEAR(Table9[[#This Row],[OrderDate ]])</f>
        <v>2014</v>
      </c>
    </row>
    <row r="773" spans="1:14" x14ac:dyDescent="0.3">
      <c r="A773">
        <v>10537</v>
      </c>
      <c r="B773" s="2">
        <f>_xlfn.XLOOKUP(Table9[[#This Row],[orderID]],orders[orderID],orders[orderDate],,0)</f>
        <v>41773</v>
      </c>
      <c r="C773">
        <f>_xlfn.XLOOKUP(A773,order_details[orderID],order_details[productID],,0)</f>
        <v>31</v>
      </c>
      <c r="D773" t="str">
        <f>_xlfn.XLOOKUP(C773,products[productID],products[productName],,0)</f>
        <v>Gorgonzola Telino</v>
      </c>
      <c r="E773" t="str">
        <f>_xlfn.XLOOKUP(_xlfn.XLOOKUP(Table9[[#This Row],[ProductName ]],products[productName],products[categoryID],,0),categories[categoryID],categories[categoryName],,0)</f>
        <v>Dairy Products</v>
      </c>
      <c r="F773">
        <v>20</v>
      </c>
      <c r="G773">
        <v>1325</v>
      </c>
      <c r="H773">
        <v>0</v>
      </c>
      <c r="I773">
        <f>Table9[[#This Row],[quantity]]*Table9[[#This Row],[unitPrice]]*(1-Table9[[#This Row],[discount]]/100)</f>
        <v>26500</v>
      </c>
      <c r="J773" t="str">
        <f>_xlfn.XLOOKUP(_xlfn.XLOOKUP(A773,orders[orderID],orders[customerID],,0),customers__2[customerID],customers__2[companyName],,0)</f>
        <v>Richter Supermarkt</v>
      </c>
      <c r="K773" t="str">
        <f>_xlfn.XLOOKUP(Table9[[#This Row],[Company Name]],customers__2[companyName],customers__2[country],,0)</f>
        <v>Switzerland</v>
      </c>
      <c r="L773">
        <f>MONTH(Table9[[#This Row],[OrderDate ]])</f>
        <v>5</v>
      </c>
      <c r="M773" t="str">
        <f>TEXT(Table9[[#This Row],[OrderDate ]],"mmm")</f>
        <v>May</v>
      </c>
      <c r="N773">
        <f>YEAR(Table9[[#This Row],[OrderDate ]])</f>
        <v>2014</v>
      </c>
    </row>
    <row r="774" spans="1:14" x14ac:dyDescent="0.3">
      <c r="A774">
        <v>10537</v>
      </c>
      <c r="B774" s="2">
        <f>_xlfn.XLOOKUP(Table9[[#This Row],[orderID]],orders[orderID],orders[orderDate],,0)</f>
        <v>41773</v>
      </c>
      <c r="C774">
        <f>_xlfn.XLOOKUP(A774,order_details[orderID],order_details[productID],,0)</f>
        <v>31</v>
      </c>
      <c r="D774" t="str">
        <f>_xlfn.XLOOKUP(C774,products[productID],products[productName],,0)</f>
        <v>Gorgonzola Telino</v>
      </c>
      <c r="E774" t="str">
        <f>_xlfn.XLOOKUP(_xlfn.XLOOKUP(Table9[[#This Row],[ProductName ]],products[productName],products[categoryID],,0),categories[categoryID],categories[categoryName],,0)</f>
        <v>Dairy Products</v>
      </c>
      <c r="F774">
        <v>21</v>
      </c>
      <c r="G774">
        <v>348</v>
      </c>
      <c r="H774">
        <v>0</v>
      </c>
      <c r="I774">
        <f>Table9[[#This Row],[quantity]]*Table9[[#This Row],[unitPrice]]*(1-Table9[[#This Row],[discount]]/100)</f>
        <v>7308</v>
      </c>
      <c r="J774" t="str">
        <f>_xlfn.XLOOKUP(_xlfn.XLOOKUP(A774,orders[orderID],orders[customerID],,0),customers__2[customerID],customers__2[companyName],,0)</f>
        <v>Richter Supermarkt</v>
      </c>
      <c r="K774" t="str">
        <f>_xlfn.XLOOKUP(Table9[[#This Row],[Company Name]],customers__2[companyName],customers__2[country],,0)</f>
        <v>Switzerland</v>
      </c>
      <c r="L774">
        <f>MONTH(Table9[[#This Row],[OrderDate ]])</f>
        <v>5</v>
      </c>
      <c r="M774" t="str">
        <f>TEXT(Table9[[#This Row],[OrderDate ]],"mmm")</f>
        <v>May</v>
      </c>
      <c r="N774">
        <f>YEAR(Table9[[#This Row],[OrderDate ]])</f>
        <v>2014</v>
      </c>
    </row>
    <row r="775" spans="1:14" x14ac:dyDescent="0.3">
      <c r="A775">
        <v>10537</v>
      </c>
      <c r="B775" s="2">
        <f>_xlfn.XLOOKUP(Table9[[#This Row],[orderID]],orders[orderID],orders[orderDate],,0)</f>
        <v>41773</v>
      </c>
      <c r="C775">
        <f>_xlfn.XLOOKUP(A775,order_details[orderID],order_details[productID],,0)</f>
        <v>31</v>
      </c>
      <c r="D775" t="str">
        <f>_xlfn.XLOOKUP(C775,products[productID],products[productName],,0)</f>
        <v>Gorgonzola Telino</v>
      </c>
      <c r="E775" t="str">
        <f>_xlfn.XLOOKUP(_xlfn.XLOOKUP(Table9[[#This Row],[ProductName ]],products[productName],products[categoryID],,0),categories[categoryID],categories[categoryName],,0)</f>
        <v>Dairy Products</v>
      </c>
      <c r="F775">
        <v>9</v>
      </c>
      <c r="G775">
        <v>15</v>
      </c>
      <c r="H775">
        <v>0</v>
      </c>
      <c r="I775">
        <f>Table9[[#This Row],[quantity]]*Table9[[#This Row],[unitPrice]]*(1-Table9[[#This Row],[discount]]/100)</f>
        <v>135</v>
      </c>
      <c r="J775" t="str">
        <f>_xlfn.XLOOKUP(_xlfn.XLOOKUP(A775,orders[orderID],orders[customerID],,0),customers__2[customerID],customers__2[companyName],,0)</f>
        <v>Richter Supermarkt</v>
      </c>
      <c r="K775" t="str">
        <f>_xlfn.XLOOKUP(Table9[[#This Row],[Company Name]],customers__2[companyName],customers__2[country],,0)</f>
        <v>Switzerland</v>
      </c>
      <c r="L775">
        <f>MONTH(Table9[[#This Row],[OrderDate ]])</f>
        <v>5</v>
      </c>
      <c r="M775" t="str">
        <f>TEXT(Table9[[#This Row],[OrderDate ]],"mmm")</f>
        <v>May</v>
      </c>
      <c r="N775">
        <f>YEAR(Table9[[#This Row],[OrderDate ]])</f>
        <v>2014</v>
      </c>
    </row>
    <row r="776" spans="1:14" x14ac:dyDescent="0.3">
      <c r="A776">
        <v>10538</v>
      </c>
      <c r="B776" s="2">
        <f>_xlfn.XLOOKUP(Table9[[#This Row],[orderID]],orders[orderID],orders[orderDate],,0)</f>
        <v>41774</v>
      </c>
      <c r="C776">
        <f>_xlfn.XLOOKUP(A776,order_details[orderID],order_details[productID],,0)</f>
        <v>70</v>
      </c>
      <c r="D776" t="str">
        <f>_xlfn.XLOOKUP(C776,products[productID],products[productName],,0)</f>
        <v>Outback Lager</v>
      </c>
      <c r="E776" t="str">
        <f>_xlfn.XLOOKUP(_xlfn.XLOOKUP(Table9[[#This Row],[ProductName ]],products[productName],products[categoryID],,0),categories[categoryID],categories[categoryName],,0)</f>
        <v>Beverages</v>
      </c>
      <c r="F776">
        <v>7</v>
      </c>
      <c r="G776">
        <v>15</v>
      </c>
      <c r="H776">
        <v>0</v>
      </c>
      <c r="I776">
        <f>Table9[[#This Row],[quantity]]*Table9[[#This Row],[unitPrice]]*(1-Table9[[#This Row],[discount]]/100)</f>
        <v>105</v>
      </c>
      <c r="J776" t="str">
        <f>_xlfn.XLOOKUP(_xlfn.XLOOKUP(A776,orders[orderID],orders[customerID],,0),customers__2[customerID],customers__2[companyName],,0)</f>
        <v>B's Beverages</v>
      </c>
      <c r="K776" t="str">
        <f>_xlfn.XLOOKUP(Table9[[#This Row],[Company Name]],customers__2[companyName],customers__2[country],,0)</f>
        <v>UK</v>
      </c>
      <c r="L776">
        <f>MONTH(Table9[[#This Row],[OrderDate ]])</f>
        <v>5</v>
      </c>
      <c r="M776" t="str">
        <f>TEXT(Table9[[#This Row],[OrderDate ]],"mmm")</f>
        <v>May</v>
      </c>
      <c r="N776">
        <f>YEAR(Table9[[#This Row],[OrderDate ]])</f>
        <v>2014</v>
      </c>
    </row>
    <row r="777" spans="1:14" x14ac:dyDescent="0.3">
      <c r="A777">
        <v>10538</v>
      </c>
      <c r="B777" s="2">
        <f>_xlfn.XLOOKUP(Table9[[#This Row],[orderID]],orders[orderID],orders[orderDate],,0)</f>
        <v>41774</v>
      </c>
      <c r="C777">
        <f>_xlfn.XLOOKUP(A777,order_details[orderID],order_details[productID],,0)</f>
        <v>70</v>
      </c>
      <c r="D777" t="str">
        <f>_xlfn.XLOOKUP(C777,products[productID],products[productName],,0)</f>
        <v>Outback Lager</v>
      </c>
      <c r="E777" t="str">
        <f>_xlfn.XLOOKUP(_xlfn.XLOOKUP(Table9[[#This Row],[ProductName ]],products[productName],products[categoryID],,0),categories[categoryID],categories[categoryName],,0)</f>
        <v>Beverages</v>
      </c>
      <c r="F777">
        <v>1</v>
      </c>
      <c r="G777">
        <v>348</v>
      </c>
      <c r="H777">
        <v>0</v>
      </c>
      <c r="I777">
        <f>Table9[[#This Row],[quantity]]*Table9[[#This Row],[unitPrice]]*(1-Table9[[#This Row],[discount]]/100)</f>
        <v>348</v>
      </c>
      <c r="J777" t="str">
        <f>_xlfn.XLOOKUP(_xlfn.XLOOKUP(A777,orders[orderID],orders[customerID],,0),customers__2[customerID],customers__2[companyName],,0)</f>
        <v>B's Beverages</v>
      </c>
      <c r="K777" t="str">
        <f>_xlfn.XLOOKUP(Table9[[#This Row],[Company Name]],customers__2[companyName],customers__2[country],,0)</f>
        <v>UK</v>
      </c>
      <c r="L777">
        <f>MONTH(Table9[[#This Row],[OrderDate ]])</f>
        <v>5</v>
      </c>
      <c r="M777" t="str">
        <f>TEXT(Table9[[#This Row],[OrderDate ]],"mmm")</f>
        <v>May</v>
      </c>
      <c r="N777">
        <f>YEAR(Table9[[#This Row],[OrderDate ]])</f>
        <v>2014</v>
      </c>
    </row>
    <row r="778" spans="1:14" x14ac:dyDescent="0.3">
      <c r="A778">
        <v>10539</v>
      </c>
      <c r="B778" s="2">
        <f>_xlfn.XLOOKUP(Table9[[#This Row],[orderID]],orders[orderID],orders[orderDate],,0)</f>
        <v>41775</v>
      </c>
      <c r="C778">
        <f>_xlfn.XLOOKUP(A778,order_details[orderID],order_details[productID],,0)</f>
        <v>13</v>
      </c>
      <c r="D778" t="str">
        <f>_xlfn.XLOOKUP(C778,products[productID],products[productName],,0)</f>
        <v>Konbu</v>
      </c>
      <c r="E778" t="str">
        <f>_xlfn.XLOOKUP(_xlfn.XLOOKUP(Table9[[#This Row],[ProductName ]],products[productName],products[categoryID],,0),categories[categoryID],categories[categoryName],,0)</f>
        <v>Seafood</v>
      </c>
      <c r="F778">
        <v>8</v>
      </c>
      <c r="G778">
        <v>6</v>
      </c>
      <c r="H778">
        <v>0</v>
      </c>
      <c r="I778">
        <f>Table9[[#This Row],[quantity]]*Table9[[#This Row],[unitPrice]]*(1-Table9[[#This Row],[discount]]/100)</f>
        <v>48</v>
      </c>
      <c r="J778" t="str">
        <f>_xlfn.XLOOKUP(_xlfn.XLOOKUP(A778,orders[orderID],orders[customerID],,0),customers__2[customerID],customers__2[companyName],,0)</f>
        <v>B's Beverages</v>
      </c>
      <c r="K778" t="str">
        <f>_xlfn.XLOOKUP(Table9[[#This Row],[Company Name]],customers__2[companyName],customers__2[country],,0)</f>
        <v>UK</v>
      </c>
      <c r="L778">
        <f>MONTH(Table9[[#This Row],[OrderDate ]])</f>
        <v>5</v>
      </c>
      <c r="M778" t="str">
        <f>TEXT(Table9[[#This Row],[OrderDate ]],"mmm")</f>
        <v>May</v>
      </c>
      <c r="N778">
        <f>YEAR(Table9[[#This Row],[OrderDate ]])</f>
        <v>2014</v>
      </c>
    </row>
    <row r="779" spans="1:14" x14ac:dyDescent="0.3">
      <c r="A779">
        <v>10539</v>
      </c>
      <c r="B779" s="2">
        <f>_xlfn.XLOOKUP(Table9[[#This Row],[orderID]],orders[orderID],orders[orderDate],,0)</f>
        <v>41775</v>
      </c>
      <c r="C779">
        <f>_xlfn.XLOOKUP(A779,order_details[orderID],order_details[productID],,0)</f>
        <v>13</v>
      </c>
      <c r="D779" t="str">
        <f>_xlfn.XLOOKUP(C779,products[productID],products[productName],,0)</f>
        <v>Konbu</v>
      </c>
      <c r="E779" t="str">
        <f>_xlfn.XLOOKUP(_xlfn.XLOOKUP(Table9[[#This Row],[ProductName ]],products[productName],products[categoryID],,0),categories[categoryID],categories[categoryName],,0)</f>
        <v>Seafood</v>
      </c>
      <c r="F779">
        <v>15</v>
      </c>
      <c r="G779">
        <v>10</v>
      </c>
      <c r="H779">
        <v>0</v>
      </c>
      <c r="I779">
        <f>Table9[[#This Row],[quantity]]*Table9[[#This Row],[unitPrice]]*(1-Table9[[#This Row],[discount]]/100)</f>
        <v>150</v>
      </c>
      <c r="J779" t="str">
        <f>_xlfn.XLOOKUP(_xlfn.XLOOKUP(A779,orders[orderID],orders[customerID],,0),customers__2[customerID],customers__2[companyName],,0)</f>
        <v>B's Beverages</v>
      </c>
      <c r="K779" t="str">
        <f>_xlfn.XLOOKUP(Table9[[#This Row],[Company Name]],customers__2[companyName],customers__2[country],,0)</f>
        <v>UK</v>
      </c>
      <c r="L779">
        <f>MONTH(Table9[[#This Row],[OrderDate ]])</f>
        <v>5</v>
      </c>
      <c r="M779" t="str">
        <f>TEXT(Table9[[#This Row],[OrderDate ]],"mmm")</f>
        <v>May</v>
      </c>
      <c r="N779">
        <f>YEAR(Table9[[#This Row],[OrderDate ]])</f>
        <v>2014</v>
      </c>
    </row>
    <row r="780" spans="1:14" x14ac:dyDescent="0.3">
      <c r="A780">
        <v>10539</v>
      </c>
      <c r="B780" s="2">
        <f>_xlfn.XLOOKUP(Table9[[#This Row],[orderID]],orders[orderID],orders[orderDate],,0)</f>
        <v>41775</v>
      </c>
      <c r="C780">
        <f>_xlfn.XLOOKUP(A780,order_details[orderID],order_details[productID],,0)</f>
        <v>13</v>
      </c>
      <c r="D780" t="str">
        <f>_xlfn.XLOOKUP(C780,products[productID],products[productName],,0)</f>
        <v>Konbu</v>
      </c>
      <c r="E780" t="str">
        <f>_xlfn.XLOOKUP(_xlfn.XLOOKUP(Table9[[#This Row],[ProductName ]],products[productName],products[categoryID],,0),categories[categoryID],categories[categoryName],,0)</f>
        <v>Seafood</v>
      </c>
      <c r="F780">
        <v>15</v>
      </c>
      <c r="G780">
        <v>25</v>
      </c>
      <c r="H780">
        <v>0</v>
      </c>
      <c r="I780">
        <f>Table9[[#This Row],[quantity]]*Table9[[#This Row],[unitPrice]]*(1-Table9[[#This Row],[discount]]/100)</f>
        <v>375</v>
      </c>
      <c r="J780" t="str">
        <f>_xlfn.XLOOKUP(_xlfn.XLOOKUP(A780,orders[orderID],orders[customerID],,0),customers__2[customerID],customers__2[companyName],,0)</f>
        <v>B's Beverages</v>
      </c>
      <c r="K780" t="str">
        <f>_xlfn.XLOOKUP(Table9[[#This Row],[Company Name]],customers__2[companyName],customers__2[country],,0)</f>
        <v>UK</v>
      </c>
      <c r="L780">
        <f>MONTH(Table9[[#This Row],[OrderDate ]])</f>
        <v>5</v>
      </c>
      <c r="M780" t="str">
        <f>TEXT(Table9[[#This Row],[OrderDate ]],"mmm")</f>
        <v>May</v>
      </c>
      <c r="N780">
        <f>YEAR(Table9[[#This Row],[OrderDate ]])</f>
        <v>2014</v>
      </c>
    </row>
    <row r="781" spans="1:14" x14ac:dyDescent="0.3">
      <c r="A781">
        <v>10539</v>
      </c>
      <c r="B781" s="2">
        <f>_xlfn.XLOOKUP(Table9[[#This Row],[orderID]],orders[orderID],orders[orderDate],,0)</f>
        <v>41775</v>
      </c>
      <c r="C781">
        <f>_xlfn.XLOOKUP(A781,order_details[orderID],order_details[productID],,0)</f>
        <v>13</v>
      </c>
      <c r="D781" t="str">
        <f>_xlfn.XLOOKUP(C781,products[productID],products[productName],,0)</f>
        <v>Konbu</v>
      </c>
      <c r="E781" t="str">
        <f>_xlfn.XLOOKUP(_xlfn.XLOOKUP(Table9[[#This Row],[ProductName ]],products[productName],products[categoryID],,0),categories[categoryID],categories[categoryName],,0)</f>
        <v>Seafood</v>
      </c>
      <c r="F781">
        <v>6</v>
      </c>
      <c r="G781">
        <v>20</v>
      </c>
      <c r="H781">
        <v>0</v>
      </c>
      <c r="I781">
        <f>Table9[[#This Row],[quantity]]*Table9[[#This Row],[unitPrice]]*(1-Table9[[#This Row],[discount]]/100)</f>
        <v>120</v>
      </c>
      <c r="J781" t="str">
        <f>_xlfn.XLOOKUP(_xlfn.XLOOKUP(A781,orders[orderID],orders[customerID],,0),customers__2[customerID],customers__2[companyName],,0)</f>
        <v>B's Beverages</v>
      </c>
      <c r="K781" t="str">
        <f>_xlfn.XLOOKUP(Table9[[#This Row],[Company Name]],customers__2[companyName],customers__2[country],,0)</f>
        <v>UK</v>
      </c>
      <c r="L781">
        <f>MONTH(Table9[[#This Row],[OrderDate ]])</f>
        <v>5</v>
      </c>
      <c r="M781" t="str">
        <f>TEXT(Table9[[#This Row],[OrderDate ]],"mmm")</f>
        <v>May</v>
      </c>
      <c r="N781">
        <f>YEAR(Table9[[#This Row],[OrderDate ]])</f>
        <v>2014</v>
      </c>
    </row>
    <row r="782" spans="1:14" x14ac:dyDescent="0.3">
      <c r="A782">
        <v>10540</v>
      </c>
      <c r="B782" s="2">
        <f>_xlfn.XLOOKUP(Table9[[#This Row],[orderID]],orders[orderID],orders[orderDate],,0)</f>
        <v>41778</v>
      </c>
      <c r="C782">
        <f>_xlfn.XLOOKUP(A782,order_details[orderID],order_details[productID],,0)</f>
        <v>3</v>
      </c>
      <c r="D782" t="str">
        <f>_xlfn.XLOOKUP(C782,products[productID],products[productName],,0)</f>
        <v>Aniseed Syrup</v>
      </c>
      <c r="E782" t="str">
        <f>_xlfn.XLOOKUP(_xlfn.XLOOKUP(Table9[[#This Row],[ProductName ]],products[productName],products[categoryID],,0),categories[categoryID],categories[categoryName],,0)</f>
        <v>Condiments</v>
      </c>
      <c r="F782">
        <v>60</v>
      </c>
      <c r="G782">
        <v>10</v>
      </c>
      <c r="H782">
        <v>0</v>
      </c>
      <c r="I782">
        <f>Table9[[#This Row],[quantity]]*Table9[[#This Row],[unitPrice]]*(1-Table9[[#This Row],[discount]]/100)</f>
        <v>600</v>
      </c>
      <c r="J782" t="str">
        <f>_xlfn.XLOOKUP(_xlfn.XLOOKUP(A782,orders[orderID],orders[customerID],,0),customers__2[customerID],customers__2[companyName],,0)</f>
        <v>QUICK-Stop</v>
      </c>
      <c r="K782" t="str">
        <f>_xlfn.XLOOKUP(Table9[[#This Row],[Company Name]],customers__2[companyName],customers__2[country],,0)</f>
        <v>Germany</v>
      </c>
      <c r="L782">
        <f>MONTH(Table9[[#This Row],[OrderDate ]])</f>
        <v>5</v>
      </c>
      <c r="M782" t="str">
        <f>TEXT(Table9[[#This Row],[OrderDate ]],"mmm")</f>
        <v>May</v>
      </c>
      <c r="N782">
        <f>YEAR(Table9[[#This Row],[OrderDate ]])</f>
        <v>2014</v>
      </c>
    </row>
    <row r="783" spans="1:14" x14ac:dyDescent="0.3">
      <c r="A783">
        <v>10540</v>
      </c>
      <c r="B783" s="2">
        <f>_xlfn.XLOOKUP(Table9[[#This Row],[orderID]],orders[orderID],orders[orderDate],,0)</f>
        <v>41778</v>
      </c>
      <c r="C783">
        <f>_xlfn.XLOOKUP(A783,order_details[orderID],order_details[productID],,0)</f>
        <v>3</v>
      </c>
      <c r="D783" t="str">
        <f>_xlfn.XLOOKUP(C783,products[productID],products[productName],,0)</f>
        <v>Aniseed Syrup</v>
      </c>
      <c r="E783" t="str">
        <f>_xlfn.XLOOKUP(_xlfn.XLOOKUP(Table9[[#This Row],[ProductName ]],products[productName],products[categoryID],,0),categories[categoryID],categories[categoryName],,0)</f>
        <v>Condiments</v>
      </c>
      <c r="F783">
        <v>40</v>
      </c>
      <c r="G783">
        <v>3123</v>
      </c>
      <c r="H783">
        <v>0</v>
      </c>
      <c r="I783">
        <f>Table9[[#This Row],[quantity]]*Table9[[#This Row],[unitPrice]]*(1-Table9[[#This Row],[discount]]/100)</f>
        <v>124920</v>
      </c>
      <c r="J783" t="str">
        <f>_xlfn.XLOOKUP(_xlfn.XLOOKUP(A783,orders[orderID],orders[customerID],,0),customers__2[customerID],customers__2[companyName],,0)</f>
        <v>QUICK-Stop</v>
      </c>
      <c r="K783" t="str">
        <f>_xlfn.XLOOKUP(Table9[[#This Row],[Company Name]],customers__2[companyName],customers__2[country],,0)</f>
        <v>Germany</v>
      </c>
      <c r="L783">
        <f>MONTH(Table9[[#This Row],[OrderDate ]])</f>
        <v>5</v>
      </c>
      <c r="M783" t="str">
        <f>TEXT(Table9[[#This Row],[OrderDate ]],"mmm")</f>
        <v>May</v>
      </c>
      <c r="N783">
        <f>YEAR(Table9[[#This Row],[OrderDate ]])</f>
        <v>2014</v>
      </c>
    </row>
    <row r="784" spans="1:14" x14ac:dyDescent="0.3">
      <c r="A784">
        <v>10540</v>
      </c>
      <c r="B784" s="2">
        <f>_xlfn.XLOOKUP(Table9[[#This Row],[orderID]],orders[orderID],orders[orderDate],,0)</f>
        <v>41778</v>
      </c>
      <c r="C784">
        <f>_xlfn.XLOOKUP(A784,order_details[orderID],order_details[productID],,0)</f>
        <v>3</v>
      </c>
      <c r="D784" t="str">
        <f>_xlfn.XLOOKUP(C784,products[productID],products[productName],,0)</f>
        <v>Aniseed Syrup</v>
      </c>
      <c r="E784" t="str">
        <f>_xlfn.XLOOKUP(_xlfn.XLOOKUP(Table9[[#This Row],[ProductName ]],products[productName],products[categoryID],,0),categories[categoryID],categories[categoryName],,0)</f>
        <v>Condiments</v>
      </c>
      <c r="F784">
        <v>30</v>
      </c>
      <c r="G784">
        <v>2635</v>
      </c>
      <c r="H784">
        <v>0</v>
      </c>
      <c r="I784">
        <f>Table9[[#This Row],[quantity]]*Table9[[#This Row],[unitPrice]]*(1-Table9[[#This Row],[discount]]/100)</f>
        <v>79050</v>
      </c>
      <c r="J784" t="str">
        <f>_xlfn.XLOOKUP(_xlfn.XLOOKUP(A784,orders[orderID],orders[customerID],,0),customers__2[customerID],customers__2[companyName],,0)</f>
        <v>QUICK-Stop</v>
      </c>
      <c r="K784" t="str">
        <f>_xlfn.XLOOKUP(Table9[[#This Row],[Company Name]],customers__2[companyName],customers__2[country],,0)</f>
        <v>Germany</v>
      </c>
      <c r="L784">
        <f>MONTH(Table9[[#This Row],[OrderDate ]])</f>
        <v>5</v>
      </c>
      <c r="M784" t="str">
        <f>TEXT(Table9[[#This Row],[OrderDate ]],"mmm")</f>
        <v>May</v>
      </c>
      <c r="N784">
        <f>YEAR(Table9[[#This Row],[OrderDate ]])</f>
        <v>2014</v>
      </c>
    </row>
    <row r="785" spans="1:14" x14ac:dyDescent="0.3">
      <c r="A785">
        <v>10540</v>
      </c>
      <c r="B785" s="2">
        <f>_xlfn.XLOOKUP(Table9[[#This Row],[orderID]],orders[orderID],orders[orderDate],,0)</f>
        <v>41778</v>
      </c>
      <c r="C785">
        <f>_xlfn.XLOOKUP(A785,order_details[orderID],order_details[productID],,0)</f>
        <v>3</v>
      </c>
      <c r="D785" t="str">
        <f>_xlfn.XLOOKUP(C785,products[productID],products[productName],,0)</f>
        <v>Aniseed Syrup</v>
      </c>
      <c r="E785" t="str">
        <f>_xlfn.XLOOKUP(_xlfn.XLOOKUP(Table9[[#This Row],[ProductName ]],products[productName],products[categoryID],,0),categories[categoryID],categories[categoryName],,0)</f>
        <v>Condiments</v>
      </c>
      <c r="F785">
        <v>35</v>
      </c>
      <c r="G785">
        <v>125</v>
      </c>
      <c r="H785">
        <v>0</v>
      </c>
      <c r="I785">
        <f>Table9[[#This Row],[quantity]]*Table9[[#This Row],[unitPrice]]*(1-Table9[[#This Row],[discount]]/100)</f>
        <v>4375</v>
      </c>
      <c r="J785" t="str">
        <f>_xlfn.XLOOKUP(_xlfn.XLOOKUP(A785,orders[orderID],orders[customerID],,0),customers__2[customerID],customers__2[companyName],,0)</f>
        <v>QUICK-Stop</v>
      </c>
      <c r="K785" t="str">
        <f>_xlfn.XLOOKUP(Table9[[#This Row],[Company Name]],customers__2[companyName],customers__2[country],,0)</f>
        <v>Germany</v>
      </c>
      <c r="L785">
        <f>MONTH(Table9[[#This Row],[OrderDate ]])</f>
        <v>5</v>
      </c>
      <c r="M785" t="str">
        <f>TEXT(Table9[[#This Row],[OrderDate ]],"mmm")</f>
        <v>May</v>
      </c>
      <c r="N785">
        <f>YEAR(Table9[[#This Row],[OrderDate ]])</f>
        <v>2014</v>
      </c>
    </row>
    <row r="786" spans="1:14" x14ac:dyDescent="0.3">
      <c r="A786">
        <v>10541</v>
      </c>
      <c r="B786" s="2">
        <f>_xlfn.XLOOKUP(Table9[[#This Row],[orderID]],orders[orderID],orders[orderDate],,0)</f>
        <v>41778</v>
      </c>
      <c r="C786">
        <f>_xlfn.XLOOKUP(A786,order_details[orderID],order_details[productID],,0)</f>
        <v>24</v>
      </c>
      <c r="D786" t="str">
        <f>_xlfn.XLOOKUP(C786,products[productID],products[productName],,0)</f>
        <v>Guarana Fantastica</v>
      </c>
      <c r="E786" t="str">
        <f>_xlfn.XLOOKUP(_xlfn.XLOOKUP(Table9[[#This Row],[ProductName ]],products[productName],products[categoryID],,0),categories[categoryID],categories[categoryName],,0)</f>
        <v>Beverages</v>
      </c>
      <c r="F786">
        <v>35</v>
      </c>
      <c r="G786">
        <v>45</v>
      </c>
      <c r="H786">
        <v>1</v>
      </c>
      <c r="I786">
        <f>Table9[[#This Row],[quantity]]*Table9[[#This Row],[unitPrice]]*(1-Table9[[#This Row],[discount]]/100)</f>
        <v>1559.25</v>
      </c>
      <c r="J786" t="str">
        <f>_xlfn.XLOOKUP(_xlfn.XLOOKUP(A786,orders[orderID],orders[customerID],,0),customers__2[customerID],customers__2[companyName],,0)</f>
        <v>Hanari Carnes</v>
      </c>
      <c r="K786" t="str">
        <f>_xlfn.XLOOKUP(Table9[[#This Row],[Company Name]],customers__2[companyName],customers__2[country],,0)</f>
        <v>Brazil</v>
      </c>
      <c r="L786">
        <f>MONTH(Table9[[#This Row],[OrderDate ]])</f>
        <v>5</v>
      </c>
      <c r="M786" t="str">
        <f>TEXT(Table9[[#This Row],[OrderDate ]],"mmm")</f>
        <v>May</v>
      </c>
      <c r="N786">
        <f>YEAR(Table9[[#This Row],[OrderDate ]])</f>
        <v>2014</v>
      </c>
    </row>
    <row r="787" spans="1:14" x14ac:dyDescent="0.3">
      <c r="A787">
        <v>10541</v>
      </c>
      <c r="B787" s="2">
        <f>_xlfn.XLOOKUP(Table9[[#This Row],[orderID]],orders[orderID],orders[orderDate],,0)</f>
        <v>41778</v>
      </c>
      <c r="C787">
        <f>_xlfn.XLOOKUP(A787,order_details[orderID],order_details[productID],,0)</f>
        <v>24</v>
      </c>
      <c r="D787" t="str">
        <f>_xlfn.XLOOKUP(C787,products[productID],products[productName],,0)</f>
        <v>Guarana Fantastica</v>
      </c>
      <c r="E787" t="str">
        <f>_xlfn.XLOOKUP(_xlfn.XLOOKUP(Table9[[#This Row],[ProductName ]],products[productName],products[categoryID],,0),categories[categoryID],categories[categoryName],,0)</f>
        <v>Beverages</v>
      </c>
      <c r="F787">
        <v>4</v>
      </c>
      <c r="G787">
        <v>2635</v>
      </c>
      <c r="H787">
        <v>1</v>
      </c>
      <c r="I787">
        <f>Table9[[#This Row],[quantity]]*Table9[[#This Row],[unitPrice]]*(1-Table9[[#This Row],[discount]]/100)</f>
        <v>10434.6</v>
      </c>
      <c r="J787" t="str">
        <f>_xlfn.XLOOKUP(_xlfn.XLOOKUP(A787,orders[orderID],orders[customerID],,0),customers__2[customerID],customers__2[companyName],,0)</f>
        <v>Hanari Carnes</v>
      </c>
      <c r="K787" t="str">
        <f>_xlfn.XLOOKUP(Table9[[#This Row],[Company Name]],customers__2[companyName],customers__2[country],,0)</f>
        <v>Brazil</v>
      </c>
      <c r="L787">
        <f>MONTH(Table9[[#This Row],[OrderDate ]])</f>
        <v>5</v>
      </c>
      <c r="M787" t="str">
        <f>TEXT(Table9[[#This Row],[OrderDate ]],"mmm")</f>
        <v>May</v>
      </c>
      <c r="N787">
        <f>YEAR(Table9[[#This Row],[OrderDate ]])</f>
        <v>2014</v>
      </c>
    </row>
    <row r="788" spans="1:14" x14ac:dyDescent="0.3">
      <c r="A788">
        <v>10541</v>
      </c>
      <c r="B788" s="2">
        <f>_xlfn.XLOOKUP(Table9[[#This Row],[orderID]],orders[orderID],orders[orderDate],,0)</f>
        <v>41778</v>
      </c>
      <c r="C788">
        <f>_xlfn.XLOOKUP(A788,order_details[orderID],order_details[productID],,0)</f>
        <v>24</v>
      </c>
      <c r="D788" t="str">
        <f>_xlfn.XLOOKUP(C788,products[productID],products[productName],,0)</f>
        <v>Guarana Fantastica</v>
      </c>
      <c r="E788" t="str">
        <f>_xlfn.XLOOKUP(_xlfn.XLOOKUP(Table9[[#This Row],[ProductName ]],products[productName],products[categoryID],,0),categories[categoryID],categories[categoryName],,0)</f>
        <v>Beverages</v>
      </c>
      <c r="F788">
        <v>36</v>
      </c>
      <c r="G788">
        <v>2105</v>
      </c>
      <c r="H788">
        <v>1</v>
      </c>
      <c r="I788">
        <f>Table9[[#This Row],[quantity]]*Table9[[#This Row],[unitPrice]]*(1-Table9[[#This Row],[discount]]/100)</f>
        <v>75022.2</v>
      </c>
      <c r="J788" t="str">
        <f>_xlfn.XLOOKUP(_xlfn.XLOOKUP(A788,orders[orderID],orders[customerID],,0),customers__2[customerID],customers__2[companyName],,0)</f>
        <v>Hanari Carnes</v>
      </c>
      <c r="K788" t="str">
        <f>_xlfn.XLOOKUP(Table9[[#This Row],[Company Name]],customers__2[companyName],customers__2[country],,0)</f>
        <v>Brazil</v>
      </c>
      <c r="L788">
        <f>MONTH(Table9[[#This Row],[OrderDate ]])</f>
        <v>5</v>
      </c>
      <c r="M788" t="str">
        <f>TEXT(Table9[[#This Row],[OrderDate ]],"mmm")</f>
        <v>May</v>
      </c>
      <c r="N788">
        <f>YEAR(Table9[[#This Row],[OrderDate ]])</f>
        <v>2014</v>
      </c>
    </row>
    <row r="789" spans="1:14" x14ac:dyDescent="0.3">
      <c r="A789">
        <v>10541</v>
      </c>
      <c r="B789" s="2">
        <f>_xlfn.XLOOKUP(Table9[[#This Row],[orderID]],orders[orderID],orders[orderDate],,0)</f>
        <v>41778</v>
      </c>
      <c r="C789">
        <f>_xlfn.XLOOKUP(A789,order_details[orderID],order_details[productID],,0)</f>
        <v>24</v>
      </c>
      <c r="D789" t="str">
        <f>_xlfn.XLOOKUP(C789,products[productID],products[productName],,0)</f>
        <v>Guarana Fantastica</v>
      </c>
      <c r="E789" t="str">
        <f>_xlfn.XLOOKUP(_xlfn.XLOOKUP(Table9[[#This Row],[ProductName ]],products[productName],products[categoryID],,0),categories[categoryID],categories[categoryName],,0)</f>
        <v>Beverages</v>
      </c>
      <c r="F789">
        <v>9</v>
      </c>
      <c r="G789">
        <v>215</v>
      </c>
      <c r="H789">
        <v>1</v>
      </c>
      <c r="I789">
        <f>Table9[[#This Row],[quantity]]*Table9[[#This Row],[unitPrice]]*(1-Table9[[#This Row],[discount]]/100)</f>
        <v>1915.65</v>
      </c>
      <c r="J789" t="str">
        <f>_xlfn.XLOOKUP(_xlfn.XLOOKUP(A789,orders[orderID],orders[customerID],,0),customers__2[customerID],customers__2[companyName],,0)</f>
        <v>Hanari Carnes</v>
      </c>
      <c r="K789" t="str">
        <f>_xlfn.XLOOKUP(Table9[[#This Row],[Company Name]],customers__2[companyName],customers__2[country],,0)</f>
        <v>Brazil</v>
      </c>
      <c r="L789">
        <f>MONTH(Table9[[#This Row],[OrderDate ]])</f>
        <v>5</v>
      </c>
      <c r="M789" t="str">
        <f>TEXT(Table9[[#This Row],[OrderDate ]],"mmm")</f>
        <v>May</v>
      </c>
      <c r="N789">
        <f>YEAR(Table9[[#This Row],[OrderDate ]])</f>
        <v>2014</v>
      </c>
    </row>
    <row r="790" spans="1:14" x14ac:dyDescent="0.3">
      <c r="A790">
        <v>10542</v>
      </c>
      <c r="B790" s="2">
        <f>_xlfn.XLOOKUP(Table9[[#This Row],[orderID]],orders[orderID],orders[orderDate],,0)</f>
        <v>41779</v>
      </c>
      <c r="C790">
        <f>_xlfn.XLOOKUP(A790,order_details[orderID],order_details[productID],,0)</f>
        <v>11</v>
      </c>
      <c r="D790" t="str">
        <f>_xlfn.XLOOKUP(C790,products[productID],products[productName],,0)</f>
        <v>Queso Cabrales</v>
      </c>
      <c r="E790" t="str">
        <f>_xlfn.XLOOKUP(_xlfn.XLOOKUP(Table9[[#This Row],[ProductName ]],products[productName],products[categoryID],,0),categories[categoryID],categories[categoryName],,0)</f>
        <v>Dairy Products</v>
      </c>
      <c r="F790">
        <v>15</v>
      </c>
      <c r="G790">
        <v>21</v>
      </c>
      <c r="H790">
        <v>5</v>
      </c>
      <c r="I790">
        <f>Table9[[#This Row],[quantity]]*Table9[[#This Row],[unitPrice]]*(1-Table9[[#This Row],[discount]]/100)</f>
        <v>299.25</v>
      </c>
      <c r="J790" t="str">
        <f>_xlfn.XLOOKUP(_xlfn.XLOOKUP(A790,orders[orderID],orders[customerID],,0),customers__2[customerID],customers__2[companyName],,0)</f>
        <v>Königlich Essen</v>
      </c>
      <c r="K790" t="str">
        <f>_xlfn.XLOOKUP(Table9[[#This Row],[Company Name]],customers__2[companyName],customers__2[country],,0)</f>
        <v>Germany</v>
      </c>
      <c r="L790">
        <f>MONTH(Table9[[#This Row],[OrderDate ]])</f>
        <v>5</v>
      </c>
      <c r="M790" t="str">
        <f>TEXT(Table9[[#This Row],[OrderDate ]],"mmm")</f>
        <v>May</v>
      </c>
      <c r="N790">
        <f>YEAR(Table9[[#This Row],[OrderDate ]])</f>
        <v>2014</v>
      </c>
    </row>
    <row r="791" spans="1:14" x14ac:dyDescent="0.3">
      <c r="A791">
        <v>10542</v>
      </c>
      <c r="B791" s="2">
        <f>_xlfn.XLOOKUP(Table9[[#This Row],[orderID]],orders[orderID],orders[orderDate],,0)</f>
        <v>41779</v>
      </c>
      <c r="C791">
        <f>_xlfn.XLOOKUP(A791,order_details[orderID],order_details[productID],,0)</f>
        <v>11</v>
      </c>
      <c r="D791" t="str">
        <f>_xlfn.XLOOKUP(C791,products[productID],products[productName],,0)</f>
        <v>Queso Cabrales</v>
      </c>
      <c r="E791" t="str">
        <f>_xlfn.XLOOKUP(_xlfn.XLOOKUP(Table9[[#This Row],[ProductName ]],products[productName],products[categoryID],,0),categories[categoryID],categories[categoryName],,0)</f>
        <v>Dairy Products</v>
      </c>
      <c r="F791">
        <v>24</v>
      </c>
      <c r="G791">
        <v>745</v>
      </c>
      <c r="H791">
        <v>5</v>
      </c>
      <c r="I791">
        <f>Table9[[#This Row],[quantity]]*Table9[[#This Row],[unitPrice]]*(1-Table9[[#This Row],[discount]]/100)</f>
        <v>16986</v>
      </c>
      <c r="J791" t="str">
        <f>_xlfn.XLOOKUP(_xlfn.XLOOKUP(A791,orders[orderID],orders[customerID],,0),customers__2[customerID],customers__2[companyName],,0)</f>
        <v>Königlich Essen</v>
      </c>
      <c r="K791" t="str">
        <f>_xlfn.XLOOKUP(Table9[[#This Row],[Company Name]],customers__2[companyName],customers__2[country],,0)</f>
        <v>Germany</v>
      </c>
      <c r="L791">
        <f>MONTH(Table9[[#This Row],[OrderDate ]])</f>
        <v>5</v>
      </c>
      <c r="M791" t="str">
        <f>TEXT(Table9[[#This Row],[OrderDate ]],"mmm")</f>
        <v>May</v>
      </c>
      <c r="N791">
        <f>YEAR(Table9[[#This Row],[OrderDate ]])</f>
        <v>2014</v>
      </c>
    </row>
    <row r="792" spans="1:14" x14ac:dyDescent="0.3">
      <c r="A792">
        <v>10543</v>
      </c>
      <c r="B792" s="2">
        <f>_xlfn.XLOOKUP(Table9[[#This Row],[orderID]],orders[orderID],orders[orderDate],,0)</f>
        <v>41780</v>
      </c>
      <c r="C792">
        <f>_xlfn.XLOOKUP(A792,order_details[orderID],order_details[productID],,0)</f>
        <v>12</v>
      </c>
      <c r="D792" t="str">
        <f>_xlfn.XLOOKUP(C792,products[productID],products[productName],,0)</f>
        <v>Queso Manchego La Pastora</v>
      </c>
      <c r="E792" t="str">
        <f>_xlfn.XLOOKUP(_xlfn.XLOOKUP(Table9[[#This Row],[ProductName ]],products[productName],products[categoryID],,0),categories[categoryID],categories[categoryName],,0)</f>
        <v>Dairy Products</v>
      </c>
      <c r="F792">
        <v>30</v>
      </c>
      <c r="G792">
        <v>38</v>
      </c>
      <c r="H792">
        <v>15</v>
      </c>
      <c r="I792">
        <f>Table9[[#This Row],[quantity]]*Table9[[#This Row],[unitPrice]]*(1-Table9[[#This Row],[discount]]/100)</f>
        <v>969</v>
      </c>
      <c r="J792" t="str">
        <f>_xlfn.XLOOKUP(_xlfn.XLOOKUP(A792,orders[orderID],orders[customerID],,0),customers__2[customerID],customers__2[companyName],,0)</f>
        <v>LILA-Supermercado</v>
      </c>
      <c r="K792" t="str">
        <f>_xlfn.XLOOKUP(Table9[[#This Row],[Company Name]],customers__2[companyName],customers__2[country],,0)</f>
        <v>Venezuela</v>
      </c>
      <c r="L792">
        <f>MONTH(Table9[[#This Row],[OrderDate ]])</f>
        <v>5</v>
      </c>
      <c r="M792" t="str">
        <f>TEXT(Table9[[#This Row],[OrderDate ]],"mmm")</f>
        <v>May</v>
      </c>
      <c r="N792">
        <f>YEAR(Table9[[#This Row],[OrderDate ]])</f>
        <v>2014</v>
      </c>
    </row>
    <row r="793" spans="1:14" x14ac:dyDescent="0.3">
      <c r="A793">
        <v>10543</v>
      </c>
      <c r="B793" s="2">
        <f>_xlfn.XLOOKUP(Table9[[#This Row],[orderID]],orders[orderID],orders[orderDate],,0)</f>
        <v>41780</v>
      </c>
      <c r="C793">
        <f>_xlfn.XLOOKUP(A793,order_details[orderID],order_details[productID],,0)</f>
        <v>12</v>
      </c>
      <c r="D793" t="str">
        <f>_xlfn.XLOOKUP(C793,products[productID],products[productName],,0)</f>
        <v>Queso Manchego La Pastora</v>
      </c>
      <c r="E793" t="str">
        <f>_xlfn.XLOOKUP(_xlfn.XLOOKUP(Table9[[#This Row],[ProductName ]],products[productName],products[categoryID],,0),categories[categoryID],categories[categoryName],,0)</f>
        <v>Dairy Products</v>
      </c>
      <c r="F793">
        <v>70</v>
      </c>
      <c r="G793">
        <v>9</v>
      </c>
      <c r="H793">
        <v>15</v>
      </c>
      <c r="I793">
        <f>Table9[[#This Row],[quantity]]*Table9[[#This Row],[unitPrice]]*(1-Table9[[#This Row],[discount]]/100)</f>
        <v>535.5</v>
      </c>
      <c r="J793" t="str">
        <f>_xlfn.XLOOKUP(_xlfn.XLOOKUP(A793,orders[orderID],orders[customerID],,0),customers__2[customerID],customers__2[companyName],,0)</f>
        <v>LILA-Supermercado</v>
      </c>
      <c r="K793" t="str">
        <f>_xlfn.XLOOKUP(Table9[[#This Row],[Company Name]],customers__2[companyName],customers__2[country],,0)</f>
        <v>Venezuela</v>
      </c>
      <c r="L793">
        <f>MONTH(Table9[[#This Row],[OrderDate ]])</f>
        <v>5</v>
      </c>
      <c r="M793" t="str">
        <f>TEXT(Table9[[#This Row],[OrderDate ]],"mmm")</f>
        <v>May</v>
      </c>
      <c r="N793">
        <f>YEAR(Table9[[#This Row],[OrderDate ]])</f>
        <v>2014</v>
      </c>
    </row>
    <row r="794" spans="1:14" x14ac:dyDescent="0.3">
      <c r="A794">
        <v>10544</v>
      </c>
      <c r="B794" s="2">
        <f>_xlfn.XLOOKUP(Table9[[#This Row],[orderID]],orders[orderID],orders[orderDate],,0)</f>
        <v>41780</v>
      </c>
      <c r="C794">
        <f>_xlfn.XLOOKUP(A794,order_details[orderID],order_details[productID],,0)</f>
        <v>28</v>
      </c>
      <c r="D794" t="str">
        <f>_xlfn.XLOOKUP(C794,products[productID],products[productName],,0)</f>
        <v>Rössle Sauerkraut</v>
      </c>
      <c r="E794" t="str">
        <f>_xlfn.XLOOKUP(_xlfn.XLOOKUP(Table9[[#This Row],[ProductName ]],products[productName],products[categoryID],,0),categories[categoryID],categories[categoryName],,0)</f>
        <v>Produce</v>
      </c>
      <c r="F794">
        <v>7</v>
      </c>
      <c r="G794">
        <v>456</v>
      </c>
      <c r="H794">
        <v>0</v>
      </c>
      <c r="I794">
        <f>Table9[[#This Row],[quantity]]*Table9[[#This Row],[unitPrice]]*(1-Table9[[#This Row],[discount]]/100)</f>
        <v>3192</v>
      </c>
      <c r="J794" t="str">
        <f>_xlfn.XLOOKUP(_xlfn.XLOOKUP(A794,orders[orderID],orders[customerID],,0),customers__2[customerID],customers__2[companyName],,0)</f>
        <v>Lonesome Pine Restaurant</v>
      </c>
      <c r="K794" t="str">
        <f>_xlfn.XLOOKUP(Table9[[#This Row],[Company Name]],customers__2[companyName],customers__2[country],,0)</f>
        <v>USA</v>
      </c>
      <c r="L794">
        <f>MONTH(Table9[[#This Row],[OrderDate ]])</f>
        <v>5</v>
      </c>
      <c r="M794" t="str">
        <f>TEXT(Table9[[#This Row],[OrderDate ]],"mmm")</f>
        <v>May</v>
      </c>
      <c r="N794">
        <f>YEAR(Table9[[#This Row],[OrderDate ]])</f>
        <v>2014</v>
      </c>
    </row>
    <row r="795" spans="1:14" x14ac:dyDescent="0.3">
      <c r="A795">
        <v>10544</v>
      </c>
      <c r="B795" s="2">
        <f>_xlfn.XLOOKUP(Table9[[#This Row],[orderID]],orders[orderID],orders[orderDate],,0)</f>
        <v>41780</v>
      </c>
      <c r="C795">
        <f>_xlfn.XLOOKUP(A795,order_details[orderID],order_details[productID],,0)</f>
        <v>28</v>
      </c>
      <c r="D795" t="str">
        <f>_xlfn.XLOOKUP(C795,products[productID],products[productName],,0)</f>
        <v>Rössle Sauerkraut</v>
      </c>
      <c r="E795" t="str">
        <f>_xlfn.XLOOKUP(_xlfn.XLOOKUP(Table9[[#This Row],[ProductName ]],products[productName],products[categoryID],,0),categories[categoryID],categories[categoryName],,0)</f>
        <v>Produce</v>
      </c>
      <c r="F795">
        <v>7</v>
      </c>
      <c r="G795">
        <v>14</v>
      </c>
      <c r="H795">
        <v>0</v>
      </c>
      <c r="I795">
        <f>Table9[[#This Row],[quantity]]*Table9[[#This Row],[unitPrice]]*(1-Table9[[#This Row],[discount]]/100)</f>
        <v>98</v>
      </c>
      <c r="J795" t="str">
        <f>_xlfn.XLOOKUP(_xlfn.XLOOKUP(A795,orders[orderID],orders[customerID],,0),customers__2[customerID],customers__2[companyName],,0)</f>
        <v>Lonesome Pine Restaurant</v>
      </c>
      <c r="K795" t="str">
        <f>_xlfn.XLOOKUP(Table9[[#This Row],[Company Name]],customers__2[companyName],customers__2[country],,0)</f>
        <v>USA</v>
      </c>
      <c r="L795">
        <f>MONTH(Table9[[#This Row],[OrderDate ]])</f>
        <v>5</v>
      </c>
      <c r="M795" t="str">
        <f>TEXT(Table9[[#This Row],[OrderDate ]],"mmm")</f>
        <v>May</v>
      </c>
      <c r="N795">
        <f>YEAR(Table9[[#This Row],[OrderDate ]])</f>
        <v>2014</v>
      </c>
    </row>
    <row r="796" spans="1:14" x14ac:dyDescent="0.3">
      <c r="A796">
        <v>10545</v>
      </c>
      <c r="B796" s="2">
        <f>_xlfn.XLOOKUP(Table9[[#This Row],[orderID]],orders[orderID],orders[orderDate],,0)</f>
        <v>41781</v>
      </c>
      <c r="C796">
        <f>_xlfn.XLOOKUP(A796,order_details[orderID],order_details[productID],,0)</f>
        <v>11</v>
      </c>
      <c r="D796" t="str">
        <f>_xlfn.XLOOKUP(C796,products[productID],products[productName],,0)</f>
        <v>Queso Cabrales</v>
      </c>
      <c r="E796" t="str">
        <f>_xlfn.XLOOKUP(_xlfn.XLOOKUP(Table9[[#This Row],[ProductName ]],products[productName],products[categoryID],,0),categories[categoryID],categories[categoryName],,0)</f>
        <v>Dairy Products</v>
      </c>
      <c r="F796">
        <v>10</v>
      </c>
      <c r="G796">
        <v>21</v>
      </c>
      <c r="H796">
        <v>0</v>
      </c>
      <c r="I796">
        <f>Table9[[#This Row],[quantity]]*Table9[[#This Row],[unitPrice]]*(1-Table9[[#This Row],[discount]]/100)</f>
        <v>210</v>
      </c>
      <c r="J796" t="str">
        <f>_xlfn.XLOOKUP(_xlfn.XLOOKUP(A796,orders[orderID],orders[customerID],,0),customers__2[customerID],customers__2[companyName],,0)</f>
        <v>Lazy K Kountry Store</v>
      </c>
      <c r="K796" t="str">
        <f>_xlfn.XLOOKUP(Table9[[#This Row],[Company Name]],customers__2[companyName],customers__2[country],,0)</f>
        <v>USA</v>
      </c>
      <c r="L796">
        <f>MONTH(Table9[[#This Row],[OrderDate ]])</f>
        <v>5</v>
      </c>
      <c r="M796" t="str">
        <f>TEXT(Table9[[#This Row],[OrderDate ]],"mmm")</f>
        <v>May</v>
      </c>
      <c r="N796">
        <f>YEAR(Table9[[#This Row],[OrderDate ]])</f>
        <v>2014</v>
      </c>
    </row>
    <row r="797" spans="1:14" x14ac:dyDescent="0.3">
      <c r="A797">
        <v>10546</v>
      </c>
      <c r="B797" s="2">
        <f>_xlfn.XLOOKUP(Table9[[#This Row],[orderID]],orders[orderID],orders[orderDate],,0)</f>
        <v>41782</v>
      </c>
      <c r="C797">
        <f>_xlfn.XLOOKUP(A797,order_details[orderID],order_details[productID],,0)</f>
        <v>7</v>
      </c>
      <c r="D797" t="str">
        <f>_xlfn.XLOOKUP(C797,products[productID],products[productName],,0)</f>
        <v>Uncle Bob's Organic Dried Pears</v>
      </c>
      <c r="E797" t="str">
        <f>_xlfn.XLOOKUP(_xlfn.XLOOKUP(Table9[[#This Row],[ProductName ]],products[productName],products[categoryID],,0),categories[categoryID],categories[categoryName],,0)</f>
        <v>Produce</v>
      </c>
      <c r="F797">
        <v>10</v>
      </c>
      <c r="G797">
        <v>30</v>
      </c>
      <c r="H797">
        <v>0</v>
      </c>
      <c r="I797">
        <f>Table9[[#This Row],[quantity]]*Table9[[#This Row],[unitPrice]]*(1-Table9[[#This Row],[discount]]/100)</f>
        <v>300</v>
      </c>
      <c r="J797" t="str">
        <f>_xlfn.XLOOKUP(_xlfn.XLOOKUP(A797,orders[orderID],orders[customerID],,0),customers__2[customerID],customers__2[companyName],,0)</f>
        <v>Victuailles en stock</v>
      </c>
      <c r="K797" t="str">
        <f>_xlfn.XLOOKUP(Table9[[#This Row],[Company Name]],customers__2[companyName],customers__2[country],,0)</f>
        <v>France</v>
      </c>
      <c r="L797">
        <f>MONTH(Table9[[#This Row],[OrderDate ]])</f>
        <v>5</v>
      </c>
      <c r="M797" t="str">
        <f>TEXT(Table9[[#This Row],[OrderDate ]],"mmm")</f>
        <v>May</v>
      </c>
      <c r="N797">
        <f>YEAR(Table9[[#This Row],[OrderDate ]])</f>
        <v>2014</v>
      </c>
    </row>
    <row r="798" spans="1:14" x14ac:dyDescent="0.3">
      <c r="A798">
        <v>10546</v>
      </c>
      <c r="B798" s="2">
        <f>_xlfn.XLOOKUP(Table9[[#This Row],[orderID]],orders[orderID],orders[orderDate],,0)</f>
        <v>41782</v>
      </c>
      <c r="C798">
        <f>_xlfn.XLOOKUP(A798,order_details[orderID],order_details[productID],,0)</f>
        <v>7</v>
      </c>
      <c r="D798" t="str">
        <f>_xlfn.XLOOKUP(C798,products[productID],products[productName],,0)</f>
        <v>Uncle Bob's Organic Dried Pears</v>
      </c>
      <c r="E798" t="str">
        <f>_xlfn.XLOOKUP(_xlfn.XLOOKUP(Table9[[#This Row],[ProductName ]],products[productName],products[categoryID],,0),categories[categoryID],categories[categoryName],,0)</f>
        <v>Produce</v>
      </c>
      <c r="F798">
        <v>30</v>
      </c>
      <c r="G798">
        <v>18</v>
      </c>
      <c r="H798">
        <v>0</v>
      </c>
      <c r="I798">
        <f>Table9[[#This Row],[quantity]]*Table9[[#This Row],[unitPrice]]*(1-Table9[[#This Row],[discount]]/100)</f>
        <v>540</v>
      </c>
      <c r="J798" t="str">
        <f>_xlfn.XLOOKUP(_xlfn.XLOOKUP(A798,orders[orderID],orders[customerID],,0),customers__2[customerID],customers__2[companyName],,0)</f>
        <v>Victuailles en stock</v>
      </c>
      <c r="K798" t="str">
        <f>_xlfn.XLOOKUP(Table9[[#This Row],[Company Name]],customers__2[companyName],customers__2[country],,0)</f>
        <v>France</v>
      </c>
      <c r="L798">
        <f>MONTH(Table9[[#This Row],[OrderDate ]])</f>
        <v>5</v>
      </c>
      <c r="M798" t="str">
        <f>TEXT(Table9[[#This Row],[OrderDate ]],"mmm")</f>
        <v>May</v>
      </c>
      <c r="N798">
        <f>YEAR(Table9[[#This Row],[OrderDate ]])</f>
        <v>2014</v>
      </c>
    </row>
    <row r="799" spans="1:14" x14ac:dyDescent="0.3">
      <c r="A799">
        <v>10546</v>
      </c>
      <c r="B799" s="2">
        <f>_xlfn.XLOOKUP(Table9[[#This Row],[orderID]],orders[orderID],orders[orderDate],,0)</f>
        <v>41782</v>
      </c>
      <c r="C799">
        <f>_xlfn.XLOOKUP(A799,order_details[orderID],order_details[productID],,0)</f>
        <v>7</v>
      </c>
      <c r="D799" t="str">
        <f>_xlfn.XLOOKUP(C799,products[productID],products[productName],,0)</f>
        <v>Uncle Bob's Organic Dried Pears</v>
      </c>
      <c r="E799" t="str">
        <f>_xlfn.XLOOKUP(_xlfn.XLOOKUP(Table9[[#This Row],[ProductName ]],products[productName],products[categoryID],,0),categories[categoryID],categories[categoryName],,0)</f>
        <v>Produce</v>
      </c>
      <c r="F799">
        <v>40</v>
      </c>
      <c r="G799">
        <v>493</v>
      </c>
      <c r="H799">
        <v>0</v>
      </c>
      <c r="I799">
        <f>Table9[[#This Row],[quantity]]*Table9[[#This Row],[unitPrice]]*(1-Table9[[#This Row],[discount]]/100)</f>
        <v>19720</v>
      </c>
      <c r="J799" t="str">
        <f>_xlfn.XLOOKUP(_xlfn.XLOOKUP(A799,orders[orderID],orders[customerID],,0),customers__2[customerID],customers__2[companyName],,0)</f>
        <v>Victuailles en stock</v>
      </c>
      <c r="K799" t="str">
        <f>_xlfn.XLOOKUP(Table9[[#This Row],[Company Name]],customers__2[companyName],customers__2[country],,0)</f>
        <v>France</v>
      </c>
      <c r="L799">
        <f>MONTH(Table9[[#This Row],[OrderDate ]])</f>
        <v>5</v>
      </c>
      <c r="M799" t="str">
        <f>TEXT(Table9[[#This Row],[OrderDate ]],"mmm")</f>
        <v>May</v>
      </c>
      <c r="N799">
        <f>YEAR(Table9[[#This Row],[OrderDate ]])</f>
        <v>2014</v>
      </c>
    </row>
    <row r="800" spans="1:14" x14ac:dyDescent="0.3">
      <c r="A800">
        <v>10547</v>
      </c>
      <c r="B800" s="2">
        <f>_xlfn.XLOOKUP(Table9[[#This Row],[orderID]],orders[orderID],orders[orderDate],,0)</f>
        <v>41782</v>
      </c>
      <c r="C800">
        <f>_xlfn.XLOOKUP(A800,order_details[orderID],order_details[productID],,0)</f>
        <v>32</v>
      </c>
      <c r="D800" t="str">
        <f>_xlfn.XLOOKUP(C800,products[productID],products[productName],,0)</f>
        <v>Mascarpone Fabioli</v>
      </c>
      <c r="E800" t="str">
        <f>_xlfn.XLOOKUP(_xlfn.XLOOKUP(Table9[[#This Row],[ProductName ]],products[productName],products[categoryID],,0),categories[categoryID],categories[categoryName],,0)</f>
        <v>Dairy Products</v>
      </c>
      <c r="F800">
        <v>24</v>
      </c>
      <c r="G800">
        <v>32</v>
      </c>
      <c r="H800">
        <v>15</v>
      </c>
      <c r="I800">
        <f>Table9[[#This Row],[quantity]]*Table9[[#This Row],[unitPrice]]*(1-Table9[[#This Row],[discount]]/100)</f>
        <v>652.79999999999995</v>
      </c>
      <c r="J800" t="str">
        <f>_xlfn.XLOOKUP(_xlfn.XLOOKUP(A800,orders[orderID],orders[customerID],,0),customers__2[customerID],customers__2[companyName],,0)</f>
        <v>Seven Seas Imports</v>
      </c>
      <c r="K800" t="str">
        <f>_xlfn.XLOOKUP(Table9[[#This Row],[Company Name]],customers__2[companyName],customers__2[country],,0)</f>
        <v>UK</v>
      </c>
      <c r="L800">
        <f>MONTH(Table9[[#This Row],[OrderDate ]])</f>
        <v>5</v>
      </c>
      <c r="M800" t="str">
        <f>TEXT(Table9[[#This Row],[OrderDate ]],"mmm")</f>
        <v>May</v>
      </c>
      <c r="N800">
        <f>YEAR(Table9[[#This Row],[OrderDate ]])</f>
        <v>2014</v>
      </c>
    </row>
    <row r="801" spans="1:14" x14ac:dyDescent="0.3">
      <c r="A801">
        <v>10547</v>
      </c>
      <c r="B801" s="2">
        <f>_xlfn.XLOOKUP(Table9[[#This Row],[orderID]],orders[orderID],orders[orderDate],,0)</f>
        <v>41782</v>
      </c>
      <c r="C801">
        <f>_xlfn.XLOOKUP(A801,order_details[orderID],order_details[productID],,0)</f>
        <v>32</v>
      </c>
      <c r="D801" t="str">
        <f>_xlfn.XLOOKUP(C801,products[productID],products[productName],,0)</f>
        <v>Mascarpone Fabioli</v>
      </c>
      <c r="E801" t="str">
        <f>_xlfn.XLOOKUP(_xlfn.XLOOKUP(Table9[[#This Row],[ProductName ]],products[productName],products[categoryID],,0),categories[categoryID],categories[categoryName],,0)</f>
        <v>Dairy Products</v>
      </c>
      <c r="F801">
        <v>60</v>
      </c>
      <c r="G801">
        <v>19</v>
      </c>
      <c r="H801">
        <v>0</v>
      </c>
      <c r="I801">
        <f>Table9[[#This Row],[quantity]]*Table9[[#This Row],[unitPrice]]*(1-Table9[[#This Row],[discount]]/100)</f>
        <v>1140</v>
      </c>
      <c r="J801" t="str">
        <f>_xlfn.XLOOKUP(_xlfn.XLOOKUP(A801,orders[orderID],orders[customerID],,0),customers__2[customerID],customers__2[companyName],,0)</f>
        <v>Seven Seas Imports</v>
      </c>
      <c r="K801" t="str">
        <f>_xlfn.XLOOKUP(Table9[[#This Row],[Company Name]],customers__2[companyName],customers__2[country],,0)</f>
        <v>UK</v>
      </c>
      <c r="L801">
        <f>MONTH(Table9[[#This Row],[OrderDate ]])</f>
        <v>5</v>
      </c>
      <c r="M801" t="str">
        <f>TEXT(Table9[[#This Row],[OrderDate ]],"mmm")</f>
        <v>May</v>
      </c>
      <c r="N801">
        <f>YEAR(Table9[[#This Row],[OrderDate ]])</f>
        <v>2014</v>
      </c>
    </row>
    <row r="802" spans="1:14" x14ac:dyDescent="0.3">
      <c r="A802">
        <v>10548</v>
      </c>
      <c r="B802" s="2">
        <f>_xlfn.XLOOKUP(Table9[[#This Row],[orderID]],orders[orderID],orders[orderDate],,0)</f>
        <v>41785</v>
      </c>
      <c r="C802">
        <f>_xlfn.XLOOKUP(A802,order_details[orderID],order_details[productID],,0)</f>
        <v>34</v>
      </c>
      <c r="D802" t="str">
        <f>_xlfn.XLOOKUP(C802,products[productID],products[productName],,0)</f>
        <v>Sasquatch Ale</v>
      </c>
      <c r="E802" t="str">
        <f>_xlfn.XLOOKUP(_xlfn.XLOOKUP(Table9[[#This Row],[ProductName ]],products[productName],products[categoryID],,0),categories[categoryID],categories[categoryName],,0)</f>
        <v>Beverages</v>
      </c>
      <c r="F802">
        <v>10</v>
      </c>
      <c r="G802">
        <v>14</v>
      </c>
      <c r="H802">
        <v>25</v>
      </c>
      <c r="I802">
        <f>Table9[[#This Row],[quantity]]*Table9[[#This Row],[unitPrice]]*(1-Table9[[#This Row],[discount]]/100)</f>
        <v>105</v>
      </c>
      <c r="J802" t="str">
        <f>_xlfn.XLOOKUP(_xlfn.XLOOKUP(A802,orders[orderID],orders[customerID],,0),customers__2[customerID],customers__2[companyName],,0)</f>
        <v>Toms Spezialitäten</v>
      </c>
      <c r="K802" t="str">
        <f>_xlfn.XLOOKUP(Table9[[#This Row],[Company Name]],customers__2[companyName],customers__2[country],,0)</f>
        <v>Germany</v>
      </c>
      <c r="L802">
        <f>MONTH(Table9[[#This Row],[OrderDate ]])</f>
        <v>5</v>
      </c>
      <c r="M802" t="str">
        <f>TEXT(Table9[[#This Row],[OrderDate ]],"mmm")</f>
        <v>May</v>
      </c>
      <c r="N802">
        <f>YEAR(Table9[[#This Row],[OrderDate ]])</f>
        <v>2014</v>
      </c>
    </row>
    <row r="803" spans="1:14" x14ac:dyDescent="0.3">
      <c r="A803">
        <v>10548</v>
      </c>
      <c r="B803" s="2">
        <f>_xlfn.XLOOKUP(Table9[[#This Row],[orderID]],orders[orderID],orders[orderDate],,0)</f>
        <v>41785</v>
      </c>
      <c r="C803">
        <f>_xlfn.XLOOKUP(A803,order_details[orderID],order_details[productID],,0)</f>
        <v>34</v>
      </c>
      <c r="D803" t="str">
        <f>_xlfn.XLOOKUP(C803,products[productID],products[productName],,0)</f>
        <v>Sasquatch Ale</v>
      </c>
      <c r="E803" t="str">
        <f>_xlfn.XLOOKUP(_xlfn.XLOOKUP(Table9[[#This Row],[ProductName ]],products[productName],products[categoryID],,0),categories[categoryID],categories[categoryName],,0)</f>
        <v>Beverages</v>
      </c>
      <c r="F803">
        <v>14</v>
      </c>
      <c r="G803">
        <v>965</v>
      </c>
      <c r="H803">
        <v>0</v>
      </c>
      <c r="I803">
        <f>Table9[[#This Row],[quantity]]*Table9[[#This Row],[unitPrice]]*(1-Table9[[#This Row],[discount]]/100)</f>
        <v>13510</v>
      </c>
      <c r="J803" t="str">
        <f>_xlfn.XLOOKUP(_xlfn.XLOOKUP(A803,orders[orderID],orders[customerID],,0),customers__2[customerID],customers__2[companyName],,0)</f>
        <v>Toms Spezialitäten</v>
      </c>
      <c r="K803" t="str">
        <f>_xlfn.XLOOKUP(Table9[[#This Row],[Company Name]],customers__2[companyName],customers__2[country],,0)</f>
        <v>Germany</v>
      </c>
      <c r="L803">
        <f>MONTH(Table9[[#This Row],[OrderDate ]])</f>
        <v>5</v>
      </c>
      <c r="M803" t="str">
        <f>TEXT(Table9[[#This Row],[OrderDate ]],"mmm")</f>
        <v>May</v>
      </c>
      <c r="N803">
        <f>YEAR(Table9[[#This Row],[OrderDate ]])</f>
        <v>2014</v>
      </c>
    </row>
    <row r="804" spans="1:14" x14ac:dyDescent="0.3">
      <c r="A804">
        <v>10549</v>
      </c>
      <c r="B804" s="2">
        <f>_xlfn.XLOOKUP(Table9[[#This Row],[orderID]],orders[orderID],orders[orderDate],,0)</f>
        <v>41786</v>
      </c>
      <c r="C804">
        <f>_xlfn.XLOOKUP(A804,order_details[orderID],order_details[productID],,0)</f>
        <v>31</v>
      </c>
      <c r="D804" t="str">
        <f>_xlfn.XLOOKUP(C804,products[productID],products[productName],,0)</f>
        <v>Gorgonzola Telino</v>
      </c>
      <c r="E804" t="str">
        <f>_xlfn.XLOOKUP(_xlfn.XLOOKUP(Table9[[#This Row],[ProductName ]],products[productName],products[categoryID],,0),categories[categoryID],categories[categoryName],,0)</f>
        <v>Dairy Products</v>
      </c>
      <c r="F804">
        <v>55</v>
      </c>
      <c r="G804">
        <v>125</v>
      </c>
      <c r="H804">
        <v>15</v>
      </c>
      <c r="I804">
        <f>Table9[[#This Row],[quantity]]*Table9[[#This Row],[unitPrice]]*(1-Table9[[#This Row],[discount]]/100)</f>
        <v>5843.75</v>
      </c>
      <c r="J804" t="str">
        <f>_xlfn.XLOOKUP(_xlfn.XLOOKUP(A804,orders[orderID],orders[customerID],,0),customers__2[customerID],customers__2[companyName],,0)</f>
        <v>QUICK-Stop</v>
      </c>
      <c r="K804" t="str">
        <f>_xlfn.XLOOKUP(Table9[[#This Row],[Company Name]],customers__2[companyName],customers__2[country],,0)</f>
        <v>Germany</v>
      </c>
      <c r="L804">
        <f>MONTH(Table9[[#This Row],[OrderDate ]])</f>
        <v>5</v>
      </c>
      <c r="M804" t="str">
        <f>TEXT(Table9[[#This Row],[OrderDate ]],"mmm")</f>
        <v>May</v>
      </c>
      <c r="N804">
        <f>YEAR(Table9[[#This Row],[OrderDate ]])</f>
        <v>2014</v>
      </c>
    </row>
    <row r="805" spans="1:14" x14ac:dyDescent="0.3">
      <c r="A805">
        <v>10549</v>
      </c>
      <c r="B805" s="2">
        <f>_xlfn.XLOOKUP(Table9[[#This Row],[orderID]],orders[orderID],orders[orderDate],,0)</f>
        <v>41786</v>
      </c>
      <c r="C805">
        <f>_xlfn.XLOOKUP(A805,order_details[orderID],order_details[productID],,0)</f>
        <v>31</v>
      </c>
      <c r="D805" t="str">
        <f>_xlfn.XLOOKUP(C805,products[productID],products[productName],,0)</f>
        <v>Gorgonzola Telino</v>
      </c>
      <c r="E805" t="str">
        <f>_xlfn.XLOOKUP(_xlfn.XLOOKUP(Table9[[#This Row],[ProductName ]],products[productName],products[categoryID],,0),categories[categoryID],categories[categoryName],,0)</f>
        <v>Dairy Products</v>
      </c>
      <c r="F805">
        <v>100</v>
      </c>
      <c r="G805">
        <v>95</v>
      </c>
      <c r="H805">
        <v>15</v>
      </c>
      <c r="I805">
        <f>Table9[[#This Row],[quantity]]*Table9[[#This Row],[unitPrice]]*(1-Table9[[#This Row],[discount]]/100)</f>
        <v>8075</v>
      </c>
      <c r="J805" t="str">
        <f>_xlfn.XLOOKUP(_xlfn.XLOOKUP(A805,orders[orderID],orders[customerID],,0),customers__2[customerID],customers__2[companyName],,0)</f>
        <v>QUICK-Stop</v>
      </c>
      <c r="K805" t="str">
        <f>_xlfn.XLOOKUP(Table9[[#This Row],[Company Name]],customers__2[companyName],customers__2[country],,0)</f>
        <v>Germany</v>
      </c>
      <c r="L805">
        <f>MONTH(Table9[[#This Row],[OrderDate ]])</f>
        <v>5</v>
      </c>
      <c r="M805" t="str">
        <f>TEXT(Table9[[#This Row],[OrderDate ]],"mmm")</f>
        <v>May</v>
      </c>
      <c r="N805">
        <f>YEAR(Table9[[#This Row],[OrderDate ]])</f>
        <v>2014</v>
      </c>
    </row>
    <row r="806" spans="1:14" x14ac:dyDescent="0.3">
      <c r="A806">
        <v>10549</v>
      </c>
      <c r="B806" s="2">
        <f>_xlfn.XLOOKUP(Table9[[#This Row],[orderID]],orders[orderID],orders[orderDate],,0)</f>
        <v>41786</v>
      </c>
      <c r="C806">
        <f>_xlfn.XLOOKUP(A806,order_details[orderID],order_details[productID],,0)</f>
        <v>31</v>
      </c>
      <c r="D806" t="str">
        <f>_xlfn.XLOOKUP(C806,products[productID],products[productName],,0)</f>
        <v>Gorgonzola Telino</v>
      </c>
      <c r="E806" t="str">
        <f>_xlfn.XLOOKUP(_xlfn.XLOOKUP(Table9[[#This Row],[ProductName ]],products[productName],products[categoryID],,0),categories[categoryID],categories[categoryName],,0)</f>
        <v>Dairy Products</v>
      </c>
      <c r="F806">
        <v>48</v>
      </c>
      <c r="G806">
        <v>53</v>
      </c>
      <c r="H806">
        <v>15</v>
      </c>
      <c r="I806">
        <f>Table9[[#This Row],[quantity]]*Table9[[#This Row],[unitPrice]]*(1-Table9[[#This Row],[discount]]/100)</f>
        <v>2162.4</v>
      </c>
      <c r="J806" t="str">
        <f>_xlfn.XLOOKUP(_xlfn.XLOOKUP(A806,orders[orderID],orders[customerID],,0),customers__2[customerID],customers__2[companyName],,0)</f>
        <v>QUICK-Stop</v>
      </c>
      <c r="K806" t="str">
        <f>_xlfn.XLOOKUP(Table9[[#This Row],[Company Name]],customers__2[companyName],customers__2[country],,0)</f>
        <v>Germany</v>
      </c>
      <c r="L806">
        <f>MONTH(Table9[[#This Row],[OrderDate ]])</f>
        <v>5</v>
      </c>
      <c r="M806" t="str">
        <f>TEXT(Table9[[#This Row],[OrderDate ]],"mmm")</f>
        <v>May</v>
      </c>
      <c r="N806">
        <f>YEAR(Table9[[#This Row],[OrderDate ]])</f>
        <v>2014</v>
      </c>
    </row>
    <row r="807" spans="1:14" x14ac:dyDescent="0.3">
      <c r="A807">
        <v>10550</v>
      </c>
      <c r="B807" s="2">
        <f>_xlfn.XLOOKUP(Table9[[#This Row],[orderID]],orders[orderID],orders[orderDate],,0)</f>
        <v>41787</v>
      </c>
      <c r="C807">
        <f>_xlfn.XLOOKUP(A807,order_details[orderID],order_details[productID],,0)</f>
        <v>17</v>
      </c>
      <c r="D807" t="str">
        <f>_xlfn.XLOOKUP(C807,products[productID],products[productName],,0)</f>
        <v>Alice Mutton</v>
      </c>
      <c r="E807" t="str">
        <f>_xlfn.XLOOKUP(_xlfn.XLOOKUP(Table9[[#This Row],[ProductName ]],products[productName],products[categoryID],,0),categories[categoryID],categories[categoryName],,0)</f>
        <v>Meat &amp; Poultry</v>
      </c>
      <c r="F807">
        <v>8</v>
      </c>
      <c r="G807">
        <v>39</v>
      </c>
      <c r="H807">
        <v>1</v>
      </c>
      <c r="I807">
        <f>Table9[[#This Row],[quantity]]*Table9[[#This Row],[unitPrice]]*(1-Table9[[#This Row],[discount]]/100)</f>
        <v>308.88</v>
      </c>
      <c r="J807" t="str">
        <f>_xlfn.XLOOKUP(_xlfn.XLOOKUP(A807,orders[orderID],orders[customerID],,0),customers__2[customerID],customers__2[companyName],,0)</f>
        <v>Godos Cocina Típica</v>
      </c>
      <c r="K807" t="str">
        <f>_xlfn.XLOOKUP(Table9[[#This Row],[Company Name]],customers__2[companyName],customers__2[country],,0)</f>
        <v>Spain</v>
      </c>
      <c r="L807">
        <f>MONTH(Table9[[#This Row],[OrderDate ]])</f>
        <v>5</v>
      </c>
      <c r="M807" t="str">
        <f>TEXT(Table9[[#This Row],[OrderDate ]],"mmm")</f>
        <v>May</v>
      </c>
      <c r="N807">
        <f>YEAR(Table9[[#This Row],[OrderDate ]])</f>
        <v>2014</v>
      </c>
    </row>
    <row r="808" spans="1:14" x14ac:dyDescent="0.3">
      <c r="A808">
        <v>10550</v>
      </c>
      <c r="B808" s="2">
        <f>_xlfn.XLOOKUP(Table9[[#This Row],[orderID]],orders[orderID],orders[orderDate],,0)</f>
        <v>41787</v>
      </c>
      <c r="C808">
        <f>_xlfn.XLOOKUP(A808,order_details[orderID],order_details[productID],,0)</f>
        <v>17</v>
      </c>
      <c r="D808" t="str">
        <f>_xlfn.XLOOKUP(C808,products[productID],products[productName],,0)</f>
        <v>Alice Mutton</v>
      </c>
      <c r="E808" t="str">
        <f>_xlfn.XLOOKUP(_xlfn.XLOOKUP(Table9[[#This Row],[ProductName ]],products[productName],products[categoryID],,0),categories[categoryID],categories[categoryName],,0)</f>
        <v>Meat &amp; Poultry</v>
      </c>
      <c r="F808">
        <v>10</v>
      </c>
      <c r="G808">
        <v>92</v>
      </c>
      <c r="H808">
        <v>0</v>
      </c>
      <c r="I808">
        <f>Table9[[#This Row],[quantity]]*Table9[[#This Row],[unitPrice]]*(1-Table9[[#This Row],[discount]]/100)</f>
        <v>920</v>
      </c>
      <c r="J808" t="str">
        <f>_xlfn.XLOOKUP(_xlfn.XLOOKUP(A808,orders[orderID],orders[customerID],,0),customers__2[customerID],customers__2[companyName],,0)</f>
        <v>Godos Cocina Típica</v>
      </c>
      <c r="K808" t="str">
        <f>_xlfn.XLOOKUP(Table9[[#This Row],[Company Name]],customers__2[companyName],customers__2[country],,0)</f>
        <v>Spain</v>
      </c>
      <c r="L808">
        <f>MONTH(Table9[[#This Row],[OrderDate ]])</f>
        <v>5</v>
      </c>
      <c r="M808" t="str">
        <f>TEXT(Table9[[#This Row],[OrderDate ]],"mmm")</f>
        <v>May</v>
      </c>
      <c r="N808">
        <f>YEAR(Table9[[#This Row],[OrderDate ]])</f>
        <v>2014</v>
      </c>
    </row>
    <row r="809" spans="1:14" x14ac:dyDescent="0.3">
      <c r="A809">
        <v>10550</v>
      </c>
      <c r="B809" s="2">
        <f>_xlfn.XLOOKUP(Table9[[#This Row],[orderID]],orders[orderID],orders[orderDate],,0)</f>
        <v>41787</v>
      </c>
      <c r="C809">
        <f>_xlfn.XLOOKUP(A809,order_details[orderID],order_details[productID],,0)</f>
        <v>17</v>
      </c>
      <c r="D809" t="str">
        <f>_xlfn.XLOOKUP(C809,products[productID],products[productName],,0)</f>
        <v>Alice Mutton</v>
      </c>
      <c r="E809" t="str">
        <f>_xlfn.XLOOKUP(_xlfn.XLOOKUP(Table9[[#This Row],[ProductName ]],products[productName],products[categoryID],,0),categories[categoryID],categories[categoryName],,0)</f>
        <v>Meat &amp; Poultry</v>
      </c>
      <c r="F809">
        <v>6</v>
      </c>
      <c r="G809">
        <v>10</v>
      </c>
      <c r="H809">
        <v>1</v>
      </c>
      <c r="I809">
        <f>Table9[[#This Row],[quantity]]*Table9[[#This Row],[unitPrice]]*(1-Table9[[#This Row],[discount]]/100)</f>
        <v>59.4</v>
      </c>
      <c r="J809" t="str">
        <f>_xlfn.XLOOKUP(_xlfn.XLOOKUP(A809,orders[orderID],orders[customerID],,0),customers__2[customerID],customers__2[companyName],,0)</f>
        <v>Godos Cocina Típica</v>
      </c>
      <c r="K809" t="str">
        <f>_xlfn.XLOOKUP(Table9[[#This Row],[Company Name]],customers__2[companyName],customers__2[country],,0)</f>
        <v>Spain</v>
      </c>
      <c r="L809">
        <f>MONTH(Table9[[#This Row],[OrderDate ]])</f>
        <v>5</v>
      </c>
      <c r="M809" t="str">
        <f>TEXT(Table9[[#This Row],[OrderDate ]],"mmm")</f>
        <v>May</v>
      </c>
      <c r="N809">
        <f>YEAR(Table9[[#This Row],[OrderDate ]])</f>
        <v>2014</v>
      </c>
    </row>
    <row r="810" spans="1:14" x14ac:dyDescent="0.3">
      <c r="A810">
        <v>10550</v>
      </c>
      <c r="B810" s="2">
        <f>_xlfn.XLOOKUP(Table9[[#This Row],[orderID]],orders[orderID],orders[orderDate],,0)</f>
        <v>41787</v>
      </c>
      <c r="C810">
        <f>_xlfn.XLOOKUP(A810,order_details[orderID],order_details[productID],,0)</f>
        <v>17</v>
      </c>
      <c r="D810" t="str">
        <f>_xlfn.XLOOKUP(C810,products[productID],products[productName],,0)</f>
        <v>Alice Mutton</v>
      </c>
      <c r="E810" t="str">
        <f>_xlfn.XLOOKUP(_xlfn.XLOOKUP(Table9[[#This Row],[ProductName ]],products[productName],products[categoryID],,0),categories[categoryID],categories[categoryName],,0)</f>
        <v>Meat &amp; Poultry</v>
      </c>
      <c r="F810">
        <v>10</v>
      </c>
      <c r="G810">
        <v>285</v>
      </c>
      <c r="H810">
        <v>1</v>
      </c>
      <c r="I810">
        <f>Table9[[#This Row],[quantity]]*Table9[[#This Row],[unitPrice]]*(1-Table9[[#This Row],[discount]]/100)</f>
        <v>2821.5</v>
      </c>
      <c r="J810" t="str">
        <f>_xlfn.XLOOKUP(_xlfn.XLOOKUP(A810,orders[orderID],orders[customerID],,0),customers__2[customerID],customers__2[companyName],,0)</f>
        <v>Godos Cocina Típica</v>
      </c>
      <c r="K810" t="str">
        <f>_xlfn.XLOOKUP(Table9[[#This Row],[Company Name]],customers__2[companyName],customers__2[country],,0)</f>
        <v>Spain</v>
      </c>
      <c r="L810">
        <f>MONTH(Table9[[#This Row],[OrderDate ]])</f>
        <v>5</v>
      </c>
      <c r="M810" t="str">
        <f>TEXT(Table9[[#This Row],[OrderDate ]],"mmm")</f>
        <v>May</v>
      </c>
      <c r="N810">
        <f>YEAR(Table9[[#This Row],[OrderDate ]])</f>
        <v>2014</v>
      </c>
    </row>
    <row r="811" spans="1:14" x14ac:dyDescent="0.3">
      <c r="A811">
        <v>10551</v>
      </c>
      <c r="B811" s="2">
        <f>_xlfn.XLOOKUP(Table9[[#This Row],[orderID]],orders[orderID],orders[orderDate],,0)</f>
        <v>41787</v>
      </c>
      <c r="C811">
        <f>_xlfn.XLOOKUP(A811,order_details[orderID],order_details[productID],,0)</f>
        <v>16</v>
      </c>
      <c r="D811" t="str">
        <f>_xlfn.XLOOKUP(C811,products[productID],products[productName],,0)</f>
        <v>Pavlova</v>
      </c>
      <c r="E811" t="str">
        <f>_xlfn.XLOOKUP(_xlfn.XLOOKUP(Table9[[#This Row],[ProductName ]],products[productName],products[categoryID],,0),categories[categoryID],categories[categoryName],,0)</f>
        <v>Confections</v>
      </c>
      <c r="F811">
        <v>40</v>
      </c>
      <c r="G811">
        <v>1745</v>
      </c>
      <c r="H811">
        <v>15</v>
      </c>
      <c r="I811">
        <f>Table9[[#This Row],[quantity]]*Table9[[#This Row],[unitPrice]]*(1-Table9[[#This Row],[discount]]/100)</f>
        <v>59330</v>
      </c>
      <c r="J811" t="str">
        <f>_xlfn.XLOOKUP(_xlfn.XLOOKUP(A811,orders[orderID],orders[customerID],,0),customers__2[customerID],customers__2[companyName],,0)</f>
        <v>Furia Bacalhau e Frutos do Mar</v>
      </c>
      <c r="K811" t="str">
        <f>_xlfn.XLOOKUP(Table9[[#This Row],[Company Name]],customers__2[companyName],customers__2[country],,0)</f>
        <v>Portugal</v>
      </c>
      <c r="L811">
        <f>MONTH(Table9[[#This Row],[OrderDate ]])</f>
        <v>5</v>
      </c>
      <c r="M811" t="str">
        <f>TEXT(Table9[[#This Row],[OrderDate ]],"mmm")</f>
        <v>May</v>
      </c>
      <c r="N811">
        <f>YEAR(Table9[[#This Row],[OrderDate ]])</f>
        <v>2014</v>
      </c>
    </row>
    <row r="812" spans="1:14" x14ac:dyDescent="0.3">
      <c r="A812">
        <v>10551</v>
      </c>
      <c r="B812" s="2">
        <f>_xlfn.XLOOKUP(Table9[[#This Row],[orderID]],orders[orderID],orders[orderDate],,0)</f>
        <v>41787</v>
      </c>
      <c r="C812">
        <f>_xlfn.XLOOKUP(A812,order_details[orderID],order_details[productID],,0)</f>
        <v>16</v>
      </c>
      <c r="D812" t="str">
        <f>_xlfn.XLOOKUP(C812,products[productID],products[productName],,0)</f>
        <v>Pavlova</v>
      </c>
      <c r="E812" t="str">
        <f>_xlfn.XLOOKUP(_xlfn.XLOOKUP(Table9[[#This Row],[ProductName ]],products[productName],products[categoryID],,0),categories[categoryID],categories[categoryName],,0)</f>
        <v>Confections</v>
      </c>
      <c r="F812">
        <v>20</v>
      </c>
      <c r="G812">
        <v>18</v>
      </c>
      <c r="H812">
        <v>15</v>
      </c>
      <c r="I812">
        <f>Table9[[#This Row],[quantity]]*Table9[[#This Row],[unitPrice]]*(1-Table9[[#This Row],[discount]]/100)</f>
        <v>306</v>
      </c>
      <c r="J812" t="str">
        <f>_xlfn.XLOOKUP(_xlfn.XLOOKUP(A812,orders[orderID],orders[customerID],,0),customers__2[customerID],customers__2[companyName],,0)</f>
        <v>Furia Bacalhau e Frutos do Mar</v>
      </c>
      <c r="K812" t="str">
        <f>_xlfn.XLOOKUP(Table9[[#This Row],[Company Name]],customers__2[companyName],customers__2[country],,0)</f>
        <v>Portugal</v>
      </c>
      <c r="L812">
        <f>MONTH(Table9[[#This Row],[OrderDate ]])</f>
        <v>5</v>
      </c>
      <c r="M812" t="str">
        <f>TEXT(Table9[[#This Row],[OrderDate ]],"mmm")</f>
        <v>May</v>
      </c>
      <c r="N812">
        <f>YEAR(Table9[[#This Row],[OrderDate ]])</f>
        <v>2014</v>
      </c>
    </row>
    <row r="813" spans="1:14" x14ac:dyDescent="0.3">
      <c r="A813">
        <v>10551</v>
      </c>
      <c r="B813" s="2">
        <f>_xlfn.XLOOKUP(Table9[[#This Row],[orderID]],orders[orderID],orders[orderDate],,0)</f>
        <v>41787</v>
      </c>
      <c r="C813">
        <f>_xlfn.XLOOKUP(A813,order_details[orderID],order_details[productID],,0)</f>
        <v>16</v>
      </c>
      <c r="D813" t="str">
        <f>_xlfn.XLOOKUP(C813,products[productID],products[productName],,0)</f>
        <v>Pavlova</v>
      </c>
      <c r="E813" t="str">
        <f>_xlfn.XLOOKUP(_xlfn.XLOOKUP(Table9[[#This Row],[ProductName ]],products[productName],products[categoryID],,0),categories[categoryID],categories[categoryName],,0)</f>
        <v>Confections</v>
      </c>
      <c r="F813">
        <v>40</v>
      </c>
      <c r="G813">
        <v>1945</v>
      </c>
      <c r="H813">
        <v>0</v>
      </c>
      <c r="I813">
        <f>Table9[[#This Row],[quantity]]*Table9[[#This Row],[unitPrice]]*(1-Table9[[#This Row],[discount]]/100)</f>
        <v>77800</v>
      </c>
      <c r="J813" t="str">
        <f>_xlfn.XLOOKUP(_xlfn.XLOOKUP(A813,orders[orderID],orders[customerID],,0),customers__2[customerID],customers__2[companyName],,0)</f>
        <v>Furia Bacalhau e Frutos do Mar</v>
      </c>
      <c r="K813" t="str">
        <f>_xlfn.XLOOKUP(Table9[[#This Row],[Company Name]],customers__2[companyName],customers__2[country],,0)</f>
        <v>Portugal</v>
      </c>
      <c r="L813">
        <f>MONTH(Table9[[#This Row],[OrderDate ]])</f>
        <v>5</v>
      </c>
      <c r="M813" t="str">
        <f>TEXT(Table9[[#This Row],[OrderDate ]],"mmm")</f>
        <v>May</v>
      </c>
      <c r="N813">
        <f>YEAR(Table9[[#This Row],[OrderDate ]])</f>
        <v>2014</v>
      </c>
    </row>
    <row r="814" spans="1:14" x14ac:dyDescent="0.3">
      <c r="A814">
        <v>10552</v>
      </c>
      <c r="B814" s="2">
        <f>_xlfn.XLOOKUP(Table9[[#This Row],[orderID]],orders[orderID],orders[orderDate],,0)</f>
        <v>41788</v>
      </c>
      <c r="C814">
        <f>_xlfn.XLOOKUP(A814,order_details[orderID],order_details[productID],,0)</f>
        <v>69</v>
      </c>
      <c r="D814" t="str">
        <f>_xlfn.XLOOKUP(C814,products[productID],products[productName],,0)</f>
        <v>Gudbrandsdalsost</v>
      </c>
      <c r="E814" t="str">
        <f>_xlfn.XLOOKUP(_xlfn.XLOOKUP(Table9[[#This Row],[ProductName ]],products[productName],products[categoryID],,0),categories[categoryID],categories[categoryName],,0)</f>
        <v>Dairy Products</v>
      </c>
      <c r="F814">
        <v>18</v>
      </c>
      <c r="G814">
        <v>36</v>
      </c>
      <c r="H814">
        <v>0</v>
      </c>
      <c r="I814">
        <f>Table9[[#This Row],[quantity]]*Table9[[#This Row],[unitPrice]]*(1-Table9[[#This Row],[discount]]/100)</f>
        <v>648</v>
      </c>
      <c r="J814" t="str">
        <f>_xlfn.XLOOKUP(_xlfn.XLOOKUP(A814,orders[orderID],orders[customerID],,0),customers__2[customerID],customers__2[companyName],,0)</f>
        <v>HILARION-Abastos</v>
      </c>
      <c r="K814" t="str">
        <f>_xlfn.XLOOKUP(Table9[[#This Row],[Company Name]],customers__2[companyName],customers__2[country],,0)</f>
        <v>Venezuela</v>
      </c>
      <c r="L814">
        <f>MONTH(Table9[[#This Row],[OrderDate ]])</f>
        <v>5</v>
      </c>
      <c r="M814" t="str">
        <f>TEXT(Table9[[#This Row],[OrderDate ]],"mmm")</f>
        <v>May</v>
      </c>
      <c r="N814">
        <f>YEAR(Table9[[#This Row],[OrderDate ]])</f>
        <v>2014</v>
      </c>
    </row>
    <row r="815" spans="1:14" x14ac:dyDescent="0.3">
      <c r="A815">
        <v>10552</v>
      </c>
      <c r="B815" s="2">
        <f>_xlfn.XLOOKUP(Table9[[#This Row],[orderID]],orders[orderID],orders[orderDate],,0)</f>
        <v>41788</v>
      </c>
      <c r="C815">
        <f>_xlfn.XLOOKUP(A815,order_details[orderID],order_details[productID],,0)</f>
        <v>69</v>
      </c>
      <c r="D815" t="str">
        <f>_xlfn.XLOOKUP(C815,products[productID],products[productName],,0)</f>
        <v>Gudbrandsdalsost</v>
      </c>
      <c r="E815" t="str">
        <f>_xlfn.XLOOKUP(_xlfn.XLOOKUP(Table9[[#This Row],[ProductName ]],products[productName],products[categoryID],,0),categories[categoryID],categories[categoryName],,0)</f>
        <v>Dairy Products</v>
      </c>
      <c r="F815">
        <v>30</v>
      </c>
      <c r="G815">
        <v>775</v>
      </c>
      <c r="H815">
        <v>0</v>
      </c>
      <c r="I815">
        <f>Table9[[#This Row],[quantity]]*Table9[[#This Row],[unitPrice]]*(1-Table9[[#This Row],[discount]]/100)</f>
        <v>23250</v>
      </c>
      <c r="J815" t="str">
        <f>_xlfn.XLOOKUP(_xlfn.XLOOKUP(A815,orders[orderID],orders[customerID],,0),customers__2[customerID],customers__2[companyName],,0)</f>
        <v>HILARION-Abastos</v>
      </c>
      <c r="K815" t="str">
        <f>_xlfn.XLOOKUP(Table9[[#This Row],[Company Name]],customers__2[companyName],customers__2[country],,0)</f>
        <v>Venezuela</v>
      </c>
      <c r="L815">
        <f>MONTH(Table9[[#This Row],[OrderDate ]])</f>
        <v>5</v>
      </c>
      <c r="M815" t="str">
        <f>TEXT(Table9[[#This Row],[OrderDate ]],"mmm")</f>
        <v>May</v>
      </c>
      <c r="N815">
        <f>YEAR(Table9[[#This Row],[OrderDate ]])</f>
        <v>2014</v>
      </c>
    </row>
    <row r="816" spans="1:14" x14ac:dyDescent="0.3">
      <c r="A816">
        <v>10553</v>
      </c>
      <c r="B816" s="2">
        <f>_xlfn.XLOOKUP(Table9[[#This Row],[orderID]],orders[orderID],orders[orderDate],,0)</f>
        <v>41789</v>
      </c>
      <c r="C816">
        <f>_xlfn.XLOOKUP(A816,order_details[orderID],order_details[productID],,0)</f>
        <v>11</v>
      </c>
      <c r="D816" t="str">
        <f>_xlfn.XLOOKUP(C816,products[productID],products[productName],,0)</f>
        <v>Queso Cabrales</v>
      </c>
      <c r="E816" t="str">
        <f>_xlfn.XLOOKUP(_xlfn.XLOOKUP(Table9[[#This Row],[ProductName ]],products[productName],products[categoryID],,0),categories[categoryID],categories[categoryName],,0)</f>
        <v>Dairy Products</v>
      </c>
      <c r="F816">
        <v>15</v>
      </c>
      <c r="G816">
        <v>21</v>
      </c>
      <c r="H816">
        <v>0</v>
      </c>
      <c r="I816">
        <f>Table9[[#This Row],[quantity]]*Table9[[#This Row],[unitPrice]]*(1-Table9[[#This Row],[discount]]/100)</f>
        <v>315</v>
      </c>
      <c r="J816" t="str">
        <f>_xlfn.XLOOKUP(_xlfn.XLOOKUP(A816,orders[orderID],orders[customerID],,0),customers__2[customerID],customers__2[companyName],,0)</f>
        <v>Wartian Herkku</v>
      </c>
      <c r="K816" t="str">
        <f>_xlfn.XLOOKUP(Table9[[#This Row],[Company Name]],customers__2[companyName],customers__2[country],,0)</f>
        <v>Finland</v>
      </c>
      <c r="L816">
        <f>MONTH(Table9[[#This Row],[OrderDate ]])</f>
        <v>5</v>
      </c>
      <c r="M816" t="str">
        <f>TEXT(Table9[[#This Row],[OrderDate ]],"mmm")</f>
        <v>May</v>
      </c>
      <c r="N816">
        <f>YEAR(Table9[[#This Row],[OrderDate ]])</f>
        <v>2014</v>
      </c>
    </row>
    <row r="817" spans="1:14" x14ac:dyDescent="0.3">
      <c r="A817">
        <v>10553</v>
      </c>
      <c r="B817" s="2">
        <f>_xlfn.XLOOKUP(Table9[[#This Row],[orderID]],orders[orderID],orders[orderDate],,0)</f>
        <v>41789</v>
      </c>
      <c r="C817">
        <f>_xlfn.XLOOKUP(A817,order_details[orderID],order_details[productID],,0)</f>
        <v>11</v>
      </c>
      <c r="D817" t="str">
        <f>_xlfn.XLOOKUP(C817,products[productID],products[productName],,0)</f>
        <v>Queso Cabrales</v>
      </c>
      <c r="E817" t="str">
        <f>_xlfn.XLOOKUP(_xlfn.XLOOKUP(Table9[[#This Row],[ProductName ]],products[productName],products[categoryID],,0),categories[categoryID],categories[categoryName],,0)</f>
        <v>Dairy Products</v>
      </c>
      <c r="F817">
        <v>14</v>
      </c>
      <c r="G817">
        <v>1745</v>
      </c>
      <c r="H817">
        <v>0</v>
      </c>
      <c r="I817">
        <f>Table9[[#This Row],[quantity]]*Table9[[#This Row],[unitPrice]]*(1-Table9[[#This Row],[discount]]/100)</f>
        <v>24430</v>
      </c>
      <c r="J817" t="str">
        <f>_xlfn.XLOOKUP(_xlfn.XLOOKUP(A817,orders[orderID],orders[customerID],,0),customers__2[customerID],customers__2[companyName],,0)</f>
        <v>Wartian Herkku</v>
      </c>
      <c r="K817" t="str">
        <f>_xlfn.XLOOKUP(Table9[[#This Row],[Company Name]],customers__2[companyName],customers__2[country],,0)</f>
        <v>Finland</v>
      </c>
      <c r="L817">
        <f>MONTH(Table9[[#This Row],[OrderDate ]])</f>
        <v>5</v>
      </c>
      <c r="M817" t="str">
        <f>TEXT(Table9[[#This Row],[OrderDate ]],"mmm")</f>
        <v>May</v>
      </c>
      <c r="N817">
        <f>YEAR(Table9[[#This Row],[OrderDate ]])</f>
        <v>2014</v>
      </c>
    </row>
    <row r="818" spans="1:14" x14ac:dyDescent="0.3">
      <c r="A818">
        <v>10553</v>
      </c>
      <c r="B818" s="2">
        <f>_xlfn.XLOOKUP(Table9[[#This Row],[orderID]],orders[orderID],orders[orderDate],,0)</f>
        <v>41789</v>
      </c>
      <c r="C818">
        <f>_xlfn.XLOOKUP(A818,order_details[orderID],order_details[productID],,0)</f>
        <v>11</v>
      </c>
      <c r="D818" t="str">
        <f>_xlfn.XLOOKUP(C818,products[productID],products[productName],,0)</f>
        <v>Queso Cabrales</v>
      </c>
      <c r="E818" t="str">
        <f>_xlfn.XLOOKUP(_xlfn.XLOOKUP(Table9[[#This Row],[ProductName ]],products[productName],products[categoryID],,0),categories[categoryID],categories[categoryName],,0)</f>
        <v>Dairy Products</v>
      </c>
      <c r="F818">
        <v>24</v>
      </c>
      <c r="G818">
        <v>21</v>
      </c>
      <c r="H818">
        <v>0</v>
      </c>
      <c r="I818">
        <f>Table9[[#This Row],[quantity]]*Table9[[#This Row],[unitPrice]]*(1-Table9[[#This Row],[discount]]/100)</f>
        <v>504</v>
      </c>
      <c r="J818" t="str">
        <f>_xlfn.XLOOKUP(_xlfn.XLOOKUP(A818,orders[orderID],orders[customerID],,0),customers__2[customerID],customers__2[companyName],,0)</f>
        <v>Wartian Herkku</v>
      </c>
      <c r="K818" t="str">
        <f>_xlfn.XLOOKUP(Table9[[#This Row],[Company Name]],customers__2[companyName],customers__2[country],,0)</f>
        <v>Finland</v>
      </c>
      <c r="L818">
        <f>MONTH(Table9[[#This Row],[OrderDate ]])</f>
        <v>5</v>
      </c>
      <c r="M818" t="str">
        <f>TEXT(Table9[[#This Row],[OrderDate ]],"mmm")</f>
        <v>May</v>
      </c>
      <c r="N818">
        <f>YEAR(Table9[[#This Row],[OrderDate ]])</f>
        <v>2014</v>
      </c>
    </row>
    <row r="819" spans="1:14" x14ac:dyDescent="0.3">
      <c r="A819">
        <v>10553</v>
      </c>
      <c r="B819" s="2">
        <f>_xlfn.XLOOKUP(Table9[[#This Row],[orderID]],orders[orderID],orders[orderDate],,0)</f>
        <v>41789</v>
      </c>
      <c r="C819">
        <f>_xlfn.XLOOKUP(A819,order_details[orderID],order_details[productID],,0)</f>
        <v>11</v>
      </c>
      <c r="D819" t="str">
        <f>_xlfn.XLOOKUP(C819,products[productID],products[productName],,0)</f>
        <v>Queso Cabrales</v>
      </c>
      <c r="E819" t="str">
        <f>_xlfn.XLOOKUP(_xlfn.XLOOKUP(Table9[[#This Row],[ProductName ]],products[productName],products[categoryID],,0),categories[categoryID],categories[categoryName],,0)</f>
        <v>Dairy Products</v>
      </c>
      <c r="F819">
        <v>30</v>
      </c>
      <c r="G819">
        <v>125</v>
      </c>
      <c r="H819">
        <v>0</v>
      </c>
      <c r="I819">
        <f>Table9[[#This Row],[quantity]]*Table9[[#This Row],[unitPrice]]*(1-Table9[[#This Row],[discount]]/100)</f>
        <v>3750</v>
      </c>
      <c r="J819" t="str">
        <f>_xlfn.XLOOKUP(_xlfn.XLOOKUP(A819,orders[orderID],orders[customerID],,0),customers__2[customerID],customers__2[companyName],,0)</f>
        <v>Wartian Herkku</v>
      </c>
      <c r="K819" t="str">
        <f>_xlfn.XLOOKUP(Table9[[#This Row],[Company Name]],customers__2[companyName],customers__2[country],,0)</f>
        <v>Finland</v>
      </c>
      <c r="L819">
        <f>MONTH(Table9[[#This Row],[OrderDate ]])</f>
        <v>5</v>
      </c>
      <c r="M819" t="str">
        <f>TEXT(Table9[[#This Row],[OrderDate ]],"mmm")</f>
        <v>May</v>
      </c>
      <c r="N819">
        <f>YEAR(Table9[[#This Row],[OrderDate ]])</f>
        <v>2014</v>
      </c>
    </row>
    <row r="820" spans="1:14" x14ac:dyDescent="0.3">
      <c r="A820">
        <v>10553</v>
      </c>
      <c r="B820" s="2">
        <f>_xlfn.XLOOKUP(Table9[[#This Row],[orderID]],orders[orderID],orders[orderDate],,0)</f>
        <v>41789</v>
      </c>
      <c r="C820">
        <f>_xlfn.XLOOKUP(A820,order_details[orderID],order_details[productID],,0)</f>
        <v>11</v>
      </c>
      <c r="D820" t="str">
        <f>_xlfn.XLOOKUP(C820,products[productID],products[productName],,0)</f>
        <v>Queso Cabrales</v>
      </c>
      <c r="E820" t="str">
        <f>_xlfn.XLOOKUP(_xlfn.XLOOKUP(Table9[[#This Row],[ProductName ]],products[productName],products[categoryID],,0),categories[categoryID],categories[categoryName],,0)</f>
        <v>Dairy Products</v>
      </c>
      <c r="F820">
        <v>6</v>
      </c>
      <c r="G820">
        <v>18</v>
      </c>
      <c r="H820">
        <v>0</v>
      </c>
      <c r="I820">
        <f>Table9[[#This Row],[quantity]]*Table9[[#This Row],[unitPrice]]*(1-Table9[[#This Row],[discount]]/100)</f>
        <v>108</v>
      </c>
      <c r="J820" t="str">
        <f>_xlfn.XLOOKUP(_xlfn.XLOOKUP(A820,orders[orderID],orders[customerID],,0),customers__2[customerID],customers__2[companyName],,0)</f>
        <v>Wartian Herkku</v>
      </c>
      <c r="K820" t="str">
        <f>_xlfn.XLOOKUP(Table9[[#This Row],[Company Name]],customers__2[companyName],customers__2[country],,0)</f>
        <v>Finland</v>
      </c>
      <c r="L820">
        <f>MONTH(Table9[[#This Row],[OrderDate ]])</f>
        <v>5</v>
      </c>
      <c r="M820" t="str">
        <f>TEXT(Table9[[#This Row],[OrderDate ]],"mmm")</f>
        <v>May</v>
      </c>
      <c r="N820">
        <f>YEAR(Table9[[#This Row],[OrderDate ]])</f>
        <v>2014</v>
      </c>
    </row>
    <row r="821" spans="1:14" x14ac:dyDescent="0.3">
      <c r="A821">
        <v>10554</v>
      </c>
      <c r="B821" s="2">
        <f>_xlfn.XLOOKUP(Table9[[#This Row],[orderID]],orders[orderID],orders[orderDate],,0)</f>
        <v>41789</v>
      </c>
      <c r="C821">
        <f>_xlfn.XLOOKUP(A821,order_details[orderID],order_details[productID],,0)</f>
        <v>16</v>
      </c>
      <c r="D821" t="str">
        <f>_xlfn.XLOOKUP(C821,products[productID],products[productName],,0)</f>
        <v>Pavlova</v>
      </c>
      <c r="E821" t="str">
        <f>_xlfn.XLOOKUP(_xlfn.XLOOKUP(Table9[[#This Row],[ProductName ]],products[productName],products[categoryID],,0),categories[categoryID],categories[categoryName],,0)</f>
        <v>Confections</v>
      </c>
      <c r="F821">
        <v>30</v>
      </c>
      <c r="G821">
        <v>1745</v>
      </c>
      <c r="H821">
        <v>5</v>
      </c>
      <c r="I821">
        <f>Table9[[#This Row],[quantity]]*Table9[[#This Row],[unitPrice]]*(1-Table9[[#This Row],[discount]]/100)</f>
        <v>49732.5</v>
      </c>
      <c r="J821" t="str">
        <f>_xlfn.XLOOKUP(_xlfn.XLOOKUP(A821,orders[orderID],orders[customerID],,0),customers__2[customerID],customers__2[companyName],,0)</f>
        <v>Ottilies Käseladen</v>
      </c>
      <c r="K821" t="str">
        <f>_xlfn.XLOOKUP(Table9[[#This Row],[Company Name]],customers__2[companyName],customers__2[country],,0)</f>
        <v>Germany</v>
      </c>
      <c r="L821">
        <f>MONTH(Table9[[#This Row],[OrderDate ]])</f>
        <v>5</v>
      </c>
      <c r="M821" t="str">
        <f>TEXT(Table9[[#This Row],[OrderDate ]],"mmm")</f>
        <v>May</v>
      </c>
      <c r="N821">
        <f>YEAR(Table9[[#This Row],[OrderDate ]])</f>
        <v>2014</v>
      </c>
    </row>
    <row r="822" spans="1:14" x14ac:dyDescent="0.3">
      <c r="A822">
        <v>10554</v>
      </c>
      <c r="B822" s="2">
        <f>_xlfn.XLOOKUP(Table9[[#This Row],[orderID]],orders[orderID],orders[orderDate],,0)</f>
        <v>41789</v>
      </c>
      <c r="C822">
        <f>_xlfn.XLOOKUP(A822,order_details[orderID],order_details[productID],,0)</f>
        <v>16</v>
      </c>
      <c r="D822" t="str">
        <f>_xlfn.XLOOKUP(C822,products[productID],products[productName],,0)</f>
        <v>Pavlova</v>
      </c>
      <c r="E822" t="str">
        <f>_xlfn.XLOOKUP(_xlfn.XLOOKUP(Table9[[#This Row],[ProductName ]],products[productName],products[categoryID],,0),categories[categoryID],categories[categoryName],,0)</f>
        <v>Confections</v>
      </c>
      <c r="F822">
        <v>20</v>
      </c>
      <c r="G822">
        <v>9</v>
      </c>
      <c r="H822">
        <v>5</v>
      </c>
      <c r="I822">
        <f>Table9[[#This Row],[quantity]]*Table9[[#This Row],[unitPrice]]*(1-Table9[[#This Row],[discount]]/100)</f>
        <v>171</v>
      </c>
      <c r="J822" t="str">
        <f>_xlfn.XLOOKUP(_xlfn.XLOOKUP(A822,orders[orderID],orders[customerID],,0),customers__2[customerID],customers__2[companyName],,0)</f>
        <v>Ottilies Käseladen</v>
      </c>
      <c r="K822" t="str">
        <f>_xlfn.XLOOKUP(Table9[[#This Row],[Company Name]],customers__2[companyName],customers__2[country],,0)</f>
        <v>Germany</v>
      </c>
      <c r="L822">
        <f>MONTH(Table9[[#This Row],[OrderDate ]])</f>
        <v>5</v>
      </c>
      <c r="M822" t="str">
        <f>TEXT(Table9[[#This Row],[OrderDate ]],"mmm")</f>
        <v>May</v>
      </c>
      <c r="N822">
        <f>YEAR(Table9[[#This Row],[OrderDate ]])</f>
        <v>2014</v>
      </c>
    </row>
    <row r="823" spans="1:14" x14ac:dyDescent="0.3">
      <c r="A823">
        <v>10554</v>
      </c>
      <c r="B823" s="2">
        <f>_xlfn.XLOOKUP(Table9[[#This Row],[orderID]],orders[orderID],orders[orderDate],,0)</f>
        <v>41789</v>
      </c>
      <c r="C823">
        <f>_xlfn.XLOOKUP(A823,order_details[orderID],order_details[productID],,0)</f>
        <v>16</v>
      </c>
      <c r="D823" t="str">
        <f>_xlfn.XLOOKUP(C823,products[productID],products[productName],,0)</f>
        <v>Pavlova</v>
      </c>
      <c r="E823" t="str">
        <f>_xlfn.XLOOKUP(_xlfn.XLOOKUP(Table9[[#This Row],[ProductName ]],products[productName],products[categoryID],,0),categories[categoryID],categories[categoryName],,0)</f>
        <v>Confections</v>
      </c>
      <c r="F823">
        <v>20</v>
      </c>
      <c r="G823">
        <v>493</v>
      </c>
      <c r="H823">
        <v>5</v>
      </c>
      <c r="I823">
        <f>Table9[[#This Row],[quantity]]*Table9[[#This Row],[unitPrice]]*(1-Table9[[#This Row],[discount]]/100)</f>
        <v>9367</v>
      </c>
      <c r="J823" t="str">
        <f>_xlfn.XLOOKUP(_xlfn.XLOOKUP(A823,orders[orderID],orders[customerID],,0),customers__2[customerID],customers__2[companyName],,0)</f>
        <v>Ottilies Käseladen</v>
      </c>
      <c r="K823" t="str">
        <f>_xlfn.XLOOKUP(Table9[[#This Row],[Company Name]],customers__2[companyName],customers__2[country],,0)</f>
        <v>Germany</v>
      </c>
      <c r="L823">
        <f>MONTH(Table9[[#This Row],[OrderDate ]])</f>
        <v>5</v>
      </c>
      <c r="M823" t="str">
        <f>TEXT(Table9[[#This Row],[OrderDate ]],"mmm")</f>
        <v>May</v>
      </c>
      <c r="N823">
        <f>YEAR(Table9[[#This Row],[OrderDate ]])</f>
        <v>2014</v>
      </c>
    </row>
    <row r="824" spans="1:14" x14ac:dyDescent="0.3">
      <c r="A824">
        <v>10554</v>
      </c>
      <c r="B824" s="2">
        <f>_xlfn.XLOOKUP(Table9[[#This Row],[orderID]],orders[orderID],orders[orderDate],,0)</f>
        <v>41789</v>
      </c>
      <c r="C824">
        <f>_xlfn.XLOOKUP(A824,order_details[orderID],order_details[productID],,0)</f>
        <v>16</v>
      </c>
      <c r="D824" t="str">
        <f>_xlfn.XLOOKUP(C824,products[productID],products[productName],,0)</f>
        <v>Pavlova</v>
      </c>
      <c r="E824" t="str">
        <f>_xlfn.XLOOKUP(_xlfn.XLOOKUP(Table9[[#This Row],[ProductName ]],products[productName],products[categoryID],,0),categories[categoryID],categories[categoryName],,0)</f>
        <v>Confections</v>
      </c>
      <c r="F824">
        <v>10</v>
      </c>
      <c r="G824">
        <v>13</v>
      </c>
      <c r="H824">
        <v>5</v>
      </c>
      <c r="I824">
        <f>Table9[[#This Row],[quantity]]*Table9[[#This Row],[unitPrice]]*(1-Table9[[#This Row],[discount]]/100)</f>
        <v>123.5</v>
      </c>
      <c r="J824" t="str">
        <f>_xlfn.XLOOKUP(_xlfn.XLOOKUP(A824,orders[orderID],orders[customerID],,0),customers__2[customerID],customers__2[companyName],,0)</f>
        <v>Ottilies Käseladen</v>
      </c>
      <c r="K824" t="str">
        <f>_xlfn.XLOOKUP(Table9[[#This Row],[Company Name]],customers__2[companyName],customers__2[country],,0)</f>
        <v>Germany</v>
      </c>
      <c r="L824">
        <f>MONTH(Table9[[#This Row],[OrderDate ]])</f>
        <v>5</v>
      </c>
      <c r="M824" t="str">
        <f>TEXT(Table9[[#This Row],[OrderDate ]],"mmm")</f>
        <v>May</v>
      </c>
      <c r="N824">
        <f>YEAR(Table9[[#This Row],[OrderDate ]])</f>
        <v>2014</v>
      </c>
    </row>
    <row r="825" spans="1:14" x14ac:dyDescent="0.3">
      <c r="A825">
        <v>10555</v>
      </c>
      <c r="B825" s="2">
        <f>_xlfn.XLOOKUP(Table9[[#This Row],[orderID]],orders[orderID],orders[orderDate],,0)</f>
        <v>41792</v>
      </c>
      <c r="C825">
        <f>_xlfn.XLOOKUP(A825,order_details[orderID],order_details[productID],,0)</f>
        <v>14</v>
      </c>
      <c r="D825" t="str">
        <f>_xlfn.XLOOKUP(C825,products[productID],products[productName],,0)</f>
        <v>Tofu</v>
      </c>
      <c r="E825" t="str">
        <f>_xlfn.XLOOKUP(_xlfn.XLOOKUP(Table9[[#This Row],[ProductName ]],products[productName],products[categoryID],,0),categories[categoryID],categories[categoryName],,0)</f>
        <v>Produce</v>
      </c>
      <c r="F825">
        <v>30</v>
      </c>
      <c r="G825">
        <v>2325</v>
      </c>
      <c r="H825">
        <v>2</v>
      </c>
      <c r="I825">
        <f>Table9[[#This Row],[quantity]]*Table9[[#This Row],[unitPrice]]*(1-Table9[[#This Row],[discount]]/100)</f>
        <v>68355</v>
      </c>
      <c r="J825" t="str">
        <f>_xlfn.XLOOKUP(_xlfn.XLOOKUP(A825,orders[orderID],orders[customerID],,0),customers__2[customerID],customers__2[companyName],,0)</f>
        <v>Save-a-lot Markets</v>
      </c>
      <c r="K825" t="str">
        <f>_xlfn.XLOOKUP(Table9[[#This Row],[Company Name]],customers__2[companyName],customers__2[country],,0)</f>
        <v>USA</v>
      </c>
      <c r="L825">
        <f>MONTH(Table9[[#This Row],[OrderDate ]])</f>
        <v>6</v>
      </c>
      <c r="M825" t="str">
        <f>TEXT(Table9[[#This Row],[OrderDate ]],"mmm")</f>
        <v>Jun</v>
      </c>
      <c r="N825">
        <f>YEAR(Table9[[#This Row],[OrderDate ]])</f>
        <v>2014</v>
      </c>
    </row>
    <row r="826" spans="1:14" x14ac:dyDescent="0.3">
      <c r="A826">
        <v>10555</v>
      </c>
      <c r="B826" s="2">
        <f>_xlfn.XLOOKUP(Table9[[#This Row],[orderID]],orders[orderID],orders[orderDate],,0)</f>
        <v>41792</v>
      </c>
      <c r="C826">
        <f>_xlfn.XLOOKUP(A826,order_details[orderID],order_details[productID],,0)</f>
        <v>14</v>
      </c>
      <c r="D826" t="str">
        <f>_xlfn.XLOOKUP(C826,products[productID],products[productName],,0)</f>
        <v>Tofu</v>
      </c>
      <c r="E826" t="str">
        <f>_xlfn.XLOOKUP(_xlfn.XLOOKUP(Table9[[#This Row],[ProductName ]],products[productName],products[categoryID],,0),categories[categoryID],categories[categoryName],,0)</f>
        <v>Produce</v>
      </c>
      <c r="F826">
        <v>35</v>
      </c>
      <c r="G826">
        <v>92</v>
      </c>
      <c r="H826">
        <v>2</v>
      </c>
      <c r="I826">
        <f>Table9[[#This Row],[quantity]]*Table9[[#This Row],[unitPrice]]*(1-Table9[[#This Row],[discount]]/100)</f>
        <v>3155.6</v>
      </c>
      <c r="J826" t="str">
        <f>_xlfn.XLOOKUP(_xlfn.XLOOKUP(A826,orders[orderID],orders[customerID],,0),customers__2[customerID],customers__2[companyName],,0)</f>
        <v>Save-a-lot Markets</v>
      </c>
      <c r="K826" t="str">
        <f>_xlfn.XLOOKUP(Table9[[#This Row],[Company Name]],customers__2[companyName],customers__2[country],,0)</f>
        <v>USA</v>
      </c>
      <c r="L826">
        <f>MONTH(Table9[[#This Row],[OrderDate ]])</f>
        <v>6</v>
      </c>
      <c r="M826" t="str">
        <f>TEXT(Table9[[#This Row],[OrderDate ]],"mmm")</f>
        <v>Jun</v>
      </c>
      <c r="N826">
        <f>YEAR(Table9[[#This Row],[OrderDate ]])</f>
        <v>2014</v>
      </c>
    </row>
    <row r="827" spans="1:14" x14ac:dyDescent="0.3">
      <c r="A827">
        <v>10555</v>
      </c>
      <c r="B827" s="2">
        <f>_xlfn.XLOOKUP(Table9[[#This Row],[orderID]],orders[orderID],orders[orderDate],,0)</f>
        <v>41792</v>
      </c>
      <c r="C827">
        <f>_xlfn.XLOOKUP(A827,order_details[orderID],order_details[productID],,0)</f>
        <v>14</v>
      </c>
      <c r="D827" t="str">
        <f>_xlfn.XLOOKUP(C827,products[productID],products[productName],,0)</f>
        <v>Tofu</v>
      </c>
      <c r="E827" t="str">
        <f>_xlfn.XLOOKUP(_xlfn.XLOOKUP(Table9[[#This Row],[ProductName ]],products[productName],products[categoryID],,0),categories[categoryID],categories[categoryName],,0)</f>
        <v>Produce</v>
      </c>
      <c r="F827">
        <v>18</v>
      </c>
      <c r="G827">
        <v>45</v>
      </c>
      <c r="H827">
        <v>2</v>
      </c>
      <c r="I827">
        <f>Table9[[#This Row],[quantity]]*Table9[[#This Row],[unitPrice]]*(1-Table9[[#This Row],[discount]]/100)</f>
        <v>793.8</v>
      </c>
      <c r="J827" t="str">
        <f>_xlfn.XLOOKUP(_xlfn.XLOOKUP(A827,orders[orderID],orders[customerID],,0),customers__2[customerID],customers__2[companyName],,0)</f>
        <v>Save-a-lot Markets</v>
      </c>
      <c r="K827" t="str">
        <f>_xlfn.XLOOKUP(Table9[[#This Row],[Company Name]],customers__2[companyName],customers__2[country],,0)</f>
        <v>USA</v>
      </c>
      <c r="L827">
        <f>MONTH(Table9[[#This Row],[OrderDate ]])</f>
        <v>6</v>
      </c>
      <c r="M827" t="str">
        <f>TEXT(Table9[[#This Row],[OrderDate ]],"mmm")</f>
        <v>Jun</v>
      </c>
      <c r="N827">
        <f>YEAR(Table9[[#This Row],[OrderDate ]])</f>
        <v>2014</v>
      </c>
    </row>
    <row r="828" spans="1:14" x14ac:dyDescent="0.3">
      <c r="A828">
        <v>10555</v>
      </c>
      <c r="B828" s="2">
        <f>_xlfn.XLOOKUP(Table9[[#This Row],[orderID]],orders[orderID],orders[orderDate],,0)</f>
        <v>41792</v>
      </c>
      <c r="C828">
        <f>_xlfn.XLOOKUP(A828,order_details[orderID],order_details[productID],,0)</f>
        <v>14</v>
      </c>
      <c r="D828" t="str">
        <f>_xlfn.XLOOKUP(C828,products[productID],products[productName],,0)</f>
        <v>Tofu</v>
      </c>
      <c r="E828" t="str">
        <f>_xlfn.XLOOKUP(_xlfn.XLOOKUP(Table9[[#This Row],[ProductName ]],products[productName],products[categoryID],,0),categories[categoryID],categories[categoryName],,0)</f>
        <v>Produce</v>
      </c>
      <c r="F828">
        <v>20</v>
      </c>
      <c r="G828">
        <v>53</v>
      </c>
      <c r="H828">
        <v>2</v>
      </c>
      <c r="I828">
        <f>Table9[[#This Row],[quantity]]*Table9[[#This Row],[unitPrice]]*(1-Table9[[#This Row],[discount]]/100)</f>
        <v>1038.8</v>
      </c>
      <c r="J828" t="str">
        <f>_xlfn.XLOOKUP(_xlfn.XLOOKUP(A828,orders[orderID],orders[customerID],,0),customers__2[customerID],customers__2[companyName],,0)</f>
        <v>Save-a-lot Markets</v>
      </c>
      <c r="K828" t="str">
        <f>_xlfn.XLOOKUP(Table9[[#This Row],[Company Name]],customers__2[companyName],customers__2[country],,0)</f>
        <v>USA</v>
      </c>
      <c r="L828">
        <f>MONTH(Table9[[#This Row],[OrderDate ]])</f>
        <v>6</v>
      </c>
      <c r="M828" t="str">
        <f>TEXT(Table9[[#This Row],[OrderDate ]],"mmm")</f>
        <v>Jun</v>
      </c>
      <c r="N828">
        <f>YEAR(Table9[[#This Row],[OrderDate ]])</f>
        <v>2014</v>
      </c>
    </row>
    <row r="829" spans="1:14" x14ac:dyDescent="0.3">
      <c r="A829">
        <v>10555</v>
      </c>
      <c r="B829" s="2">
        <f>_xlfn.XLOOKUP(Table9[[#This Row],[orderID]],orders[orderID],orders[orderDate],,0)</f>
        <v>41792</v>
      </c>
      <c r="C829">
        <f>_xlfn.XLOOKUP(A829,order_details[orderID],order_details[productID],,0)</f>
        <v>14</v>
      </c>
      <c r="D829" t="str">
        <f>_xlfn.XLOOKUP(C829,products[productID],products[productName],,0)</f>
        <v>Tofu</v>
      </c>
      <c r="E829" t="str">
        <f>_xlfn.XLOOKUP(_xlfn.XLOOKUP(Table9[[#This Row],[ProductName ]],products[productName],products[categoryID],,0),categories[categoryID],categories[categoryName],,0)</f>
        <v>Produce</v>
      </c>
      <c r="F829">
        <v>40</v>
      </c>
      <c r="G829">
        <v>38</v>
      </c>
      <c r="H829">
        <v>2</v>
      </c>
      <c r="I829">
        <f>Table9[[#This Row],[quantity]]*Table9[[#This Row],[unitPrice]]*(1-Table9[[#This Row],[discount]]/100)</f>
        <v>1489.6</v>
      </c>
      <c r="J829" t="str">
        <f>_xlfn.XLOOKUP(_xlfn.XLOOKUP(A829,orders[orderID],orders[customerID],,0),customers__2[customerID],customers__2[companyName],,0)</f>
        <v>Save-a-lot Markets</v>
      </c>
      <c r="K829" t="str">
        <f>_xlfn.XLOOKUP(Table9[[#This Row],[Company Name]],customers__2[companyName],customers__2[country],,0)</f>
        <v>USA</v>
      </c>
      <c r="L829">
        <f>MONTH(Table9[[#This Row],[OrderDate ]])</f>
        <v>6</v>
      </c>
      <c r="M829" t="str">
        <f>TEXT(Table9[[#This Row],[OrderDate ]],"mmm")</f>
        <v>Jun</v>
      </c>
      <c r="N829">
        <f>YEAR(Table9[[#This Row],[OrderDate ]])</f>
        <v>2014</v>
      </c>
    </row>
    <row r="830" spans="1:14" x14ac:dyDescent="0.3">
      <c r="A830">
        <v>10556</v>
      </c>
      <c r="B830" s="2">
        <f>_xlfn.XLOOKUP(Table9[[#This Row],[orderID]],orders[orderID],orders[orderDate],,0)</f>
        <v>41793</v>
      </c>
      <c r="C830">
        <f>_xlfn.XLOOKUP(A830,order_details[orderID],order_details[productID],,0)</f>
        <v>72</v>
      </c>
      <c r="D830" t="str">
        <f>_xlfn.XLOOKUP(C830,products[productID],products[productName],,0)</f>
        <v>Mozzarella di Giovanni</v>
      </c>
      <c r="E830" t="str">
        <f>_xlfn.XLOOKUP(_xlfn.XLOOKUP(Table9[[#This Row],[ProductName ]],products[productName],products[categoryID],,0),categories[categoryID],categories[categoryName],,0)</f>
        <v>Dairy Products</v>
      </c>
      <c r="F830">
        <v>24</v>
      </c>
      <c r="G830">
        <v>348</v>
      </c>
      <c r="H830">
        <v>0</v>
      </c>
      <c r="I830">
        <f>Table9[[#This Row],[quantity]]*Table9[[#This Row],[unitPrice]]*(1-Table9[[#This Row],[discount]]/100)</f>
        <v>8352</v>
      </c>
      <c r="J830" t="str">
        <f>_xlfn.XLOOKUP(_xlfn.XLOOKUP(A830,orders[orderID],orders[customerID],,0),customers__2[customerID],customers__2[companyName],,0)</f>
        <v>Simons bistro</v>
      </c>
      <c r="K830" t="str">
        <f>_xlfn.XLOOKUP(Table9[[#This Row],[Company Name]],customers__2[companyName],customers__2[country],,0)</f>
        <v>Denmark</v>
      </c>
      <c r="L830">
        <f>MONTH(Table9[[#This Row],[OrderDate ]])</f>
        <v>6</v>
      </c>
      <c r="M830" t="str">
        <f>TEXT(Table9[[#This Row],[OrderDate ]],"mmm")</f>
        <v>Jun</v>
      </c>
      <c r="N830">
        <f>YEAR(Table9[[#This Row],[OrderDate ]])</f>
        <v>2014</v>
      </c>
    </row>
    <row r="831" spans="1:14" x14ac:dyDescent="0.3">
      <c r="A831">
        <v>10557</v>
      </c>
      <c r="B831" s="2">
        <f>_xlfn.XLOOKUP(Table9[[#This Row],[orderID]],orders[orderID],orders[orderDate],,0)</f>
        <v>41793</v>
      </c>
      <c r="C831">
        <f>_xlfn.XLOOKUP(A831,order_details[orderID],order_details[productID],,0)</f>
        <v>64</v>
      </c>
      <c r="D831" t="str">
        <f>_xlfn.XLOOKUP(C831,products[productID],products[productName],,0)</f>
        <v>Wimmers gute Semmelknödel</v>
      </c>
      <c r="E831" t="str">
        <f>_xlfn.XLOOKUP(_xlfn.XLOOKUP(Table9[[#This Row],[ProductName ]],products[productName],products[categoryID],,0),categories[categoryID],categories[categoryName],,0)</f>
        <v>Grains &amp; Cereals</v>
      </c>
      <c r="F831">
        <v>30</v>
      </c>
      <c r="G831">
        <v>3325</v>
      </c>
      <c r="H831">
        <v>0</v>
      </c>
      <c r="I831">
        <f>Table9[[#This Row],[quantity]]*Table9[[#This Row],[unitPrice]]*(1-Table9[[#This Row],[discount]]/100)</f>
        <v>99750</v>
      </c>
      <c r="J831" t="str">
        <f>_xlfn.XLOOKUP(_xlfn.XLOOKUP(A831,orders[orderID],orders[customerID],,0),customers__2[customerID],customers__2[companyName],,0)</f>
        <v>Lehmanns Marktstand</v>
      </c>
      <c r="K831" t="str">
        <f>_xlfn.XLOOKUP(Table9[[#This Row],[Company Name]],customers__2[companyName],customers__2[country],,0)</f>
        <v>Germany</v>
      </c>
      <c r="L831">
        <f>MONTH(Table9[[#This Row],[OrderDate ]])</f>
        <v>6</v>
      </c>
      <c r="M831" t="str">
        <f>TEXT(Table9[[#This Row],[OrderDate ]],"mmm")</f>
        <v>Jun</v>
      </c>
      <c r="N831">
        <f>YEAR(Table9[[#This Row],[OrderDate ]])</f>
        <v>2014</v>
      </c>
    </row>
    <row r="832" spans="1:14" x14ac:dyDescent="0.3">
      <c r="A832">
        <v>10557</v>
      </c>
      <c r="B832" s="2">
        <f>_xlfn.XLOOKUP(Table9[[#This Row],[orderID]],orders[orderID],orders[orderDate],,0)</f>
        <v>41793</v>
      </c>
      <c r="C832">
        <f>_xlfn.XLOOKUP(A832,order_details[orderID],order_details[productID],,0)</f>
        <v>64</v>
      </c>
      <c r="D832" t="str">
        <f>_xlfn.XLOOKUP(C832,products[productID],products[productName],,0)</f>
        <v>Wimmers gute Semmelknödel</v>
      </c>
      <c r="E832" t="str">
        <f>_xlfn.XLOOKUP(_xlfn.XLOOKUP(Table9[[#This Row],[ProductName ]],products[productName],products[categoryID],,0),categories[categoryID],categories[categoryName],,0)</f>
        <v>Grains &amp; Cereals</v>
      </c>
      <c r="F832">
        <v>20</v>
      </c>
      <c r="G832">
        <v>775</v>
      </c>
      <c r="H832">
        <v>0</v>
      </c>
      <c r="I832">
        <f>Table9[[#This Row],[quantity]]*Table9[[#This Row],[unitPrice]]*(1-Table9[[#This Row],[discount]]/100)</f>
        <v>15500</v>
      </c>
      <c r="J832" t="str">
        <f>_xlfn.XLOOKUP(_xlfn.XLOOKUP(A832,orders[orderID],orders[customerID],,0),customers__2[customerID],customers__2[companyName],,0)</f>
        <v>Lehmanns Marktstand</v>
      </c>
      <c r="K832" t="str">
        <f>_xlfn.XLOOKUP(Table9[[#This Row],[Company Name]],customers__2[companyName],customers__2[country],,0)</f>
        <v>Germany</v>
      </c>
      <c r="L832">
        <f>MONTH(Table9[[#This Row],[OrderDate ]])</f>
        <v>6</v>
      </c>
      <c r="M832" t="str">
        <f>TEXT(Table9[[#This Row],[OrderDate ]],"mmm")</f>
        <v>Jun</v>
      </c>
      <c r="N832">
        <f>YEAR(Table9[[#This Row],[OrderDate ]])</f>
        <v>2014</v>
      </c>
    </row>
    <row r="833" spans="1:14" x14ac:dyDescent="0.3">
      <c r="A833">
        <v>10558</v>
      </c>
      <c r="B833" s="2">
        <f>_xlfn.XLOOKUP(Table9[[#This Row],[orderID]],orders[orderID],orders[orderDate],,0)</f>
        <v>41794</v>
      </c>
      <c r="C833">
        <f>_xlfn.XLOOKUP(A833,order_details[orderID],order_details[productID],,0)</f>
        <v>47</v>
      </c>
      <c r="D833" t="str">
        <f>_xlfn.XLOOKUP(C833,products[productID],products[productName],,0)</f>
        <v>Zaanse koeken</v>
      </c>
      <c r="E833" t="str">
        <f>_xlfn.XLOOKUP(_xlfn.XLOOKUP(Table9[[#This Row],[ProductName ]],products[productName],products[categoryID],,0),categories[categoryID],categories[categoryName],,0)</f>
        <v>Confections</v>
      </c>
      <c r="F833">
        <v>25</v>
      </c>
      <c r="G833">
        <v>95</v>
      </c>
      <c r="H833">
        <v>0</v>
      </c>
      <c r="I833">
        <f>Table9[[#This Row],[quantity]]*Table9[[#This Row],[unitPrice]]*(1-Table9[[#This Row],[discount]]/100)</f>
        <v>2375</v>
      </c>
      <c r="J833" t="str">
        <f>_xlfn.XLOOKUP(_xlfn.XLOOKUP(A833,orders[orderID],orders[customerID],,0),customers__2[customerID],customers__2[companyName],,0)</f>
        <v>Around the Horn</v>
      </c>
      <c r="K833" t="str">
        <f>_xlfn.XLOOKUP(Table9[[#This Row],[Company Name]],customers__2[companyName],customers__2[country],,0)</f>
        <v>UK</v>
      </c>
      <c r="L833">
        <f>MONTH(Table9[[#This Row],[OrderDate ]])</f>
        <v>6</v>
      </c>
      <c r="M833" t="str">
        <f>TEXT(Table9[[#This Row],[OrderDate ]],"mmm")</f>
        <v>Jun</v>
      </c>
      <c r="N833">
        <f>YEAR(Table9[[#This Row],[OrderDate ]])</f>
        <v>2014</v>
      </c>
    </row>
    <row r="834" spans="1:14" x14ac:dyDescent="0.3">
      <c r="A834">
        <v>10558</v>
      </c>
      <c r="B834" s="2">
        <f>_xlfn.XLOOKUP(Table9[[#This Row],[orderID]],orders[orderID],orders[orderDate],,0)</f>
        <v>41794</v>
      </c>
      <c r="C834">
        <f>_xlfn.XLOOKUP(A834,order_details[orderID],order_details[productID],,0)</f>
        <v>47</v>
      </c>
      <c r="D834" t="str">
        <f>_xlfn.XLOOKUP(C834,products[productID],products[productName],,0)</f>
        <v>Zaanse koeken</v>
      </c>
      <c r="E834" t="str">
        <f>_xlfn.XLOOKUP(_xlfn.XLOOKUP(Table9[[#This Row],[ProductName ]],products[productName],products[categoryID],,0),categories[categoryID],categories[categoryName],,0)</f>
        <v>Confections</v>
      </c>
      <c r="F834">
        <v>20</v>
      </c>
      <c r="G834">
        <v>53</v>
      </c>
      <c r="H834">
        <v>0</v>
      </c>
      <c r="I834">
        <f>Table9[[#This Row],[quantity]]*Table9[[#This Row],[unitPrice]]*(1-Table9[[#This Row],[discount]]/100)</f>
        <v>1060</v>
      </c>
      <c r="J834" t="str">
        <f>_xlfn.XLOOKUP(_xlfn.XLOOKUP(A834,orders[orderID],orders[customerID],,0),customers__2[customerID],customers__2[companyName],,0)</f>
        <v>Around the Horn</v>
      </c>
      <c r="K834" t="str">
        <f>_xlfn.XLOOKUP(Table9[[#This Row],[Company Name]],customers__2[companyName],customers__2[country],,0)</f>
        <v>UK</v>
      </c>
      <c r="L834">
        <f>MONTH(Table9[[#This Row],[OrderDate ]])</f>
        <v>6</v>
      </c>
      <c r="M834" t="str">
        <f>TEXT(Table9[[#This Row],[OrderDate ]],"mmm")</f>
        <v>Jun</v>
      </c>
      <c r="N834">
        <f>YEAR(Table9[[#This Row],[OrderDate ]])</f>
        <v>2014</v>
      </c>
    </row>
    <row r="835" spans="1:14" x14ac:dyDescent="0.3">
      <c r="A835">
        <v>10558</v>
      </c>
      <c r="B835" s="2">
        <f>_xlfn.XLOOKUP(Table9[[#This Row],[orderID]],orders[orderID],orders[orderDate],,0)</f>
        <v>41794</v>
      </c>
      <c r="C835">
        <f>_xlfn.XLOOKUP(A835,order_details[orderID],order_details[productID],,0)</f>
        <v>47</v>
      </c>
      <c r="D835" t="str">
        <f>_xlfn.XLOOKUP(C835,products[productID],products[productName],,0)</f>
        <v>Zaanse koeken</v>
      </c>
      <c r="E835" t="str">
        <f>_xlfn.XLOOKUP(_xlfn.XLOOKUP(Table9[[#This Row],[ProductName ]],products[productName],products[categoryID],,0),categories[categoryID],categories[categoryName],,0)</f>
        <v>Confections</v>
      </c>
      <c r="F835">
        <v>30</v>
      </c>
      <c r="G835">
        <v>7</v>
      </c>
      <c r="H835">
        <v>0</v>
      </c>
      <c r="I835">
        <f>Table9[[#This Row],[quantity]]*Table9[[#This Row],[unitPrice]]*(1-Table9[[#This Row],[discount]]/100)</f>
        <v>210</v>
      </c>
      <c r="J835" t="str">
        <f>_xlfn.XLOOKUP(_xlfn.XLOOKUP(A835,orders[orderID],orders[customerID],,0),customers__2[customerID],customers__2[companyName],,0)</f>
        <v>Around the Horn</v>
      </c>
      <c r="K835" t="str">
        <f>_xlfn.XLOOKUP(Table9[[#This Row],[Company Name]],customers__2[companyName],customers__2[country],,0)</f>
        <v>UK</v>
      </c>
      <c r="L835">
        <f>MONTH(Table9[[#This Row],[OrderDate ]])</f>
        <v>6</v>
      </c>
      <c r="M835" t="str">
        <f>TEXT(Table9[[#This Row],[OrderDate ]],"mmm")</f>
        <v>Jun</v>
      </c>
      <c r="N835">
        <f>YEAR(Table9[[#This Row],[OrderDate ]])</f>
        <v>2014</v>
      </c>
    </row>
    <row r="836" spans="1:14" x14ac:dyDescent="0.3">
      <c r="A836">
        <v>10558</v>
      </c>
      <c r="B836" s="2">
        <f>_xlfn.XLOOKUP(Table9[[#This Row],[orderID]],orders[orderID],orders[orderDate],,0)</f>
        <v>41794</v>
      </c>
      <c r="C836">
        <f>_xlfn.XLOOKUP(A836,order_details[orderID],order_details[productID],,0)</f>
        <v>47</v>
      </c>
      <c r="D836" t="str">
        <f>_xlfn.XLOOKUP(C836,products[productID],products[productName],,0)</f>
        <v>Zaanse koeken</v>
      </c>
      <c r="E836" t="str">
        <f>_xlfn.XLOOKUP(_xlfn.XLOOKUP(Table9[[#This Row],[ProductName ]],products[productName],products[categoryID],,0),categories[categoryID],categories[categoryName],,0)</f>
        <v>Confections</v>
      </c>
      <c r="F836">
        <v>18</v>
      </c>
      <c r="G836">
        <v>328</v>
      </c>
      <c r="H836">
        <v>0</v>
      </c>
      <c r="I836">
        <f>Table9[[#This Row],[quantity]]*Table9[[#This Row],[unitPrice]]*(1-Table9[[#This Row],[discount]]/100)</f>
        <v>5904</v>
      </c>
      <c r="J836" t="str">
        <f>_xlfn.XLOOKUP(_xlfn.XLOOKUP(A836,orders[orderID],orders[customerID],,0),customers__2[customerID],customers__2[companyName],,0)</f>
        <v>Around the Horn</v>
      </c>
      <c r="K836" t="str">
        <f>_xlfn.XLOOKUP(Table9[[#This Row],[Company Name]],customers__2[companyName],customers__2[country],,0)</f>
        <v>UK</v>
      </c>
      <c r="L836">
        <f>MONTH(Table9[[#This Row],[OrderDate ]])</f>
        <v>6</v>
      </c>
      <c r="M836" t="str">
        <f>TEXT(Table9[[#This Row],[OrderDate ]],"mmm")</f>
        <v>Jun</v>
      </c>
      <c r="N836">
        <f>YEAR(Table9[[#This Row],[OrderDate ]])</f>
        <v>2014</v>
      </c>
    </row>
    <row r="837" spans="1:14" x14ac:dyDescent="0.3">
      <c r="A837">
        <v>10558</v>
      </c>
      <c r="B837" s="2">
        <f>_xlfn.XLOOKUP(Table9[[#This Row],[orderID]],orders[orderID],orders[orderDate],,0)</f>
        <v>41794</v>
      </c>
      <c r="C837">
        <f>_xlfn.XLOOKUP(A837,order_details[orderID],order_details[productID],,0)</f>
        <v>47</v>
      </c>
      <c r="D837" t="str">
        <f>_xlfn.XLOOKUP(C837,products[productID],products[productName],,0)</f>
        <v>Zaanse koeken</v>
      </c>
      <c r="E837" t="str">
        <f>_xlfn.XLOOKUP(_xlfn.XLOOKUP(Table9[[#This Row],[ProductName ]],products[productName],products[categoryID],,0),categories[categoryID],categories[categoryName],,0)</f>
        <v>Confections</v>
      </c>
      <c r="F837">
        <v>3</v>
      </c>
      <c r="G837">
        <v>15</v>
      </c>
      <c r="H837">
        <v>0</v>
      </c>
      <c r="I837">
        <f>Table9[[#This Row],[quantity]]*Table9[[#This Row],[unitPrice]]*(1-Table9[[#This Row],[discount]]/100)</f>
        <v>45</v>
      </c>
      <c r="J837" t="str">
        <f>_xlfn.XLOOKUP(_xlfn.XLOOKUP(A837,orders[orderID],orders[customerID],,0),customers__2[customerID],customers__2[companyName],,0)</f>
        <v>Around the Horn</v>
      </c>
      <c r="K837" t="str">
        <f>_xlfn.XLOOKUP(Table9[[#This Row],[Company Name]],customers__2[companyName],customers__2[country],,0)</f>
        <v>UK</v>
      </c>
      <c r="L837">
        <f>MONTH(Table9[[#This Row],[OrderDate ]])</f>
        <v>6</v>
      </c>
      <c r="M837" t="str">
        <f>TEXT(Table9[[#This Row],[OrderDate ]],"mmm")</f>
        <v>Jun</v>
      </c>
      <c r="N837">
        <f>YEAR(Table9[[#This Row],[OrderDate ]])</f>
        <v>2014</v>
      </c>
    </row>
    <row r="838" spans="1:14" x14ac:dyDescent="0.3">
      <c r="A838">
        <v>10559</v>
      </c>
      <c r="B838" s="2">
        <f>_xlfn.XLOOKUP(Table9[[#This Row],[orderID]],orders[orderID],orders[orderDate],,0)</f>
        <v>41795</v>
      </c>
      <c r="C838">
        <f>_xlfn.XLOOKUP(A838,order_details[orderID],order_details[productID],,0)</f>
        <v>41</v>
      </c>
      <c r="D838" t="str">
        <f>_xlfn.XLOOKUP(C838,products[productID],products[productName],,0)</f>
        <v>Jack's New England Clam Chowder</v>
      </c>
      <c r="E838" t="str">
        <f>_xlfn.XLOOKUP(_xlfn.XLOOKUP(Table9[[#This Row],[ProductName ]],products[productName],products[categoryID],,0),categories[categoryID],categories[categoryName],,0)</f>
        <v>Seafood</v>
      </c>
      <c r="F838">
        <v>12</v>
      </c>
      <c r="G838">
        <v>965</v>
      </c>
      <c r="H838">
        <v>5</v>
      </c>
      <c r="I838">
        <f>Table9[[#This Row],[quantity]]*Table9[[#This Row],[unitPrice]]*(1-Table9[[#This Row],[discount]]/100)</f>
        <v>11001</v>
      </c>
      <c r="J838" t="str">
        <f>_xlfn.XLOOKUP(_xlfn.XLOOKUP(A838,orders[orderID],orders[customerID],,0),customers__2[customerID],customers__2[companyName],,0)</f>
        <v>Blondesddsl père et fils</v>
      </c>
      <c r="K838" t="str">
        <f>_xlfn.XLOOKUP(Table9[[#This Row],[Company Name]],customers__2[companyName],customers__2[country],,0)</f>
        <v>France</v>
      </c>
      <c r="L838">
        <f>MONTH(Table9[[#This Row],[OrderDate ]])</f>
        <v>6</v>
      </c>
      <c r="M838" t="str">
        <f>TEXT(Table9[[#This Row],[OrderDate ]],"mmm")</f>
        <v>Jun</v>
      </c>
      <c r="N838">
        <f>YEAR(Table9[[#This Row],[OrderDate ]])</f>
        <v>2014</v>
      </c>
    </row>
    <row r="839" spans="1:14" x14ac:dyDescent="0.3">
      <c r="A839">
        <v>10559</v>
      </c>
      <c r="B839" s="2">
        <f>_xlfn.XLOOKUP(Table9[[#This Row],[orderID]],orders[orderID],orders[orderDate],,0)</f>
        <v>41795</v>
      </c>
      <c r="C839">
        <f>_xlfn.XLOOKUP(A839,order_details[orderID],order_details[productID],,0)</f>
        <v>41</v>
      </c>
      <c r="D839" t="str">
        <f>_xlfn.XLOOKUP(C839,products[productID],products[productName],,0)</f>
        <v>Jack's New England Clam Chowder</v>
      </c>
      <c r="E839" t="str">
        <f>_xlfn.XLOOKUP(_xlfn.XLOOKUP(Table9[[#This Row],[ProductName ]],products[productName],products[categoryID],,0),categories[categoryID],categories[categoryName],,0)</f>
        <v>Seafood</v>
      </c>
      <c r="F839">
        <v>18</v>
      </c>
      <c r="G839">
        <v>24</v>
      </c>
      <c r="H839">
        <v>5</v>
      </c>
      <c r="I839">
        <f>Table9[[#This Row],[quantity]]*Table9[[#This Row],[unitPrice]]*(1-Table9[[#This Row],[discount]]/100)</f>
        <v>410.4</v>
      </c>
      <c r="J839" t="str">
        <f>_xlfn.XLOOKUP(_xlfn.XLOOKUP(A839,orders[orderID],orders[customerID],,0),customers__2[customerID],customers__2[companyName],,0)</f>
        <v>Blondesddsl père et fils</v>
      </c>
      <c r="K839" t="str">
        <f>_xlfn.XLOOKUP(Table9[[#This Row],[Company Name]],customers__2[companyName],customers__2[country],,0)</f>
        <v>France</v>
      </c>
      <c r="L839">
        <f>MONTH(Table9[[#This Row],[OrderDate ]])</f>
        <v>6</v>
      </c>
      <c r="M839" t="str">
        <f>TEXT(Table9[[#This Row],[OrderDate ]],"mmm")</f>
        <v>Jun</v>
      </c>
      <c r="N839">
        <f>YEAR(Table9[[#This Row],[OrderDate ]])</f>
        <v>2014</v>
      </c>
    </row>
    <row r="840" spans="1:14" x14ac:dyDescent="0.3">
      <c r="A840">
        <v>10560</v>
      </c>
      <c r="B840" s="2">
        <f>_xlfn.XLOOKUP(Table9[[#This Row],[orderID]],orders[orderID],orders[orderDate],,0)</f>
        <v>41796</v>
      </c>
      <c r="C840">
        <f>_xlfn.XLOOKUP(A840,order_details[orderID],order_details[productID],,0)</f>
        <v>30</v>
      </c>
      <c r="D840" t="str">
        <f>_xlfn.XLOOKUP(C840,products[productID],products[productName],,0)</f>
        <v>Nord-Ost Matjeshering</v>
      </c>
      <c r="E840" t="str">
        <f>_xlfn.XLOOKUP(_xlfn.XLOOKUP(Table9[[#This Row],[ProductName ]],products[productName],products[categoryID],,0),categories[categoryID],categories[categoryName],,0)</f>
        <v>Seafood</v>
      </c>
      <c r="F840">
        <v>20</v>
      </c>
      <c r="G840">
        <v>2589</v>
      </c>
      <c r="H840">
        <v>0</v>
      </c>
      <c r="I840">
        <f>Table9[[#This Row],[quantity]]*Table9[[#This Row],[unitPrice]]*(1-Table9[[#This Row],[discount]]/100)</f>
        <v>51780</v>
      </c>
      <c r="J840" t="str">
        <f>_xlfn.XLOOKUP(_xlfn.XLOOKUP(A840,orders[orderID],orders[customerID],,0),customers__2[customerID],customers__2[companyName],,0)</f>
        <v>Frankenversand</v>
      </c>
      <c r="K840" t="str">
        <f>_xlfn.XLOOKUP(Table9[[#This Row],[Company Name]],customers__2[companyName],customers__2[country],,0)</f>
        <v>Germany</v>
      </c>
      <c r="L840">
        <f>MONTH(Table9[[#This Row],[OrderDate ]])</f>
        <v>6</v>
      </c>
      <c r="M840" t="str">
        <f>TEXT(Table9[[#This Row],[OrderDate ]],"mmm")</f>
        <v>Jun</v>
      </c>
      <c r="N840">
        <f>YEAR(Table9[[#This Row],[OrderDate ]])</f>
        <v>2014</v>
      </c>
    </row>
    <row r="841" spans="1:14" x14ac:dyDescent="0.3">
      <c r="A841">
        <v>10560</v>
      </c>
      <c r="B841" s="2">
        <f>_xlfn.XLOOKUP(Table9[[#This Row],[orderID]],orders[orderID],orders[orderDate],,0)</f>
        <v>41796</v>
      </c>
      <c r="C841">
        <f>_xlfn.XLOOKUP(A841,order_details[orderID],order_details[productID],,0)</f>
        <v>30</v>
      </c>
      <c r="D841" t="str">
        <f>_xlfn.XLOOKUP(C841,products[productID],products[productName],,0)</f>
        <v>Nord-Ost Matjeshering</v>
      </c>
      <c r="E841" t="str">
        <f>_xlfn.XLOOKUP(_xlfn.XLOOKUP(Table9[[#This Row],[ProductName ]],products[productName],products[categoryID],,0),categories[categoryID],categories[categoryName],,0)</f>
        <v>Seafood</v>
      </c>
      <c r="F841">
        <v>15</v>
      </c>
      <c r="G841">
        <v>493</v>
      </c>
      <c r="H841">
        <v>25</v>
      </c>
      <c r="I841">
        <f>Table9[[#This Row],[quantity]]*Table9[[#This Row],[unitPrice]]*(1-Table9[[#This Row],[discount]]/100)</f>
        <v>5546.25</v>
      </c>
      <c r="J841" t="str">
        <f>_xlfn.XLOOKUP(_xlfn.XLOOKUP(A841,orders[orderID],orders[customerID],,0),customers__2[customerID],customers__2[companyName],,0)</f>
        <v>Frankenversand</v>
      </c>
      <c r="K841" t="str">
        <f>_xlfn.XLOOKUP(Table9[[#This Row],[Company Name]],customers__2[companyName],customers__2[country],,0)</f>
        <v>Germany</v>
      </c>
      <c r="L841">
        <f>MONTH(Table9[[#This Row],[OrderDate ]])</f>
        <v>6</v>
      </c>
      <c r="M841" t="str">
        <f>TEXT(Table9[[#This Row],[OrderDate ]],"mmm")</f>
        <v>Jun</v>
      </c>
      <c r="N841">
        <f>YEAR(Table9[[#This Row],[OrderDate ]])</f>
        <v>2014</v>
      </c>
    </row>
    <row r="842" spans="1:14" x14ac:dyDescent="0.3">
      <c r="A842">
        <v>10561</v>
      </c>
      <c r="B842" s="2">
        <f>_xlfn.XLOOKUP(Table9[[#This Row],[orderID]],orders[orderID],orders[orderDate],,0)</f>
        <v>41796</v>
      </c>
      <c r="C842">
        <f>_xlfn.XLOOKUP(A842,order_details[orderID],order_details[productID],,0)</f>
        <v>44</v>
      </c>
      <c r="D842" t="str">
        <f>_xlfn.XLOOKUP(C842,products[productID],products[productName],,0)</f>
        <v>Gula Malacca</v>
      </c>
      <c r="E842" t="str">
        <f>_xlfn.XLOOKUP(_xlfn.XLOOKUP(Table9[[#This Row],[ProductName ]],products[productName],products[categoryID],,0),categories[categoryID],categories[categoryName],,0)</f>
        <v>Condiments</v>
      </c>
      <c r="F842">
        <v>10</v>
      </c>
      <c r="G842">
        <v>1945</v>
      </c>
      <c r="H842">
        <v>0</v>
      </c>
      <c r="I842">
        <f>Table9[[#This Row],[quantity]]*Table9[[#This Row],[unitPrice]]*(1-Table9[[#This Row],[discount]]/100)</f>
        <v>19450</v>
      </c>
      <c r="J842" t="str">
        <f>_xlfn.XLOOKUP(_xlfn.XLOOKUP(A842,orders[orderID],orders[customerID],,0),customers__2[customerID],customers__2[companyName],,0)</f>
        <v>Folk och fä HB</v>
      </c>
      <c r="K842" t="str">
        <f>_xlfn.XLOOKUP(Table9[[#This Row],[Company Name]],customers__2[companyName],customers__2[country],,0)</f>
        <v>Sweden</v>
      </c>
      <c r="L842">
        <f>MONTH(Table9[[#This Row],[OrderDate ]])</f>
        <v>6</v>
      </c>
      <c r="M842" t="str">
        <f>TEXT(Table9[[#This Row],[OrderDate ]],"mmm")</f>
        <v>Jun</v>
      </c>
      <c r="N842">
        <f>YEAR(Table9[[#This Row],[OrderDate ]])</f>
        <v>2014</v>
      </c>
    </row>
    <row r="843" spans="1:14" x14ac:dyDescent="0.3">
      <c r="A843">
        <v>10561</v>
      </c>
      <c r="B843" s="2">
        <f>_xlfn.XLOOKUP(Table9[[#This Row],[orderID]],orders[orderID],orders[orderDate],,0)</f>
        <v>41796</v>
      </c>
      <c r="C843">
        <f>_xlfn.XLOOKUP(A843,order_details[orderID],order_details[productID],,0)</f>
        <v>44</v>
      </c>
      <c r="D843" t="str">
        <f>_xlfn.XLOOKUP(C843,products[productID],products[productName],,0)</f>
        <v>Gula Malacca</v>
      </c>
      <c r="E843" t="str">
        <f>_xlfn.XLOOKUP(_xlfn.XLOOKUP(Table9[[#This Row],[ProductName ]],products[productName],products[categoryID],,0),categories[categoryID],categories[categoryName],,0)</f>
        <v>Condiments</v>
      </c>
      <c r="F843">
        <v>50</v>
      </c>
      <c r="G843">
        <v>53</v>
      </c>
      <c r="H843">
        <v>0</v>
      </c>
      <c r="I843">
        <f>Table9[[#This Row],[quantity]]*Table9[[#This Row],[unitPrice]]*(1-Table9[[#This Row],[discount]]/100)</f>
        <v>2650</v>
      </c>
      <c r="J843" t="str">
        <f>_xlfn.XLOOKUP(_xlfn.XLOOKUP(A843,orders[orderID],orders[customerID],,0),customers__2[customerID],customers__2[companyName],,0)</f>
        <v>Folk och fä HB</v>
      </c>
      <c r="K843" t="str">
        <f>_xlfn.XLOOKUP(Table9[[#This Row],[Company Name]],customers__2[companyName],customers__2[country],,0)</f>
        <v>Sweden</v>
      </c>
      <c r="L843">
        <f>MONTH(Table9[[#This Row],[OrderDate ]])</f>
        <v>6</v>
      </c>
      <c r="M843" t="str">
        <f>TEXT(Table9[[#This Row],[OrderDate ]],"mmm")</f>
        <v>Jun</v>
      </c>
      <c r="N843">
        <f>YEAR(Table9[[#This Row],[OrderDate ]])</f>
        <v>2014</v>
      </c>
    </row>
    <row r="844" spans="1:14" x14ac:dyDescent="0.3">
      <c r="A844">
        <v>10562</v>
      </c>
      <c r="B844" s="2">
        <f>_xlfn.XLOOKUP(Table9[[#This Row],[orderID]],orders[orderID],orders[orderDate],,0)</f>
        <v>41799</v>
      </c>
      <c r="C844">
        <f>_xlfn.XLOOKUP(A844,order_details[orderID],order_details[productID],,0)</f>
        <v>33</v>
      </c>
      <c r="D844" t="str">
        <f>_xlfn.XLOOKUP(C844,products[productID],products[productName],,0)</f>
        <v>Geitost</v>
      </c>
      <c r="E844" t="str">
        <f>_xlfn.XLOOKUP(_xlfn.XLOOKUP(Table9[[#This Row],[ProductName ]],products[productName],products[categoryID],,0),categories[categoryID],categories[categoryName],,0)</f>
        <v>Dairy Products</v>
      </c>
      <c r="F844">
        <v>20</v>
      </c>
      <c r="G844">
        <v>25</v>
      </c>
      <c r="H844">
        <v>1</v>
      </c>
      <c r="I844">
        <f>Table9[[#This Row],[quantity]]*Table9[[#This Row],[unitPrice]]*(1-Table9[[#This Row],[discount]]/100)</f>
        <v>495</v>
      </c>
      <c r="J844" t="str">
        <f>_xlfn.XLOOKUP(_xlfn.XLOOKUP(A844,orders[orderID],orders[customerID],,0),customers__2[customerID],customers__2[companyName],,0)</f>
        <v>Reggiani Caseifici</v>
      </c>
      <c r="K844" t="str">
        <f>_xlfn.XLOOKUP(Table9[[#This Row],[Company Name]],customers__2[companyName],customers__2[country],,0)</f>
        <v>Italy</v>
      </c>
      <c r="L844">
        <f>MONTH(Table9[[#This Row],[OrderDate ]])</f>
        <v>6</v>
      </c>
      <c r="M844" t="str">
        <f>TEXT(Table9[[#This Row],[OrderDate ]],"mmm")</f>
        <v>Jun</v>
      </c>
      <c r="N844">
        <f>YEAR(Table9[[#This Row],[OrderDate ]])</f>
        <v>2014</v>
      </c>
    </row>
    <row r="845" spans="1:14" x14ac:dyDescent="0.3">
      <c r="A845">
        <v>10562</v>
      </c>
      <c r="B845" s="2">
        <f>_xlfn.XLOOKUP(Table9[[#This Row],[orderID]],orders[orderID],orders[orderDate],,0)</f>
        <v>41799</v>
      </c>
      <c r="C845">
        <f>_xlfn.XLOOKUP(A845,order_details[orderID],order_details[productID],,0)</f>
        <v>33</v>
      </c>
      <c r="D845" t="str">
        <f>_xlfn.XLOOKUP(C845,products[productID],products[productName],,0)</f>
        <v>Geitost</v>
      </c>
      <c r="E845" t="str">
        <f>_xlfn.XLOOKUP(_xlfn.XLOOKUP(Table9[[#This Row],[ProductName ]],products[productName],products[categoryID],,0),categories[categoryID],categories[categoryName],,0)</f>
        <v>Dairy Products</v>
      </c>
      <c r="F845">
        <v>10</v>
      </c>
      <c r="G845">
        <v>493</v>
      </c>
      <c r="H845">
        <v>1</v>
      </c>
      <c r="I845">
        <f>Table9[[#This Row],[quantity]]*Table9[[#This Row],[unitPrice]]*(1-Table9[[#This Row],[discount]]/100)</f>
        <v>4880.7</v>
      </c>
      <c r="J845" t="str">
        <f>_xlfn.XLOOKUP(_xlfn.XLOOKUP(A845,orders[orderID],orders[customerID],,0),customers__2[customerID],customers__2[companyName],,0)</f>
        <v>Reggiani Caseifici</v>
      </c>
      <c r="K845" t="str">
        <f>_xlfn.XLOOKUP(Table9[[#This Row],[Company Name]],customers__2[companyName],customers__2[country],,0)</f>
        <v>Italy</v>
      </c>
      <c r="L845">
        <f>MONTH(Table9[[#This Row],[OrderDate ]])</f>
        <v>6</v>
      </c>
      <c r="M845" t="str">
        <f>TEXT(Table9[[#This Row],[OrderDate ]],"mmm")</f>
        <v>Jun</v>
      </c>
      <c r="N845">
        <f>YEAR(Table9[[#This Row],[OrderDate ]])</f>
        <v>2014</v>
      </c>
    </row>
    <row r="846" spans="1:14" x14ac:dyDescent="0.3">
      <c r="A846">
        <v>10563</v>
      </c>
      <c r="B846" s="2">
        <f>_xlfn.XLOOKUP(Table9[[#This Row],[orderID]],orders[orderID],orders[orderDate],,0)</f>
        <v>41800</v>
      </c>
      <c r="C846">
        <f>_xlfn.XLOOKUP(A846,order_details[orderID],order_details[productID],,0)</f>
        <v>36</v>
      </c>
      <c r="D846" t="str">
        <f>_xlfn.XLOOKUP(C846,products[productID],products[productName],,0)</f>
        <v>Inlagd Sill</v>
      </c>
      <c r="E846" t="str">
        <f>_xlfn.XLOOKUP(_xlfn.XLOOKUP(Table9[[#This Row],[ProductName ]],products[productName],products[categoryID],,0),categories[categoryID],categories[categoryName],,0)</f>
        <v>Seafood</v>
      </c>
      <c r="F846">
        <v>25</v>
      </c>
      <c r="G846">
        <v>19</v>
      </c>
      <c r="H846">
        <v>0</v>
      </c>
      <c r="I846">
        <f>Table9[[#This Row],[quantity]]*Table9[[#This Row],[unitPrice]]*(1-Table9[[#This Row],[discount]]/100)</f>
        <v>475</v>
      </c>
      <c r="J846" t="str">
        <f>_xlfn.XLOOKUP(_xlfn.XLOOKUP(A846,orders[orderID],orders[customerID],,0),customers__2[customerID],customers__2[companyName],,0)</f>
        <v>Ricardo Adocicados</v>
      </c>
      <c r="K846" t="str">
        <f>_xlfn.XLOOKUP(Table9[[#This Row],[Company Name]],customers__2[companyName],customers__2[country],,0)</f>
        <v>Brazil</v>
      </c>
      <c r="L846">
        <f>MONTH(Table9[[#This Row],[OrderDate ]])</f>
        <v>6</v>
      </c>
      <c r="M846" t="str">
        <f>TEXT(Table9[[#This Row],[OrderDate ]],"mmm")</f>
        <v>Jun</v>
      </c>
      <c r="N846">
        <f>YEAR(Table9[[#This Row],[OrderDate ]])</f>
        <v>2014</v>
      </c>
    </row>
    <row r="847" spans="1:14" x14ac:dyDescent="0.3">
      <c r="A847">
        <v>10563</v>
      </c>
      <c r="B847" s="2">
        <f>_xlfn.XLOOKUP(Table9[[#This Row],[orderID]],orders[orderID],orders[orderDate],,0)</f>
        <v>41800</v>
      </c>
      <c r="C847">
        <f>_xlfn.XLOOKUP(A847,order_details[orderID],order_details[productID],,0)</f>
        <v>36</v>
      </c>
      <c r="D847" t="str">
        <f>_xlfn.XLOOKUP(C847,products[productID],products[productName],,0)</f>
        <v>Inlagd Sill</v>
      </c>
      <c r="E847" t="str">
        <f>_xlfn.XLOOKUP(_xlfn.XLOOKUP(Table9[[#This Row],[ProductName ]],products[productName],products[categoryID],,0),categories[categoryID],categories[categoryName],,0)</f>
        <v>Seafood</v>
      </c>
      <c r="F847">
        <v>70</v>
      </c>
      <c r="G847">
        <v>7</v>
      </c>
      <c r="H847">
        <v>0</v>
      </c>
      <c r="I847">
        <f>Table9[[#This Row],[quantity]]*Table9[[#This Row],[unitPrice]]*(1-Table9[[#This Row],[discount]]/100)</f>
        <v>490</v>
      </c>
      <c r="J847" t="str">
        <f>_xlfn.XLOOKUP(_xlfn.XLOOKUP(A847,orders[orderID],orders[customerID],,0),customers__2[customerID],customers__2[companyName],,0)</f>
        <v>Ricardo Adocicados</v>
      </c>
      <c r="K847" t="str">
        <f>_xlfn.XLOOKUP(Table9[[#This Row],[Company Name]],customers__2[companyName],customers__2[country],,0)</f>
        <v>Brazil</v>
      </c>
      <c r="L847">
        <f>MONTH(Table9[[#This Row],[OrderDate ]])</f>
        <v>6</v>
      </c>
      <c r="M847" t="str">
        <f>TEXT(Table9[[#This Row],[OrderDate ]],"mmm")</f>
        <v>Jun</v>
      </c>
      <c r="N847">
        <f>YEAR(Table9[[#This Row],[OrderDate ]])</f>
        <v>2014</v>
      </c>
    </row>
    <row r="848" spans="1:14" x14ac:dyDescent="0.3">
      <c r="A848">
        <v>10564</v>
      </c>
      <c r="B848" s="2">
        <f>_xlfn.XLOOKUP(Table9[[#This Row],[orderID]],orders[orderID],orders[orderDate],,0)</f>
        <v>41800</v>
      </c>
      <c r="C848">
        <f>_xlfn.XLOOKUP(A848,order_details[orderID],order_details[productID],,0)</f>
        <v>17</v>
      </c>
      <c r="D848" t="str">
        <f>_xlfn.XLOOKUP(C848,products[productID],products[productName],,0)</f>
        <v>Alice Mutton</v>
      </c>
      <c r="E848" t="str">
        <f>_xlfn.XLOOKUP(_xlfn.XLOOKUP(Table9[[#This Row],[ProductName ]],products[productName],products[categoryID],,0),categories[categoryID],categories[categoryName],,0)</f>
        <v>Meat &amp; Poultry</v>
      </c>
      <c r="F848">
        <v>16</v>
      </c>
      <c r="G848">
        <v>39</v>
      </c>
      <c r="H848">
        <v>5</v>
      </c>
      <c r="I848">
        <f>Table9[[#This Row],[quantity]]*Table9[[#This Row],[unitPrice]]*(1-Table9[[#This Row],[discount]]/100)</f>
        <v>592.79999999999995</v>
      </c>
      <c r="J848" t="str">
        <f>_xlfn.XLOOKUP(_xlfn.XLOOKUP(A848,orders[orderID],orders[customerID],,0),customers__2[customerID],customers__2[companyName],,0)</f>
        <v>Rattlesnake Canyon Grocery</v>
      </c>
      <c r="K848" t="str">
        <f>_xlfn.XLOOKUP(Table9[[#This Row],[Company Name]],customers__2[companyName],customers__2[country],,0)</f>
        <v>USA</v>
      </c>
      <c r="L848">
        <f>MONTH(Table9[[#This Row],[OrderDate ]])</f>
        <v>6</v>
      </c>
      <c r="M848" t="str">
        <f>TEXT(Table9[[#This Row],[OrderDate ]],"mmm")</f>
        <v>Jun</v>
      </c>
      <c r="N848">
        <f>YEAR(Table9[[#This Row],[OrderDate ]])</f>
        <v>2014</v>
      </c>
    </row>
    <row r="849" spans="1:14" x14ac:dyDescent="0.3">
      <c r="A849">
        <v>10564</v>
      </c>
      <c r="B849" s="2">
        <f>_xlfn.XLOOKUP(Table9[[#This Row],[orderID]],orders[orderID],orders[orderDate],,0)</f>
        <v>41800</v>
      </c>
      <c r="C849">
        <f>_xlfn.XLOOKUP(A849,order_details[orderID],order_details[productID],,0)</f>
        <v>17</v>
      </c>
      <c r="D849" t="str">
        <f>_xlfn.XLOOKUP(C849,products[productID],products[productName],,0)</f>
        <v>Alice Mutton</v>
      </c>
      <c r="E849" t="str">
        <f>_xlfn.XLOOKUP(_xlfn.XLOOKUP(Table9[[#This Row],[ProductName ]],products[productName],products[categoryID],,0),categories[categoryID],categories[categoryName],,0)</f>
        <v>Meat &amp; Poultry</v>
      </c>
      <c r="F849">
        <v>6</v>
      </c>
      <c r="G849">
        <v>125</v>
      </c>
      <c r="H849">
        <v>5</v>
      </c>
      <c r="I849">
        <f>Table9[[#This Row],[quantity]]*Table9[[#This Row],[unitPrice]]*(1-Table9[[#This Row],[discount]]/100)</f>
        <v>712.5</v>
      </c>
      <c r="J849" t="str">
        <f>_xlfn.XLOOKUP(_xlfn.XLOOKUP(A849,orders[orderID],orders[customerID],,0),customers__2[customerID],customers__2[companyName],,0)</f>
        <v>Rattlesnake Canyon Grocery</v>
      </c>
      <c r="K849" t="str">
        <f>_xlfn.XLOOKUP(Table9[[#This Row],[Company Name]],customers__2[companyName],customers__2[country],,0)</f>
        <v>USA</v>
      </c>
      <c r="L849">
        <f>MONTH(Table9[[#This Row],[OrderDate ]])</f>
        <v>6</v>
      </c>
      <c r="M849" t="str">
        <f>TEXT(Table9[[#This Row],[OrderDate ]],"mmm")</f>
        <v>Jun</v>
      </c>
      <c r="N849">
        <f>YEAR(Table9[[#This Row],[OrderDate ]])</f>
        <v>2014</v>
      </c>
    </row>
    <row r="850" spans="1:14" x14ac:dyDescent="0.3">
      <c r="A850">
        <v>10564</v>
      </c>
      <c r="B850" s="2">
        <f>_xlfn.XLOOKUP(Table9[[#This Row],[orderID]],orders[orderID],orders[orderDate],,0)</f>
        <v>41800</v>
      </c>
      <c r="C850">
        <f>_xlfn.XLOOKUP(A850,order_details[orderID],order_details[productID],,0)</f>
        <v>17</v>
      </c>
      <c r="D850" t="str">
        <f>_xlfn.XLOOKUP(C850,products[productID],products[productName],,0)</f>
        <v>Alice Mutton</v>
      </c>
      <c r="E850" t="str">
        <f>_xlfn.XLOOKUP(_xlfn.XLOOKUP(Table9[[#This Row],[ProductName ]],products[productName],products[categoryID],,0),categories[categoryID],categories[categoryName],,0)</f>
        <v>Meat &amp; Poultry</v>
      </c>
      <c r="F850">
        <v>25</v>
      </c>
      <c r="G850">
        <v>24</v>
      </c>
      <c r="H850">
        <v>5</v>
      </c>
      <c r="I850">
        <f>Table9[[#This Row],[quantity]]*Table9[[#This Row],[unitPrice]]*(1-Table9[[#This Row],[discount]]/100)</f>
        <v>570</v>
      </c>
      <c r="J850" t="str">
        <f>_xlfn.XLOOKUP(_xlfn.XLOOKUP(A850,orders[orderID],orders[customerID],,0),customers__2[customerID],customers__2[companyName],,0)</f>
        <v>Rattlesnake Canyon Grocery</v>
      </c>
      <c r="K850" t="str">
        <f>_xlfn.XLOOKUP(Table9[[#This Row],[Company Name]],customers__2[companyName],customers__2[country],,0)</f>
        <v>USA</v>
      </c>
      <c r="L850">
        <f>MONTH(Table9[[#This Row],[OrderDate ]])</f>
        <v>6</v>
      </c>
      <c r="M850" t="str">
        <f>TEXT(Table9[[#This Row],[OrderDate ]],"mmm")</f>
        <v>Jun</v>
      </c>
      <c r="N850">
        <f>YEAR(Table9[[#This Row],[OrderDate ]])</f>
        <v>2014</v>
      </c>
    </row>
    <row r="851" spans="1:14" x14ac:dyDescent="0.3">
      <c r="A851">
        <v>10565</v>
      </c>
      <c r="B851" s="2">
        <f>_xlfn.XLOOKUP(Table9[[#This Row],[orderID]],orders[orderID],orders[orderDate],,0)</f>
        <v>41801</v>
      </c>
      <c r="C851">
        <f>_xlfn.XLOOKUP(A851,order_details[orderID],order_details[productID],,0)</f>
        <v>24</v>
      </c>
      <c r="D851" t="str">
        <f>_xlfn.XLOOKUP(C851,products[productID],products[productName],,0)</f>
        <v>Guarana Fantastica</v>
      </c>
      <c r="E851" t="str">
        <f>_xlfn.XLOOKUP(_xlfn.XLOOKUP(Table9[[#This Row],[ProductName ]],products[productName],products[categoryID],,0),categories[categoryID],categories[categoryName],,0)</f>
        <v>Beverages</v>
      </c>
      <c r="F851">
        <v>25</v>
      </c>
      <c r="G851">
        <v>45</v>
      </c>
      <c r="H851">
        <v>1</v>
      </c>
      <c r="I851">
        <f>Table9[[#This Row],[quantity]]*Table9[[#This Row],[unitPrice]]*(1-Table9[[#This Row],[discount]]/100)</f>
        <v>1113.75</v>
      </c>
      <c r="J851" t="str">
        <f>_xlfn.XLOOKUP(_xlfn.XLOOKUP(A851,orders[orderID],orders[customerID],,0),customers__2[customerID],customers__2[companyName],,0)</f>
        <v>Mère Paillarde</v>
      </c>
      <c r="K851" t="str">
        <f>_xlfn.XLOOKUP(Table9[[#This Row],[Company Name]],customers__2[companyName],customers__2[country],,0)</f>
        <v>Canada</v>
      </c>
      <c r="L851">
        <f>MONTH(Table9[[#This Row],[OrderDate ]])</f>
        <v>6</v>
      </c>
      <c r="M851" t="str">
        <f>TEXT(Table9[[#This Row],[OrderDate ]],"mmm")</f>
        <v>Jun</v>
      </c>
      <c r="N851">
        <f>YEAR(Table9[[#This Row],[OrderDate ]])</f>
        <v>2014</v>
      </c>
    </row>
    <row r="852" spans="1:14" x14ac:dyDescent="0.3">
      <c r="A852">
        <v>10565</v>
      </c>
      <c r="B852" s="2">
        <f>_xlfn.XLOOKUP(Table9[[#This Row],[orderID]],orders[orderID],orders[orderDate],,0)</f>
        <v>41801</v>
      </c>
      <c r="C852">
        <f>_xlfn.XLOOKUP(A852,order_details[orderID],order_details[productID],,0)</f>
        <v>24</v>
      </c>
      <c r="D852" t="str">
        <f>_xlfn.XLOOKUP(C852,products[productID],products[productName],,0)</f>
        <v>Guarana Fantastica</v>
      </c>
      <c r="E852" t="str">
        <f>_xlfn.XLOOKUP(_xlfn.XLOOKUP(Table9[[#This Row],[ProductName ]],products[productName],products[categoryID],,0),categories[categoryID],categories[categoryName],,0)</f>
        <v>Beverages</v>
      </c>
      <c r="F852">
        <v>18</v>
      </c>
      <c r="G852">
        <v>3325</v>
      </c>
      <c r="H852">
        <v>1</v>
      </c>
      <c r="I852">
        <f>Table9[[#This Row],[quantity]]*Table9[[#This Row],[unitPrice]]*(1-Table9[[#This Row],[discount]]/100)</f>
        <v>59251.5</v>
      </c>
      <c r="J852" t="str">
        <f>_xlfn.XLOOKUP(_xlfn.XLOOKUP(A852,orders[orderID],orders[customerID],,0),customers__2[customerID],customers__2[companyName],,0)</f>
        <v>Mère Paillarde</v>
      </c>
      <c r="K852" t="str">
        <f>_xlfn.XLOOKUP(Table9[[#This Row],[Company Name]],customers__2[companyName],customers__2[country],,0)</f>
        <v>Canada</v>
      </c>
      <c r="L852">
        <f>MONTH(Table9[[#This Row],[OrderDate ]])</f>
        <v>6</v>
      </c>
      <c r="M852" t="str">
        <f>TEXT(Table9[[#This Row],[OrderDate ]],"mmm")</f>
        <v>Jun</v>
      </c>
      <c r="N852">
        <f>YEAR(Table9[[#This Row],[OrderDate ]])</f>
        <v>2014</v>
      </c>
    </row>
    <row r="853" spans="1:14" x14ac:dyDescent="0.3">
      <c r="A853">
        <v>10566</v>
      </c>
      <c r="B853" s="2">
        <f>_xlfn.XLOOKUP(Table9[[#This Row],[orderID]],orders[orderID],orders[orderDate],,0)</f>
        <v>41802</v>
      </c>
      <c r="C853">
        <f>_xlfn.XLOOKUP(A853,order_details[orderID],order_details[productID],,0)</f>
        <v>11</v>
      </c>
      <c r="D853" t="str">
        <f>_xlfn.XLOOKUP(C853,products[productID],products[productName],,0)</f>
        <v>Queso Cabrales</v>
      </c>
      <c r="E853" t="str">
        <f>_xlfn.XLOOKUP(_xlfn.XLOOKUP(Table9[[#This Row],[ProductName ]],products[productName],products[categoryID],,0),categories[categoryID],categories[categoryName],,0)</f>
        <v>Dairy Products</v>
      </c>
      <c r="F853">
        <v>35</v>
      </c>
      <c r="G853">
        <v>21</v>
      </c>
      <c r="H853">
        <v>15</v>
      </c>
      <c r="I853">
        <f>Table9[[#This Row],[quantity]]*Table9[[#This Row],[unitPrice]]*(1-Table9[[#This Row],[discount]]/100)</f>
        <v>624.75</v>
      </c>
      <c r="J853" t="str">
        <f>_xlfn.XLOOKUP(_xlfn.XLOOKUP(A853,orders[orderID],orders[customerID],,0),customers__2[customerID],customers__2[companyName],,0)</f>
        <v>Blondesddsl père et fils</v>
      </c>
      <c r="K853" t="str">
        <f>_xlfn.XLOOKUP(Table9[[#This Row],[Company Name]],customers__2[companyName],customers__2[country],,0)</f>
        <v>France</v>
      </c>
      <c r="L853">
        <f>MONTH(Table9[[#This Row],[OrderDate ]])</f>
        <v>6</v>
      </c>
      <c r="M853" t="str">
        <f>TEXT(Table9[[#This Row],[OrderDate ]],"mmm")</f>
        <v>Jun</v>
      </c>
      <c r="N853">
        <f>YEAR(Table9[[#This Row],[OrderDate ]])</f>
        <v>2014</v>
      </c>
    </row>
    <row r="854" spans="1:14" x14ac:dyDescent="0.3">
      <c r="A854">
        <v>10566</v>
      </c>
      <c r="B854" s="2">
        <f>_xlfn.XLOOKUP(Table9[[#This Row],[orderID]],orders[orderID],orders[orderDate],,0)</f>
        <v>41802</v>
      </c>
      <c r="C854">
        <f>_xlfn.XLOOKUP(A854,order_details[orderID],order_details[productID],,0)</f>
        <v>11</v>
      </c>
      <c r="D854" t="str">
        <f>_xlfn.XLOOKUP(C854,products[productID],products[productName],,0)</f>
        <v>Queso Cabrales</v>
      </c>
      <c r="E854" t="str">
        <f>_xlfn.XLOOKUP(_xlfn.XLOOKUP(Table9[[#This Row],[ProductName ]],products[productName],products[categoryID],,0),categories[categoryID],categories[categoryName],,0)</f>
        <v>Dairy Products</v>
      </c>
      <c r="F854">
        <v>18</v>
      </c>
      <c r="G854">
        <v>625</v>
      </c>
      <c r="H854">
        <v>15</v>
      </c>
      <c r="I854">
        <f>Table9[[#This Row],[quantity]]*Table9[[#This Row],[unitPrice]]*(1-Table9[[#This Row],[discount]]/100)</f>
        <v>9562.5</v>
      </c>
      <c r="J854" t="str">
        <f>_xlfn.XLOOKUP(_xlfn.XLOOKUP(A854,orders[orderID],orders[customerID],,0),customers__2[customerID],customers__2[companyName],,0)</f>
        <v>Blondesddsl père et fils</v>
      </c>
      <c r="K854" t="str">
        <f>_xlfn.XLOOKUP(Table9[[#This Row],[Company Name]],customers__2[companyName],customers__2[country],,0)</f>
        <v>France</v>
      </c>
      <c r="L854">
        <f>MONTH(Table9[[#This Row],[OrderDate ]])</f>
        <v>6</v>
      </c>
      <c r="M854" t="str">
        <f>TEXT(Table9[[#This Row],[OrderDate ]],"mmm")</f>
        <v>Jun</v>
      </c>
      <c r="N854">
        <f>YEAR(Table9[[#This Row],[OrderDate ]])</f>
        <v>2014</v>
      </c>
    </row>
    <row r="855" spans="1:14" x14ac:dyDescent="0.3">
      <c r="A855">
        <v>10566</v>
      </c>
      <c r="B855" s="2">
        <f>_xlfn.XLOOKUP(Table9[[#This Row],[orderID]],orders[orderID],orders[orderDate],,0)</f>
        <v>41802</v>
      </c>
      <c r="C855">
        <f>_xlfn.XLOOKUP(A855,order_details[orderID],order_details[productID],,0)</f>
        <v>11</v>
      </c>
      <c r="D855" t="str">
        <f>_xlfn.XLOOKUP(C855,products[productID],products[productName],,0)</f>
        <v>Queso Cabrales</v>
      </c>
      <c r="E855" t="str">
        <f>_xlfn.XLOOKUP(_xlfn.XLOOKUP(Table9[[#This Row],[ProductName ]],products[productName],products[categoryID],,0),categories[categoryID],categories[categoryName],,0)</f>
        <v>Dairy Products</v>
      </c>
      <c r="F855">
        <v>10</v>
      </c>
      <c r="G855">
        <v>18</v>
      </c>
      <c r="H855">
        <v>0</v>
      </c>
      <c r="I855">
        <f>Table9[[#This Row],[quantity]]*Table9[[#This Row],[unitPrice]]*(1-Table9[[#This Row],[discount]]/100)</f>
        <v>180</v>
      </c>
      <c r="J855" t="str">
        <f>_xlfn.XLOOKUP(_xlfn.XLOOKUP(A855,orders[orderID],orders[customerID],,0),customers__2[customerID],customers__2[companyName],,0)</f>
        <v>Blondesddsl père et fils</v>
      </c>
      <c r="K855" t="str">
        <f>_xlfn.XLOOKUP(Table9[[#This Row],[Company Name]],customers__2[companyName],customers__2[country],,0)</f>
        <v>France</v>
      </c>
      <c r="L855">
        <f>MONTH(Table9[[#This Row],[OrderDate ]])</f>
        <v>6</v>
      </c>
      <c r="M855" t="str">
        <f>TEXT(Table9[[#This Row],[OrderDate ]],"mmm")</f>
        <v>Jun</v>
      </c>
      <c r="N855">
        <f>YEAR(Table9[[#This Row],[OrderDate ]])</f>
        <v>2014</v>
      </c>
    </row>
    <row r="856" spans="1:14" x14ac:dyDescent="0.3">
      <c r="A856">
        <v>10567</v>
      </c>
      <c r="B856" s="2">
        <f>_xlfn.XLOOKUP(Table9[[#This Row],[orderID]],orders[orderID],orders[orderDate],,0)</f>
        <v>41802</v>
      </c>
      <c r="C856">
        <f>_xlfn.XLOOKUP(A856,order_details[orderID],order_details[productID],,0)</f>
        <v>31</v>
      </c>
      <c r="D856" t="str">
        <f>_xlfn.XLOOKUP(C856,products[productID],products[productName],,0)</f>
        <v>Gorgonzola Telino</v>
      </c>
      <c r="E856" t="str">
        <f>_xlfn.XLOOKUP(_xlfn.XLOOKUP(Table9[[#This Row],[ProductName ]],products[productName],products[categoryID],,0),categories[categoryID],categories[categoryName],,0)</f>
        <v>Dairy Products</v>
      </c>
      <c r="F856">
        <v>60</v>
      </c>
      <c r="G856">
        <v>125</v>
      </c>
      <c r="H856">
        <v>2</v>
      </c>
      <c r="I856">
        <f>Table9[[#This Row],[quantity]]*Table9[[#This Row],[unitPrice]]*(1-Table9[[#This Row],[discount]]/100)</f>
        <v>7350</v>
      </c>
      <c r="J856" t="str">
        <f>_xlfn.XLOOKUP(_xlfn.XLOOKUP(A856,orders[orderID],orders[customerID],,0),customers__2[customerID],customers__2[companyName],,0)</f>
        <v>Hungry Owl All-Night Grocers</v>
      </c>
      <c r="K856" t="str">
        <f>_xlfn.XLOOKUP(Table9[[#This Row],[Company Name]],customers__2[companyName],customers__2[country],,0)</f>
        <v>Ireland</v>
      </c>
      <c r="L856">
        <f>MONTH(Table9[[#This Row],[OrderDate ]])</f>
        <v>6</v>
      </c>
      <c r="M856" t="str">
        <f>TEXT(Table9[[#This Row],[OrderDate ]],"mmm")</f>
        <v>Jun</v>
      </c>
      <c r="N856">
        <f>YEAR(Table9[[#This Row],[OrderDate ]])</f>
        <v>2014</v>
      </c>
    </row>
    <row r="857" spans="1:14" x14ac:dyDescent="0.3">
      <c r="A857">
        <v>10567</v>
      </c>
      <c r="B857" s="2">
        <f>_xlfn.XLOOKUP(Table9[[#This Row],[orderID]],orders[orderID],orders[orderDate],,0)</f>
        <v>41802</v>
      </c>
      <c r="C857">
        <f>_xlfn.XLOOKUP(A857,order_details[orderID],order_details[productID],,0)</f>
        <v>31</v>
      </c>
      <c r="D857" t="str">
        <f>_xlfn.XLOOKUP(C857,products[productID],products[productName],,0)</f>
        <v>Gorgonzola Telino</v>
      </c>
      <c r="E857" t="str">
        <f>_xlfn.XLOOKUP(_xlfn.XLOOKUP(Table9[[#This Row],[ProductName ]],products[productName],products[categoryID],,0),categories[categoryID],categories[categoryName],,0)</f>
        <v>Dairy Products</v>
      </c>
      <c r="F857">
        <v>3</v>
      </c>
      <c r="G857">
        <v>53</v>
      </c>
      <c r="H857">
        <v>0</v>
      </c>
      <c r="I857">
        <f>Table9[[#This Row],[quantity]]*Table9[[#This Row],[unitPrice]]*(1-Table9[[#This Row],[discount]]/100)</f>
        <v>159</v>
      </c>
      <c r="J857" t="str">
        <f>_xlfn.XLOOKUP(_xlfn.XLOOKUP(A857,orders[orderID],orders[customerID],,0),customers__2[customerID],customers__2[companyName],,0)</f>
        <v>Hungry Owl All-Night Grocers</v>
      </c>
      <c r="K857" t="str">
        <f>_xlfn.XLOOKUP(Table9[[#This Row],[Company Name]],customers__2[companyName],customers__2[country],,0)</f>
        <v>Ireland</v>
      </c>
      <c r="L857">
        <f>MONTH(Table9[[#This Row],[OrderDate ]])</f>
        <v>6</v>
      </c>
      <c r="M857" t="str">
        <f>TEXT(Table9[[#This Row],[OrderDate ]],"mmm")</f>
        <v>Jun</v>
      </c>
      <c r="N857">
        <f>YEAR(Table9[[#This Row],[OrderDate ]])</f>
        <v>2014</v>
      </c>
    </row>
    <row r="858" spans="1:14" x14ac:dyDescent="0.3">
      <c r="A858">
        <v>10567</v>
      </c>
      <c r="B858" s="2">
        <f>_xlfn.XLOOKUP(Table9[[#This Row],[orderID]],orders[orderID],orders[orderDate],,0)</f>
        <v>41802</v>
      </c>
      <c r="C858">
        <f>_xlfn.XLOOKUP(A858,order_details[orderID],order_details[productID],,0)</f>
        <v>31</v>
      </c>
      <c r="D858" t="str">
        <f>_xlfn.XLOOKUP(C858,products[productID],products[productName],,0)</f>
        <v>Gorgonzola Telino</v>
      </c>
      <c r="E858" t="str">
        <f>_xlfn.XLOOKUP(_xlfn.XLOOKUP(Table9[[#This Row],[ProductName ]],products[productName],products[categoryID],,0),categories[categoryID],categories[categoryName],,0)</f>
        <v>Dairy Products</v>
      </c>
      <c r="F858">
        <v>40</v>
      </c>
      <c r="G858">
        <v>55</v>
      </c>
      <c r="H858">
        <v>2</v>
      </c>
      <c r="I858">
        <f>Table9[[#This Row],[quantity]]*Table9[[#This Row],[unitPrice]]*(1-Table9[[#This Row],[discount]]/100)</f>
        <v>2156</v>
      </c>
      <c r="J858" t="str">
        <f>_xlfn.XLOOKUP(_xlfn.XLOOKUP(A858,orders[orderID],orders[customerID],,0),customers__2[customerID],customers__2[companyName],,0)</f>
        <v>Hungry Owl All-Night Grocers</v>
      </c>
      <c r="K858" t="str">
        <f>_xlfn.XLOOKUP(Table9[[#This Row],[Company Name]],customers__2[companyName],customers__2[country],,0)</f>
        <v>Ireland</v>
      </c>
      <c r="L858">
        <f>MONTH(Table9[[#This Row],[OrderDate ]])</f>
        <v>6</v>
      </c>
      <c r="M858" t="str">
        <f>TEXT(Table9[[#This Row],[OrderDate ]],"mmm")</f>
        <v>Jun</v>
      </c>
      <c r="N858">
        <f>YEAR(Table9[[#This Row],[OrderDate ]])</f>
        <v>2014</v>
      </c>
    </row>
    <row r="859" spans="1:14" x14ac:dyDescent="0.3">
      <c r="A859">
        <v>10568</v>
      </c>
      <c r="B859" s="2">
        <f>_xlfn.XLOOKUP(Table9[[#This Row],[orderID]],orders[orderID],orders[orderDate],,0)</f>
        <v>41803</v>
      </c>
      <c r="C859">
        <f>_xlfn.XLOOKUP(A859,order_details[orderID],order_details[productID],,0)</f>
        <v>10</v>
      </c>
      <c r="D859" t="str">
        <f>_xlfn.XLOOKUP(C859,products[productID],products[productName],,0)</f>
        <v>Ikura</v>
      </c>
      <c r="E859" t="str">
        <f>_xlfn.XLOOKUP(_xlfn.XLOOKUP(Table9[[#This Row],[ProductName ]],products[productName],products[categoryID],,0),categories[categoryID],categories[categoryName],,0)</f>
        <v>Seafood</v>
      </c>
      <c r="F859">
        <v>5</v>
      </c>
      <c r="G859">
        <v>31</v>
      </c>
      <c r="H859">
        <v>0</v>
      </c>
      <c r="I859">
        <f>Table9[[#This Row],[quantity]]*Table9[[#This Row],[unitPrice]]*(1-Table9[[#This Row],[discount]]/100)</f>
        <v>155</v>
      </c>
      <c r="J859" t="str">
        <f>_xlfn.XLOOKUP(_xlfn.XLOOKUP(A859,orders[orderID],orders[customerID],,0),customers__2[customerID],customers__2[companyName],,0)</f>
        <v>Galería del gastrónomo</v>
      </c>
      <c r="K859" t="str">
        <f>_xlfn.XLOOKUP(Table9[[#This Row],[Company Name]],customers__2[companyName],customers__2[country],,0)</f>
        <v>Spain</v>
      </c>
      <c r="L859">
        <f>MONTH(Table9[[#This Row],[OrderDate ]])</f>
        <v>6</v>
      </c>
      <c r="M859" t="str">
        <f>TEXT(Table9[[#This Row],[OrderDate ]],"mmm")</f>
        <v>Jun</v>
      </c>
      <c r="N859">
        <f>YEAR(Table9[[#This Row],[OrderDate ]])</f>
        <v>2014</v>
      </c>
    </row>
    <row r="860" spans="1:14" x14ac:dyDescent="0.3">
      <c r="A860">
        <v>10569</v>
      </c>
      <c r="B860" s="2">
        <f>_xlfn.XLOOKUP(Table9[[#This Row],[orderID]],orders[orderID],orders[orderDate],,0)</f>
        <v>41806</v>
      </c>
      <c r="C860">
        <f>_xlfn.XLOOKUP(A860,order_details[orderID],order_details[productID],,0)</f>
        <v>31</v>
      </c>
      <c r="D860" t="str">
        <f>_xlfn.XLOOKUP(C860,products[productID],products[productName],,0)</f>
        <v>Gorgonzola Telino</v>
      </c>
      <c r="E860" t="str">
        <f>_xlfn.XLOOKUP(_xlfn.XLOOKUP(Table9[[#This Row],[ProductName ]],products[productName],products[categoryID],,0),categories[categoryID],categories[categoryName],,0)</f>
        <v>Dairy Products</v>
      </c>
      <c r="F860">
        <v>35</v>
      </c>
      <c r="G860">
        <v>125</v>
      </c>
      <c r="H860">
        <v>2</v>
      </c>
      <c r="I860">
        <f>Table9[[#This Row],[quantity]]*Table9[[#This Row],[unitPrice]]*(1-Table9[[#This Row],[discount]]/100)</f>
        <v>4287.5</v>
      </c>
      <c r="J860" t="str">
        <f>_xlfn.XLOOKUP(_xlfn.XLOOKUP(A860,orders[orderID],orders[customerID],,0),customers__2[customerID],customers__2[companyName],,0)</f>
        <v>Rattlesnake Canyon Grocery</v>
      </c>
      <c r="K860" t="str">
        <f>_xlfn.XLOOKUP(Table9[[#This Row],[Company Name]],customers__2[companyName],customers__2[country],,0)</f>
        <v>USA</v>
      </c>
      <c r="L860">
        <f>MONTH(Table9[[#This Row],[OrderDate ]])</f>
        <v>6</v>
      </c>
      <c r="M860" t="str">
        <f>TEXT(Table9[[#This Row],[OrderDate ]],"mmm")</f>
        <v>Jun</v>
      </c>
      <c r="N860">
        <f>YEAR(Table9[[#This Row],[OrderDate ]])</f>
        <v>2014</v>
      </c>
    </row>
    <row r="861" spans="1:14" x14ac:dyDescent="0.3">
      <c r="A861">
        <v>10569</v>
      </c>
      <c r="B861" s="2">
        <f>_xlfn.XLOOKUP(Table9[[#This Row],[orderID]],orders[orderID],orders[orderDate],,0)</f>
        <v>41806</v>
      </c>
      <c r="C861">
        <f>_xlfn.XLOOKUP(A861,order_details[orderID],order_details[productID],,0)</f>
        <v>31</v>
      </c>
      <c r="D861" t="str">
        <f>_xlfn.XLOOKUP(C861,products[productID],products[productName],,0)</f>
        <v>Gorgonzola Telino</v>
      </c>
      <c r="E861" t="str">
        <f>_xlfn.XLOOKUP(_xlfn.XLOOKUP(Table9[[#This Row],[ProductName ]],products[productName],products[categoryID],,0),categories[categoryID],categories[categoryName],,0)</f>
        <v>Dairy Products</v>
      </c>
      <c r="F861">
        <v>30</v>
      </c>
      <c r="G861">
        <v>18</v>
      </c>
      <c r="H861">
        <v>0</v>
      </c>
      <c r="I861">
        <f>Table9[[#This Row],[quantity]]*Table9[[#This Row],[unitPrice]]*(1-Table9[[#This Row],[discount]]/100)</f>
        <v>540</v>
      </c>
      <c r="J861" t="str">
        <f>_xlfn.XLOOKUP(_xlfn.XLOOKUP(A861,orders[orderID],orders[customerID],,0),customers__2[customerID],customers__2[companyName],,0)</f>
        <v>Rattlesnake Canyon Grocery</v>
      </c>
      <c r="K861" t="str">
        <f>_xlfn.XLOOKUP(Table9[[#This Row],[Company Name]],customers__2[companyName],customers__2[country],,0)</f>
        <v>USA</v>
      </c>
      <c r="L861">
        <f>MONTH(Table9[[#This Row],[OrderDate ]])</f>
        <v>6</v>
      </c>
      <c r="M861" t="str">
        <f>TEXT(Table9[[#This Row],[OrderDate ]],"mmm")</f>
        <v>Jun</v>
      </c>
      <c r="N861">
        <f>YEAR(Table9[[#This Row],[OrderDate ]])</f>
        <v>2014</v>
      </c>
    </row>
    <row r="862" spans="1:14" x14ac:dyDescent="0.3">
      <c r="A862">
        <v>10570</v>
      </c>
      <c r="B862" s="2">
        <f>_xlfn.XLOOKUP(Table9[[#This Row],[orderID]],orders[orderID],orders[orderDate],,0)</f>
        <v>41807</v>
      </c>
      <c r="C862">
        <f>_xlfn.XLOOKUP(A862,order_details[orderID],order_details[productID],,0)</f>
        <v>11</v>
      </c>
      <c r="D862" t="str">
        <f>_xlfn.XLOOKUP(C862,products[productID],products[productName],,0)</f>
        <v>Queso Cabrales</v>
      </c>
      <c r="E862" t="str">
        <f>_xlfn.XLOOKUP(_xlfn.XLOOKUP(Table9[[#This Row],[ProductName ]],products[productName],products[categoryID],,0),categories[categoryID],categories[categoryName],,0)</f>
        <v>Dairy Products</v>
      </c>
      <c r="F862">
        <v>15</v>
      </c>
      <c r="G862">
        <v>21</v>
      </c>
      <c r="H862">
        <v>5</v>
      </c>
      <c r="I862">
        <f>Table9[[#This Row],[quantity]]*Table9[[#This Row],[unitPrice]]*(1-Table9[[#This Row],[discount]]/100)</f>
        <v>299.25</v>
      </c>
      <c r="J862" t="str">
        <f>_xlfn.XLOOKUP(_xlfn.XLOOKUP(A862,orders[orderID],orders[customerID],,0),customers__2[customerID],customers__2[companyName],,0)</f>
        <v>Mère Paillarde</v>
      </c>
      <c r="K862" t="str">
        <f>_xlfn.XLOOKUP(Table9[[#This Row],[Company Name]],customers__2[companyName],customers__2[country],,0)</f>
        <v>Canada</v>
      </c>
      <c r="L862">
        <f>MONTH(Table9[[#This Row],[OrderDate ]])</f>
        <v>6</v>
      </c>
      <c r="M862" t="str">
        <f>TEXT(Table9[[#This Row],[OrderDate ]],"mmm")</f>
        <v>Jun</v>
      </c>
      <c r="N862">
        <f>YEAR(Table9[[#This Row],[OrderDate ]])</f>
        <v>2014</v>
      </c>
    </row>
    <row r="863" spans="1:14" x14ac:dyDescent="0.3">
      <c r="A863">
        <v>10570</v>
      </c>
      <c r="B863" s="2">
        <f>_xlfn.XLOOKUP(Table9[[#This Row],[orderID]],orders[orderID],orders[orderDate],,0)</f>
        <v>41807</v>
      </c>
      <c r="C863">
        <f>_xlfn.XLOOKUP(A863,order_details[orderID],order_details[productID],,0)</f>
        <v>11</v>
      </c>
      <c r="D863" t="str">
        <f>_xlfn.XLOOKUP(C863,products[productID],products[productName],,0)</f>
        <v>Queso Cabrales</v>
      </c>
      <c r="E863" t="str">
        <f>_xlfn.XLOOKUP(_xlfn.XLOOKUP(Table9[[#This Row],[ProductName ]],products[productName],products[categoryID],,0),categories[categoryID],categories[categoryName],,0)</f>
        <v>Dairy Products</v>
      </c>
      <c r="F863">
        <v>60</v>
      </c>
      <c r="G863">
        <v>38</v>
      </c>
      <c r="H863">
        <v>5</v>
      </c>
      <c r="I863">
        <f>Table9[[#This Row],[quantity]]*Table9[[#This Row],[unitPrice]]*(1-Table9[[#This Row],[discount]]/100)</f>
        <v>2166</v>
      </c>
      <c r="J863" t="str">
        <f>_xlfn.XLOOKUP(_xlfn.XLOOKUP(A863,orders[orderID],orders[customerID],,0),customers__2[customerID],customers__2[companyName],,0)</f>
        <v>Mère Paillarde</v>
      </c>
      <c r="K863" t="str">
        <f>_xlfn.XLOOKUP(Table9[[#This Row],[Company Name]],customers__2[companyName],customers__2[country],,0)</f>
        <v>Canada</v>
      </c>
      <c r="L863">
        <f>MONTH(Table9[[#This Row],[OrderDate ]])</f>
        <v>6</v>
      </c>
      <c r="M863" t="str">
        <f>TEXT(Table9[[#This Row],[OrderDate ]],"mmm")</f>
        <v>Jun</v>
      </c>
      <c r="N863">
        <f>YEAR(Table9[[#This Row],[OrderDate ]])</f>
        <v>2014</v>
      </c>
    </row>
    <row r="864" spans="1:14" x14ac:dyDescent="0.3">
      <c r="A864">
        <v>10571</v>
      </c>
      <c r="B864" s="2">
        <f>_xlfn.XLOOKUP(Table9[[#This Row],[orderID]],orders[orderID],orders[orderDate],,0)</f>
        <v>41807</v>
      </c>
      <c r="C864">
        <f>_xlfn.XLOOKUP(A864,order_details[orderID],order_details[productID],,0)</f>
        <v>14</v>
      </c>
      <c r="D864" t="str">
        <f>_xlfn.XLOOKUP(C864,products[productID],products[productName],,0)</f>
        <v>Tofu</v>
      </c>
      <c r="E864" t="str">
        <f>_xlfn.XLOOKUP(_xlfn.XLOOKUP(Table9[[#This Row],[ProductName ]],products[productName],products[categoryID],,0),categories[categoryID],categories[categoryName],,0)</f>
        <v>Produce</v>
      </c>
      <c r="F864">
        <v>11</v>
      </c>
      <c r="G864">
        <v>2325</v>
      </c>
      <c r="H864">
        <v>15</v>
      </c>
      <c r="I864">
        <f>Table9[[#This Row],[quantity]]*Table9[[#This Row],[unitPrice]]*(1-Table9[[#This Row],[discount]]/100)</f>
        <v>21738.75</v>
      </c>
      <c r="J864" t="str">
        <f>_xlfn.XLOOKUP(_xlfn.XLOOKUP(A864,orders[orderID],orders[customerID],,0),customers__2[customerID],customers__2[companyName],,0)</f>
        <v>Ernst Handel</v>
      </c>
      <c r="K864" t="str">
        <f>_xlfn.XLOOKUP(Table9[[#This Row],[Company Name]],customers__2[companyName],customers__2[country],,0)</f>
        <v>Austria</v>
      </c>
      <c r="L864">
        <f>MONTH(Table9[[#This Row],[OrderDate ]])</f>
        <v>6</v>
      </c>
      <c r="M864" t="str">
        <f>TEXT(Table9[[#This Row],[OrderDate ]],"mmm")</f>
        <v>Jun</v>
      </c>
      <c r="N864">
        <f>YEAR(Table9[[#This Row],[OrderDate ]])</f>
        <v>2014</v>
      </c>
    </row>
    <row r="865" spans="1:14" x14ac:dyDescent="0.3">
      <c r="A865">
        <v>10571</v>
      </c>
      <c r="B865" s="2">
        <f>_xlfn.XLOOKUP(Table9[[#This Row],[orderID]],orders[orderID],orders[orderDate],,0)</f>
        <v>41807</v>
      </c>
      <c r="C865">
        <f>_xlfn.XLOOKUP(A865,order_details[orderID],order_details[productID],,0)</f>
        <v>14</v>
      </c>
      <c r="D865" t="str">
        <f>_xlfn.XLOOKUP(C865,products[productID],products[productName],,0)</f>
        <v>Tofu</v>
      </c>
      <c r="E865" t="str">
        <f>_xlfn.XLOOKUP(_xlfn.XLOOKUP(Table9[[#This Row],[ProductName ]],products[productName],products[categoryID],,0),categories[categoryID],categories[categoryName],,0)</f>
        <v>Produce</v>
      </c>
      <c r="F865">
        <v>28</v>
      </c>
      <c r="G865">
        <v>14</v>
      </c>
      <c r="H865">
        <v>15</v>
      </c>
      <c r="I865">
        <f>Table9[[#This Row],[quantity]]*Table9[[#This Row],[unitPrice]]*(1-Table9[[#This Row],[discount]]/100)</f>
        <v>333.2</v>
      </c>
      <c r="J865" t="str">
        <f>_xlfn.XLOOKUP(_xlfn.XLOOKUP(A865,orders[orderID],orders[customerID],,0),customers__2[customerID],customers__2[companyName],,0)</f>
        <v>Ernst Handel</v>
      </c>
      <c r="K865" t="str">
        <f>_xlfn.XLOOKUP(Table9[[#This Row],[Company Name]],customers__2[companyName],customers__2[country],,0)</f>
        <v>Austria</v>
      </c>
      <c r="L865">
        <f>MONTH(Table9[[#This Row],[OrderDate ]])</f>
        <v>6</v>
      </c>
      <c r="M865" t="str">
        <f>TEXT(Table9[[#This Row],[OrderDate ]],"mmm")</f>
        <v>Jun</v>
      </c>
      <c r="N865">
        <f>YEAR(Table9[[#This Row],[OrderDate ]])</f>
        <v>2014</v>
      </c>
    </row>
    <row r="866" spans="1:14" x14ac:dyDescent="0.3">
      <c r="A866">
        <v>10572</v>
      </c>
      <c r="B866" s="2">
        <f>_xlfn.XLOOKUP(Table9[[#This Row],[orderID]],orders[orderID],orders[orderDate],,0)</f>
        <v>41808</v>
      </c>
      <c r="C866">
        <f>_xlfn.XLOOKUP(A866,order_details[orderID],order_details[productID],,0)</f>
        <v>16</v>
      </c>
      <c r="D866" t="str">
        <f>_xlfn.XLOOKUP(C866,products[productID],products[productName],,0)</f>
        <v>Pavlova</v>
      </c>
      <c r="E866" t="str">
        <f>_xlfn.XLOOKUP(_xlfn.XLOOKUP(Table9[[#This Row],[ProductName ]],products[productName],products[categoryID],,0),categories[categoryID],categories[categoryName],,0)</f>
        <v>Confections</v>
      </c>
      <c r="F866">
        <v>12</v>
      </c>
      <c r="G866">
        <v>1745</v>
      </c>
      <c r="H866">
        <v>1</v>
      </c>
      <c r="I866">
        <f>Table9[[#This Row],[quantity]]*Table9[[#This Row],[unitPrice]]*(1-Table9[[#This Row],[discount]]/100)</f>
        <v>20730.599999999999</v>
      </c>
      <c r="J866" t="str">
        <f>_xlfn.XLOOKUP(_xlfn.XLOOKUP(A866,orders[orderID],orders[customerID],,0),customers__2[customerID],customers__2[companyName],,0)</f>
        <v>Berglunds snabbköp</v>
      </c>
      <c r="K866" t="str">
        <f>_xlfn.XLOOKUP(Table9[[#This Row],[Company Name]],customers__2[companyName],customers__2[country],,0)</f>
        <v>Sweden</v>
      </c>
      <c r="L866">
        <f>MONTH(Table9[[#This Row],[OrderDate ]])</f>
        <v>6</v>
      </c>
      <c r="M866" t="str">
        <f>TEXT(Table9[[#This Row],[OrderDate ]],"mmm")</f>
        <v>Jun</v>
      </c>
      <c r="N866">
        <f>YEAR(Table9[[#This Row],[OrderDate ]])</f>
        <v>2014</v>
      </c>
    </row>
    <row r="867" spans="1:14" x14ac:dyDescent="0.3">
      <c r="A867">
        <v>10572</v>
      </c>
      <c r="B867" s="2">
        <f>_xlfn.XLOOKUP(Table9[[#This Row],[orderID]],orders[orderID],orders[orderDate],,0)</f>
        <v>41808</v>
      </c>
      <c r="C867">
        <f>_xlfn.XLOOKUP(A867,order_details[orderID],order_details[productID],,0)</f>
        <v>16</v>
      </c>
      <c r="D867" t="str">
        <f>_xlfn.XLOOKUP(C867,products[productID],products[productName],,0)</f>
        <v>Pavlova</v>
      </c>
      <c r="E867" t="str">
        <f>_xlfn.XLOOKUP(_xlfn.XLOOKUP(Table9[[#This Row],[ProductName ]],products[productName],products[categoryID],,0),categories[categoryID],categories[categoryName],,0)</f>
        <v>Confections</v>
      </c>
      <c r="F867">
        <v>10</v>
      </c>
      <c r="G867">
        <v>32</v>
      </c>
      <c r="H867">
        <v>1</v>
      </c>
      <c r="I867">
        <f>Table9[[#This Row],[quantity]]*Table9[[#This Row],[unitPrice]]*(1-Table9[[#This Row],[discount]]/100)</f>
        <v>316.8</v>
      </c>
      <c r="J867" t="str">
        <f>_xlfn.XLOOKUP(_xlfn.XLOOKUP(A867,orders[orderID],orders[customerID],,0),customers__2[customerID],customers__2[companyName],,0)</f>
        <v>Berglunds snabbköp</v>
      </c>
      <c r="K867" t="str">
        <f>_xlfn.XLOOKUP(Table9[[#This Row],[Company Name]],customers__2[companyName],customers__2[country],,0)</f>
        <v>Sweden</v>
      </c>
      <c r="L867">
        <f>MONTH(Table9[[#This Row],[OrderDate ]])</f>
        <v>6</v>
      </c>
      <c r="M867" t="str">
        <f>TEXT(Table9[[#This Row],[OrderDate ]],"mmm")</f>
        <v>Jun</v>
      </c>
      <c r="N867">
        <f>YEAR(Table9[[#This Row],[OrderDate ]])</f>
        <v>2014</v>
      </c>
    </row>
    <row r="868" spans="1:14" x14ac:dyDescent="0.3">
      <c r="A868">
        <v>10572</v>
      </c>
      <c r="B868" s="2">
        <f>_xlfn.XLOOKUP(Table9[[#This Row],[orderID]],orders[orderID],orders[orderDate],,0)</f>
        <v>41808</v>
      </c>
      <c r="C868">
        <f>_xlfn.XLOOKUP(A868,order_details[orderID],order_details[productID],,0)</f>
        <v>16</v>
      </c>
      <c r="D868" t="str">
        <f>_xlfn.XLOOKUP(C868,products[productID],products[productName],,0)</f>
        <v>Pavlova</v>
      </c>
      <c r="E868" t="str">
        <f>_xlfn.XLOOKUP(_xlfn.XLOOKUP(Table9[[#This Row],[ProductName ]],products[productName],products[categoryID],,0),categories[categoryID],categories[categoryName],,0)</f>
        <v>Confections</v>
      </c>
      <c r="F868">
        <v>50</v>
      </c>
      <c r="G868">
        <v>184</v>
      </c>
      <c r="H868">
        <v>0</v>
      </c>
      <c r="I868">
        <f>Table9[[#This Row],[quantity]]*Table9[[#This Row],[unitPrice]]*(1-Table9[[#This Row],[discount]]/100)</f>
        <v>9200</v>
      </c>
      <c r="J868" t="str">
        <f>_xlfn.XLOOKUP(_xlfn.XLOOKUP(A868,orders[orderID],orders[customerID],,0),customers__2[customerID],customers__2[companyName],,0)</f>
        <v>Berglunds snabbköp</v>
      </c>
      <c r="K868" t="str">
        <f>_xlfn.XLOOKUP(Table9[[#This Row],[Company Name]],customers__2[companyName],customers__2[country],,0)</f>
        <v>Sweden</v>
      </c>
      <c r="L868">
        <f>MONTH(Table9[[#This Row],[OrderDate ]])</f>
        <v>6</v>
      </c>
      <c r="M868" t="str">
        <f>TEXT(Table9[[#This Row],[OrderDate ]],"mmm")</f>
        <v>Jun</v>
      </c>
      <c r="N868">
        <f>YEAR(Table9[[#This Row],[OrderDate ]])</f>
        <v>2014</v>
      </c>
    </row>
    <row r="869" spans="1:14" x14ac:dyDescent="0.3">
      <c r="A869">
        <v>10572</v>
      </c>
      <c r="B869" s="2">
        <f>_xlfn.XLOOKUP(Table9[[#This Row],[orderID]],orders[orderID],orders[orderDate],,0)</f>
        <v>41808</v>
      </c>
      <c r="C869">
        <f>_xlfn.XLOOKUP(A869,order_details[orderID],order_details[productID],,0)</f>
        <v>16</v>
      </c>
      <c r="D869" t="str">
        <f>_xlfn.XLOOKUP(C869,products[productID],products[productName],,0)</f>
        <v>Pavlova</v>
      </c>
      <c r="E869" t="str">
        <f>_xlfn.XLOOKUP(_xlfn.XLOOKUP(Table9[[#This Row],[ProductName ]],products[productName],products[categoryID],,0),categories[categoryID],categories[categoryName],,0)</f>
        <v>Confections</v>
      </c>
      <c r="F869">
        <v>15</v>
      </c>
      <c r="G869">
        <v>775</v>
      </c>
      <c r="H869">
        <v>1</v>
      </c>
      <c r="I869">
        <f>Table9[[#This Row],[quantity]]*Table9[[#This Row],[unitPrice]]*(1-Table9[[#This Row],[discount]]/100)</f>
        <v>11508.75</v>
      </c>
      <c r="J869" t="str">
        <f>_xlfn.XLOOKUP(_xlfn.XLOOKUP(A869,orders[orderID],orders[customerID],,0),customers__2[customerID],customers__2[companyName],,0)</f>
        <v>Berglunds snabbköp</v>
      </c>
      <c r="K869" t="str">
        <f>_xlfn.XLOOKUP(Table9[[#This Row],[Company Name]],customers__2[companyName],customers__2[country],,0)</f>
        <v>Sweden</v>
      </c>
      <c r="L869">
        <f>MONTH(Table9[[#This Row],[OrderDate ]])</f>
        <v>6</v>
      </c>
      <c r="M869" t="str">
        <f>TEXT(Table9[[#This Row],[OrderDate ]],"mmm")</f>
        <v>Jun</v>
      </c>
      <c r="N869">
        <f>YEAR(Table9[[#This Row],[OrderDate ]])</f>
        <v>2014</v>
      </c>
    </row>
    <row r="870" spans="1:14" x14ac:dyDescent="0.3">
      <c r="A870">
        <v>10573</v>
      </c>
      <c r="B870" s="2">
        <f>_xlfn.XLOOKUP(Table9[[#This Row],[orderID]],orders[orderID],orders[orderDate],,0)</f>
        <v>41809</v>
      </c>
      <c r="C870">
        <f>_xlfn.XLOOKUP(A870,order_details[orderID],order_details[productID],,0)</f>
        <v>17</v>
      </c>
      <c r="D870" t="str">
        <f>_xlfn.XLOOKUP(C870,products[productID],products[productName],,0)</f>
        <v>Alice Mutton</v>
      </c>
      <c r="E870" t="str">
        <f>_xlfn.XLOOKUP(_xlfn.XLOOKUP(Table9[[#This Row],[ProductName ]],products[productName],products[categoryID],,0),categories[categoryID],categories[categoryName],,0)</f>
        <v>Meat &amp; Poultry</v>
      </c>
      <c r="F870">
        <v>18</v>
      </c>
      <c r="G870">
        <v>39</v>
      </c>
      <c r="H870">
        <v>0</v>
      </c>
      <c r="I870">
        <f>Table9[[#This Row],[quantity]]*Table9[[#This Row],[unitPrice]]*(1-Table9[[#This Row],[discount]]/100)</f>
        <v>702</v>
      </c>
      <c r="J870" t="str">
        <f>_xlfn.XLOOKUP(_xlfn.XLOOKUP(A870,orders[orderID],orders[customerID],,0),customers__2[customerID],customers__2[companyName],,0)</f>
        <v>Antonio Moreno Taquería</v>
      </c>
      <c r="K870" t="str">
        <f>_xlfn.XLOOKUP(Table9[[#This Row],[Company Name]],customers__2[companyName],customers__2[country],,0)</f>
        <v>Mexico</v>
      </c>
      <c r="L870">
        <f>MONTH(Table9[[#This Row],[OrderDate ]])</f>
        <v>6</v>
      </c>
      <c r="M870" t="str">
        <f>TEXT(Table9[[#This Row],[OrderDate ]],"mmm")</f>
        <v>Jun</v>
      </c>
      <c r="N870">
        <f>YEAR(Table9[[#This Row],[OrderDate ]])</f>
        <v>2014</v>
      </c>
    </row>
    <row r="871" spans="1:14" x14ac:dyDescent="0.3">
      <c r="A871">
        <v>10573</v>
      </c>
      <c r="B871" s="2">
        <f>_xlfn.XLOOKUP(Table9[[#This Row],[orderID]],orders[orderID],orders[orderDate],,0)</f>
        <v>41809</v>
      </c>
      <c r="C871">
        <f>_xlfn.XLOOKUP(A871,order_details[orderID],order_details[productID],,0)</f>
        <v>17</v>
      </c>
      <c r="D871" t="str">
        <f>_xlfn.XLOOKUP(C871,products[productID],products[productName],,0)</f>
        <v>Alice Mutton</v>
      </c>
      <c r="E871" t="str">
        <f>_xlfn.XLOOKUP(_xlfn.XLOOKUP(Table9[[#This Row],[ProductName ]],products[productName],products[categoryID],,0),categories[categoryID],categories[categoryName],,0)</f>
        <v>Meat &amp; Poultry</v>
      </c>
      <c r="F871">
        <v>40</v>
      </c>
      <c r="G871">
        <v>14</v>
      </c>
      <c r="H871">
        <v>0</v>
      </c>
      <c r="I871">
        <f>Table9[[#This Row],[quantity]]*Table9[[#This Row],[unitPrice]]*(1-Table9[[#This Row],[discount]]/100)</f>
        <v>560</v>
      </c>
      <c r="J871" t="str">
        <f>_xlfn.XLOOKUP(_xlfn.XLOOKUP(A871,orders[orderID],orders[customerID],,0),customers__2[customerID],customers__2[companyName],,0)</f>
        <v>Antonio Moreno Taquería</v>
      </c>
      <c r="K871" t="str">
        <f>_xlfn.XLOOKUP(Table9[[#This Row],[Company Name]],customers__2[companyName],customers__2[country],,0)</f>
        <v>Mexico</v>
      </c>
      <c r="L871">
        <f>MONTH(Table9[[#This Row],[OrderDate ]])</f>
        <v>6</v>
      </c>
      <c r="M871" t="str">
        <f>TEXT(Table9[[#This Row],[OrderDate ]],"mmm")</f>
        <v>Jun</v>
      </c>
      <c r="N871">
        <f>YEAR(Table9[[#This Row],[OrderDate ]])</f>
        <v>2014</v>
      </c>
    </row>
    <row r="872" spans="1:14" x14ac:dyDescent="0.3">
      <c r="A872">
        <v>10573</v>
      </c>
      <c r="B872" s="2">
        <f>_xlfn.XLOOKUP(Table9[[#This Row],[orderID]],orders[orderID],orders[orderDate],,0)</f>
        <v>41809</v>
      </c>
      <c r="C872">
        <f>_xlfn.XLOOKUP(A872,order_details[orderID],order_details[productID],,0)</f>
        <v>17</v>
      </c>
      <c r="D872" t="str">
        <f>_xlfn.XLOOKUP(C872,products[productID],products[productName],,0)</f>
        <v>Alice Mutton</v>
      </c>
      <c r="E872" t="str">
        <f>_xlfn.XLOOKUP(_xlfn.XLOOKUP(Table9[[#This Row],[ProductName ]],products[productName],products[categoryID],,0),categories[categoryID],categories[categoryName],,0)</f>
        <v>Meat &amp; Poultry</v>
      </c>
      <c r="F872">
        <v>25</v>
      </c>
      <c r="G872">
        <v>328</v>
      </c>
      <c r="H872">
        <v>0</v>
      </c>
      <c r="I872">
        <f>Table9[[#This Row],[quantity]]*Table9[[#This Row],[unitPrice]]*(1-Table9[[#This Row],[discount]]/100)</f>
        <v>8200</v>
      </c>
      <c r="J872" t="str">
        <f>_xlfn.XLOOKUP(_xlfn.XLOOKUP(A872,orders[orderID],orders[customerID],,0),customers__2[customerID],customers__2[companyName],,0)</f>
        <v>Antonio Moreno Taquería</v>
      </c>
      <c r="K872" t="str">
        <f>_xlfn.XLOOKUP(Table9[[#This Row],[Company Name]],customers__2[companyName],customers__2[country],,0)</f>
        <v>Mexico</v>
      </c>
      <c r="L872">
        <f>MONTH(Table9[[#This Row],[OrderDate ]])</f>
        <v>6</v>
      </c>
      <c r="M872" t="str">
        <f>TEXT(Table9[[#This Row],[OrderDate ]],"mmm")</f>
        <v>Jun</v>
      </c>
      <c r="N872">
        <f>YEAR(Table9[[#This Row],[OrderDate ]])</f>
        <v>2014</v>
      </c>
    </row>
    <row r="873" spans="1:14" x14ac:dyDescent="0.3">
      <c r="A873">
        <v>10574</v>
      </c>
      <c r="B873" s="2">
        <f>_xlfn.XLOOKUP(Table9[[#This Row],[orderID]],orders[orderID],orders[orderDate],,0)</f>
        <v>41809</v>
      </c>
      <c r="C873">
        <f>_xlfn.XLOOKUP(A873,order_details[orderID],order_details[productID],,0)</f>
        <v>33</v>
      </c>
      <c r="D873" t="str">
        <f>_xlfn.XLOOKUP(C873,products[productID],products[productName],,0)</f>
        <v>Geitost</v>
      </c>
      <c r="E873" t="str">
        <f>_xlfn.XLOOKUP(_xlfn.XLOOKUP(Table9[[#This Row],[ProductName ]],products[productName],products[categoryID],,0),categories[categoryID],categories[categoryName],,0)</f>
        <v>Dairy Products</v>
      </c>
      <c r="F873">
        <v>14</v>
      </c>
      <c r="G873">
        <v>25</v>
      </c>
      <c r="H873">
        <v>0</v>
      </c>
      <c r="I873">
        <f>Table9[[#This Row],[quantity]]*Table9[[#This Row],[unitPrice]]*(1-Table9[[#This Row],[discount]]/100)</f>
        <v>350</v>
      </c>
      <c r="J873" t="str">
        <f>_xlfn.XLOOKUP(_xlfn.XLOOKUP(A873,orders[orderID],orders[customerID],,0),customers__2[customerID],customers__2[companyName],,0)</f>
        <v>Trail's Head Gourmet Provisioners</v>
      </c>
      <c r="K873" t="str">
        <f>_xlfn.XLOOKUP(Table9[[#This Row],[Company Name]],customers__2[companyName],customers__2[country],,0)</f>
        <v>USA</v>
      </c>
      <c r="L873">
        <f>MONTH(Table9[[#This Row],[OrderDate ]])</f>
        <v>6</v>
      </c>
      <c r="M873" t="str">
        <f>TEXT(Table9[[#This Row],[OrderDate ]],"mmm")</f>
        <v>Jun</v>
      </c>
      <c r="N873">
        <f>YEAR(Table9[[#This Row],[OrderDate ]])</f>
        <v>2014</v>
      </c>
    </row>
    <row r="874" spans="1:14" x14ac:dyDescent="0.3">
      <c r="A874">
        <v>10574</v>
      </c>
      <c r="B874" s="2">
        <f>_xlfn.XLOOKUP(Table9[[#This Row],[orderID]],orders[orderID],orders[orderDate],,0)</f>
        <v>41809</v>
      </c>
      <c r="C874">
        <f>_xlfn.XLOOKUP(A874,order_details[orderID],order_details[productID],,0)</f>
        <v>33</v>
      </c>
      <c r="D874" t="str">
        <f>_xlfn.XLOOKUP(C874,products[productID],products[productName],,0)</f>
        <v>Geitost</v>
      </c>
      <c r="E874" t="str">
        <f>_xlfn.XLOOKUP(_xlfn.XLOOKUP(Table9[[#This Row],[ProductName ]],products[productName],products[categoryID],,0),categories[categoryID],categories[categoryName],,0)</f>
        <v>Dairy Products</v>
      </c>
      <c r="F874">
        <v>2</v>
      </c>
      <c r="G874">
        <v>184</v>
      </c>
      <c r="H874">
        <v>0</v>
      </c>
      <c r="I874">
        <f>Table9[[#This Row],[quantity]]*Table9[[#This Row],[unitPrice]]*(1-Table9[[#This Row],[discount]]/100)</f>
        <v>368</v>
      </c>
      <c r="J874" t="str">
        <f>_xlfn.XLOOKUP(_xlfn.XLOOKUP(A874,orders[orderID],orders[customerID],,0),customers__2[customerID],customers__2[companyName],,0)</f>
        <v>Trail's Head Gourmet Provisioners</v>
      </c>
      <c r="K874" t="str">
        <f>_xlfn.XLOOKUP(Table9[[#This Row],[Company Name]],customers__2[companyName],customers__2[country],,0)</f>
        <v>USA</v>
      </c>
      <c r="L874">
        <f>MONTH(Table9[[#This Row],[OrderDate ]])</f>
        <v>6</v>
      </c>
      <c r="M874" t="str">
        <f>TEXT(Table9[[#This Row],[OrderDate ]],"mmm")</f>
        <v>Jun</v>
      </c>
      <c r="N874">
        <f>YEAR(Table9[[#This Row],[OrderDate ]])</f>
        <v>2014</v>
      </c>
    </row>
    <row r="875" spans="1:14" x14ac:dyDescent="0.3">
      <c r="A875">
        <v>10574</v>
      </c>
      <c r="B875" s="2">
        <f>_xlfn.XLOOKUP(Table9[[#This Row],[orderID]],orders[orderID],orders[orderDate],,0)</f>
        <v>41809</v>
      </c>
      <c r="C875">
        <f>_xlfn.XLOOKUP(A875,order_details[orderID],order_details[productID],,0)</f>
        <v>33</v>
      </c>
      <c r="D875" t="str">
        <f>_xlfn.XLOOKUP(C875,products[productID],products[productName],,0)</f>
        <v>Geitost</v>
      </c>
      <c r="E875" t="str">
        <f>_xlfn.XLOOKUP(_xlfn.XLOOKUP(Table9[[#This Row],[ProductName ]],products[productName],products[categoryID],,0),categories[categoryID],categories[categoryName],,0)</f>
        <v>Dairy Products</v>
      </c>
      <c r="F875">
        <v>10</v>
      </c>
      <c r="G875">
        <v>493</v>
      </c>
      <c r="H875">
        <v>0</v>
      </c>
      <c r="I875">
        <f>Table9[[#This Row],[quantity]]*Table9[[#This Row],[unitPrice]]*(1-Table9[[#This Row],[discount]]/100)</f>
        <v>4930</v>
      </c>
      <c r="J875" t="str">
        <f>_xlfn.XLOOKUP(_xlfn.XLOOKUP(A875,orders[orderID],orders[customerID],,0),customers__2[customerID],customers__2[companyName],,0)</f>
        <v>Trail's Head Gourmet Provisioners</v>
      </c>
      <c r="K875" t="str">
        <f>_xlfn.XLOOKUP(Table9[[#This Row],[Company Name]],customers__2[companyName],customers__2[country],,0)</f>
        <v>USA</v>
      </c>
      <c r="L875">
        <f>MONTH(Table9[[#This Row],[OrderDate ]])</f>
        <v>6</v>
      </c>
      <c r="M875" t="str">
        <f>TEXT(Table9[[#This Row],[OrderDate ]],"mmm")</f>
        <v>Jun</v>
      </c>
      <c r="N875">
        <f>YEAR(Table9[[#This Row],[OrderDate ]])</f>
        <v>2014</v>
      </c>
    </row>
    <row r="876" spans="1:14" x14ac:dyDescent="0.3">
      <c r="A876">
        <v>10574</v>
      </c>
      <c r="B876" s="2">
        <f>_xlfn.XLOOKUP(Table9[[#This Row],[orderID]],orders[orderID],orders[orderDate],,0)</f>
        <v>41809</v>
      </c>
      <c r="C876">
        <f>_xlfn.XLOOKUP(A876,order_details[orderID],order_details[productID],,0)</f>
        <v>33</v>
      </c>
      <c r="D876" t="str">
        <f>_xlfn.XLOOKUP(C876,products[productID],products[productName],,0)</f>
        <v>Geitost</v>
      </c>
      <c r="E876" t="str">
        <f>_xlfn.XLOOKUP(_xlfn.XLOOKUP(Table9[[#This Row],[ProductName ]],products[productName],products[categoryID],,0),categories[categoryID],categories[categoryName],,0)</f>
        <v>Dairy Products</v>
      </c>
      <c r="F876">
        <v>6</v>
      </c>
      <c r="G876">
        <v>3325</v>
      </c>
      <c r="H876">
        <v>0</v>
      </c>
      <c r="I876">
        <f>Table9[[#This Row],[quantity]]*Table9[[#This Row],[unitPrice]]*(1-Table9[[#This Row],[discount]]/100)</f>
        <v>19950</v>
      </c>
      <c r="J876" t="str">
        <f>_xlfn.XLOOKUP(_xlfn.XLOOKUP(A876,orders[orderID],orders[customerID],,0),customers__2[customerID],customers__2[companyName],,0)</f>
        <v>Trail's Head Gourmet Provisioners</v>
      </c>
      <c r="K876" t="str">
        <f>_xlfn.XLOOKUP(Table9[[#This Row],[Company Name]],customers__2[companyName],customers__2[country],,0)</f>
        <v>USA</v>
      </c>
      <c r="L876">
        <f>MONTH(Table9[[#This Row],[OrderDate ]])</f>
        <v>6</v>
      </c>
      <c r="M876" t="str">
        <f>TEXT(Table9[[#This Row],[OrderDate ]],"mmm")</f>
        <v>Jun</v>
      </c>
      <c r="N876">
        <f>YEAR(Table9[[#This Row],[OrderDate ]])</f>
        <v>2014</v>
      </c>
    </row>
    <row r="877" spans="1:14" x14ac:dyDescent="0.3">
      <c r="A877">
        <v>10575</v>
      </c>
      <c r="B877" s="2">
        <f>_xlfn.XLOOKUP(Table9[[#This Row],[orderID]],orders[orderID],orders[orderDate],,0)</f>
        <v>41810</v>
      </c>
      <c r="C877">
        <f>_xlfn.XLOOKUP(A877,order_details[orderID],order_details[productID],,0)</f>
        <v>59</v>
      </c>
      <c r="D877" t="str">
        <f>_xlfn.XLOOKUP(C877,products[productID],products[productName],,0)</f>
        <v>Raclette Courdavault</v>
      </c>
      <c r="E877" t="str">
        <f>_xlfn.XLOOKUP(_xlfn.XLOOKUP(Table9[[#This Row],[ProductName ]],products[productName],products[categoryID],,0),categories[categoryID],categories[categoryName],,0)</f>
        <v>Dairy Products</v>
      </c>
      <c r="F877">
        <v>12</v>
      </c>
      <c r="G877">
        <v>55</v>
      </c>
      <c r="H877">
        <v>0</v>
      </c>
      <c r="I877">
        <f>Table9[[#This Row],[quantity]]*Table9[[#This Row],[unitPrice]]*(1-Table9[[#This Row],[discount]]/100)</f>
        <v>660</v>
      </c>
      <c r="J877" t="str">
        <f>_xlfn.XLOOKUP(_xlfn.XLOOKUP(A877,orders[orderID],orders[customerID],,0),customers__2[customerID],customers__2[companyName],,0)</f>
        <v>Morgenstern Gesundkost</v>
      </c>
      <c r="K877" t="str">
        <f>_xlfn.XLOOKUP(Table9[[#This Row],[Company Name]],customers__2[companyName],customers__2[country],,0)</f>
        <v>Germany</v>
      </c>
      <c r="L877">
        <f>MONTH(Table9[[#This Row],[OrderDate ]])</f>
        <v>6</v>
      </c>
      <c r="M877" t="str">
        <f>TEXT(Table9[[#This Row],[OrderDate ]],"mmm")</f>
        <v>Jun</v>
      </c>
      <c r="N877">
        <f>YEAR(Table9[[#This Row],[OrderDate ]])</f>
        <v>2014</v>
      </c>
    </row>
    <row r="878" spans="1:14" x14ac:dyDescent="0.3">
      <c r="A878">
        <v>10575</v>
      </c>
      <c r="B878" s="2">
        <f>_xlfn.XLOOKUP(Table9[[#This Row],[orderID]],orders[orderID],orders[orderDate],,0)</f>
        <v>41810</v>
      </c>
      <c r="C878">
        <f>_xlfn.XLOOKUP(A878,order_details[orderID],order_details[productID],,0)</f>
        <v>59</v>
      </c>
      <c r="D878" t="str">
        <f>_xlfn.XLOOKUP(C878,products[productID],products[productName],,0)</f>
        <v>Raclette Courdavault</v>
      </c>
      <c r="E878" t="str">
        <f>_xlfn.XLOOKUP(_xlfn.XLOOKUP(Table9[[#This Row],[ProductName ]],products[productName],products[categoryID],,0),categories[categoryID],categories[categoryName],,0)</f>
        <v>Dairy Products</v>
      </c>
      <c r="F878">
        <v>6</v>
      </c>
      <c r="G878">
        <v>439</v>
      </c>
      <c r="H878">
        <v>0</v>
      </c>
      <c r="I878">
        <f>Table9[[#This Row],[quantity]]*Table9[[#This Row],[unitPrice]]*(1-Table9[[#This Row],[discount]]/100)</f>
        <v>2634</v>
      </c>
      <c r="J878" t="str">
        <f>_xlfn.XLOOKUP(_xlfn.XLOOKUP(A878,orders[orderID],orders[customerID],,0),customers__2[customerID],customers__2[companyName],,0)</f>
        <v>Morgenstern Gesundkost</v>
      </c>
      <c r="K878" t="str">
        <f>_xlfn.XLOOKUP(Table9[[#This Row],[Company Name]],customers__2[companyName],customers__2[country],,0)</f>
        <v>Germany</v>
      </c>
      <c r="L878">
        <f>MONTH(Table9[[#This Row],[OrderDate ]])</f>
        <v>6</v>
      </c>
      <c r="M878" t="str">
        <f>TEXT(Table9[[#This Row],[OrderDate ]],"mmm")</f>
        <v>Jun</v>
      </c>
      <c r="N878">
        <f>YEAR(Table9[[#This Row],[OrderDate ]])</f>
        <v>2014</v>
      </c>
    </row>
    <row r="879" spans="1:14" x14ac:dyDescent="0.3">
      <c r="A879">
        <v>10575</v>
      </c>
      <c r="B879" s="2">
        <f>_xlfn.XLOOKUP(Table9[[#This Row],[orderID]],orders[orderID],orders[orderDate],,0)</f>
        <v>41810</v>
      </c>
      <c r="C879">
        <f>_xlfn.XLOOKUP(A879,order_details[orderID],order_details[productID],,0)</f>
        <v>59</v>
      </c>
      <c r="D879" t="str">
        <f>_xlfn.XLOOKUP(C879,products[productID],products[productName],,0)</f>
        <v>Raclette Courdavault</v>
      </c>
      <c r="E879" t="str">
        <f>_xlfn.XLOOKUP(_xlfn.XLOOKUP(Table9[[#This Row],[ProductName ]],products[productName],products[categoryID],,0),categories[categoryID],categories[categoryName],,0)</f>
        <v>Dairy Products</v>
      </c>
      <c r="F879">
        <v>30</v>
      </c>
      <c r="G879">
        <v>348</v>
      </c>
      <c r="H879">
        <v>0</v>
      </c>
      <c r="I879">
        <f>Table9[[#This Row],[quantity]]*Table9[[#This Row],[unitPrice]]*(1-Table9[[#This Row],[discount]]/100)</f>
        <v>10440</v>
      </c>
      <c r="J879" t="str">
        <f>_xlfn.XLOOKUP(_xlfn.XLOOKUP(A879,orders[orderID],orders[customerID],,0),customers__2[customerID],customers__2[companyName],,0)</f>
        <v>Morgenstern Gesundkost</v>
      </c>
      <c r="K879" t="str">
        <f>_xlfn.XLOOKUP(Table9[[#This Row],[Company Name]],customers__2[companyName],customers__2[country],,0)</f>
        <v>Germany</v>
      </c>
      <c r="L879">
        <f>MONTH(Table9[[#This Row],[OrderDate ]])</f>
        <v>6</v>
      </c>
      <c r="M879" t="str">
        <f>TEXT(Table9[[#This Row],[OrderDate ]],"mmm")</f>
        <v>Jun</v>
      </c>
      <c r="N879">
        <f>YEAR(Table9[[#This Row],[OrderDate ]])</f>
        <v>2014</v>
      </c>
    </row>
    <row r="880" spans="1:14" x14ac:dyDescent="0.3">
      <c r="A880">
        <v>10575</v>
      </c>
      <c r="B880" s="2">
        <f>_xlfn.XLOOKUP(Table9[[#This Row],[orderID]],orders[orderID],orders[orderDate],,0)</f>
        <v>41810</v>
      </c>
      <c r="C880">
        <f>_xlfn.XLOOKUP(A880,order_details[orderID],order_details[productID],,0)</f>
        <v>59</v>
      </c>
      <c r="D880" t="str">
        <f>_xlfn.XLOOKUP(C880,products[productID],products[productName],,0)</f>
        <v>Raclette Courdavault</v>
      </c>
      <c r="E880" t="str">
        <f>_xlfn.XLOOKUP(_xlfn.XLOOKUP(Table9[[#This Row],[ProductName ]],products[productName],products[categoryID],,0),categories[categoryID],categories[categoryName],,0)</f>
        <v>Dairy Products</v>
      </c>
      <c r="F880">
        <v>10</v>
      </c>
      <c r="G880">
        <v>18</v>
      </c>
      <c r="H880">
        <v>0</v>
      </c>
      <c r="I880">
        <f>Table9[[#This Row],[quantity]]*Table9[[#This Row],[unitPrice]]*(1-Table9[[#This Row],[discount]]/100)</f>
        <v>180</v>
      </c>
      <c r="J880" t="str">
        <f>_xlfn.XLOOKUP(_xlfn.XLOOKUP(A880,orders[orderID],orders[customerID],,0),customers__2[customerID],customers__2[companyName],,0)</f>
        <v>Morgenstern Gesundkost</v>
      </c>
      <c r="K880" t="str">
        <f>_xlfn.XLOOKUP(Table9[[#This Row],[Company Name]],customers__2[companyName],customers__2[country],,0)</f>
        <v>Germany</v>
      </c>
      <c r="L880">
        <f>MONTH(Table9[[#This Row],[OrderDate ]])</f>
        <v>6</v>
      </c>
      <c r="M880" t="str">
        <f>TEXT(Table9[[#This Row],[OrderDate ]],"mmm")</f>
        <v>Jun</v>
      </c>
      <c r="N880">
        <f>YEAR(Table9[[#This Row],[OrderDate ]])</f>
        <v>2014</v>
      </c>
    </row>
    <row r="881" spans="1:14" x14ac:dyDescent="0.3">
      <c r="A881">
        <v>10576</v>
      </c>
      <c r="B881" s="2">
        <f>_xlfn.XLOOKUP(Table9[[#This Row],[orderID]],orders[orderID],orders[orderDate],,0)</f>
        <v>41813</v>
      </c>
      <c r="C881">
        <f>_xlfn.XLOOKUP(A881,order_details[orderID],order_details[productID],,0)</f>
        <v>1</v>
      </c>
      <c r="D881" t="str">
        <f>_xlfn.XLOOKUP(C881,products[productID],products[productName],,0)</f>
        <v>Chai</v>
      </c>
      <c r="E881" t="str">
        <f>_xlfn.XLOOKUP(_xlfn.XLOOKUP(Table9[[#This Row],[ProductName ]],products[productName],products[categoryID],,0),categories[categoryID],categories[categoryName],,0)</f>
        <v>Beverages</v>
      </c>
      <c r="F881">
        <v>10</v>
      </c>
      <c r="G881">
        <v>18</v>
      </c>
      <c r="H881">
        <v>0</v>
      </c>
      <c r="I881">
        <f>Table9[[#This Row],[quantity]]*Table9[[#This Row],[unitPrice]]*(1-Table9[[#This Row],[discount]]/100)</f>
        <v>180</v>
      </c>
      <c r="J881" t="str">
        <f>_xlfn.XLOOKUP(_xlfn.XLOOKUP(A881,orders[orderID],orders[customerID],,0),customers__2[customerID],customers__2[companyName],,0)</f>
        <v>Tortuga Restaurante</v>
      </c>
      <c r="K881" t="str">
        <f>_xlfn.XLOOKUP(Table9[[#This Row],[Company Name]],customers__2[companyName],customers__2[country],,0)</f>
        <v>Mexico</v>
      </c>
      <c r="L881">
        <f>MONTH(Table9[[#This Row],[OrderDate ]])</f>
        <v>6</v>
      </c>
      <c r="M881" t="str">
        <f>TEXT(Table9[[#This Row],[OrderDate ]],"mmm")</f>
        <v>Jun</v>
      </c>
      <c r="N881">
        <f>YEAR(Table9[[#This Row],[OrderDate ]])</f>
        <v>2014</v>
      </c>
    </row>
    <row r="882" spans="1:14" x14ac:dyDescent="0.3">
      <c r="A882">
        <v>10576</v>
      </c>
      <c r="B882" s="2">
        <f>_xlfn.XLOOKUP(Table9[[#This Row],[orderID]],orders[orderID],orders[orderDate],,0)</f>
        <v>41813</v>
      </c>
      <c r="C882">
        <f>_xlfn.XLOOKUP(A882,order_details[orderID],order_details[productID],,0)</f>
        <v>1</v>
      </c>
      <c r="D882" t="str">
        <f>_xlfn.XLOOKUP(C882,products[productID],products[productName],,0)</f>
        <v>Chai</v>
      </c>
      <c r="E882" t="str">
        <f>_xlfn.XLOOKUP(_xlfn.XLOOKUP(Table9[[#This Row],[ProductName ]],products[productName],products[categoryID],,0),categories[categoryID],categories[categoryName],,0)</f>
        <v>Beverages</v>
      </c>
      <c r="F882">
        <v>20</v>
      </c>
      <c r="G882">
        <v>125</v>
      </c>
      <c r="H882">
        <v>0</v>
      </c>
      <c r="I882">
        <f>Table9[[#This Row],[quantity]]*Table9[[#This Row],[unitPrice]]*(1-Table9[[#This Row],[discount]]/100)</f>
        <v>2500</v>
      </c>
      <c r="J882" t="str">
        <f>_xlfn.XLOOKUP(_xlfn.XLOOKUP(A882,orders[orderID],orders[customerID],,0),customers__2[customerID],customers__2[companyName],,0)</f>
        <v>Tortuga Restaurante</v>
      </c>
      <c r="K882" t="str">
        <f>_xlfn.XLOOKUP(Table9[[#This Row],[Company Name]],customers__2[companyName],customers__2[country],,0)</f>
        <v>Mexico</v>
      </c>
      <c r="L882">
        <f>MONTH(Table9[[#This Row],[OrderDate ]])</f>
        <v>6</v>
      </c>
      <c r="M882" t="str">
        <f>TEXT(Table9[[#This Row],[OrderDate ]],"mmm")</f>
        <v>Jun</v>
      </c>
      <c r="N882">
        <f>YEAR(Table9[[#This Row],[OrderDate ]])</f>
        <v>2014</v>
      </c>
    </row>
    <row r="883" spans="1:14" x14ac:dyDescent="0.3">
      <c r="A883">
        <v>10576</v>
      </c>
      <c r="B883" s="2">
        <f>_xlfn.XLOOKUP(Table9[[#This Row],[orderID]],orders[orderID],orders[orderDate],,0)</f>
        <v>41813</v>
      </c>
      <c r="C883">
        <f>_xlfn.XLOOKUP(A883,order_details[orderID],order_details[productID],,0)</f>
        <v>1</v>
      </c>
      <c r="D883" t="str">
        <f>_xlfn.XLOOKUP(C883,products[productID],products[productName],,0)</f>
        <v>Chai</v>
      </c>
      <c r="E883" t="str">
        <f>_xlfn.XLOOKUP(_xlfn.XLOOKUP(Table9[[#This Row],[ProductName ]],products[productName],products[categoryID],,0),categories[categoryID],categories[categoryName],,0)</f>
        <v>Beverages</v>
      </c>
      <c r="F883">
        <v>21</v>
      </c>
      <c r="G883">
        <v>1945</v>
      </c>
      <c r="H883">
        <v>0</v>
      </c>
      <c r="I883">
        <f>Table9[[#This Row],[quantity]]*Table9[[#This Row],[unitPrice]]*(1-Table9[[#This Row],[discount]]/100)</f>
        <v>40845</v>
      </c>
      <c r="J883" t="str">
        <f>_xlfn.XLOOKUP(_xlfn.XLOOKUP(A883,orders[orderID],orders[customerID],,0),customers__2[customerID],customers__2[companyName],,0)</f>
        <v>Tortuga Restaurante</v>
      </c>
      <c r="K883" t="str">
        <f>_xlfn.XLOOKUP(Table9[[#This Row],[Company Name]],customers__2[companyName],customers__2[country],,0)</f>
        <v>Mexico</v>
      </c>
      <c r="L883">
        <f>MONTH(Table9[[#This Row],[OrderDate ]])</f>
        <v>6</v>
      </c>
      <c r="M883" t="str">
        <f>TEXT(Table9[[#This Row],[OrderDate ]],"mmm")</f>
        <v>Jun</v>
      </c>
      <c r="N883">
        <f>YEAR(Table9[[#This Row],[OrderDate ]])</f>
        <v>2014</v>
      </c>
    </row>
    <row r="884" spans="1:14" x14ac:dyDescent="0.3">
      <c r="A884">
        <v>10577</v>
      </c>
      <c r="B884" s="2">
        <f>_xlfn.XLOOKUP(Table9[[#This Row],[orderID]],orders[orderID],orders[orderDate],,0)</f>
        <v>41813</v>
      </c>
      <c r="C884">
        <f>_xlfn.XLOOKUP(A884,order_details[orderID],order_details[productID],,0)</f>
        <v>39</v>
      </c>
      <c r="D884" t="str">
        <f>_xlfn.XLOOKUP(C884,products[productID],products[productName],,0)</f>
        <v>Chartreuse verte</v>
      </c>
      <c r="E884" t="str">
        <f>_xlfn.XLOOKUP(_xlfn.XLOOKUP(Table9[[#This Row],[ProductName ]],products[productName],products[categoryID],,0),categories[categoryID],categories[categoryName],,0)</f>
        <v>Beverages</v>
      </c>
      <c r="F884">
        <v>10</v>
      </c>
      <c r="G884">
        <v>18</v>
      </c>
      <c r="H884">
        <v>0</v>
      </c>
      <c r="I884">
        <f>Table9[[#This Row],[quantity]]*Table9[[#This Row],[unitPrice]]*(1-Table9[[#This Row],[discount]]/100)</f>
        <v>180</v>
      </c>
      <c r="J884" t="str">
        <f>_xlfn.XLOOKUP(_xlfn.XLOOKUP(A884,orders[orderID],orders[customerID],,0),customers__2[customerID],customers__2[companyName],,0)</f>
        <v>Trail's Head Gourmet Provisioners</v>
      </c>
      <c r="K884" t="str">
        <f>_xlfn.XLOOKUP(Table9[[#This Row],[Company Name]],customers__2[companyName],customers__2[country],,0)</f>
        <v>USA</v>
      </c>
      <c r="L884">
        <f>MONTH(Table9[[#This Row],[OrderDate ]])</f>
        <v>6</v>
      </c>
      <c r="M884" t="str">
        <f>TEXT(Table9[[#This Row],[OrderDate ]],"mmm")</f>
        <v>Jun</v>
      </c>
      <c r="N884">
        <f>YEAR(Table9[[#This Row],[OrderDate ]])</f>
        <v>2014</v>
      </c>
    </row>
    <row r="885" spans="1:14" x14ac:dyDescent="0.3">
      <c r="A885">
        <v>10577</v>
      </c>
      <c r="B885" s="2">
        <f>_xlfn.XLOOKUP(Table9[[#This Row],[orderID]],orders[orderID],orders[orderDate],,0)</f>
        <v>41813</v>
      </c>
      <c r="C885">
        <f>_xlfn.XLOOKUP(A885,order_details[orderID],order_details[productID],,0)</f>
        <v>39</v>
      </c>
      <c r="D885" t="str">
        <f>_xlfn.XLOOKUP(C885,products[productID],products[productName],,0)</f>
        <v>Chartreuse verte</v>
      </c>
      <c r="E885" t="str">
        <f>_xlfn.XLOOKUP(_xlfn.XLOOKUP(Table9[[#This Row],[ProductName ]],products[productName],products[categoryID],,0),categories[categoryID],categories[categoryName],,0)</f>
        <v>Beverages</v>
      </c>
      <c r="F885">
        <v>20</v>
      </c>
      <c r="G885">
        <v>775</v>
      </c>
      <c r="H885">
        <v>0</v>
      </c>
      <c r="I885">
        <f>Table9[[#This Row],[quantity]]*Table9[[#This Row],[unitPrice]]*(1-Table9[[#This Row],[discount]]/100)</f>
        <v>15500</v>
      </c>
      <c r="J885" t="str">
        <f>_xlfn.XLOOKUP(_xlfn.XLOOKUP(A885,orders[orderID],orders[customerID],,0),customers__2[customerID],customers__2[companyName],,0)</f>
        <v>Trail's Head Gourmet Provisioners</v>
      </c>
      <c r="K885" t="str">
        <f>_xlfn.XLOOKUP(Table9[[#This Row],[Company Name]],customers__2[companyName],customers__2[country],,0)</f>
        <v>USA</v>
      </c>
      <c r="L885">
        <f>MONTH(Table9[[#This Row],[OrderDate ]])</f>
        <v>6</v>
      </c>
      <c r="M885" t="str">
        <f>TEXT(Table9[[#This Row],[OrderDate ]],"mmm")</f>
        <v>Jun</v>
      </c>
      <c r="N885">
        <f>YEAR(Table9[[#This Row],[OrderDate ]])</f>
        <v>2014</v>
      </c>
    </row>
    <row r="886" spans="1:14" x14ac:dyDescent="0.3">
      <c r="A886">
        <v>10577</v>
      </c>
      <c r="B886" s="2">
        <f>_xlfn.XLOOKUP(Table9[[#This Row],[orderID]],orders[orderID],orders[orderDate],,0)</f>
        <v>41813</v>
      </c>
      <c r="C886">
        <f>_xlfn.XLOOKUP(A886,order_details[orderID],order_details[productID],,0)</f>
        <v>39</v>
      </c>
      <c r="D886" t="str">
        <f>_xlfn.XLOOKUP(C886,products[productID],products[productName],,0)</f>
        <v>Chartreuse verte</v>
      </c>
      <c r="E886" t="str">
        <f>_xlfn.XLOOKUP(_xlfn.XLOOKUP(Table9[[#This Row],[ProductName ]],products[productName],products[categoryID],,0),categories[categoryID],categories[categoryName],,0)</f>
        <v>Beverages</v>
      </c>
      <c r="F886">
        <v>18</v>
      </c>
      <c r="G886">
        <v>13</v>
      </c>
      <c r="H886">
        <v>0</v>
      </c>
      <c r="I886">
        <f>Table9[[#This Row],[quantity]]*Table9[[#This Row],[unitPrice]]*(1-Table9[[#This Row],[discount]]/100)</f>
        <v>234</v>
      </c>
      <c r="J886" t="str">
        <f>_xlfn.XLOOKUP(_xlfn.XLOOKUP(A886,orders[orderID],orders[customerID],,0),customers__2[customerID],customers__2[companyName],,0)</f>
        <v>Trail's Head Gourmet Provisioners</v>
      </c>
      <c r="K886" t="str">
        <f>_xlfn.XLOOKUP(Table9[[#This Row],[Company Name]],customers__2[companyName],customers__2[country],,0)</f>
        <v>USA</v>
      </c>
      <c r="L886">
        <f>MONTH(Table9[[#This Row],[OrderDate ]])</f>
        <v>6</v>
      </c>
      <c r="M886" t="str">
        <f>TEXT(Table9[[#This Row],[OrderDate ]],"mmm")</f>
        <v>Jun</v>
      </c>
      <c r="N886">
        <f>YEAR(Table9[[#This Row],[OrderDate ]])</f>
        <v>2014</v>
      </c>
    </row>
    <row r="887" spans="1:14" x14ac:dyDescent="0.3">
      <c r="A887">
        <v>10578</v>
      </c>
      <c r="B887" s="2">
        <f>_xlfn.XLOOKUP(Table9[[#This Row],[orderID]],orders[orderID],orders[orderDate],,0)</f>
        <v>41814</v>
      </c>
      <c r="C887">
        <f>_xlfn.XLOOKUP(A887,order_details[orderID],order_details[productID],,0)</f>
        <v>35</v>
      </c>
      <c r="D887" t="str">
        <f>_xlfn.XLOOKUP(C887,products[productID],products[productName],,0)</f>
        <v>Steeleye Stout</v>
      </c>
      <c r="E887" t="str">
        <f>_xlfn.XLOOKUP(_xlfn.XLOOKUP(Table9[[#This Row],[ProductName ]],products[productName],products[categoryID],,0),categories[categoryID],categories[categoryName],,0)</f>
        <v>Beverages</v>
      </c>
      <c r="F887">
        <v>20</v>
      </c>
      <c r="G887">
        <v>18</v>
      </c>
      <c r="H887">
        <v>0</v>
      </c>
      <c r="I887">
        <f>Table9[[#This Row],[quantity]]*Table9[[#This Row],[unitPrice]]*(1-Table9[[#This Row],[discount]]/100)</f>
        <v>360</v>
      </c>
      <c r="J887" t="str">
        <f>_xlfn.XLOOKUP(_xlfn.XLOOKUP(A887,orders[orderID],orders[customerID],,0),customers__2[customerID],customers__2[companyName],,0)</f>
        <v>B's Beverages</v>
      </c>
      <c r="K887" t="str">
        <f>_xlfn.XLOOKUP(Table9[[#This Row],[Company Name]],customers__2[companyName],customers__2[country],,0)</f>
        <v>UK</v>
      </c>
      <c r="L887">
        <f>MONTH(Table9[[#This Row],[OrderDate ]])</f>
        <v>6</v>
      </c>
      <c r="M887" t="str">
        <f>TEXT(Table9[[#This Row],[OrderDate ]],"mmm")</f>
        <v>Jun</v>
      </c>
      <c r="N887">
        <f>YEAR(Table9[[#This Row],[OrderDate ]])</f>
        <v>2014</v>
      </c>
    </row>
    <row r="888" spans="1:14" x14ac:dyDescent="0.3">
      <c r="A888">
        <v>10578</v>
      </c>
      <c r="B888" s="2">
        <f>_xlfn.XLOOKUP(Table9[[#This Row],[orderID]],orders[orderID],orders[orderDate],,0)</f>
        <v>41814</v>
      </c>
      <c r="C888">
        <f>_xlfn.XLOOKUP(A888,order_details[orderID],order_details[productID],,0)</f>
        <v>35</v>
      </c>
      <c r="D888" t="str">
        <f>_xlfn.XLOOKUP(C888,products[productID],products[productName],,0)</f>
        <v>Steeleye Stout</v>
      </c>
      <c r="E888" t="str">
        <f>_xlfn.XLOOKUP(_xlfn.XLOOKUP(Table9[[#This Row],[ProductName ]],products[productName],products[categoryID],,0),categories[categoryID],categories[categoryName],,0)</f>
        <v>Beverages</v>
      </c>
      <c r="F888">
        <v>6</v>
      </c>
      <c r="G888">
        <v>195</v>
      </c>
      <c r="H888">
        <v>0</v>
      </c>
      <c r="I888">
        <f>Table9[[#This Row],[quantity]]*Table9[[#This Row],[unitPrice]]*(1-Table9[[#This Row],[discount]]/100)</f>
        <v>1170</v>
      </c>
      <c r="J888" t="str">
        <f>_xlfn.XLOOKUP(_xlfn.XLOOKUP(A888,orders[orderID],orders[customerID],,0),customers__2[customerID],customers__2[companyName],,0)</f>
        <v>B's Beverages</v>
      </c>
      <c r="K888" t="str">
        <f>_xlfn.XLOOKUP(Table9[[#This Row],[Company Name]],customers__2[companyName],customers__2[country],,0)</f>
        <v>UK</v>
      </c>
      <c r="L888">
        <f>MONTH(Table9[[#This Row],[OrderDate ]])</f>
        <v>6</v>
      </c>
      <c r="M888" t="str">
        <f>TEXT(Table9[[#This Row],[OrderDate ]],"mmm")</f>
        <v>Jun</v>
      </c>
      <c r="N888">
        <f>YEAR(Table9[[#This Row],[OrderDate ]])</f>
        <v>2014</v>
      </c>
    </row>
    <row r="889" spans="1:14" x14ac:dyDescent="0.3">
      <c r="A889">
        <v>10579</v>
      </c>
      <c r="B889" s="2">
        <f>_xlfn.XLOOKUP(Table9[[#This Row],[orderID]],orders[orderID],orders[orderDate],,0)</f>
        <v>41815</v>
      </c>
      <c r="C889">
        <f>_xlfn.XLOOKUP(A889,order_details[orderID],order_details[productID],,0)</f>
        <v>15</v>
      </c>
      <c r="D889" t="str">
        <f>_xlfn.XLOOKUP(C889,products[productID],products[productName],,0)</f>
        <v>Genen Shouyu</v>
      </c>
      <c r="E889" t="str">
        <f>_xlfn.XLOOKUP(_xlfn.XLOOKUP(Table9[[#This Row],[ProductName ]],products[productName],products[categoryID],,0),categories[categoryID],categories[categoryName],,0)</f>
        <v>Condiments</v>
      </c>
      <c r="F889">
        <v>10</v>
      </c>
      <c r="G889">
        <v>155</v>
      </c>
      <c r="H889">
        <v>0</v>
      </c>
      <c r="I889">
        <f>Table9[[#This Row],[quantity]]*Table9[[#This Row],[unitPrice]]*(1-Table9[[#This Row],[discount]]/100)</f>
        <v>1550</v>
      </c>
      <c r="J889" t="str">
        <f>_xlfn.XLOOKUP(_xlfn.XLOOKUP(A889,orders[orderID],orders[customerID],,0),customers__2[customerID],customers__2[companyName],,0)</f>
        <v>Let's Stop N Shop</v>
      </c>
      <c r="K889" t="str">
        <f>_xlfn.XLOOKUP(Table9[[#This Row],[Company Name]],customers__2[companyName],customers__2[country],,0)</f>
        <v>USA</v>
      </c>
      <c r="L889">
        <f>MONTH(Table9[[#This Row],[OrderDate ]])</f>
        <v>6</v>
      </c>
      <c r="M889" t="str">
        <f>TEXT(Table9[[#This Row],[OrderDate ]],"mmm")</f>
        <v>Jun</v>
      </c>
      <c r="N889">
        <f>YEAR(Table9[[#This Row],[OrderDate ]])</f>
        <v>2014</v>
      </c>
    </row>
    <row r="890" spans="1:14" x14ac:dyDescent="0.3">
      <c r="A890">
        <v>10579</v>
      </c>
      <c r="B890" s="2">
        <f>_xlfn.XLOOKUP(Table9[[#This Row],[orderID]],orders[orderID],orders[orderDate],,0)</f>
        <v>41815</v>
      </c>
      <c r="C890">
        <f>_xlfn.XLOOKUP(A890,order_details[orderID],order_details[productID],,0)</f>
        <v>15</v>
      </c>
      <c r="D890" t="str">
        <f>_xlfn.XLOOKUP(C890,products[productID],products[productName],,0)</f>
        <v>Genen Shouyu</v>
      </c>
      <c r="E890" t="str">
        <f>_xlfn.XLOOKUP(_xlfn.XLOOKUP(Table9[[#This Row],[ProductName ]],products[productName],products[categoryID],,0),categories[categoryID],categories[categoryName],,0)</f>
        <v>Condiments</v>
      </c>
      <c r="F890">
        <v>21</v>
      </c>
      <c r="G890">
        <v>775</v>
      </c>
      <c r="H890">
        <v>0</v>
      </c>
      <c r="I890">
        <f>Table9[[#This Row],[quantity]]*Table9[[#This Row],[unitPrice]]*(1-Table9[[#This Row],[discount]]/100)</f>
        <v>16275</v>
      </c>
      <c r="J890" t="str">
        <f>_xlfn.XLOOKUP(_xlfn.XLOOKUP(A890,orders[orderID],orders[customerID],,0),customers__2[customerID],customers__2[companyName],,0)</f>
        <v>Let's Stop N Shop</v>
      </c>
      <c r="K890" t="str">
        <f>_xlfn.XLOOKUP(Table9[[#This Row],[Company Name]],customers__2[companyName],customers__2[country],,0)</f>
        <v>USA</v>
      </c>
      <c r="L890">
        <f>MONTH(Table9[[#This Row],[OrderDate ]])</f>
        <v>6</v>
      </c>
      <c r="M890" t="str">
        <f>TEXT(Table9[[#This Row],[OrderDate ]],"mmm")</f>
        <v>Jun</v>
      </c>
      <c r="N890">
        <f>YEAR(Table9[[#This Row],[OrderDate ]])</f>
        <v>2014</v>
      </c>
    </row>
    <row r="891" spans="1:14" x14ac:dyDescent="0.3">
      <c r="A891">
        <v>10580</v>
      </c>
      <c r="B891" s="2">
        <f>_xlfn.XLOOKUP(Table9[[#This Row],[orderID]],orders[orderID],orders[orderDate],,0)</f>
        <v>41816</v>
      </c>
      <c r="C891">
        <f>_xlfn.XLOOKUP(A891,order_details[orderID],order_details[productID],,0)</f>
        <v>14</v>
      </c>
      <c r="D891" t="str">
        <f>_xlfn.XLOOKUP(C891,products[productID],products[productName],,0)</f>
        <v>Tofu</v>
      </c>
      <c r="E891" t="str">
        <f>_xlfn.XLOOKUP(_xlfn.XLOOKUP(Table9[[#This Row],[ProductName ]],products[productName],products[categoryID],,0),categories[categoryID],categories[categoryName],,0)</f>
        <v>Produce</v>
      </c>
      <c r="F891">
        <v>15</v>
      </c>
      <c r="G891">
        <v>2325</v>
      </c>
      <c r="H891">
        <v>5</v>
      </c>
      <c r="I891">
        <f>Table9[[#This Row],[quantity]]*Table9[[#This Row],[unitPrice]]*(1-Table9[[#This Row],[discount]]/100)</f>
        <v>33131.25</v>
      </c>
      <c r="J891" t="str">
        <f>_xlfn.XLOOKUP(_xlfn.XLOOKUP(A891,orders[orderID],orders[customerID],,0),customers__2[customerID],customers__2[companyName],,0)</f>
        <v>Ottilies Käseladen</v>
      </c>
      <c r="K891" t="str">
        <f>_xlfn.XLOOKUP(Table9[[#This Row],[Company Name]],customers__2[companyName],customers__2[country],,0)</f>
        <v>Germany</v>
      </c>
      <c r="L891">
        <f>MONTH(Table9[[#This Row],[OrderDate ]])</f>
        <v>6</v>
      </c>
      <c r="M891" t="str">
        <f>TEXT(Table9[[#This Row],[OrderDate ]],"mmm")</f>
        <v>Jun</v>
      </c>
      <c r="N891">
        <f>YEAR(Table9[[#This Row],[OrderDate ]])</f>
        <v>2014</v>
      </c>
    </row>
    <row r="892" spans="1:14" x14ac:dyDescent="0.3">
      <c r="A892">
        <v>10580</v>
      </c>
      <c r="B892" s="2">
        <f>_xlfn.XLOOKUP(Table9[[#This Row],[orderID]],orders[orderID],orders[orderDate],,0)</f>
        <v>41816</v>
      </c>
      <c r="C892">
        <f>_xlfn.XLOOKUP(A892,order_details[orderID],order_details[productID],,0)</f>
        <v>14</v>
      </c>
      <c r="D892" t="str">
        <f>_xlfn.XLOOKUP(C892,products[productID],products[productName],,0)</f>
        <v>Tofu</v>
      </c>
      <c r="E892" t="str">
        <f>_xlfn.XLOOKUP(_xlfn.XLOOKUP(Table9[[#This Row],[ProductName ]],products[productName],products[categoryID],,0),categories[categoryID],categories[categoryName],,0)</f>
        <v>Produce</v>
      </c>
      <c r="F892">
        <v>9</v>
      </c>
      <c r="G892">
        <v>965</v>
      </c>
      <c r="H892">
        <v>5</v>
      </c>
      <c r="I892">
        <f>Table9[[#This Row],[quantity]]*Table9[[#This Row],[unitPrice]]*(1-Table9[[#This Row],[discount]]/100)</f>
        <v>8250.75</v>
      </c>
      <c r="J892" t="str">
        <f>_xlfn.XLOOKUP(_xlfn.XLOOKUP(A892,orders[orderID],orders[customerID],,0),customers__2[customerID],customers__2[companyName],,0)</f>
        <v>Ottilies Käseladen</v>
      </c>
      <c r="K892" t="str">
        <f>_xlfn.XLOOKUP(Table9[[#This Row],[Company Name]],customers__2[companyName],customers__2[country],,0)</f>
        <v>Germany</v>
      </c>
      <c r="L892">
        <f>MONTH(Table9[[#This Row],[OrderDate ]])</f>
        <v>6</v>
      </c>
      <c r="M892" t="str">
        <f>TEXT(Table9[[#This Row],[OrderDate ]],"mmm")</f>
        <v>Jun</v>
      </c>
      <c r="N892">
        <f>YEAR(Table9[[#This Row],[OrderDate ]])</f>
        <v>2014</v>
      </c>
    </row>
    <row r="893" spans="1:14" x14ac:dyDescent="0.3">
      <c r="A893">
        <v>10580</v>
      </c>
      <c r="B893" s="2">
        <f>_xlfn.XLOOKUP(Table9[[#This Row],[orderID]],orders[orderID],orders[orderDate],,0)</f>
        <v>41816</v>
      </c>
      <c r="C893">
        <f>_xlfn.XLOOKUP(A893,order_details[orderID],order_details[productID],,0)</f>
        <v>14</v>
      </c>
      <c r="D893" t="str">
        <f>_xlfn.XLOOKUP(C893,products[productID],products[productName],,0)</f>
        <v>Tofu</v>
      </c>
      <c r="E893" t="str">
        <f>_xlfn.XLOOKUP(_xlfn.XLOOKUP(Table9[[#This Row],[ProductName ]],products[productName],products[categoryID],,0),categories[categoryID],categories[categoryName],,0)</f>
        <v>Produce</v>
      </c>
      <c r="F893">
        <v>30</v>
      </c>
      <c r="G893">
        <v>2105</v>
      </c>
      <c r="H893">
        <v>5</v>
      </c>
      <c r="I893">
        <f>Table9[[#This Row],[quantity]]*Table9[[#This Row],[unitPrice]]*(1-Table9[[#This Row],[discount]]/100)</f>
        <v>59992.5</v>
      </c>
      <c r="J893" t="str">
        <f>_xlfn.XLOOKUP(_xlfn.XLOOKUP(A893,orders[orderID],orders[customerID],,0),customers__2[customerID],customers__2[companyName],,0)</f>
        <v>Ottilies Käseladen</v>
      </c>
      <c r="K893" t="str">
        <f>_xlfn.XLOOKUP(Table9[[#This Row],[Company Name]],customers__2[companyName],customers__2[country],,0)</f>
        <v>Germany</v>
      </c>
      <c r="L893">
        <f>MONTH(Table9[[#This Row],[OrderDate ]])</f>
        <v>6</v>
      </c>
      <c r="M893" t="str">
        <f>TEXT(Table9[[#This Row],[OrderDate ]],"mmm")</f>
        <v>Jun</v>
      </c>
      <c r="N893">
        <f>YEAR(Table9[[#This Row],[OrderDate ]])</f>
        <v>2014</v>
      </c>
    </row>
    <row r="894" spans="1:14" x14ac:dyDescent="0.3">
      <c r="A894">
        <v>10581</v>
      </c>
      <c r="B894" s="2">
        <f>_xlfn.XLOOKUP(Table9[[#This Row],[orderID]],orders[orderID],orders[orderDate],,0)</f>
        <v>41816</v>
      </c>
      <c r="C894">
        <f>_xlfn.XLOOKUP(A894,order_details[orderID],order_details[productID],,0)</f>
        <v>75</v>
      </c>
      <c r="D894" t="str">
        <f>_xlfn.XLOOKUP(C894,products[productID],products[productName],,0)</f>
        <v>Rhönbräu Klosterbier</v>
      </c>
      <c r="E894" t="str">
        <f>_xlfn.XLOOKUP(_xlfn.XLOOKUP(Table9[[#This Row],[ProductName ]],products[productName],products[categoryID],,0),categories[categoryID],categories[categoryName],,0)</f>
        <v>Beverages</v>
      </c>
      <c r="F894">
        <v>50</v>
      </c>
      <c r="G894">
        <v>775</v>
      </c>
      <c r="H894">
        <v>2</v>
      </c>
      <c r="I894">
        <f>Table9[[#This Row],[quantity]]*Table9[[#This Row],[unitPrice]]*(1-Table9[[#This Row],[discount]]/100)</f>
        <v>37975</v>
      </c>
      <c r="J894" t="str">
        <f>_xlfn.XLOOKUP(_xlfn.XLOOKUP(A894,orders[orderID],orders[customerID],,0),customers__2[customerID],customers__2[companyName],,0)</f>
        <v>Familia Arquibaldo</v>
      </c>
      <c r="K894" t="str">
        <f>_xlfn.XLOOKUP(Table9[[#This Row],[Company Name]],customers__2[companyName],customers__2[country],,0)</f>
        <v>Brazil</v>
      </c>
      <c r="L894">
        <f>MONTH(Table9[[#This Row],[OrderDate ]])</f>
        <v>6</v>
      </c>
      <c r="M894" t="str">
        <f>TEXT(Table9[[#This Row],[OrderDate ]],"mmm")</f>
        <v>Jun</v>
      </c>
      <c r="N894">
        <f>YEAR(Table9[[#This Row],[OrderDate ]])</f>
        <v>2014</v>
      </c>
    </row>
    <row r="895" spans="1:14" x14ac:dyDescent="0.3">
      <c r="A895">
        <v>10582</v>
      </c>
      <c r="B895" s="2">
        <f>_xlfn.XLOOKUP(Table9[[#This Row],[orderID]],orders[orderID],orders[orderDate],,0)</f>
        <v>41817</v>
      </c>
      <c r="C895">
        <f>_xlfn.XLOOKUP(A895,order_details[orderID],order_details[productID],,0)</f>
        <v>57</v>
      </c>
      <c r="D895" t="str">
        <f>_xlfn.XLOOKUP(C895,products[productID],products[productName],,0)</f>
        <v>Ravioli Angelo</v>
      </c>
      <c r="E895" t="str">
        <f>_xlfn.XLOOKUP(_xlfn.XLOOKUP(Table9[[#This Row],[ProductName ]],products[productName],products[categoryID],,0),categories[categoryID],categories[categoryName],,0)</f>
        <v>Grains &amp; Cereals</v>
      </c>
      <c r="F895">
        <v>4</v>
      </c>
      <c r="G895">
        <v>195</v>
      </c>
      <c r="H895">
        <v>0</v>
      </c>
      <c r="I895">
        <f>Table9[[#This Row],[quantity]]*Table9[[#This Row],[unitPrice]]*(1-Table9[[#This Row],[discount]]/100)</f>
        <v>780</v>
      </c>
      <c r="J895" t="str">
        <f>_xlfn.XLOOKUP(_xlfn.XLOOKUP(A895,orders[orderID],orders[customerID],,0),customers__2[customerID],customers__2[companyName],,0)</f>
        <v>Blauer See Delikatessen</v>
      </c>
      <c r="K895" t="str">
        <f>_xlfn.XLOOKUP(Table9[[#This Row],[Company Name]],customers__2[companyName],customers__2[country],,0)</f>
        <v>Germany</v>
      </c>
      <c r="L895">
        <f>MONTH(Table9[[#This Row],[OrderDate ]])</f>
        <v>6</v>
      </c>
      <c r="M895" t="str">
        <f>TEXT(Table9[[#This Row],[OrderDate ]],"mmm")</f>
        <v>Jun</v>
      </c>
      <c r="N895">
        <f>YEAR(Table9[[#This Row],[OrderDate ]])</f>
        <v>2014</v>
      </c>
    </row>
    <row r="896" spans="1:14" x14ac:dyDescent="0.3">
      <c r="A896">
        <v>10582</v>
      </c>
      <c r="B896" s="2">
        <f>_xlfn.XLOOKUP(Table9[[#This Row],[orderID]],orders[orderID],orders[orderDate],,0)</f>
        <v>41817</v>
      </c>
      <c r="C896">
        <f>_xlfn.XLOOKUP(A896,order_details[orderID],order_details[productID],,0)</f>
        <v>57</v>
      </c>
      <c r="D896" t="str">
        <f>_xlfn.XLOOKUP(C896,products[productID],products[productName],,0)</f>
        <v>Ravioli Angelo</v>
      </c>
      <c r="E896" t="str">
        <f>_xlfn.XLOOKUP(_xlfn.XLOOKUP(Table9[[#This Row],[ProductName ]],products[productName],products[categoryID],,0),categories[categoryID],categories[categoryName],,0)</f>
        <v>Grains &amp; Cereals</v>
      </c>
      <c r="F896">
        <v>14</v>
      </c>
      <c r="G896">
        <v>18</v>
      </c>
      <c r="H896">
        <v>0</v>
      </c>
      <c r="I896">
        <f>Table9[[#This Row],[quantity]]*Table9[[#This Row],[unitPrice]]*(1-Table9[[#This Row],[discount]]/100)</f>
        <v>252</v>
      </c>
      <c r="J896" t="str">
        <f>_xlfn.XLOOKUP(_xlfn.XLOOKUP(A896,orders[orderID],orders[customerID],,0),customers__2[customerID],customers__2[companyName],,0)</f>
        <v>Blauer See Delikatessen</v>
      </c>
      <c r="K896" t="str">
        <f>_xlfn.XLOOKUP(Table9[[#This Row],[Company Name]],customers__2[companyName],customers__2[country],,0)</f>
        <v>Germany</v>
      </c>
      <c r="L896">
        <f>MONTH(Table9[[#This Row],[OrderDate ]])</f>
        <v>6</v>
      </c>
      <c r="M896" t="str">
        <f>TEXT(Table9[[#This Row],[OrderDate ]],"mmm")</f>
        <v>Jun</v>
      </c>
      <c r="N896">
        <f>YEAR(Table9[[#This Row],[OrderDate ]])</f>
        <v>2014</v>
      </c>
    </row>
    <row r="897" spans="1:14" x14ac:dyDescent="0.3">
      <c r="A897">
        <v>10583</v>
      </c>
      <c r="B897" s="2">
        <f>_xlfn.XLOOKUP(Table9[[#This Row],[orderID]],orders[orderID],orders[orderDate],,0)</f>
        <v>41820</v>
      </c>
      <c r="C897">
        <f>_xlfn.XLOOKUP(A897,order_details[orderID],order_details[productID],,0)</f>
        <v>29</v>
      </c>
      <c r="D897" t="str">
        <f>_xlfn.XLOOKUP(C897,products[productID],products[productName],,0)</f>
        <v>Thüringer Rostbratwurst</v>
      </c>
      <c r="E897" t="str">
        <f>_xlfn.XLOOKUP(_xlfn.XLOOKUP(Table9[[#This Row],[ProductName ]],products[productName],products[categoryID],,0),categories[categoryID],categories[categoryName],,0)</f>
        <v>Meat &amp; Poultry</v>
      </c>
      <c r="F897">
        <v>10</v>
      </c>
      <c r="G897">
        <v>12379</v>
      </c>
      <c r="H897">
        <v>0</v>
      </c>
      <c r="I897">
        <f>Table9[[#This Row],[quantity]]*Table9[[#This Row],[unitPrice]]*(1-Table9[[#This Row],[discount]]/100)</f>
        <v>123790</v>
      </c>
      <c r="J897" t="str">
        <f>_xlfn.XLOOKUP(_xlfn.XLOOKUP(A897,orders[orderID],orders[customerID],,0),customers__2[customerID],customers__2[companyName],,0)</f>
        <v>Wartian Herkku</v>
      </c>
      <c r="K897" t="str">
        <f>_xlfn.XLOOKUP(Table9[[#This Row],[Company Name]],customers__2[companyName],customers__2[country],,0)</f>
        <v>Finland</v>
      </c>
      <c r="L897">
        <f>MONTH(Table9[[#This Row],[OrderDate ]])</f>
        <v>6</v>
      </c>
      <c r="M897" t="str">
        <f>TEXT(Table9[[#This Row],[OrderDate ]],"mmm")</f>
        <v>Jun</v>
      </c>
      <c r="N897">
        <f>YEAR(Table9[[#This Row],[OrderDate ]])</f>
        <v>2014</v>
      </c>
    </row>
    <row r="898" spans="1:14" x14ac:dyDescent="0.3">
      <c r="A898">
        <v>10583</v>
      </c>
      <c r="B898" s="2">
        <f>_xlfn.XLOOKUP(Table9[[#This Row],[orderID]],orders[orderID],orders[orderDate],,0)</f>
        <v>41820</v>
      </c>
      <c r="C898">
        <f>_xlfn.XLOOKUP(A898,order_details[orderID],order_details[productID],,0)</f>
        <v>29</v>
      </c>
      <c r="D898" t="str">
        <f>_xlfn.XLOOKUP(C898,products[productID],products[productName],,0)</f>
        <v>Thüringer Rostbratwurst</v>
      </c>
      <c r="E898" t="str">
        <f>_xlfn.XLOOKUP(_xlfn.XLOOKUP(Table9[[#This Row],[ProductName ]],products[productName],products[categoryID],,0),categories[categoryID],categories[categoryName],,0)</f>
        <v>Meat &amp; Poultry</v>
      </c>
      <c r="F898">
        <v>24</v>
      </c>
      <c r="G898">
        <v>34</v>
      </c>
      <c r="H898">
        <v>15</v>
      </c>
      <c r="I898">
        <f>Table9[[#This Row],[quantity]]*Table9[[#This Row],[unitPrice]]*(1-Table9[[#This Row],[discount]]/100)</f>
        <v>693.6</v>
      </c>
      <c r="J898" t="str">
        <f>_xlfn.XLOOKUP(_xlfn.XLOOKUP(A898,orders[orderID],orders[customerID],,0),customers__2[customerID],customers__2[companyName],,0)</f>
        <v>Wartian Herkku</v>
      </c>
      <c r="K898" t="str">
        <f>_xlfn.XLOOKUP(Table9[[#This Row],[Company Name]],customers__2[companyName],customers__2[country],,0)</f>
        <v>Finland</v>
      </c>
      <c r="L898">
        <f>MONTH(Table9[[#This Row],[OrderDate ]])</f>
        <v>6</v>
      </c>
      <c r="M898" t="str">
        <f>TEXT(Table9[[#This Row],[OrderDate ]],"mmm")</f>
        <v>Jun</v>
      </c>
      <c r="N898">
        <f>YEAR(Table9[[#This Row],[OrderDate ]])</f>
        <v>2014</v>
      </c>
    </row>
    <row r="899" spans="1:14" x14ac:dyDescent="0.3">
      <c r="A899">
        <v>10583</v>
      </c>
      <c r="B899" s="2">
        <f>_xlfn.XLOOKUP(Table9[[#This Row],[orderID]],orders[orderID],orders[orderDate],,0)</f>
        <v>41820</v>
      </c>
      <c r="C899">
        <f>_xlfn.XLOOKUP(A899,order_details[orderID],order_details[productID],,0)</f>
        <v>29</v>
      </c>
      <c r="D899" t="str">
        <f>_xlfn.XLOOKUP(C899,products[productID],products[productName],,0)</f>
        <v>Thüringer Rostbratwurst</v>
      </c>
      <c r="E899" t="str">
        <f>_xlfn.XLOOKUP(_xlfn.XLOOKUP(Table9[[#This Row],[ProductName ]],products[productName],products[categoryID],,0),categories[categoryID],categories[categoryName],,0)</f>
        <v>Meat &amp; Poultry</v>
      </c>
      <c r="F899">
        <v>10</v>
      </c>
      <c r="G899">
        <v>36</v>
      </c>
      <c r="H899">
        <v>15</v>
      </c>
      <c r="I899">
        <f>Table9[[#This Row],[quantity]]*Table9[[#This Row],[unitPrice]]*(1-Table9[[#This Row],[discount]]/100)</f>
        <v>306</v>
      </c>
      <c r="J899" t="str">
        <f>_xlfn.XLOOKUP(_xlfn.XLOOKUP(A899,orders[orderID],orders[customerID],,0),customers__2[customerID],customers__2[companyName],,0)</f>
        <v>Wartian Herkku</v>
      </c>
      <c r="K899" t="str">
        <f>_xlfn.XLOOKUP(Table9[[#This Row],[Company Name]],customers__2[companyName],customers__2[country],,0)</f>
        <v>Finland</v>
      </c>
      <c r="L899">
        <f>MONTH(Table9[[#This Row],[OrderDate ]])</f>
        <v>6</v>
      </c>
      <c r="M899" t="str">
        <f>TEXT(Table9[[#This Row],[OrderDate ]],"mmm")</f>
        <v>Jun</v>
      </c>
      <c r="N899">
        <f>YEAR(Table9[[#This Row],[OrderDate ]])</f>
        <v>2014</v>
      </c>
    </row>
    <row r="900" spans="1:14" x14ac:dyDescent="0.3">
      <c r="A900">
        <v>10584</v>
      </c>
      <c r="B900" s="2">
        <f>_xlfn.XLOOKUP(Table9[[#This Row],[orderID]],orders[orderID],orders[orderDate],,0)</f>
        <v>41820</v>
      </c>
      <c r="C900">
        <f>_xlfn.XLOOKUP(A900,order_details[orderID],order_details[productID],,0)</f>
        <v>31</v>
      </c>
      <c r="D900" t="str">
        <f>_xlfn.XLOOKUP(C900,products[productID],products[productName],,0)</f>
        <v>Gorgonzola Telino</v>
      </c>
      <c r="E900" t="str">
        <f>_xlfn.XLOOKUP(_xlfn.XLOOKUP(Table9[[#This Row],[ProductName ]],products[productName],products[categoryID],,0),categories[categoryID],categories[categoryName],,0)</f>
        <v>Dairy Products</v>
      </c>
      <c r="F900">
        <v>50</v>
      </c>
      <c r="G900">
        <v>125</v>
      </c>
      <c r="H900">
        <v>5</v>
      </c>
      <c r="I900">
        <f>Table9[[#This Row],[quantity]]*Table9[[#This Row],[unitPrice]]*(1-Table9[[#This Row],[discount]]/100)</f>
        <v>5937.5</v>
      </c>
      <c r="J900" t="str">
        <f>_xlfn.XLOOKUP(_xlfn.XLOOKUP(A900,orders[orderID],orders[customerID],,0),customers__2[customerID],customers__2[companyName],,0)</f>
        <v>Blondesddsl père et fils</v>
      </c>
      <c r="K900" t="str">
        <f>_xlfn.XLOOKUP(Table9[[#This Row],[Company Name]],customers__2[companyName],customers__2[country],,0)</f>
        <v>France</v>
      </c>
      <c r="L900">
        <f>MONTH(Table9[[#This Row],[OrderDate ]])</f>
        <v>6</v>
      </c>
      <c r="M900" t="str">
        <f>TEXT(Table9[[#This Row],[OrderDate ]],"mmm")</f>
        <v>Jun</v>
      </c>
      <c r="N900">
        <f>YEAR(Table9[[#This Row],[OrderDate ]])</f>
        <v>2014</v>
      </c>
    </row>
    <row r="901" spans="1:14" x14ac:dyDescent="0.3">
      <c r="A901">
        <v>10585</v>
      </c>
      <c r="B901" s="2">
        <f>_xlfn.XLOOKUP(Table9[[#This Row],[orderID]],orders[orderID],orders[orderDate],,0)</f>
        <v>41821</v>
      </c>
      <c r="C901">
        <f>_xlfn.XLOOKUP(A901,order_details[orderID],order_details[productID],,0)</f>
        <v>47</v>
      </c>
      <c r="D901" t="str">
        <f>_xlfn.XLOOKUP(C901,products[productID],products[productName],,0)</f>
        <v>Zaanse koeken</v>
      </c>
      <c r="E901" t="str">
        <f>_xlfn.XLOOKUP(_xlfn.XLOOKUP(Table9[[#This Row],[ProductName ]],products[productName],products[categoryID],,0),categories[categoryID],categories[categoryName],,0)</f>
        <v>Confections</v>
      </c>
      <c r="F901">
        <v>15</v>
      </c>
      <c r="G901">
        <v>95</v>
      </c>
      <c r="H901">
        <v>0</v>
      </c>
      <c r="I901">
        <f>Table9[[#This Row],[quantity]]*Table9[[#This Row],[unitPrice]]*(1-Table9[[#This Row],[discount]]/100)</f>
        <v>1425</v>
      </c>
      <c r="J901" t="str">
        <f>_xlfn.XLOOKUP(_xlfn.XLOOKUP(A901,orders[orderID],orders[customerID],,0),customers__2[customerID],customers__2[companyName],,0)</f>
        <v>Wellington Importadora</v>
      </c>
      <c r="K901" t="str">
        <f>_xlfn.XLOOKUP(Table9[[#This Row],[Company Name]],customers__2[companyName],customers__2[country],,0)</f>
        <v>Brazil</v>
      </c>
      <c r="L901">
        <f>MONTH(Table9[[#This Row],[OrderDate ]])</f>
        <v>7</v>
      </c>
      <c r="M901" t="str">
        <f>TEXT(Table9[[#This Row],[OrderDate ]],"mmm")</f>
        <v>Jul</v>
      </c>
      <c r="N901">
        <f>YEAR(Table9[[#This Row],[OrderDate ]])</f>
        <v>2014</v>
      </c>
    </row>
    <row r="902" spans="1:14" x14ac:dyDescent="0.3">
      <c r="A902">
        <v>10586</v>
      </c>
      <c r="B902" s="2">
        <f>_xlfn.XLOOKUP(Table9[[#This Row],[orderID]],orders[orderID],orders[orderDate],,0)</f>
        <v>41822</v>
      </c>
      <c r="C902">
        <f>_xlfn.XLOOKUP(A902,order_details[orderID],order_details[productID],,0)</f>
        <v>52</v>
      </c>
      <c r="D902" t="str">
        <f>_xlfn.XLOOKUP(C902,products[productID],products[productName],,0)</f>
        <v>Filo Mix</v>
      </c>
      <c r="E902" t="str">
        <f>_xlfn.XLOOKUP(_xlfn.XLOOKUP(Table9[[#This Row],[ProductName ]],products[productName],products[categoryID],,0),categories[categoryID],categories[categoryName],,0)</f>
        <v>Grains &amp; Cereals</v>
      </c>
      <c r="F902">
        <v>4</v>
      </c>
      <c r="G902">
        <v>7</v>
      </c>
      <c r="H902">
        <v>15</v>
      </c>
      <c r="I902">
        <f>Table9[[#This Row],[quantity]]*Table9[[#This Row],[unitPrice]]*(1-Table9[[#This Row],[discount]]/100)</f>
        <v>23.8</v>
      </c>
      <c r="J902" t="str">
        <f>_xlfn.XLOOKUP(_xlfn.XLOOKUP(A902,orders[orderID],orders[customerID],,0),customers__2[customerID],customers__2[companyName],,0)</f>
        <v>Reggiani Caseifici</v>
      </c>
      <c r="K902" t="str">
        <f>_xlfn.XLOOKUP(Table9[[#This Row],[Company Name]],customers__2[companyName],customers__2[country],,0)</f>
        <v>Italy</v>
      </c>
      <c r="L902">
        <f>MONTH(Table9[[#This Row],[OrderDate ]])</f>
        <v>7</v>
      </c>
      <c r="M902" t="str">
        <f>TEXT(Table9[[#This Row],[OrderDate ]],"mmm")</f>
        <v>Jul</v>
      </c>
      <c r="N902">
        <f>YEAR(Table9[[#This Row],[OrderDate ]])</f>
        <v>2014</v>
      </c>
    </row>
    <row r="903" spans="1:14" x14ac:dyDescent="0.3">
      <c r="A903">
        <v>10587</v>
      </c>
      <c r="B903" s="2">
        <f>_xlfn.XLOOKUP(Table9[[#This Row],[orderID]],orders[orderID],orders[orderDate],,0)</f>
        <v>41822</v>
      </c>
      <c r="C903">
        <f>_xlfn.XLOOKUP(A903,order_details[orderID],order_details[productID],,0)</f>
        <v>26</v>
      </c>
      <c r="D903" t="str">
        <f>_xlfn.XLOOKUP(C903,products[productID],products[productName],,0)</f>
        <v>Gumbär Gummibärchen</v>
      </c>
      <c r="E903" t="str">
        <f>_xlfn.XLOOKUP(_xlfn.XLOOKUP(Table9[[#This Row],[ProductName ]],products[productName],products[categoryID],,0),categories[categoryID],categories[categoryName],,0)</f>
        <v>Confections</v>
      </c>
      <c r="F903">
        <v>6</v>
      </c>
      <c r="G903">
        <v>3123</v>
      </c>
      <c r="H903">
        <v>0</v>
      </c>
      <c r="I903">
        <f>Table9[[#This Row],[quantity]]*Table9[[#This Row],[unitPrice]]*(1-Table9[[#This Row],[discount]]/100)</f>
        <v>18738</v>
      </c>
      <c r="J903" t="str">
        <f>_xlfn.XLOOKUP(_xlfn.XLOOKUP(A903,orders[orderID],orders[customerID],,0),customers__2[customerID],customers__2[companyName],,0)</f>
        <v>Que Delícia</v>
      </c>
      <c r="K903" t="str">
        <f>_xlfn.XLOOKUP(Table9[[#This Row],[Company Name]],customers__2[companyName],customers__2[country],,0)</f>
        <v>Brazil</v>
      </c>
      <c r="L903">
        <f>MONTH(Table9[[#This Row],[OrderDate ]])</f>
        <v>7</v>
      </c>
      <c r="M903" t="str">
        <f>TEXT(Table9[[#This Row],[OrderDate ]],"mmm")</f>
        <v>Jul</v>
      </c>
      <c r="N903">
        <f>YEAR(Table9[[#This Row],[OrderDate ]])</f>
        <v>2014</v>
      </c>
    </row>
    <row r="904" spans="1:14" x14ac:dyDescent="0.3">
      <c r="A904">
        <v>10587</v>
      </c>
      <c r="B904" s="2">
        <f>_xlfn.XLOOKUP(Table9[[#This Row],[orderID]],orders[orderID],orders[orderDate],,0)</f>
        <v>41822</v>
      </c>
      <c r="C904">
        <f>_xlfn.XLOOKUP(A904,order_details[orderID],order_details[productID],,0)</f>
        <v>26</v>
      </c>
      <c r="D904" t="str">
        <f>_xlfn.XLOOKUP(C904,products[productID],products[productName],,0)</f>
        <v>Gumbär Gummibärchen</v>
      </c>
      <c r="E904" t="str">
        <f>_xlfn.XLOOKUP(_xlfn.XLOOKUP(Table9[[#This Row],[ProductName ]],products[productName],products[categoryID],,0),categories[categoryID],categories[categoryName],,0)</f>
        <v>Confections</v>
      </c>
      <c r="F904">
        <v>20</v>
      </c>
      <c r="G904">
        <v>18</v>
      </c>
      <c r="H904">
        <v>0</v>
      </c>
      <c r="I904">
        <f>Table9[[#This Row],[quantity]]*Table9[[#This Row],[unitPrice]]*(1-Table9[[#This Row],[discount]]/100)</f>
        <v>360</v>
      </c>
      <c r="J904" t="str">
        <f>_xlfn.XLOOKUP(_xlfn.XLOOKUP(A904,orders[orderID],orders[customerID],,0),customers__2[customerID],customers__2[companyName],,0)</f>
        <v>Que Delícia</v>
      </c>
      <c r="K904" t="str">
        <f>_xlfn.XLOOKUP(Table9[[#This Row],[Company Name]],customers__2[companyName],customers__2[country],,0)</f>
        <v>Brazil</v>
      </c>
      <c r="L904">
        <f>MONTH(Table9[[#This Row],[OrderDate ]])</f>
        <v>7</v>
      </c>
      <c r="M904" t="str">
        <f>TEXT(Table9[[#This Row],[OrderDate ]],"mmm")</f>
        <v>Jul</v>
      </c>
      <c r="N904">
        <f>YEAR(Table9[[#This Row],[OrderDate ]])</f>
        <v>2014</v>
      </c>
    </row>
    <row r="905" spans="1:14" x14ac:dyDescent="0.3">
      <c r="A905">
        <v>10587</v>
      </c>
      <c r="B905" s="2">
        <f>_xlfn.XLOOKUP(Table9[[#This Row],[orderID]],orders[orderID],orders[orderDate],,0)</f>
        <v>41822</v>
      </c>
      <c r="C905">
        <f>_xlfn.XLOOKUP(A905,order_details[orderID],order_details[productID],,0)</f>
        <v>26</v>
      </c>
      <c r="D905" t="str">
        <f>_xlfn.XLOOKUP(C905,products[productID],products[productName],,0)</f>
        <v>Gumbär Gummibärchen</v>
      </c>
      <c r="E905" t="str">
        <f>_xlfn.XLOOKUP(_xlfn.XLOOKUP(Table9[[#This Row],[ProductName ]],products[productName],products[categoryID],,0),categories[categoryID],categories[categoryName],,0)</f>
        <v>Confections</v>
      </c>
      <c r="F905">
        <v>20</v>
      </c>
      <c r="G905">
        <v>13</v>
      </c>
      <c r="H905">
        <v>0</v>
      </c>
      <c r="I905">
        <f>Table9[[#This Row],[quantity]]*Table9[[#This Row],[unitPrice]]*(1-Table9[[#This Row],[discount]]/100)</f>
        <v>260</v>
      </c>
      <c r="J905" t="str">
        <f>_xlfn.XLOOKUP(_xlfn.XLOOKUP(A905,orders[orderID],orders[customerID],,0),customers__2[customerID],customers__2[companyName],,0)</f>
        <v>Que Delícia</v>
      </c>
      <c r="K905" t="str">
        <f>_xlfn.XLOOKUP(Table9[[#This Row],[Company Name]],customers__2[companyName],customers__2[country],,0)</f>
        <v>Brazil</v>
      </c>
      <c r="L905">
        <f>MONTH(Table9[[#This Row],[OrderDate ]])</f>
        <v>7</v>
      </c>
      <c r="M905" t="str">
        <f>TEXT(Table9[[#This Row],[OrderDate ]],"mmm")</f>
        <v>Jul</v>
      </c>
      <c r="N905">
        <f>YEAR(Table9[[#This Row],[OrderDate ]])</f>
        <v>2014</v>
      </c>
    </row>
    <row r="906" spans="1:14" x14ac:dyDescent="0.3">
      <c r="A906">
        <v>10588</v>
      </c>
      <c r="B906" s="2">
        <f>_xlfn.XLOOKUP(Table9[[#This Row],[orderID]],orders[orderID],orders[orderDate],,0)</f>
        <v>41823</v>
      </c>
      <c r="C906">
        <f>_xlfn.XLOOKUP(A906,order_details[orderID],order_details[productID],,0)</f>
        <v>18</v>
      </c>
      <c r="D906" t="str">
        <f>_xlfn.XLOOKUP(C906,products[productID],products[productName],,0)</f>
        <v>Carnarvon Tigers</v>
      </c>
      <c r="E906" t="str">
        <f>_xlfn.XLOOKUP(_xlfn.XLOOKUP(Table9[[#This Row],[ProductName ]],products[productName],products[categoryID],,0),categories[categoryID],categories[categoryName],,0)</f>
        <v>Seafood</v>
      </c>
      <c r="F906">
        <v>40</v>
      </c>
      <c r="G906">
        <v>625</v>
      </c>
      <c r="H906">
        <v>2</v>
      </c>
      <c r="I906">
        <f>Table9[[#This Row],[quantity]]*Table9[[#This Row],[unitPrice]]*(1-Table9[[#This Row],[discount]]/100)</f>
        <v>24500</v>
      </c>
      <c r="J906" t="str">
        <f>_xlfn.XLOOKUP(_xlfn.XLOOKUP(A906,orders[orderID],orders[customerID],,0),customers__2[customerID],customers__2[companyName],,0)</f>
        <v>QUICK-Stop</v>
      </c>
      <c r="K906" t="str">
        <f>_xlfn.XLOOKUP(Table9[[#This Row],[Company Name]],customers__2[companyName],customers__2[country],,0)</f>
        <v>Germany</v>
      </c>
      <c r="L906">
        <f>MONTH(Table9[[#This Row],[OrderDate ]])</f>
        <v>7</v>
      </c>
      <c r="M906" t="str">
        <f>TEXT(Table9[[#This Row],[OrderDate ]],"mmm")</f>
        <v>Jul</v>
      </c>
      <c r="N906">
        <f>YEAR(Table9[[#This Row],[OrderDate ]])</f>
        <v>2014</v>
      </c>
    </row>
    <row r="907" spans="1:14" x14ac:dyDescent="0.3">
      <c r="A907">
        <v>10588</v>
      </c>
      <c r="B907" s="2">
        <f>_xlfn.XLOOKUP(Table9[[#This Row],[orderID]],orders[orderID],orders[orderDate],,0)</f>
        <v>41823</v>
      </c>
      <c r="C907">
        <f>_xlfn.XLOOKUP(A907,order_details[orderID],order_details[productID],,0)</f>
        <v>18</v>
      </c>
      <c r="D907" t="str">
        <f>_xlfn.XLOOKUP(C907,products[productID],products[productName],,0)</f>
        <v>Carnarvon Tigers</v>
      </c>
      <c r="E907" t="str">
        <f>_xlfn.XLOOKUP(_xlfn.XLOOKUP(Table9[[#This Row],[ProductName ]],products[productName],products[categoryID],,0),categories[categoryID],categories[categoryName],,0)</f>
        <v>Seafood</v>
      </c>
      <c r="F907">
        <v>100</v>
      </c>
      <c r="G907">
        <v>14</v>
      </c>
      <c r="H907">
        <v>2</v>
      </c>
      <c r="I907">
        <f>Table9[[#This Row],[quantity]]*Table9[[#This Row],[unitPrice]]*(1-Table9[[#This Row],[discount]]/100)</f>
        <v>1372</v>
      </c>
      <c r="J907" t="str">
        <f>_xlfn.XLOOKUP(_xlfn.XLOOKUP(A907,orders[orderID],orders[customerID],,0),customers__2[customerID],customers__2[companyName],,0)</f>
        <v>QUICK-Stop</v>
      </c>
      <c r="K907" t="str">
        <f>_xlfn.XLOOKUP(Table9[[#This Row],[Company Name]],customers__2[companyName],customers__2[country],,0)</f>
        <v>Germany</v>
      </c>
      <c r="L907">
        <f>MONTH(Table9[[#This Row],[OrderDate ]])</f>
        <v>7</v>
      </c>
      <c r="M907" t="str">
        <f>TEXT(Table9[[#This Row],[OrderDate ]],"mmm")</f>
        <v>Jul</v>
      </c>
      <c r="N907">
        <f>YEAR(Table9[[#This Row],[OrderDate ]])</f>
        <v>2014</v>
      </c>
    </row>
    <row r="908" spans="1:14" x14ac:dyDescent="0.3">
      <c r="A908">
        <v>10589</v>
      </c>
      <c r="B908" s="2">
        <f>_xlfn.XLOOKUP(Table9[[#This Row],[orderID]],orders[orderID],orders[orderDate],,0)</f>
        <v>41824</v>
      </c>
      <c r="C908">
        <f>_xlfn.XLOOKUP(A908,order_details[orderID],order_details[productID],,0)</f>
        <v>35</v>
      </c>
      <c r="D908" t="str">
        <f>_xlfn.XLOOKUP(C908,products[productID],products[productName],,0)</f>
        <v>Steeleye Stout</v>
      </c>
      <c r="E908" t="str">
        <f>_xlfn.XLOOKUP(_xlfn.XLOOKUP(Table9[[#This Row],[ProductName ]],products[productName],products[categoryID],,0),categories[categoryID],categories[categoryName],,0)</f>
        <v>Beverages</v>
      </c>
      <c r="F908">
        <v>4</v>
      </c>
      <c r="G908">
        <v>18</v>
      </c>
      <c r="H908">
        <v>0</v>
      </c>
      <c r="I908">
        <f>Table9[[#This Row],[quantity]]*Table9[[#This Row],[unitPrice]]*(1-Table9[[#This Row],[discount]]/100)</f>
        <v>72</v>
      </c>
      <c r="J908" t="str">
        <f>_xlfn.XLOOKUP(_xlfn.XLOOKUP(A908,orders[orderID],orders[customerID],,0),customers__2[customerID],customers__2[companyName],,0)</f>
        <v>Great Lakes Food Market</v>
      </c>
      <c r="K908" t="str">
        <f>_xlfn.XLOOKUP(Table9[[#This Row],[Company Name]],customers__2[companyName],customers__2[country],,0)</f>
        <v>USA</v>
      </c>
      <c r="L908">
        <f>MONTH(Table9[[#This Row],[OrderDate ]])</f>
        <v>7</v>
      </c>
      <c r="M908" t="str">
        <f>TEXT(Table9[[#This Row],[OrderDate ]],"mmm")</f>
        <v>Jul</v>
      </c>
      <c r="N908">
        <f>YEAR(Table9[[#This Row],[OrderDate ]])</f>
        <v>2014</v>
      </c>
    </row>
    <row r="909" spans="1:14" x14ac:dyDescent="0.3">
      <c r="A909">
        <v>10590</v>
      </c>
      <c r="B909" s="2">
        <f>_xlfn.XLOOKUP(Table9[[#This Row],[orderID]],orders[orderID],orders[orderDate],,0)</f>
        <v>41827</v>
      </c>
      <c r="C909">
        <f>_xlfn.XLOOKUP(A909,order_details[orderID],order_details[productID],,0)</f>
        <v>1</v>
      </c>
      <c r="D909" t="str">
        <f>_xlfn.XLOOKUP(C909,products[productID],products[productName],,0)</f>
        <v>Chai</v>
      </c>
      <c r="E909" t="str">
        <f>_xlfn.XLOOKUP(_xlfn.XLOOKUP(Table9[[#This Row],[ProductName ]],products[productName],products[categoryID],,0),categories[categoryID],categories[categoryName],,0)</f>
        <v>Beverages</v>
      </c>
      <c r="F909">
        <v>20</v>
      </c>
      <c r="G909">
        <v>18</v>
      </c>
      <c r="H909">
        <v>0</v>
      </c>
      <c r="I909">
        <f>Table9[[#This Row],[quantity]]*Table9[[#This Row],[unitPrice]]*(1-Table9[[#This Row],[discount]]/100)</f>
        <v>360</v>
      </c>
      <c r="J909" t="str">
        <f>_xlfn.XLOOKUP(_xlfn.XLOOKUP(A909,orders[orderID],orders[customerID],,0),customers__2[customerID],customers__2[companyName],,0)</f>
        <v>Mère Paillarde</v>
      </c>
      <c r="K909" t="str">
        <f>_xlfn.XLOOKUP(Table9[[#This Row],[Company Name]],customers__2[companyName],customers__2[country],,0)</f>
        <v>Canada</v>
      </c>
      <c r="L909">
        <f>MONTH(Table9[[#This Row],[OrderDate ]])</f>
        <v>7</v>
      </c>
      <c r="M909" t="str">
        <f>TEXT(Table9[[#This Row],[OrderDate ]],"mmm")</f>
        <v>Jul</v>
      </c>
      <c r="N909">
        <f>YEAR(Table9[[#This Row],[OrderDate ]])</f>
        <v>2014</v>
      </c>
    </row>
    <row r="910" spans="1:14" x14ac:dyDescent="0.3">
      <c r="A910">
        <v>10590</v>
      </c>
      <c r="B910" s="2">
        <f>_xlfn.XLOOKUP(Table9[[#This Row],[orderID]],orders[orderID],orders[orderDate],,0)</f>
        <v>41827</v>
      </c>
      <c r="C910">
        <f>_xlfn.XLOOKUP(A910,order_details[orderID],order_details[productID],,0)</f>
        <v>1</v>
      </c>
      <c r="D910" t="str">
        <f>_xlfn.XLOOKUP(C910,products[productID],products[productName],,0)</f>
        <v>Chai</v>
      </c>
      <c r="E910" t="str">
        <f>_xlfn.XLOOKUP(_xlfn.XLOOKUP(Table9[[#This Row],[ProductName ]],products[productName],products[categoryID],,0),categories[categoryID],categories[categoryName],,0)</f>
        <v>Beverages</v>
      </c>
      <c r="F910">
        <v>60</v>
      </c>
      <c r="G910">
        <v>13</v>
      </c>
      <c r="H910">
        <v>5</v>
      </c>
      <c r="I910">
        <f>Table9[[#This Row],[quantity]]*Table9[[#This Row],[unitPrice]]*(1-Table9[[#This Row],[discount]]/100)</f>
        <v>741</v>
      </c>
      <c r="J910" t="str">
        <f>_xlfn.XLOOKUP(_xlfn.XLOOKUP(A910,orders[orderID],orders[customerID],,0),customers__2[customerID],customers__2[companyName],,0)</f>
        <v>Mère Paillarde</v>
      </c>
      <c r="K910" t="str">
        <f>_xlfn.XLOOKUP(Table9[[#This Row],[Company Name]],customers__2[companyName],customers__2[country],,0)</f>
        <v>Canada</v>
      </c>
      <c r="L910">
        <f>MONTH(Table9[[#This Row],[OrderDate ]])</f>
        <v>7</v>
      </c>
      <c r="M910" t="str">
        <f>TEXT(Table9[[#This Row],[OrderDate ]],"mmm")</f>
        <v>Jul</v>
      </c>
      <c r="N910">
        <f>YEAR(Table9[[#This Row],[OrderDate ]])</f>
        <v>2014</v>
      </c>
    </row>
    <row r="911" spans="1:14" x14ac:dyDescent="0.3">
      <c r="A911">
        <v>10591</v>
      </c>
      <c r="B911" s="2">
        <f>_xlfn.XLOOKUP(Table9[[#This Row],[orderID]],orders[orderID],orders[orderDate],,0)</f>
        <v>41827</v>
      </c>
      <c r="C911">
        <f>_xlfn.XLOOKUP(A911,order_details[orderID],order_details[productID],,0)</f>
        <v>3</v>
      </c>
      <c r="D911" t="str">
        <f>_xlfn.XLOOKUP(C911,products[productID],products[productName],,0)</f>
        <v>Aniseed Syrup</v>
      </c>
      <c r="E911" t="str">
        <f>_xlfn.XLOOKUP(_xlfn.XLOOKUP(Table9[[#This Row],[ProductName ]],products[productName],products[categoryID],,0),categories[categoryID],categories[categoryName],,0)</f>
        <v>Condiments</v>
      </c>
      <c r="F911">
        <v>14</v>
      </c>
      <c r="G911">
        <v>10</v>
      </c>
      <c r="H911">
        <v>0</v>
      </c>
      <c r="I911">
        <f>Table9[[#This Row],[quantity]]*Table9[[#This Row],[unitPrice]]*(1-Table9[[#This Row],[discount]]/100)</f>
        <v>140</v>
      </c>
      <c r="J911" t="str">
        <f>_xlfn.XLOOKUP(_xlfn.XLOOKUP(A911,orders[orderID],orders[customerID],,0),customers__2[customerID],customers__2[companyName],,0)</f>
        <v>Vaffeljernet</v>
      </c>
      <c r="K911" t="str">
        <f>_xlfn.XLOOKUP(Table9[[#This Row],[Company Name]],customers__2[companyName],customers__2[country],,0)</f>
        <v>Denmark</v>
      </c>
      <c r="L911">
        <f>MONTH(Table9[[#This Row],[OrderDate ]])</f>
        <v>7</v>
      </c>
      <c r="M911" t="str">
        <f>TEXT(Table9[[#This Row],[OrderDate ]],"mmm")</f>
        <v>Jul</v>
      </c>
      <c r="N911">
        <f>YEAR(Table9[[#This Row],[OrderDate ]])</f>
        <v>2014</v>
      </c>
    </row>
    <row r="912" spans="1:14" x14ac:dyDescent="0.3">
      <c r="A912">
        <v>10591</v>
      </c>
      <c r="B912" s="2">
        <f>_xlfn.XLOOKUP(Table9[[#This Row],[orderID]],orders[orderID],orders[orderDate],,0)</f>
        <v>41827</v>
      </c>
      <c r="C912">
        <f>_xlfn.XLOOKUP(A912,order_details[orderID],order_details[productID],,0)</f>
        <v>3</v>
      </c>
      <c r="D912" t="str">
        <f>_xlfn.XLOOKUP(C912,products[productID],products[productName],,0)</f>
        <v>Aniseed Syrup</v>
      </c>
      <c r="E912" t="str">
        <f>_xlfn.XLOOKUP(_xlfn.XLOOKUP(Table9[[#This Row],[ProductName ]],products[productName],products[categoryID],,0),categories[categoryID],categories[categoryName],,0)</f>
        <v>Condiments</v>
      </c>
      <c r="F912">
        <v>10</v>
      </c>
      <c r="G912">
        <v>30</v>
      </c>
      <c r="H912">
        <v>0</v>
      </c>
      <c r="I912">
        <f>Table9[[#This Row],[quantity]]*Table9[[#This Row],[unitPrice]]*(1-Table9[[#This Row],[discount]]/100)</f>
        <v>300</v>
      </c>
      <c r="J912" t="str">
        <f>_xlfn.XLOOKUP(_xlfn.XLOOKUP(A912,orders[orderID],orders[customerID],,0),customers__2[customerID],customers__2[companyName],,0)</f>
        <v>Vaffeljernet</v>
      </c>
      <c r="K912" t="str">
        <f>_xlfn.XLOOKUP(Table9[[#This Row],[Company Name]],customers__2[companyName],customers__2[country],,0)</f>
        <v>Denmark</v>
      </c>
      <c r="L912">
        <f>MONTH(Table9[[#This Row],[OrderDate ]])</f>
        <v>7</v>
      </c>
      <c r="M912" t="str">
        <f>TEXT(Table9[[#This Row],[OrderDate ]],"mmm")</f>
        <v>Jul</v>
      </c>
      <c r="N912">
        <f>YEAR(Table9[[#This Row],[OrderDate ]])</f>
        <v>2014</v>
      </c>
    </row>
    <row r="913" spans="1:14" x14ac:dyDescent="0.3">
      <c r="A913">
        <v>10591</v>
      </c>
      <c r="B913" s="2">
        <f>_xlfn.XLOOKUP(Table9[[#This Row],[orderID]],orders[orderID],orders[orderDate],,0)</f>
        <v>41827</v>
      </c>
      <c r="C913">
        <f>_xlfn.XLOOKUP(A913,order_details[orderID],order_details[productID],,0)</f>
        <v>3</v>
      </c>
      <c r="D913" t="str">
        <f>_xlfn.XLOOKUP(C913,products[productID],products[productName],,0)</f>
        <v>Aniseed Syrup</v>
      </c>
      <c r="E913" t="str">
        <f>_xlfn.XLOOKUP(_xlfn.XLOOKUP(Table9[[#This Row],[ProductName ]],products[productName],products[categoryID],,0),categories[categoryID],categories[categoryName],,0)</f>
        <v>Condiments</v>
      </c>
      <c r="F913">
        <v>50</v>
      </c>
      <c r="G913">
        <v>745</v>
      </c>
      <c r="H913">
        <v>0</v>
      </c>
      <c r="I913">
        <f>Table9[[#This Row],[quantity]]*Table9[[#This Row],[unitPrice]]*(1-Table9[[#This Row],[discount]]/100)</f>
        <v>37250</v>
      </c>
      <c r="J913" t="str">
        <f>_xlfn.XLOOKUP(_xlfn.XLOOKUP(A913,orders[orderID],orders[customerID],,0),customers__2[customerID],customers__2[companyName],,0)</f>
        <v>Vaffeljernet</v>
      </c>
      <c r="K913" t="str">
        <f>_xlfn.XLOOKUP(Table9[[#This Row],[Company Name]],customers__2[companyName],customers__2[country],,0)</f>
        <v>Denmark</v>
      </c>
      <c r="L913">
        <f>MONTH(Table9[[#This Row],[OrderDate ]])</f>
        <v>7</v>
      </c>
      <c r="M913" t="str">
        <f>TEXT(Table9[[#This Row],[OrderDate ]],"mmm")</f>
        <v>Jul</v>
      </c>
      <c r="N913">
        <f>YEAR(Table9[[#This Row],[OrderDate ]])</f>
        <v>2014</v>
      </c>
    </row>
    <row r="914" spans="1:14" x14ac:dyDescent="0.3">
      <c r="A914">
        <v>10592</v>
      </c>
      <c r="B914" s="2">
        <f>_xlfn.XLOOKUP(Table9[[#This Row],[orderID]],orders[orderID],orders[orderDate],,0)</f>
        <v>41828</v>
      </c>
      <c r="C914">
        <f>_xlfn.XLOOKUP(A914,order_details[orderID],order_details[productID],,0)</f>
        <v>15</v>
      </c>
      <c r="D914" t="str">
        <f>_xlfn.XLOOKUP(C914,products[productID],products[productName],,0)</f>
        <v>Genen Shouyu</v>
      </c>
      <c r="E914" t="str">
        <f>_xlfn.XLOOKUP(_xlfn.XLOOKUP(Table9[[#This Row],[ProductName ]],products[productName],products[categoryID],,0),categories[categoryID],categories[categoryName],,0)</f>
        <v>Condiments</v>
      </c>
      <c r="F914">
        <v>25</v>
      </c>
      <c r="G914">
        <v>155</v>
      </c>
      <c r="H914">
        <v>5</v>
      </c>
      <c r="I914">
        <f>Table9[[#This Row],[quantity]]*Table9[[#This Row],[unitPrice]]*(1-Table9[[#This Row],[discount]]/100)</f>
        <v>3681.25</v>
      </c>
      <c r="J914" t="str">
        <f>_xlfn.XLOOKUP(_xlfn.XLOOKUP(A914,orders[orderID],orders[customerID],,0),customers__2[customerID],customers__2[companyName],,0)</f>
        <v>Lehmanns Marktstand</v>
      </c>
      <c r="K914" t="str">
        <f>_xlfn.XLOOKUP(Table9[[#This Row],[Company Name]],customers__2[companyName],customers__2[country],,0)</f>
        <v>Germany</v>
      </c>
      <c r="L914">
        <f>MONTH(Table9[[#This Row],[OrderDate ]])</f>
        <v>7</v>
      </c>
      <c r="M914" t="str">
        <f>TEXT(Table9[[#This Row],[OrderDate ]],"mmm")</f>
        <v>Jul</v>
      </c>
      <c r="N914">
        <f>YEAR(Table9[[#This Row],[OrderDate ]])</f>
        <v>2014</v>
      </c>
    </row>
    <row r="915" spans="1:14" x14ac:dyDescent="0.3">
      <c r="A915">
        <v>10592</v>
      </c>
      <c r="B915" s="2">
        <f>_xlfn.XLOOKUP(Table9[[#This Row],[orderID]],orders[orderID],orders[orderDate],,0)</f>
        <v>41828</v>
      </c>
      <c r="C915">
        <f>_xlfn.XLOOKUP(A915,order_details[orderID],order_details[productID],,0)</f>
        <v>15</v>
      </c>
      <c r="D915" t="str">
        <f>_xlfn.XLOOKUP(C915,products[productID],products[productName],,0)</f>
        <v>Genen Shouyu</v>
      </c>
      <c r="E915" t="str">
        <f>_xlfn.XLOOKUP(_xlfn.XLOOKUP(Table9[[#This Row],[ProductName ]],products[productName],products[categoryID],,0),categories[categoryID],categories[categoryName],,0)</f>
        <v>Condiments</v>
      </c>
      <c r="F915">
        <v>5</v>
      </c>
      <c r="G915">
        <v>3123</v>
      </c>
      <c r="H915">
        <v>5</v>
      </c>
      <c r="I915">
        <f>Table9[[#This Row],[quantity]]*Table9[[#This Row],[unitPrice]]*(1-Table9[[#This Row],[discount]]/100)</f>
        <v>14834.25</v>
      </c>
      <c r="J915" t="str">
        <f>_xlfn.XLOOKUP(_xlfn.XLOOKUP(A915,orders[orderID],orders[customerID],,0),customers__2[customerID],customers__2[companyName],,0)</f>
        <v>Lehmanns Marktstand</v>
      </c>
      <c r="K915" t="str">
        <f>_xlfn.XLOOKUP(Table9[[#This Row],[Company Name]],customers__2[companyName],customers__2[country],,0)</f>
        <v>Germany</v>
      </c>
      <c r="L915">
        <f>MONTH(Table9[[#This Row],[OrderDate ]])</f>
        <v>7</v>
      </c>
      <c r="M915" t="str">
        <f>TEXT(Table9[[#This Row],[OrderDate ]],"mmm")</f>
        <v>Jul</v>
      </c>
      <c r="N915">
        <f>YEAR(Table9[[#This Row],[OrderDate ]])</f>
        <v>2014</v>
      </c>
    </row>
    <row r="916" spans="1:14" x14ac:dyDescent="0.3">
      <c r="A916">
        <v>10593</v>
      </c>
      <c r="B916" s="2">
        <f>_xlfn.XLOOKUP(Table9[[#This Row],[orderID]],orders[orderID],orders[orderDate],,0)</f>
        <v>41829</v>
      </c>
      <c r="C916">
        <f>_xlfn.XLOOKUP(A916,order_details[orderID],order_details[productID],,0)</f>
        <v>20</v>
      </c>
      <c r="D916" t="str">
        <f>_xlfn.XLOOKUP(C916,products[productID],products[productName],,0)</f>
        <v>Sir Rodney's Marmalade</v>
      </c>
      <c r="E916" t="str">
        <f>_xlfn.XLOOKUP(_xlfn.XLOOKUP(Table9[[#This Row],[ProductName ]],products[productName],products[categoryID],,0),categories[categoryID],categories[categoryName],,0)</f>
        <v>Confections</v>
      </c>
      <c r="F916">
        <v>21</v>
      </c>
      <c r="G916">
        <v>81</v>
      </c>
      <c r="H916">
        <v>2</v>
      </c>
      <c r="I916">
        <f>Table9[[#This Row],[quantity]]*Table9[[#This Row],[unitPrice]]*(1-Table9[[#This Row],[discount]]/100)</f>
        <v>1666.98</v>
      </c>
      <c r="J916" t="str">
        <f>_xlfn.XLOOKUP(_xlfn.XLOOKUP(A916,orders[orderID],orders[customerID],,0),customers__2[customerID],customers__2[companyName],,0)</f>
        <v>Lehmanns Marktstand</v>
      </c>
      <c r="K916" t="str">
        <f>_xlfn.XLOOKUP(Table9[[#This Row],[Company Name]],customers__2[companyName],customers__2[country],,0)</f>
        <v>Germany</v>
      </c>
      <c r="L916">
        <f>MONTH(Table9[[#This Row],[OrderDate ]])</f>
        <v>7</v>
      </c>
      <c r="M916" t="str">
        <f>TEXT(Table9[[#This Row],[OrderDate ]],"mmm")</f>
        <v>Jul</v>
      </c>
      <c r="N916">
        <f>YEAR(Table9[[#This Row],[OrderDate ]])</f>
        <v>2014</v>
      </c>
    </row>
    <row r="917" spans="1:14" x14ac:dyDescent="0.3">
      <c r="A917">
        <v>10593</v>
      </c>
      <c r="B917" s="2">
        <f>_xlfn.XLOOKUP(Table9[[#This Row],[orderID]],orders[orderID],orders[orderDate],,0)</f>
        <v>41829</v>
      </c>
      <c r="C917">
        <f>_xlfn.XLOOKUP(A917,order_details[orderID],order_details[productID],,0)</f>
        <v>20</v>
      </c>
      <c r="D917" t="str">
        <f>_xlfn.XLOOKUP(C917,products[productID],products[productName],,0)</f>
        <v>Sir Rodney's Marmalade</v>
      </c>
      <c r="E917" t="str">
        <f>_xlfn.XLOOKUP(_xlfn.XLOOKUP(Table9[[#This Row],[ProductName ]],products[productName],products[categoryID],,0),categories[categoryID],categories[categoryName],,0)</f>
        <v>Confections</v>
      </c>
      <c r="F917">
        <v>20</v>
      </c>
      <c r="G917">
        <v>36</v>
      </c>
      <c r="H917">
        <v>2</v>
      </c>
      <c r="I917">
        <f>Table9[[#This Row],[quantity]]*Table9[[#This Row],[unitPrice]]*(1-Table9[[#This Row],[discount]]/100)</f>
        <v>705.6</v>
      </c>
      <c r="J917" t="str">
        <f>_xlfn.XLOOKUP(_xlfn.XLOOKUP(A917,orders[orderID],orders[customerID],,0),customers__2[customerID],customers__2[companyName],,0)</f>
        <v>Lehmanns Marktstand</v>
      </c>
      <c r="K917" t="str">
        <f>_xlfn.XLOOKUP(Table9[[#This Row],[Company Name]],customers__2[companyName],customers__2[country],,0)</f>
        <v>Germany</v>
      </c>
      <c r="L917">
        <f>MONTH(Table9[[#This Row],[OrderDate ]])</f>
        <v>7</v>
      </c>
      <c r="M917" t="str">
        <f>TEXT(Table9[[#This Row],[OrderDate ]],"mmm")</f>
        <v>Jul</v>
      </c>
      <c r="N917">
        <f>YEAR(Table9[[#This Row],[OrderDate ]])</f>
        <v>2014</v>
      </c>
    </row>
    <row r="918" spans="1:14" x14ac:dyDescent="0.3">
      <c r="A918">
        <v>10593</v>
      </c>
      <c r="B918" s="2">
        <f>_xlfn.XLOOKUP(Table9[[#This Row],[orderID]],orders[orderID],orders[orderDate],,0)</f>
        <v>41829</v>
      </c>
      <c r="C918">
        <f>_xlfn.XLOOKUP(A918,order_details[orderID],order_details[productID],,0)</f>
        <v>20</v>
      </c>
      <c r="D918" t="str">
        <f>_xlfn.XLOOKUP(C918,products[productID],products[productName],,0)</f>
        <v>Sir Rodney's Marmalade</v>
      </c>
      <c r="E918" t="str">
        <f>_xlfn.XLOOKUP(_xlfn.XLOOKUP(Table9[[#This Row],[ProductName ]],products[productName],products[categoryID],,0),categories[categoryID],categories[categoryName],,0)</f>
        <v>Confections</v>
      </c>
      <c r="F918">
        <v>4</v>
      </c>
      <c r="G918">
        <v>18</v>
      </c>
      <c r="H918">
        <v>2</v>
      </c>
      <c r="I918">
        <f>Table9[[#This Row],[quantity]]*Table9[[#This Row],[unitPrice]]*(1-Table9[[#This Row],[discount]]/100)</f>
        <v>70.56</v>
      </c>
      <c r="J918" t="str">
        <f>_xlfn.XLOOKUP(_xlfn.XLOOKUP(A918,orders[orderID],orders[customerID],,0),customers__2[customerID],customers__2[companyName],,0)</f>
        <v>Lehmanns Marktstand</v>
      </c>
      <c r="K918" t="str">
        <f>_xlfn.XLOOKUP(Table9[[#This Row],[Company Name]],customers__2[companyName],customers__2[country],,0)</f>
        <v>Germany</v>
      </c>
      <c r="L918">
        <f>MONTH(Table9[[#This Row],[OrderDate ]])</f>
        <v>7</v>
      </c>
      <c r="M918" t="str">
        <f>TEXT(Table9[[#This Row],[OrderDate ]],"mmm")</f>
        <v>Jul</v>
      </c>
      <c r="N918">
        <f>YEAR(Table9[[#This Row],[OrderDate ]])</f>
        <v>2014</v>
      </c>
    </row>
    <row r="919" spans="1:14" x14ac:dyDescent="0.3">
      <c r="A919">
        <v>10594</v>
      </c>
      <c r="B919" s="2">
        <f>_xlfn.XLOOKUP(Table9[[#This Row],[orderID]],orders[orderID],orders[orderDate],,0)</f>
        <v>41829</v>
      </c>
      <c r="C919">
        <f>_xlfn.XLOOKUP(A919,order_details[orderID],order_details[productID],,0)</f>
        <v>52</v>
      </c>
      <c r="D919" t="str">
        <f>_xlfn.XLOOKUP(C919,products[productID],products[productName],,0)</f>
        <v>Filo Mix</v>
      </c>
      <c r="E919" t="str">
        <f>_xlfn.XLOOKUP(_xlfn.XLOOKUP(Table9[[#This Row],[ProductName ]],products[productName],products[categoryID],,0),categories[categoryID],categories[categoryName],,0)</f>
        <v>Grains &amp; Cereals</v>
      </c>
      <c r="F919">
        <v>24</v>
      </c>
      <c r="G919">
        <v>7</v>
      </c>
      <c r="H919">
        <v>0</v>
      </c>
      <c r="I919">
        <f>Table9[[#This Row],[quantity]]*Table9[[#This Row],[unitPrice]]*(1-Table9[[#This Row],[discount]]/100)</f>
        <v>168</v>
      </c>
      <c r="J919" t="str">
        <f>_xlfn.XLOOKUP(_xlfn.XLOOKUP(A919,orders[orderID],orders[customerID],,0),customers__2[customerID],customers__2[companyName],,0)</f>
        <v>Old World Delicatessen</v>
      </c>
      <c r="K919" t="str">
        <f>_xlfn.XLOOKUP(Table9[[#This Row],[Company Name]],customers__2[companyName],customers__2[country],,0)</f>
        <v>USA</v>
      </c>
      <c r="L919">
        <f>MONTH(Table9[[#This Row],[OrderDate ]])</f>
        <v>7</v>
      </c>
      <c r="M919" t="str">
        <f>TEXT(Table9[[#This Row],[OrderDate ]],"mmm")</f>
        <v>Jul</v>
      </c>
      <c r="N919">
        <f>YEAR(Table9[[#This Row],[OrderDate ]])</f>
        <v>2014</v>
      </c>
    </row>
    <row r="920" spans="1:14" x14ac:dyDescent="0.3">
      <c r="A920">
        <v>10594</v>
      </c>
      <c r="B920" s="2">
        <f>_xlfn.XLOOKUP(Table9[[#This Row],[orderID]],orders[orderID],orders[orderDate],,0)</f>
        <v>41829</v>
      </c>
      <c r="C920">
        <f>_xlfn.XLOOKUP(A920,order_details[orderID],order_details[productID],,0)</f>
        <v>52</v>
      </c>
      <c r="D920" t="str">
        <f>_xlfn.XLOOKUP(C920,products[productID],products[productName],,0)</f>
        <v>Filo Mix</v>
      </c>
      <c r="E920" t="str">
        <f>_xlfn.XLOOKUP(_xlfn.XLOOKUP(Table9[[#This Row],[ProductName ]],products[productName],products[categoryID],,0),categories[categoryID],categories[categoryName],,0)</f>
        <v>Grains &amp; Cereals</v>
      </c>
      <c r="F920">
        <v>30</v>
      </c>
      <c r="G920">
        <v>1325</v>
      </c>
      <c r="H920">
        <v>0</v>
      </c>
      <c r="I920">
        <f>Table9[[#This Row],[quantity]]*Table9[[#This Row],[unitPrice]]*(1-Table9[[#This Row],[discount]]/100)</f>
        <v>39750</v>
      </c>
      <c r="J920" t="str">
        <f>_xlfn.XLOOKUP(_xlfn.XLOOKUP(A920,orders[orderID],orders[customerID],,0),customers__2[customerID],customers__2[companyName],,0)</f>
        <v>Old World Delicatessen</v>
      </c>
      <c r="K920" t="str">
        <f>_xlfn.XLOOKUP(Table9[[#This Row],[Company Name]],customers__2[companyName],customers__2[country],,0)</f>
        <v>USA</v>
      </c>
      <c r="L920">
        <f>MONTH(Table9[[#This Row],[OrderDate ]])</f>
        <v>7</v>
      </c>
      <c r="M920" t="str">
        <f>TEXT(Table9[[#This Row],[OrderDate ]],"mmm")</f>
        <v>Jul</v>
      </c>
      <c r="N920">
        <f>YEAR(Table9[[#This Row],[OrderDate ]])</f>
        <v>2014</v>
      </c>
    </row>
    <row r="921" spans="1:14" x14ac:dyDescent="0.3">
      <c r="A921">
        <v>10595</v>
      </c>
      <c r="B921" s="2">
        <f>_xlfn.XLOOKUP(Table9[[#This Row],[orderID]],orders[orderID],orders[orderDate],,0)</f>
        <v>41830</v>
      </c>
      <c r="C921">
        <f>_xlfn.XLOOKUP(A921,order_details[orderID],order_details[productID],,0)</f>
        <v>35</v>
      </c>
      <c r="D921" t="str">
        <f>_xlfn.XLOOKUP(C921,products[productID],products[productName],,0)</f>
        <v>Steeleye Stout</v>
      </c>
      <c r="E921" t="str">
        <f>_xlfn.XLOOKUP(_xlfn.XLOOKUP(Table9[[#This Row],[ProductName ]],products[productName],products[categoryID],,0),categories[categoryID],categories[categoryName],,0)</f>
        <v>Beverages</v>
      </c>
      <c r="F921">
        <v>30</v>
      </c>
      <c r="G921">
        <v>18</v>
      </c>
      <c r="H921">
        <v>25</v>
      </c>
      <c r="I921">
        <f>Table9[[#This Row],[quantity]]*Table9[[#This Row],[unitPrice]]*(1-Table9[[#This Row],[discount]]/100)</f>
        <v>405</v>
      </c>
      <c r="J921" t="str">
        <f>_xlfn.XLOOKUP(_xlfn.XLOOKUP(A921,orders[orderID],orders[customerID],,0),customers__2[customerID],customers__2[companyName],,0)</f>
        <v>Ernst Handel</v>
      </c>
      <c r="K921" t="str">
        <f>_xlfn.XLOOKUP(Table9[[#This Row],[Company Name]],customers__2[companyName],customers__2[country],,0)</f>
        <v>Austria</v>
      </c>
      <c r="L921">
        <f>MONTH(Table9[[#This Row],[OrderDate ]])</f>
        <v>7</v>
      </c>
      <c r="M921" t="str">
        <f>TEXT(Table9[[#This Row],[OrderDate ]],"mmm")</f>
        <v>Jul</v>
      </c>
      <c r="N921">
        <f>YEAR(Table9[[#This Row],[OrderDate ]])</f>
        <v>2014</v>
      </c>
    </row>
    <row r="922" spans="1:14" x14ac:dyDescent="0.3">
      <c r="A922">
        <v>10595</v>
      </c>
      <c r="B922" s="2">
        <f>_xlfn.XLOOKUP(Table9[[#This Row],[orderID]],orders[orderID],orders[orderDate],,0)</f>
        <v>41830</v>
      </c>
      <c r="C922">
        <f>_xlfn.XLOOKUP(A922,order_details[orderID],order_details[productID],,0)</f>
        <v>35</v>
      </c>
      <c r="D922" t="str">
        <f>_xlfn.XLOOKUP(C922,products[productID],products[productName],,0)</f>
        <v>Steeleye Stout</v>
      </c>
      <c r="E922" t="str">
        <f>_xlfn.XLOOKUP(_xlfn.XLOOKUP(Table9[[#This Row],[ProductName ]],products[productName],products[categoryID],,0),categories[categoryID],categories[categoryName],,0)</f>
        <v>Beverages</v>
      </c>
      <c r="F922">
        <v>120</v>
      </c>
      <c r="G922">
        <v>285</v>
      </c>
      <c r="H922">
        <v>25</v>
      </c>
      <c r="I922">
        <f>Table9[[#This Row],[quantity]]*Table9[[#This Row],[unitPrice]]*(1-Table9[[#This Row],[discount]]/100)</f>
        <v>25650</v>
      </c>
      <c r="J922" t="str">
        <f>_xlfn.XLOOKUP(_xlfn.XLOOKUP(A922,orders[orderID],orders[customerID],,0),customers__2[customerID],customers__2[companyName],,0)</f>
        <v>Ernst Handel</v>
      </c>
      <c r="K922" t="str">
        <f>_xlfn.XLOOKUP(Table9[[#This Row],[Company Name]],customers__2[companyName],customers__2[country],,0)</f>
        <v>Austria</v>
      </c>
      <c r="L922">
        <f>MONTH(Table9[[#This Row],[OrderDate ]])</f>
        <v>7</v>
      </c>
      <c r="M922" t="str">
        <f>TEXT(Table9[[#This Row],[OrderDate ]],"mmm")</f>
        <v>Jul</v>
      </c>
      <c r="N922">
        <f>YEAR(Table9[[#This Row],[OrderDate ]])</f>
        <v>2014</v>
      </c>
    </row>
    <row r="923" spans="1:14" x14ac:dyDescent="0.3">
      <c r="A923">
        <v>10595</v>
      </c>
      <c r="B923" s="2">
        <f>_xlfn.XLOOKUP(Table9[[#This Row],[orderID]],orders[orderID],orders[orderDate],,0)</f>
        <v>41830</v>
      </c>
      <c r="C923">
        <f>_xlfn.XLOOKUP(A923,order_details[orderID],order_details[productID],,0)</f>
        <v>35</v>
      </c>
      <c r="D923" t="str">
        <f>_xlfn.XLOOKUP(C923,products[productID],products[productName],,0)</f>
        <v>Steeleye Stout</v>
      </c>
      <c r="E923" t="str">
        <f>_xlfn.XLOOKUP(_xlfn.XLOOKUP(Table9[[#This Row],[ProductName ]],products[productName],products[categoryID],,0),categories[categoryID],categories[categoryName],,0)</f>
        <v>Beverages</v>
      </c>
      <c r="F923">
        <v>65</v>
      </c>
      <c r="G923">
        <v>36</v>
      </c>
      <c r="H923">
        <v>25</v>
      </c>
      <c r="I923">
        <f>Table9[[#This Row],[quantity]]*Table9[[#This Row],[unitPrice]]*(1-Table9[[#This Row],[discount]]/100)</f>
        <v>1755</v>
      </c>
      <c r="J923" t="str">
        <f>_xlfn.XLOOKUP(_xlfn.XLOOKUP(A923,orders[orderID],orders[customerID],,0),customers__2[customerID],customers__2[companyName],,0)</f>
        <v>Ernst Handel</v>
      </c>
      <c r="K923" t="str">
        <f>_xlfn.XLOOKUP(Table9[[#This Row],[Company Name]],customers__2[companyName],customers__2[country],,0)</f>
        <v>Austria</v>
      </c>
      <c r="L923">
        <f>MONTH(Table9[[#This Row],[OrderDate ]])</f>
        <v>7</v>
      </c>
      <c r="M923" t="str">
        <f>TEXT(Table9[[#This Row],[OrderDate ]],"mmm")</f>
        <v>Jul</v>
      </c>
      <c r="N923">
        <f>YEAR(Table9[[#This Row],[OrderDate ]])</f>
        <v>2014</v>
      </c>
    </row>
    <row r="924" spans="1:14" x14ac:dyDescent="0.3">
      <c r="A924">
        <v>10596</v>
      </c>
      <c r="B924" s="2">
        <f>_xlfn.XLOOKUP(Table9[[#This Row],[orderID]],orders[orderID],orders[orderDate],,0)</f>
        <v>41831</v>
      </c>
      <c r="C924">
        <f>_xlfn.XLOOKUP(A924,order_details[orderID],order_details[productID],,0)</f>
        <v>56</v>
      </c>
      <c r="D924" t="str">
        <f>_xlfn.XLOOKUP(C924,products[productID],products[productName],,0)</f>
        <v>Gnocchi di nonna Alice</v>
      </c>
      <c r="E924" t="str">
        <f>_xlfn.XLOOKUP(_xlfn.XLOOKUP(Table9[[#This Row],[ProductName ]],products[productName],products[categoryID],,0),categories[categoryID],categories[categoryName],,0)</f>
        <v>Grains &amp; Cereals</v>
      </c>
      <c r="F924">
        <v>5</v>
      </c>
      <c r="G924">
        <v>38</v>
      </c>
      <c r="H924">
        <v>2</v>
      </c>
      <c r="I924">
        <f>Table9[[#This Row],[quantity]]*Table9[[#This Row],[unitPrice]]*(1-Table9[[#This Row],[discount]]/100)</f>
        <v>186.2</v>
      </c>
      <c r="J924" t="str">
        <f>_xlfn.XLOOKUP(_xlfn.XLOOKUP(A924,orders[orderID],orders[customerID],,0),customers__2[customerID],customers__2[companyName],,0)</f>
        <v>White Clover Markets</v>
      </c>
      <c r="K924" t="str">
        <f>_xlfn.XLOOKUP(Table9[[#This Row],[Company Name]],customers__2[companyName],customers__2[country],,0)</f>
        <v>USA</v>
      </c>
      <c r="L924">
        <f>MONTH(Table9[[#This Row],[OrderDate ]])</f>
        <v>7</v>
      </c>
      <c r="M924" t="str">
        <f>TEXT(Table9[[#This Row],[OrderDate ]],"mmm")</f>
        <v>Jul</v>
      </c>
      <c r="N924">
        <f>YEAR(Table9[[#This Row],[OrderDate ]])</f>
        <v>2014</v>
      </c>
    </row>
    <row r="925" spans="1:14" x14ac:dyDescent="0.3">
      <c r="A925">
        <v>10596</v>
      </c>
      <c r="B925" s="2">
        <f>_xlfn.XLOOKUP(Table9[[#This Row],[orderID]],orders[orderID],orders[orderDate],,0)</f>
        <v>41831</v>
      </c>
      <c r="C925">
        <f>_xlfn.XLOOKUP(A925,order_details[orderID],order_details[productID],,0)</f>
        <v>56</v>
      </c>
      <c r="D925" t="str">
        <f>_xlfn.XLOOKUP(C925,products[productID],products[productName],,0)</f>
        <v>Gnocchi di nonna Alice</v>
      </c>
      <c r="E925" t="str">
        <f>_xlfn.XLOOKUP(_xlfn.XLOOKUP(Table9[[#This Row],[ProductName ]],products[productName],products[categoryID],,0),categories[categoryID],categories[categoryName],,0)</f>
        <v>Grains &amp; Cereals</v>
      </c>
      <c r="F925">
        <v>24</v>
      </c>
      <c r="G925">
        <v>439</v>
      </c>
      <c r="H925">
        <v>2</v>
      </c>
      <c r="I925">
        <f>Table9[[#This Row],[quantity]]*Table9[[#This Row],[unitPrice]]*(1-Table9[[#This Row],[discount]]/100)</f>
        <v>10325.280000000001</v>
      </c>
      <c r="J925" t="str">
        <f>_xlfn.XLOOKUP(_xlfn.XLOOKUP(A925,orders[orderID],orders[customerID],,0),customers__2[customerID],customers__2[companyName],,0)</f>
        <v>White Clover Markets</v>
      </c>
      <c r="K925" t="str">
        <f>_xlfn.XLOOKUP(Table9[[#This Row],[Company Name]],customers__2[companyName],customers__2[country],,0)</f>
        <v>USA</v>
      </c>
      <c r="L925">
        <f>MONTH(Table9[[#This Row],[OrderDate ]])</f>
        <v>7</v>
      </c>
      <c r="M925" t="str">
        <f>TEXT(Table9[[#This Row],[OrderDate ]],"mmm")</f>
        <v>Jul</v>
      </c>
      <c r="N925">
        <f>YEAR(Table9[[#This Row],[OrderDate ]])</f>
        <v>2014</v>
      </c>
    </row>
    <row r="926" spans="1:14" x14ac:dyDescent="0.3">
      <c r="A926">
        <v>10596</v>
      </c>
      <c r="B926" s="2">
        <f>_xlfn.XLOOKUP(Table9[[#This Row],[orderID]],orders[orderID],orders[orderDate],,0)</f>
        <v>41831</v>
      </c>
      <c r="C926">
        <f>_xlfn.XLOOKUP(A926,order_details[orderID],order_details[productID],,0)</f>
        <v>56</v>
      </c>
      <c r="D926" t="str">
        <f>_xlfn.XLOOKUP(C926,products[productID],products[productName],,0)</f>
        <v>Gnocchi di nonna Alice</v>
      </c>
      <c r="E926" t="str">
        <f>_xlfn.XLOOKUP(_xlfn.XLOOKUP(Table9[[#This Row],[ProductName ]],products[productName],products[categoryID],,0),categories[categoryID],categories[categoryName],,0)</f>
        <v>Grains &amp; Cereals</v>
      </c>
      <c r="F926">
        <v>30</v>
      </c>
      <c r="G926">
        <v>775</v>
      </c>
      <c r="H926">
        <v>2</v>
      </c>
      <c r="I926">
        <f>Table9[[#This Row],[quantity]]*Table9[[#This Row],[unitPrice]]*(1-Table9[[#This Row],[discount]]/100)</f>
        <v>22785</v>
      </c>
      <c r="J926" t="str">
        <f>_xlfn.XLOOKUP(_xlfn.XLOOKUP(A926,orders[orderID],orders[customerID],,0),customers__2[customerID],customers__2[companyName],,0)</f>
        <v>White Clover Markets</v>
      </c>
      <c r="K926" t="str">
        <f>_xlfn.XLOOKUP(Table9[[#This Row],[Company Name]],customers__2[companyName],customers__2[country],,0)</f>
        <v>USA</v>
      </c>
      <c r="L926">
        <f>MONTH(Table9[[#This Row],[OrderDate ]])</f>
        <v>7</v>
      </c>
      <c r="M926" t="str">
        <f>TEXT(Table9[[#This Row],[OrderDate ]],"mmm")</f>
        <v>Jul</v>
      </c>
      <c r="N926">
        <f>YEAR(Table9[[#This Row],[OrderDate ]])</f>
        <v>2014</v>
      </c>
    </row>
    <row r="927" spans="1:14" x14ac:dyDescent="0.3">
      <c r="A927">
        <v>10597</v>
      </c>
      <c r="B927" s="2">
        <f>_xlfn.XLOOKUP(Table9[[#This Row],[orderID]],orders[orderID],orders[orderDate],,0)</f>
        <v>41831</v>
      </c>
      <c r="C927">
        <f>_xlfn.XLOOKUP(A927,order_details[orderID],order_details[productID],,0)</f>
        <v>24</v>
      </c>
      <c r="D927" t="str">
        <f>_xlfn.XLOOKUP(C927,products[productID],products[productName],,0)</f>
        <v>Guarana Fantastica</v>
      </c>
      <c r="E927" t="str">
        <f>_xlfn.XLOOKUP(_xlfn.XLOOKUP(Table9[[#This Row],[ProductName ]],products[productName],products[categoryID],,0),categories[categoryID],categories[categoryName],,0)</f>
        <v>Beverages</v>
      </c>
      <c r="F927">
        <v>35</v>
      </c>
      <c r="G927">
        <v>45</v>
      </c>
      <c r="H927">
        <v>2</v>
      </c>
      <c r="I927">
        <f>Table9[[#This Row],[quantity]]*Table9[[#This Row],[unitPrice]]*(1-Table9[[#This Row],[discount]]/100)</f>
        <v>1543.5</v>
      </c>
      <c r="J927" t="str">
        <f>_xlfn.XLOOKUP(_xlfn.XLOOKUP(A927,orders[orderID],orders[customerID],,0),customers__2[customerID],customers__2[companyName],,0)</f>
        <v>Piccolo und mehr</v>
      </c>
      <c r="K927" t="str">
        <f>_xlfn.XLOOKUP(Table9[[#This Row],[Company Name]],customers__2[companyName],customers__2[country],,0)</f>
        <v>Austria</v>
      </c>
      <c r="L927">
        <f>MONTH(Table9[[#This Row],[OrderDate ]])</f>
        <v>7</v>
      </c>
      <c r="M927" t="str">
        <f>TEXT(Table9[[#This Row],[OrderDate ]],"mmm")</f>
        <v>Jul</v>
      </c>
      <c r="N927">
        <f>YEAR(Table9[[#This Row],[OrderDate ]])</f>
        <v>2014</v>
      </c>
    </row>
    <row r="928" spans="1:14" x14ac:dyDescent="0.3">
      <c r="A928">
        <v>10597</v>
      </c>
      <c r="B928" s="2">
        <f>_xlfn.XLOOKUP(Table9[[#This Row],[orderID]],orders[orderID],orders[orderDate],,0)</f>
        <v>41831</v>
      </c>
      <c r="C928">
        <f>_xlfn.XLOOKUP(A928,order_details[orderID],order_details[productID],,0)</f>
        <v>24</v>
      </c>
      <c r="D928" t="str">
        <f>_xlfn.XLOOKUP(C928,products[productID],products[productName],,0)</f>
        <v>Guarana Fantastica</v>
      </c>
      <c r="E928" t="str">
        <f>_xlfn.XLOOKUP(_xlfn.XLOOKUP(Table9[[#This Row],[ProductName ]],products[productName],products[categoryID],,0),categories[categoryID],categories[categoryName],,0)</f>
        <v>Beverages</v>
      </c>
      <c r="F928">
        <v>20</v>
      </c>
      <c r="G928">
        <v>195</v>
      </c>
      <c r="H928">
        <v>0</v>
      </c>
      <c r="I928">
        <f>Table9[[#This Row],[quantity]]*Table9[[#This Row],[unitPrice]]*(1-Table9[[#This Row],[discount]]/100)</f>
        <v>3900</v>
      </c>
      <c r="J928" t="str">
        <f>_xlfn.XLOOKUP(_xlfn.XLOOKUP(A928,orders[orderID],orders[customerID],,0),customers__2[customerID],customers__2[companyName],,0)</f>
        <v>Piccolo und mehr</v>
      </c>
      <c r="K928" t="str">
        <f>_xlfn.XLOOKUP(Table9[[#This Row],[Company Name]],customers__2[companyName],customers__2[country],,0)</f>
        <v>Austria</v>
      </c>
      <c r="L928">
        <f>MONTH(Table9[[#This Row],[OrderDate ]])</f>
        <v>7</v>
      </c>
      <c r="M928" t="str">
        <f>TEXT(Table9[[#This Row],[OrderDate ]],"mmm")</f>
        <v>Jul</v>
      </c>
      <c r="N928">
        <f>YEAR(Table9[[#This Row],[OrderDate ]])</f>
        <v>2014</v>
      </c>
    </row>
    <row r="929" spans="1:14" x14ac:dyDescent="0.3">
      <c r="A929">
        <v>10597</v>
      </c>
      <c r="B929" s="2">
        <f>_xlfn.XLOOKUP(Table9[[#This Row],[orderID]],orders[orderID],orders[orderDate],,0)</f>
        <v>41831</v>
      </c>
      <c r="C929">
        <f>_xlfn.XLOOKUP(A929,order_details[orderID],order_details[productID],,0)</f>
        <v>24</v>
      </c>
      <c r="D929" t="str">
        <f>_xlfn.XLOOKUP(C929,products[productID],products[productName],,0)</f>
        <v>Guarana Fantastica</v>
      </c>
      <c r="E929" t="str">
        <f>_xlfn.XLOOKUP(_xlfn.XLOOKUP(Table9[[#This Row],[ProductName ]],products[productName],products[categoryID],,0),categories[categoryID],categories[categoryName],,0)</f>
        <v>Beverages</v>
      </c>
      <c r="F929">
        <v>12</v>
      </c>
      <c r="G929">
        <v>2105</v>
      </c>
      <c r="H929">
        <v>2</v>
      </c>
      <c r="I929">
        <f>Table9[[#This Row],[quantity]]*Table9[[#This Row],[unitPrice]]*(1-Table9[[#This Row],[discount]]/100)</f>
        <v>24754.799999999999</v>
      </c>
      <c r="J929" t="str">
        <f>_xlfn.XLOOKUP(_xlfn.XLOOKUP(A929,orders[orderID],orders[customerID],,0),customers__2[customerID],customers__2[companyName],,0)</f>
        <v>Piccolo und mehr</v>
      </c>
      <c r="K929" t="str">
        <f>_xlfn.XLOOKUP(Table9[[#This Row],[Company Name]],customers__2[companyName],customers__2[country],,0)</f>
        <v>Austria</v>
      </c>
      <c r="L929">
        <f>MONTH(Table9[[#This Row],[OrderDate ]])</f>
        <v>7</v>
      </c>
      <c r="M929" t="str">
        <f>TEXT(Table9[[#This Row],[OrderDate ]],"mmm")</f>
        <v>Jul</v>
      </c>
      <c r="N929">
        <f>YEAR(Table9[[#This Row],[OrderDate ]])</f>
        <v>2014</v>
      </c>
    </row>
    <row r="930" spans="1:14" x14ac:dyDescent="0.3">
      <c r="A930">
        <v>10598</v>
      </c>
      <c r="B930" s="2">
        <f>_xlfn.XLOOKUP(Table9[[#This Row],[orderID]],orders[orderID],orders[orderDate],,0)</f>
        <v>41834</v>
      </c>
      <c r="C930">
        <f>_xlfn.XLOOKUP(A930,order_details[orderID],order_details[productID],,0)</f>
        <v>27</v>
      </c>
      <c r="D930" t="str">
        <f>_xlfn.XLOOKUP(C930,products[productID],products[productName],,0)</f>
        <v>Schoggi Schokolade</v>
      </c>
      <c r="E930" t="str">
        <f>_xlfn.XLOOKUP(_xlfn.XLOOKUP(Table9[[#This Row],[ProductName ]],products[productName],products[categoryID],,0),categories[categoryID],categories[categoryName],,0)</f>
        <v>Confections</v>
      </c>
      <c r="F930">
        <v>50</v>
      </c>
      <c r="G930">
        <v>439</v>
      </c>
      <c r="H930">
        <v>0</v>
      </c>
      <c r="I930">
        <f>Table9[[#This Row],[quantity]]*Table9[[#This Row],[unitPrice]]*(1-Table9[[#This Row],[discount]]/100)</f>
        <v>21950</v>
      </c>
      <c r="J930" t="str">
        <f>_xlfn.XLOOKUP(_xlfn.XLOOKUP(A930,orders[orderID],orders[customerID],,0),customers__2[customerID],customers__2[companyName],,0)</f>
        <v>Rattlesnake Canyon Grocery</v>
      </c>
      <c r="K930" t="str">
        <f>_xlfn.XLOOKUP(Table9[[#This Row],[Company Name]],customers__2[companyName],customers__2[country],,0)</f>
        <v>USA</v>
      </c>
      <c r="L930">
        <f>MONTH(Table9[[#This Row],[OrderDate ]])</f>
        <v>7</v>
      </c>
      <c r="M930" t="str">
        <f>TEXT(Table9[[#This Row],[OrderDate ]],"mmm")</f>
        <v>Jul</v>
      </c>
      <c r="N930">
        <f>YEAR(Table9[[#This Row],[OrderDate ]])</f>
        <v>2014</v>
      </c>
    </row>
    <row r="931" spans="1:14" x14ac:dyDescent="0.3">
      <c r="A931">
        <v>10598</v>
      </c>
      <c r="B931" s="2">
        <f>_xlfn.XLOOKUP(Table9[[#This Row],[orderID]],orders[orderID],orders[orderDate],,0)</f>
        <v>41834</v>
      </c>
      <c r="C931">
        <f>_xlfn.XLOOKUP(A931,order_details[orderID],order_details[productID],,0)</f>
        <v>27</v>
      </c>
      <c r="D931" t="str">
        <f>_xlfn.XLOOKUP(C931,products[productID],products[productName],,0)</f>
        <v>Schoggi Schokolade</v>
      </c>
      <c r="E931" t="str">
        <f>_xlfn.XLOOKUP(_xlfn.XLOOKUP(Table9[[#This Row],[ProductName ]],products[productName],products[categoryID],,0),categories[categoryID],categories[categoryName],,0)</f>
        <v>Confections</v>
      </c>
      <c r="F931">
        <v>9</v>
      </c>
      <c r="G931">
        <v>215</v>
      </c>
      <c r="H931">
        <v>0</v>
      </c>
      <c r="I931">
        <f>Table9[[#This Row],[quantity]]*Table9[[#This Row],[unitPrice]]*(1-Table9[[#This Row],[discount]]/100)</f>
        <v>1935</v>
      </c>
      <c r="J931" t="str">
        <f>_xlfn.XLOOKUP(_xlfn.XLOOKUP(A931,orders[orderID],orders[customerID],,0),customers__2[customerID],customers__2[companyName],,0)</f>
        <v>Rattlesnake Canyon Grocery</v>
      </c>
      <c r="K931" t="str">
        <f>_xlfn.XLOOKUP(Table9[[#This Row],[Company Name]],customers__2[companyName],customers__2[country],,0)</f>
        <v>USA</v>
      </c>
      <c r="L931">
        <f>MONTH(Table9[[#This Row],[OrderDate ]])</f>
        <v>7</v>
      </c>
      <c r="M931" t="str">
        <f>TEXT(Table9[[#This Row],[OrderDate ]],"mmm")</f>
        <v>Jul</v>
      </c>
      <c r="N931">
        <f>YEAR(Table9[[#This Row],[OrderDate ]])</f>
        <v>2014</v>
      </c>
    </row>
    <row r="932" spans="1:14" x14ac:dyDescent="0.3">
      <c r="A932">
        <v>10599</v>
      </c>
      <c r="B932" s="2">
        <f>_xlfn.XLOOKUP(Table9[[#This Row],[orderID]],orders[orderID],orders[orderDate],,0)</f>
        <v>41835</v>
      </c>
      <c r="C932">
        <f>_xlfn.XLOOKUP(A932,order_details[orderID],order_details[productID],,0)</f>
        <v>62</v>
      </c>
      <c r="D932" t="str">
        <f>_xlfn.XLOOKUP(C932,products[productID],products[productName],,0)</f>
        <v>Tarte au sucre</v>
      </c>
      <c r="E932" t="str">
        <f>_xlfn.XLOOKUP(_xlfn.XLOOKUP(Table9[[#This Row],[ProductName ]],products[productName],products[categoryID],,0),categories[categoryID],categories[categoryName],,0)</f>
        <v>Confections</v>
      </c>
      <c r="F932">
        <v>10</v>
      </c>
      <c r="G932">
        <v>493</v>
      </c>
      <c r="H932">
        <v>0</v>
      </c>
      <c r="I932">
        <f>Table9[[#This Row],[quantity]]*Table9[[#This Row],[unitPrice]]*(1-Table9[[#This Row],[discount]]/100)</f>
        <v>4930</v>
      </c>
      <c r="J932" t="str">
        <f>_xlfn.XLOOKUP(_xlfn.XLOOKUP(A932,orders[orderID],orders[customerID],,0),customers__2[customerID],customers__2[companyName],,0)</f>
        <v>B's Beverages</v>
      </c>
      <c r="K932" t="str">
        <f>_xlfn.XLOOKUP(Table9[[#This Row],[Company Name]],customers__2[companyName],customers__2[country],,0)</f>
        <v>UK</v>
      </c>
      <c r="L932">
        <f>MONTH(Table9[[#This Row],[OrderDate ]])</f>
        <v>7</v>
      </c>
      <c r="M932" t="str">
        <f>TEXT(Table9[[#This Row],[OrderDate ]],"mmm")</f>
        <v>Jul</v>
      </c>
      <c r="N932">
        <f>YEAR(Table9[[#This Row],[OrderDate ]])</f>
        <v>2014</v>
      </c>
    </row>
    <row r="933" spans="1:14" x14ac:dyDescent="0.3">
      <c r="A933">
        <v>10600</v>
      </c>
      <c r="B933" s="2">
        <f>_xlfn.XLOOKUP(Table9[[#This Row],[orderID]],orders[orderID],orders[orderDate],,0)</f>
        <v>41836</v>
      </c>
      <c r="C933">
        <f>_xlfn.XLOOKUP(A933,order_details[orderID],order_details[productID],,0)</f>
        <v>54</v>
      </c>
      <c r="D933" t="str">
        <f>_xlfn.XLOOKUP(C933,products[productID],products[productName],,0)</f>
        <v>Tourtière</v>
      </c>
      <c r="E933" t="str">
        <f>_xlfn.XLOOKUP(_xlfn.XLOOKUP(Table9[[#This Row],[ProductName ]],products[productName],products[categoryID],,0),categories[categoryID],categories[categoryName],,0)</f>
        <v>Meat &amp; Poultry</v>
      </c>
      <c r="F933">
        <v>4</v>
      </c>
      <c r="G933">
        <v>745</v>
      </c>
      <c r="H933">
        <v>0</v>
      </c>
      <c r="I933">
        <f>Table9[[#This Row],[quantity]]*Table9[[#This Row],[unitPrice]]*(1-Table9[[#This Row],[discount]]/100)</f>
        <v>2980</v>
      </c>
      <c r="J933" t="str">
        <f>_xlfn.XLOOKUP(_xlfn.XLOOKUP(A933,orders[orderID],orders[customerID],,0),customers__2[customerID],customers__2[companyName],,0)</f>
        <v>Hungry Coyote Import Store</v>
      </c>
      <c r="K933" t="str">
        <f>_xlfn.XLOOKUP(Table9[[#This Row],[Company Name]],customers__2[companyName],customers__2[country],,0)</f>
        <v>USA</v>
      </c>
      <c r="L933">
        <f>MONTH(Table9[[#This Row],[OrderDate ]])</f>
        <v>7</v>
      </c>
      <c r="M933" t="str">
        <f>TEXT(Table9[[#This Row],[OrderDate ]],"mmm")</f>
        <v>Jul</v>
      </c>
      <c r="N933">
        <f>YEAR(Table9[[#This Row],[OrderDate ]])</f>
        <v>2014</v>
      </c>
    </row>
    <row r="934" spans="1:14" x14ac:dyDescent="0.3">
      <c r="A934">
        <v>10600</v>
      </c>
      <c r="B934" s="2">
        <f>_xlfn.XLOOKUP(Table9[[#This Row],[orderID]],orders[orderID],orders[orderDate],,0)</f>
        <v>41836</v>
      </c>
      <c r="C934">
        <f>_xlfn.XLOOKUP(A934,order_details[orderID],order_details[productID],,0)</f>
        <v>54</v>
      </c>
      <c r="D934" t="str">
        <f>_xlfn.XLOOKUP(C934,products[productID],products[productName],,0)</f>
        <v>Tourtière</v>
      </c>
      <c r="E934" t="str">
        <f>_xlfn.XLOOKUP(_xlfn.XLOOKUP(Table9[[#This Row],[ProductName ]],products[productName],products[categoryID],,0),categories[categoryID],categories[categoryName],,0)</f>
        <v>Meat &amp; Poultry</v>
      </c>
      <c r="F934">
        <v>30</v>
      </c>
      <c r="G934">
        <v>15</v>
      </c>
      <c r="H934">
        <v>0</v>
      </c>
      <c r="I934">
        <f>Table9[[#This Row],[quantity]]*Table9[[#This Row],[unitPrice]]*(1-Table9[[#This Row],[discount]]/100)</f>
        <v>450</v>
      </c>
      <c r="J934" t="str">
        <f>_xlfn.XLOOKUP(_xlfn.XLOOKUP(A934,orders[orderID],orders[customerID],,0),customers__2[customerID],customers__2[companyName],,0)</f>
        <v>Hungry Coyote Import Store</v>
      </c>
      <c r="K934" t="str">
        <f>_xlfn.XLOOKUP(Table9[[#This Row],[Company Name]],customers__2[companyName],customers__2[country],,0)</f>
        <v>USA</v>
      </c>
      <c r="L934">
        <f>MONTH(Table9[[#This Row],[OrderDate ]])</f>
        <v>7</v>
      </c>
      <c r="M934" t="str">
        <f>TEXT(Table9[[#This Row],[OrderDate ]],"mmm")</f>
        <v>Jul</v>
      </c>
      <c r="N934">
        <f>YEAR(Table9[[#This Row],[OrderDate ]])</f>
        <v>2014</v>
      </c>
    </row>
    <row r="935" spans="1:14" x14ac:dyDescent="0.3">
      <c r="A935">
        <v>10601</v>
      </c>
      <c r="B935" s="2">
        <f>_xlfn.XLOOKUP(Table9[[#This Row],[orderID]],orders[orderID],orders[orderDate],,0)</f>
        <v>41836</v>
      </c>
      <c r="C935">
        <f>_xlfn.XLOOKUP(A935,order_details[orderID],order_details[productID],,0)</f>
        <v>13</v>
      </c>
      <c r="D935" t="str">
        <f>_xlfn.XLOOKUP(C935,products[productID],products[productName],,0)</f>
        <v>Konbu</v>
      </c>
      <c r="E935" t="str">
        <f>_xlfn.XLOOKUP(_xlfn.XLOOKUP(Table9[[#This Row],[ProductName ]],products[productName],products[categoryID],,0),categories[categoryID],categories[categoryName],,0)</f>
        <v>Seafood</v>
      </c>
      <c r="F935">
        <v>60</v>
      </c>
      <c r="G935">
        <v>6</v>
      </c>
      <c r="H935">
        <v>0</v>
      </c>
      <c r="I935">
        <f>Table9[[#This Row],[quantity]]*Table9[[#This Row],[unitPrice]]*(1-Table9[[#This Row],[discount]]/100)</f>
        <v>360</v>
      </c>
      <c r="J935" t="str">
        <f>_xlfn.XLOOKUP(_xlfn.XLOOKUP(A935,orders[orderID],orders[customerID],,0),customers__2[customerID],customers__2[companyName],,0)</f>
        <v>HILARION-Abastos</v>
      </c>
      <c r="K935" t="str">
        <f>_xlfn.XLOOKUP(Table9[[#This Row],[Company Name]],customers__2[companyName],customers__2[country],,0)</f>
        <v>Venezuela</v>
      </c>
      <c r="L935">
        <f>MONTH(Table9[[#This Row],[OrderDate ]])</f>
        <v>7</v>
      </c>
      <c r="M935" t="str">
        <f>TEXT(Table9[[#This Row],[OrderDate ]],"mmm")</f>
        <v>Jul</v>
      </c>
      <c r="N935">
        <f>YEAR(Table9[[#This Row],[OrderDate ]])</f>
        <v>2014</v>
      </c>
    </row>
    <row r="936" spans="1:14" x14ac:dyDescent="0.3">
      <c r="A936">
        <v>10601</v>
      </c>
      <c r="B936" s="2">
        <f>_xlfn.XLOOKUP(Table9[[#This Row],[orderID]],orders[orderID],orders[orderDate],,0)</f>
        <v>41836</v>
      </c>
      <c r="C936">
        <f>_xlfn.XLOOKUP(A936,order_details[orderID],order_details[productID],,0)</f>
        <v>13</v>
      </c>
      <c r="D936" t="str">
        <f>_xlfn.XLOOKUP(C936,products[productID],products[productName],,0)</f>
        <v>Konbu</v>
      </c>
      <c r="E936" t="str">
        <f>_xlfn.XLOOKUP(_xlfn.XLOOKUP(Table9[[#This Row],[ProductName ]],products[productName],products[categoryID],,0),categories[categoryID],categories[categoryName],,0)</f>
        <v>Seafood</v>
      </c>
      <c r="F936">
        <v>35</v>
      </c>
      <c r="G936">
        <v>55</v>
      </c>
      <c r="H936">
        <v>0</v>
      </c>
      <c r="I936">
        <f>Table9[[#This Row],[quantity]]*Table9[[#This Row],[unitPrice]]*(1-Table9[[#This Row],[discount]]/100)</f>
        <v>1925</v>
      </c>
      <c r="J936" t="str">
        <f>_xlfn.XLOOKUP(_xlfn.XLOOKUP(A936,orders[orderID],orders[customerID],,0),customers__2[customerID],customers__2[companyName],,0)</f>
        <v>HILARION-Abastos</v>
      </c>
      <c r="K936" t="str">
        <f>_xlfn.XLOOKUP(Table9[[#This Row],[Company Name]],customers__2[companyName],customers__2[country],,0)</f>
        <v>Venezuela</v>
      </c>
      <c r="L936">
        <f>MONTH(Table9[[#This Row],[OrderDate ]])</f>
        <v>7</v>
      </c>
      <c r="M936" t="str">
        <f>TEXT(Table9[[#This Row],[OrderDate ]],"mmm")</f>
        <v>Jul</v>
      </c>
      <c r="N936">
        <f>YEAR(Table9[[#This Row],[OrderDate ]])</f>
        <v>2014</v>
      </c>
    </row>
    <row r="937" spans="1:14" x14ac:dyDescent="0.3">
      <c r="A937">
        <v>10602</v>
      </c>
      <c r="B937" s="2">
        <f>_xlfn.XLOOKUP(Table9[[#This Row],[orderID]],orders[orderID],orders[orderDate],,0)</f>
        <v>41837</v>
      </c>
      <c r="C937">
        <f>_xlfn.XLOOKUP(A937,order_details[orderID],order_details[productID],,0)</f>
        <v>77</v>
      </c>
      <c r="D937" t="str">
        <f>_xlfn.XLOOKUP(C937,products[productID],products[productName],,0)</f>
        <v>Original Frankfurter Grüne Soße</v>
      </c>
      <c r="E937" t="str">
        <f>_xlfn.XLOOKUP(_xlfn.XLOOKUP(Table9[[#This Row],[ProductName ]],products[productName],products[categoryID],,0),categories[categoryID],categories[categoryName],,0)</f>
        <v>Condiments</v>
      </c>
      <c r="F937">
        <v>5</v>
      </c>
      <c r="G937">
        <v>13</v>
      </c>
      <c r="H937">
        <v>25</v>
      </c>
      <c r="I937">
        <f>Table9[[#This Row],[quantity]]*Table9[[#This Row],[unitPrice]]*(1-Table9[[#This Row],[discount]]/100)</f>
        <v>48.75</v>
      </c>
      <c r="J937" t="str">
        <f>_xlfn.XLOOKUP(_xlfn.XLOOKUP(A937,orders[orderID],orders[customerID],,0),customers__2[customerID],customers__2[companyName],,0)</f>
        <v>Vaffeljernet</v>
      </c>
      <c r="K937" t="str">
        <f>_xlfn.XLOOKUP(Table9[[#This Row],[Company Name]],customers__2[companyName],customers__2[country],,0)</f>
        <v>Denmark</v>
      </c>
      <c r="L937">
        <f>MONTH(Table9[[#This Row],[OrderDate ]])</f>
        <v>7</v>
      </c>
      <c r="M937" t="str">
        <f>TEXT(Table9[[#This Row],[OrderDate ]],"mmm")</f>
        <v>Jul</v>
      </c>
      <c r="N937">
        <f>YEAR(Table9[[#This Row],[OrderDate ]])</f>
        <v>2014</v>
      </c>
    </row>
    <row r="938" spans="1:14" x14ac:dyDescent="0.3">
      <c r="A938">
        <v>10603</v>
      </c>
      <c r="B938" s="2">
        <f>_xlfn.XLOOKUP(Table9[[#This Row],[orderID]],orders[orderID],orders[orderDate],,0)</f>
        <v>41838</v>
      </c>
      <c r="C938">
        <f>_xlfn.XLOOKUP(A938,order_details[orderID],order_details[productID],,0)</f>
        <v>22</v>
      </c>
      <c r="D938" t="str">
        <f>_xlfn.XLOOKUP(C938,products[productID],products[productName],,0)</f>
        <v>Gustaf's Knackebröd</v>
      </c>
      <c r="E938" t="str">
        <f>_xlfn.XLOOKUP(_xlfn.XLOOKUP(Table9[[#This Row],[ProductName ]],products[productName],products[categoryID],,0),categories[categoryID],categories[categoryName],,0)</f>
        <v>Grains &amp; Cereals</v>
      </c>
      <c r="F938">
        <v>48</v>
      </c>
      <c r="G938">
        <v>21</v>
      </c>
      <c r="H938">
        <v>0</v>
      </c>
      <c r="I938">
        <f>Table9[[#This Row],[quantity]]*Table9[[#This Row],[unitPrice]]*(1-Table9[[#This Row],[discount]]/100)</f>
        <v>1008</v>
      </c>
      <c r="J938" t="str">
        <f>_xlfn.XLOOKUP(_xlfn.XLOOKUP(A938,orders[orderID],orders[customerID],,0),customers__2[customerID],customers__2[companyName],,0)</f>
        <v>Save-a-lot Markets</v>
      </c>
      <c r="K938" t="str">
        <f>_xlfn.XLOOKUP(Table9[[#This Row],[Company Name]],customers__2[companyName],customers__2[country],,0)</f>
        <v>USA</v>
      </c>
      <c r="L938">
        <f>MONTH(Table9[[#This Row],[OrderDate ]])</f>
        <v>7</v>
      </c>
      <c r="M938" t="str">
        <f>TEXT(Table9[[#This Row],[OrderDate ]],"mmm")</f>
        <v>Jul</v>
      </c>
      <c r="N938">
        <f>YEAR(Table9[[#This Row],[OrderDate ]])</f>
        <v>2014</v>
      </c>
    </row>
    <row r="939" spans="1:14" x14ac:dyDescent="0.3">
      <c r="A939">
        <v>10603</v>
      </c>
      <c r="B939" s="2">
        <f>_xlfn.XLOOKUP(Table9[[#This Row],[orderID]],orders[orderID],orders[orderDate],,0)</f>
        <v>41838</v>
      </c>
      <c r="C939">
        <f>_xlfn.XLOOKUP(A939,order_details[orderID],order_details[productID],,0)</f>
        <v>22</v>
      </c>
      <c r="D939" t="str">
        <f>_xlfn.XLOOKUP(C939,products[productID],products[productName],,0)</f>
        <v>Gustaf's Knackebröd</v>
      </c>
      <c r="E939" t="str">
        <f>_xlfn.XLOOKUP(_xlfn.XLOOKUP(Table9[[#This Row],[ProductName ]],products[productName],products[categoryID],,0),categories[categoryID],categories[categoryName],,0)</f>
        <v>Grains &amp; Cereals</v>
      </c>
      <c r="F939">
        <v>25</v>
      </c>
      <c r="G939">
        <v>20</v>
      </c>
      <c r="H939">
        <v>5</v>
      </c>
      <c r="I939">
        <f>Table9[[#This Row],[quantity]]*Table9[[#This Row],[unitPrice]]*(1-Table9[[#This Row],[discount]]/100)</f>
        <v>475</v>
      </c>
      <c r="J939" t="str">
        <f>_xlfn.XLOOKUP(_xlfn.XLOOKUP(A939,orders[orderID],orders[customerID],,0),customers__2[customerID],customers__2[companyName],,0)</f>
        <v>Save-a-lot Markets</v>
      </c>
      <c r="K939" t="str">
        <f>_xlfn.XLOOKUP(Table9[[#This Row],[Company Name]],customers__2[companyName],customers__2[country],,0)</f>
        <v>USA</v>
      </c>
      <c r="L939">
        <f>MONTH(Table9[[#This Row],[OrderDate ]])</f>
        <v>7</v>
      </c>
      <c r="M939" t="str">
        <f>TEXT(Table9[[#This Row],[OrderDate ]],"mmm")</f>
        <v>Jul</v>
      </c>
      <c r="N939">
        <f>YEAR(Table9[[#This Row],[OrderDate ]])</f>
        <v>2014</v>
      </c>
    </row>
    <row r="940" spans="1:14" x14ac:dyDescent="0.3">
      <c r="A940">
        <v>10604</v>
      </c>
      <c r="B940" s="2">
        <f>_xlfn.XLOOKUP(Table9[[#This Row],[orderID]],orders[orderID],orders[orderDate],,0)</f>
        <v>41838</v>
      </c>
      <c r="C940">
        <f>_xlfn.XLOOKUP(A940,order_details[orderID],order_details[productID],,0)</f>
        <v>48</v>
      </c>
      <c r="D940" t="str">
        <f>_xlfn.XLOOKUP(C940,products[productID],products[productName],,0)</f>
        <v>Chocolade</v>
      </c>
      <c r="E940" t="str">
        <f>_xlfn.XLOOKUP(_xlfn.XLOOKUP(Table9[[#This Row],[ProductName ]],products[productName],products[categoryID],,0),categories[categoryID],categories[categoryName],,0)</f>
        <v>Confections</v>
      </c>
      <c r="F940">
        <v>6</v>
      </c>
      <c r="G940">
        <v>1275</v>
      </c>
      <c r="H940">
        <v>1</v>
      </c>
      <c r="I940">
        <f>Table9[[#This Row],[quantity]]*Table9[[#This Row],[unitPrice]]*(1-Table9[[#This Row],[discount]]/100)</f>
        <v>7573.5</v>
      </c>
      <c r="J940" t="str">
        <f>_xlfn.XLOOKUP(_xlfn.XLOOKUP(A940,orders[orderID],orders[customerID],,0),customers__2[customerID],customers__2[companyName],,0)</f>
        <v>Furia Bacalhau e Frutos do Mar</v>
      </c>
      <c r="K940" t="str">
        <f>_xlfn.XLOOKUP(Table9[[#This Row],[Company Name]],customers__2[companyName],customers__2[country],,0)</f>
        <v>Portugal</v>
      </c>
      <c r="L940">
        <f>MONTH(Table9[[#This Row],[OrderDate ]])</f>
        <v>7</v>
      </c>
      <c r="M940" t="str">
        <f>TEXT(Table9[[#This Row],[OrderDate ]],"mmm")</f>
        <v>Jul</v>
      </c>
      <c r="N940">
        <f>YEAR(Table9[[#This Row],[OrderDate ]])</f>
        <v>2014</v>
      </c>
    </row>
    <row r="941" spans="1:14" x14ac:dyDescent="0.3">
      <c r="A941">
        <v>10604</v>
      </c>
      <c r="B941" s="2">
        <f>_xlfn.XLOOKUP(Table9[[#This Row],[orderID]],orders[orderID],orders[orderDate],,0)</f>
        <v>41838</v>
      </c>
      <c r="C941">
        <f>_xlfn.XLOOKUP(A941,order_details[orderID],order_details[productID],,0)</f>
        <v>48</v>
      </c>
      <c r="D941" t="str">
        <f>_xlfn.XLOOKUP(C941,products[productID],products[productName],,0)</f>
        <v>Chocolade</v>
      </c>
      <c r="E941" t="str">
        <f>_xlfn.XLOOKUP(_xlfn.XLOOKUP(Table9[[#This Row],[ProductName ]],products[productName],products[categoryID],,0),categories[categoryID],categories[categoryName],,0)</f>
        <v>Confections</v>
      </c>
      <c r="F941">
        <v>10</v>
      </c>
      <c r="G941">
        <v>18</v>
      </c>
      <c r="H941">
        <v>1</v>
      </c>
      <c r="I941">
        <f>Table9[[#This Row],[quantity]]*Table9[[#This Row],[unitPrice]]*(1-Table9[[#This Row],[discount]]/100)</f>
        <v>178.2</v>
      </c>
      <c r="J941" t="str">
        <f>_xlfn.XLOOKUP(_xlfn.XLOOKUP(A941,orders[orderID],orders[customerID],,0),customers__2[customerID],customers__2[companyName],,0)</f>
        <v>Furia Bacalhau e Frutos do Mar</v>
      </c>
      <c r="K941" t="str">
        <f>_xlfn.XLOOKUP(Table9[[#This Row],[Company Name]],customers__2[companyName],customers__2[country],,0)</f>
        <v>Portugal</v>
      </c>
      <c r="L941">
        <f>MONTH(Table9[[#This Row],[OrderDate ]])</f>
        <v>7</v>
      </c>
      <c r="M941" t="str">
        <f>TEXT(Table9[[#This Row],[OrderDate ]],"mmm")</f>
        <v>Jul</v>
      </c>
      <c r="N941">
        <f>YEAR(Table9[[#This Row],[OrderDate ]])</f>
        <v>2014</v>
      </c>
    </row>
    <row r="942" spans="1:14" x14ac:dyDescent="0.3">
      <c r="A942">
        <v>10605</v>
      </c>
      <c r="B942" s="2">
        <f>_xlfn.XLOOKUP(Table9[[#This Row],[orderID]],orders[orderID],orders[orderDate],,0)</f>
        <v>41841</v>
      </c>
      <c r="C942">
        <f>_xlfn.XLOOKUP(A942,order_details[orderID],order_details[productID],,0)</f>
        <v>16</v>
      </c>
      <c r="D942" t="str">
        <f>_xlfn.XLOOKUP(C942,products[productID],products[productName],,0)</f>
        <v>Pavlova</v>
      </c>
      <c r="E942" t="str">
        <f>_xlfn.XLOOKUP(_xlfn.XLOOKUP(Table9[[#This Row],[ProductName ]],products[productName],products[categoryID],,0),categories[categoryID],categories[categoryName],,0)</f>
        <v>Confections</v>
      </c>
      <c r="F942">
        <v>30</v>
      </c>
      <c r="G942">
        <v>1745</v>
      </c>
      <c r="H942">
        <v>5</v>
      </c>
      <c r="I942">
        <f>Table9[[#This Row],[quantity]]*Table9[[#This Row],[unitPrice]]*(1-Table9[[#This Row],[discount]]/100)</f>
        <v>49732.5</v>
      </c>
      <c r="J942" t="str">
        <f>_xlfn.XLOOKUP(_xlfn.XLOOKUP(A942,orders[orderID],orders[customerID],,0),customers__2[customerID],customers__2[companyName],,0)</f>
        <v>Mère Paillarde</v>
      </c>
      <c r="K942" t="str">
        <f>_xlfn.XLOOKUP(Table9[[#This Row],[Company Name]],customers__2[companyName],customers__2[country],,0)</f>
        <v>Canada</v>
      </c>
      <c r="L942">
        <f>MONTH(Table9[[#This Row],[OrderDate ]])</f>
        <v>7</v>
      </c>
      <c r="M942" t="str">
        <f>TEXT(Table9[[#This Row],[OrderDate ]],"mmm")</f>
        <v>Jul</v>
      </c>
      <c r="N942">
        <f>YEAR(Table9[[#This Row],[OrderDate ]])</f>
        <v>2014</v>
      </c>
    </row>
    <row r="943" spans="1:14" x14ac:dyDescent="0.3">
      <c r="A943">
        <v>10605</v>
      </c>
      <c r="B943" s="2">
        <f>_xlfn.XLOOKUP(Table9[[#This Row],[orderID]],orders[orderID],orders[orderDate],,0)</f>
        <v>41841</v>
      </c>
      <c r="C943">
        <f>_xlfn.XLOOKUP(A943,order_details[orderID],order_details[productID],,0)</f>
        <v>16</v>
      </c>
      <c r="D943" t="str">
        <f>_xlfn.XLOOKUP(C943,products[productID],products[productName],,0)</f>
        <v>Pavlova</v>
      </c>
      <c r="E943" t="str">
        <f>_xlfn.XLOOKUP(_xlfn.XLOOKUP(Table9[[#This Row],[ProductName ]],products[productName],products[categoryID],,0),categories[categoryID],categories[categoryName],,0)</f>
        <v>Confections</v>
      </c>
      <c r="F943">
        <v>20</v>
      </c>
      <c r="G943">
        <v>55</v>
      </c>
      <c r="H943">
        <v>5</v>
      </c>
      <c r="I943">
        <f>Table9[[#This Row],[quantity]]*Table9[[#This Row],[unitPrice]]*(1-Table9[[#This Row],[discount]]/100)</f>
        <v>1045</v>
      </c>
      <c r="J943" t="str">
        <f>_xlfn.XLOOKUP(_xlfn.XLOOKUP(A943,orders[orderID],orders[customerID],,0),customers__2[customerID],customers__2[companyName],,0)</f>
        <v>Mère Paillarde</v>
      </c>
      <c r="K943" t="str">
        <f>_xlfn.XLOOKUP(Table9[[#This Row],[Company Name]],customers__2[companyName],customers__2[country],,0)</f>
        <v>Canada</v>
      </c>
      <c r="L943">
        <f>MONTH(Table9[[#This Row],[OrderDate ]])</f>
        <v>7</v>
      </c>
      <c r="M943" t="str">
        <f>TEXT(Table9[[#This Row],[OrderDate ]],"mmm")</f>
        <v>Jul</v>
      </c>
      <c r="N943">
        <f>YEAR(Table9[[#This Row],[OrderDate ]])</f>
        <v>2014</v>
      </c>
    </row>
    <row r="944" spans="1:14" x14ac:dyDescent="0.3">
      <c r="A944">
        <v>10605</v>
      </c>
      <c r="B944" s="2">
        <f>_xlfn.XLOOKUP(Table9[[#This Row],[orderID]],orders[orderID],orders[orderDate],,0)</f>
        <v>41841</v>
      </c>
      <c r="C944">
        <f>_xlfn.XLOOKUP(A944,order_details[orderID],order_details[productID],,0)</f>
        <v>16</v>
      </c>
      <c r="D944" t="str">
        <f>_xlfn.XLOOKUP(C944,products[productID],products[productName],,0)</f>
        <v>Pavlova</v>
      </c>
      <c r="E944" t="str">
        <f>_xlfn.XLOOKUP(_xlfn.XLOOKUP(Table9[[#This Row],[ProductName ]],products[productName],products[categoryID],,0),categories[categoryID],categories[categoryName],,0)</f>
        <v>Confections</v>
      </c>
      <c r="F944">
        <v>70</v>
      </c>
      <c r="G944">
        <v>34</v>
      </c>
      <c r="H944">
        <v>5</v>
      </c>
      <c r="I944">
        <f>Table9[[#This Row],[quantity]]*Table9[[#This Row],[unitPrice]]*(1-Table9[[#This Row],[discount]]/100)</f>
        <v>2261</v>
      </c>
      <c r="J944" t="str">
        <f>_xlfn.XLOOKUP(_xlfn.XLOOKUP(A944,orders[orderID],orders[customerID],,0),customers__2[customerID],customers__2[companyName],,0)</f>
        <v>Mère Paillarde</v>
      </c>
      <c r="K944" t="str">
        <f>_xlfn.XLOOKUP(Table9[[#This Row],[Company Name]],customers__2[companyName],customers__2[country],,0)</f>
        <v>Canada</v>
      </c>
      <c r="L944">
        <f>MONTH(Table9[[#This Row],[OrderDate ]])</f>
        <v>7</v>
      </c>
      <c r="M944" t="str">
        <f>TEXT(Table9[[#This Row],[OrderDate ]],"mmm")</f>
        <v>Jul</v>
      </c>
      <c r="N944">
        <f>YEAR(Table9[[#This Row],[OrderDate ]])</f>
        <v>2014</v>
      </c>
    </row>
    <row r="945" spans="1:14" x14ac:dyDescent="0.3">
      <c r="A945">
        <v>10605</v>
      </c>
      <c r="B945" s="2">
        <f>_xlfn.XLOOKUP(Table9[[#This Row],[orderID]],orders[orderID],orders[orderDate],,0)</f>
        <v>41841</v>
      </c>
      <c r="C945">
        <f>_xlfn.XLOOKUP(A945,order_details[orderID],order_details[productID],,0)</f>
        <v>16</v>
      </c>
      <c r="D945" t="str">
        <f>_xlfn.XLOOKUP(C945,products[productID],products[productName],,0)</f>
        <v>Pavlova</v>
      </c>
      <c r="E945" t="str">
        <f>_xlfn.XLOOKUP(_xlfn.XLOOKUP(Table9[[#This Row],[ProductName ]],products[productName],products[categoryID],,0),categories[categoryID],categories[categoryName],,0)</f>
        <v>Confections</v>
      </c>
      <c r="F945">
        <v>15</v>
      </c>
      <c r="G945">
        <v>215</v>
      </c>
      <c r="H945">
        <v>5</v>
      </c>
      <c r="I945">
        <f>Table9[[#This Row],[quantity]]*Table9[[#This Row],[unitPrice]]*(1-Table9[[#This Row],[discount]]/100)</f>
        <v>3063.75</v>
      </c>
      <c r="J945" t="str">
        <f>_xlfn.XLOOKUP(_xlfn.XLOOKUP(A945,orders[orderID],orders[customerID],,0),customers__2[customerID],customers__2[companyName],,0)</f>
        <v>Mère Paillarde</v>
      </c>
      <c r="K945" t="str">
        <f>_xlfn.XLOOKUP(Table9[[#This Row],[Company Name]],customers__2[companyName],customers__2[country],,0)</f>
        <v>Canada</v>
      </c>
      <c r="L945">
        <f>MONTH(Table9[[#This Row],[OrderDate ]])</f>
        <v>7</v>
      </c>
      <c r="M945" t="str">
        <f>TEXT(Table9[[#This Row],[OrderDate ]],"mmm")</f>
        <v>Jul</v>
      </c>
      <c r="N945">
        <f>YEAR(Table9[[#This Row],[OrderDate ]])</f>
        <v>2014</v>
      </c>
    </row>
    <row r="946" spans="1:14" x14ac:dyDescent="0.3">
      <c r="A946">
        <v>10606</v>
      </c>
      <c r="B946" s="2">
        <f>_xlfn.XLOOKUP(Table9[[#This Row],[orderID]],orders[orderID],orders[orderDate],,0)</f>
        <v>41842</v>
      </c>
      <c r="C946">
        <f>_xlfn.XLOOKUP(A946,order_details[orderID],order_details[productID],,0)</f>
        <v>4</v>
      </c>
      <c r="D946" t="str">
        <f>_xlfn.XLOOKUP(C946,products[productID],products[productName],,0)</f>
        <v>Chef Anton's Cajun Seasoning</v>
      </c>
      <c r="E946" t="str">
        <f>_xlfn.XLOOKUP(_xlfn.XLOOKUP(Table9[[#This Row],[ProductName ]],products[productName],products[categoryID],,0),categories[categoryID],categories[categoryName],,0)</f>
        <v>Condiments</v>
      </c>
      <c r="F946">
        <v>20</v>
      </c>
      <c r="G946">
        <v>22</v>
      </c>
      <c r="H946">
        <v>2</v>
      </c>
      <c r="I946">
        <f>Table9[[#This Row],[quantity]]*Table9[[#This Row],[unitPrice]]*(1-Table9[[#This Row],[discount]]/100)</f>
        <v>431.2</v>
      </c>
      <c r="J946" t="str">
        <f>_xlfn.XLOOKUP(_xlfn.XLOOKUP(A946,orders[orderID],orders[customerID],,0),customers__2[customerID],customers__2[companyName],,0)</f>
        <v>Tradição Hipermercados</v>
      </c>
      <c r="K946" t="str">
        <f>_xlfn.XLOOKUP(Table9[[#This Row],[Company Name]],customers__2[companyName],customers__2[country],,0)</f>
        <v>Brazil</v>
      </c>
      <c r="L946">
        <f>MONTH(Table9[[#This Row],[OrderDate ]])</f>
        <v>7</v>
      </c>
      <c r="M946" t="str">
        <f>TEXT(Table9[[#This Row],[OrderDate ]],"mmm")</f>
        <v>Jul</v>
      </c>
      <c r="N946">
        <f>YEAR(Table9[[#This Row],[OrderDate ]])</f>
        <v>2014</v>
      </c>
    </row>
    <row r="947" spans="1:14" x14ac:dyDescent="0.3">
      <c r="A947">
        <v>10606</v>
      </c>
      <c r="B947" s="2">
        <f>_xlfn.XLOOKUP(Table9[[#This Row],[orderID]],orders[orderID],orders[orderDate],,0)</f>
        <v>41842</v>
      </c>
      <c r="C947">
        <f>_xlfn.XLOOKUP(A947,order_details[orderID],order_details[productID],,0)</f>
        <v>4</v>
      </c>
      <c r="D947" t="str">
        <f>_xlfn.XLOOKUP(C947,products[productID],products[productName],,0)</f>
        <v>Chef Anton's Cajun Seasoning</v>
      </c>
      <c r="E947" t="str">
        <f>_xlfn.XLOOKUP(_xlfn.XLOOKUP(Table9[[#This Row],[ProductName ]],products[productName],products[categoryID],,0),categories[categoryID],categories[categoryName],,0)</f>
        <v>Condiments</v>
      </c>
      <c r="F947">
        <v>20</v>
      </c>
      <c r="G947">
        <v>24</v>
      </c>
      <c r="H947">
        <v>2</v>
      </c>
      <c r="I947">
        <f>Table9[[#This Row],[quantity]]*Table9[[#This Row],[unitPrice]]*(1-Table9[[#This Row],[discount]]/100)</f>
        <v>470.4</v>
      </c>
      <c r="J947" t="str">
        <f>_xlfn.XLOOKUP(_xlfn.XLOOKUP(A947,orders[orderID],orders[customerID],,0),customers__2[customerID],customers__2[companyName],,0)</f>
        <v>Tradição Hipermercados</v>
      </c>
      <c r="K947" t="str">
        <f>_xlfn.XLOOKUP(Table9[[#This Row],[Company Name]],customers__2[companyName],customers__2[country],,0)</f>
        <v>Brazil</v>
      </c>
      <c r="L947">
        <f>MONTH(Table9[[#This Row],[OrderDate ]])</f>
        <v>7</v>
      </c>
      <c r="M947" t="str">
        <f>TEXT(Table9[[#This Row],[OrderDate ]],"mmm")</f>
        <v>Jul</v>
      </c>
      <c r="N947">
        <f>YEAR(Table9[[#This Row],[OrderDate ]])</f>
        <v>2014</v>
      </c>
    </row>
    <row r="948" spans="1:14" x14ac:dyDescent="0.3">
      <c r="A948">
        <v>10606</v>
      </c>
      <c r="B948" s="2">
        <f>_xlfn.XLOOKUP(Table9[[#This Row],[orderID]],orders[orderID],orders[orderDate],,0)</f>
        <v>41842</v>
      </c>
      <c r="C948">
        <f>_xlfn.XLOOKUP(A948,order_details[orderID],order_details[productID],,0)</f>
        <v>4</v>
      </c>
      <c r="D948" t="str">
        <f>_xlfn.XLOOKUP(C948,products[productID],products[productName],,0)</f>
        <v>Chef Anton's Cajun Seasoning</v>
      </c>
      <c r="E948" t="str">
        <f>_xlfn.XLOOKUP(_xlfn.XLOOKUP(Table9[[#This Row],[ProductName ]],products[productName],products[categoryID],,0),categories[categoryID],categories[categoryName],,0)</f>
        <v>Condiments</v>
      </c>
      <c r="F948">
        <v>10</v>
      </c>
      <c r="G948">
        <v>493</v>
      </c>
      <c r="H948">
        <v>2</v>
      </c>
      <c r="I948">
        <f>Table9[[#This Row],[quantity]]*Table9[[#This Row],[unitPrice]]*(1-Table9[[#This Row],[discount]]/100)</f>
        <v>4831.3999999999996</v>
      </c>
      <c r="J948" t="str">
        <f>_xlfn.XLOOKUP(_xlfn.XLOOKUP(A948,orders[orderID],orders[customerID],,0),customers__2[customerID],customers__2[companyName],,0)</f>
        <v>Tradição Hipermercados</v>
      </c>
      <c r="K948" t="str">
        <f>_xlfn.XLOOKUP(Table9[[#This Row],[Company Name]],customers__2[companyName],customers__2[country],,0)</f>
        <v>Brazil</v>
      </c>
      <c r="L948">
        <f>MONTH(Table9[[#This Row],[OrderDate ]])</f>
        <v>7</v>
      </c>
      <c r="M948" t="str">
        <f>TEXT(Table9[[#This Row],[OrderDate ]],"mmm")</f>
        <v>Jul</v>
      </c>
      <c r="N948">
        <f>YEAR(Table9[[#This Row],[OrderDate ]])</f>
        <v>2014</v>
      </c>
    </row>
    <row r="949" spans="1:14" x14ac:dyDescent="0.3">
      <c r="A949">
        <v>10607</v>
      </c>
      <c r="B949" s="2">
        <f>_xlfn.XLOOKUP(Table9[[#This Row],[orderID]],orders[orderID],orders[orderDate],,0)</f>
        <v>41842</v>
      </c>
      <c r="C949">
        <f>_xlfn.XLOOKUP(A949,order_details[orderID],order_details[productID],,0)</f>
        <v>7</v>
      </c>
      <c r="D949" t="str">
        <f>_xlfn.XLOOKUP(C949,products[productID],products[productName],,0)</f>
        <v>Uncle Bob's Organic Dried Pears</v>
      </c>
      <c r="E949" t="str">
        <f>_xlfn.XLOOKUP(_xlfn.XLOOKUP(Table9[[#This Row],[ProductName ]],products[productName],products[categoryID],,0),categories[categoryID],categories[categoryName],,0)</f>
        <v>Produce</v>
      </c>
      <c r="F949">
        <v>45</v>
      </c>
      <c r="G949">
        <v>30</v>
      </c>
      <c r="H949">
        <v>0</v>
      </c>
      <c r="I949">
        <f>Table9[[#This Row],[quantity]]*Table9[[#This Row],[unitPrice]]*(1-Table9[[#This Row],[discount]]/100)</f>
        <v>1350</v>
      </c>
      <c r="J949" t="str">
        <f>_xlfn.XLOOKUP(_xlfn.XLOOKUP(A949,orders[orderID],orders[customerID],,0),customers__2[customerID],customers__2[companyName],,0)</f>
        <v>Save-a-lot Markets</v>
      </c>
      <c r="K949" t="str">
        <f>_xlfn.XLOOKUP(Table9[[#This Row],[Company Name]],customers__2[companyName],customers__2[country],,0)</f>
        <v>USA</v>
      </c>
      <c r="L949">
        <f>MONTH(Table9[[#This Row],[OrderDate ]])</f>
        <v>7</v>
      </c>
      <c r="M949" t="str">
        <f>TEXT(Table9[[#This Row],[OrderDate ]],"mmm")</f>
        <v>Jul</v>
      </c>
      <c r="N949">
        <f>YEAR(Table9[[#This Row],[OrderDate ]])</f>
        <v>2014</v>
      </c>
    </row>
    <row r="950" spans="1:14" x14ac:dyDescent="0.3">
      <c r="A950">
        <v>10607</v>
      </c>
      <c r="B950" s="2">
        <f>_xlfn.XLOOKUP(Table9[[#This Row],[orderID]],orders[orderID],orders[orderDate],,0)</f>
        <v>41842</v>
      </c>
      <c r="C950">
        <f>_xlfn.XLOOKUP(A950,order_details[orderID],order_details[productID],,0)</f>
        <v>7</v>
      </c>
      <c r="D950" t="str">
        <f>_xlfn.XLOOKUP(C950,products[productID],products[productName],,0)</f>
        <v>Uncle Bob's Organic Dried Pears</v>
      </c>
      <c r="E950" t="str">
        <f>_xlfn.XLOOKUP(_xlfn.XLOOKUP(Table9[[#This Row],[ProductName ]],products[productName],products[categoryID],,0),categories[categoryID],categories[categoryName],,0)</f>
        <v>Produce</v>
      </c>
      <c r="F950">
        <v>100</v>
      </c>
      <c r="G950">
        <v>39</v>
      </c>
      <c r="H950">
        <v>0</v>
      </c>
      <c r="I950">
        <f>Table9[[#This Row],[quantity]]*Table9[[#This Row],[unitPrice]]*(1-Table9[[#This Row],[discount]]/100)</f>
        <v>3900</v>
      </c>
      <c r="J950" t="str">
        <f>_xlfn.XLOOKUP(_xlfn.XLOOKUP(A950,orders[orderID],orders[customerID],,0),customers__2[customerID],customers__2[companyName],,0)</f>
        <v>Save-a-lot Markets</v>
      </c>
      <c r="K950" t="str">
        <f>_xlfn.XLOOKUP(Table9[[#This Row],[Company Name]],customers__2[companyName],customers__2[country],,0)</f>
        <v>USA</v>
      </c>
      <c r="L950">
        <f>MONTH(Table9[[#This Row],[OrderDate ]])</f>
        <v>7</v>
      </c>
      <c r="M950" t="str">
        <f>TEXT(Table9[[#This Row],[OrderDate ]],"mmm")</f>
        <v>Jul</v>
      </c>
      <c r="N950">
        <f>YEAR(Table9[[#This Row],[OrderDate ]])</f>
        <v>2014</v>
      </c>
    </row>
    <row r="951" spans="1:14" x14ac:dyDescent="0.3">
      <c r="A951">
        <v>10607</v>
      </c>
      <c r="B951" s="2">
        <f>_xlfn.XLOOKUP(Table9[[#This Row],[orderID]],orders[orderID],orders[orderDate],,0)</f>
        <v>41842</v>
      </c>
      <c r="C951">
        <f>_xlfn.XLOOKUP(A951,order_details[orderID],order_details[productID],,0)</f>
        <v>7</v>
      </c>
      <c r="D951" t="str">
        <f>_xlfn.XLOOKUP(C951,products[productID],products[productName],,0)</f>
        <v>Uncle Bob's Organic Dried Pears</v>
      </c>
      <c r="E951" t="str">
        <f>_xlfn.XLOOKUP(_xlfn.XLOOKUP(Table9[[#This Row],[ProductName ]],products[productName],products[categoryID],,0),categories[categoryID],categories[categoryName],,0)</f>
        <v>Produce</v>
      </c>
      <c r="F951">
        <v>14</v>
      </c>
      <c r="G951">
        <v>25</v>
      </c>
      <c r="H951">
        <v>0</v>
      </c>
      <c r="I951">
        <f>Table9[[#This Row],[quantity]]*Table9[[#This Row],[unitPrice]]*(1-Table9[[#This Row],[discount]]/100)</f>
        <v>350</v>
      </c>
      <c r="J951" t="str">
        <f>_xlfn.XLOOKUP(_xlfn.XLOOKUP(A951,orders[orderID],orders[customerID],,0),customers__2[customerID],customers__2[companyName],,0)</f>
        <v>Save-a-lot Markets</v>
      </c>
      <c r="K951" t="str">
        <f>_xlfn.XLOOKUP(Table9[[#This Row],[Company Name]],customers__2[companyName],customers__2[country],,0)</f>
        <v>USA</v>
      </c>
      <c r="L951">
        <f>MONTH(Table9[[#This Row],[OrderDate ]])</f>
        <v>7</v>
      </c>
      <c r="M951" t="str">
        <f>TEXT(Table9[[#This Row],[OrderDate ]],"mmm")</f>
        <v>Jul</v>
      </c>
      <c r="N951">
        <f>YEAR(Table9[[#This Row],[OrderDate ]])</f>
        <v>2014</v>
      </c>
    </row>
    <row r="952" spans="1:14" x14ac:dyDescent="0.3">
      <c r="A952">
        <v>10607</v>
      </c>
      <c r="B952" s="2">
        <f>_xlfn.XLOOKUP(Table9[[#This Row],[orderID]],orders[orderID],orders[orderDate],,0)</f>
        <v>41842</v>
      </c>
      <c r="C952">
        <f>_xlfn.XLOOKUP(A952,order_details[orderID],order_details[productID],,0)</f>
        <v>7</v>
      </c>
      <c r="D952" t="str">
        <f>_xlfn.XLOOKUP(C952,products[productID],products[productName],,0)</f>
        <v>Uncle Bob's Organic Dried Pears</v>
      </c>
      <c r="E952" t="str">
        <f>_xlfn.XLOOKUP(_xlfn.XLOOKUP(Table9[[#This Row],[ProductName ]],products[productName],products[categoryID],,0),categories[categoryID],categories[categoryName],,0)</f>
        <v>Produce</v>
      </c>
      <c r="F952">
        <v>42</v>
      </c>
      <c r="G952">
        <v>184</v>
      </c>
      <c r="H952">
        <v>0</v>
      </c>
      <c r="I952">
        <f>Table9[[#This Row],[quantity]]*Table9[[#This Row],[unitPrice]]*(1-Table9[[#This Row],[discount]]/100)</f>
        <v>7728</v>
      </c>
      <c r="J952" t="str">
        <f>_xlfn.XLOOKUP(_xlfn.XLOOKUP(A952,orders[orderID],orders[customerID],,0),customers__2[customerID],customers__2[companyName],,0)</f>
        <v>Save-a-lot Markets</v>
      </c>
      <c r="K952" t="str">
        <f>_xlfn.XLOOKUP(Table9[[#This Row],[Company Name]],customers__2[companyName],customers__2[country],,0)</f>
        <v>USA</v>
      </c>
      <c r="L952">
        <f>MONTH(Table9[[#This Row],[OrderDate ]])</f>
        <v>7</v>
      </c>
      <c r="M952" t="str">
        <f>TEXT(Table9[[#This Row],[OrderDate ]],"mmm")</f>
        <v>Jul</v>
      </c>
      <c r="N952">
        <f>YEAR(Table9[[#This Row],[OrderDate ]])</f>
        <v>2014</v>
      </c>
    </row>
    <row r="953" spans="1:14" x14ac:dyDescent="0.3">
      <c r="A953">
        <v>10607</v>
      </c>
      <c r="B953" s="2">
        <f>_xlfn.XLOOKUP(Table9[[#This Row],[orderID]],orders[orderID],orders[orderDate],,0)</f>
        <v>41842</v>
      </c>
      <c r="C953">
        <f>_xlfn.XLOOKUP(A953,order_details[orderID],order_details[productID],,0)</f>
        <v>7</v>
      </c>
      <c r="D953" t="str">
        <f>_xlfn.XLOOKUP(C953,products[productID],products[productName],,0)</f>
        <v>Uncle Bob's Organic Dried Pears</v>
      </c>
      <c r="E953" t="str">
        <f>_xlfn.XLOOKUP(_xlfn.XLOOKUP(Table9[[#This Row],[ProductName ]],products[productName],products[categoryID],,0),categories[categoryID],categories[categoryName],,0)</f>
        <v>Produce</v>
      </c>
      <c r="F953">
        <v>12</v>
      </c>
      <c r="G953">
        <v>348</v>
      </c>
      <c r="H953">
        <v>0</v>
      </c>
      <c r="I953">
        <f>Table9[[#This Row],[quantity]]*Table9[[#This Row],[unitPrice]]*(1-Table9[[#This Row],[discount]]/100)</f>
        <v>4176</v>
      </c>
      <c r="J953" t="str">
        <f>_xlfn.XLOOKUP(_xlfn.XLOOKUP(A953,orders[orderID],orders[customerID],,0),customers__2[customerID],customers__2[companyName],,0)</f>
        <v>Save-a-lot Markets</v>
      </c>
      <c r="K953" t="str">
        <f>_xlfn.XLOOKUP(Table9[[#This Row],[Company Name]],customers__2[companyName],customers__2[country],,0)</f>
        <v>USA</v>
      </c>
      <c r="L953">
        <f>MONTH(Table9[[#This Row],[OrderDate ]])</f>
        <v>7</v>
      </c>
      <c r="M953" t="str">
        <f>TEXT(Table9[[#This Row],[OrderDate ]],"mmm")</f>
        <v>Jul</v>
      </c>
      <c r="N953">
        <f>YEAR(Table9[[#This Row],[OrderDate ]])</f>
        <v>2014</v>
      </c>
    </row>
    <row r="954" spans="1:14" x14ac:dyDescent="0.3">
      <c r="A954">
        <v>10608</v>
      </c>
      <c r="B954" s="2">
        <f>_xlfn.XLOOKUP(Table9[[#This Row],[orderID]],orders[orderID],orders[orderDate],,0)</f>
        <v>41843</v>
      </c>
      <c r="C954">
        <f>_xlfn.XLOOKUP(A954,order_details[orderID],order_details[productID],,0)</f>
        <v>56</v>
      </c>
      <c r="D954" t="str">
        <f>_xlfn.XLOOKUP(C954,products[productID],products[productName],,0)</f>
        <v>Gnocchi di nonna Alice</v>
      </c>
      <c r="E954" t="str">
        <f>_xlfn.XLOOKUP(_xlfn.XLOOKUP(Table9[[#This Row],[ProductName ]],products[productName],products[categoryID],,0),categories[categoryID],categories[categoryName],,0)</f>
        <v>Grains &amp; Cereals</v>
      </c>
      <c r="F954">
        <v>28</v>
      </c>
      <c r="G954">
        <v>38</v>
      </c>
      <c r="H954">
        <v>0</v>
      </c>
      <c r="I954">
        <f>Table9[[#This Row],[quantity]]*Table9[[#This Row],[unitPrice]]*(1-Table9[[#This Row],[discount]]/100)</f>
        <v>1064</v>
      </c>
      <c r="J954" t="str">
        <f>_xlfn.XLOOKUP(_xlfn.XLOOKUP(A954,orders[orderID],orders[customerID],,0),customers__2[customerID],customers__2[companyName],,0)</f>
        <v>Toms Spezialitäten</v>
      </c>
      <c r="K954" t="str">
        <f>_xlfn.XLOOKUP(Table9[[#This Row],[Company Name]],customers__2[companyName],customers__2[country],,0)</f>
        <v>Germany</v>
      </c>
      <c r="L954">
        <f>MONTH(Table9[[#This Row],[OrderDate ]])</f>
        <v>7</v>
      </c>
      <c r="M954" t="str">
        <f>TEXT(Table9[[#This Row],[OrderDate ]],"mmm")</f>
        <v>Jul</v>
      </c>
      <c r="N954">
        <f>YEAR(Table9[[#This Row],[OrderDate ]])</f>
        <v>2014</v>
      </c>
    </row>
    <row r="955" spans="1:14" x14ac:dyDescent="0.3">
      <c r="A955">
        <v>10609</v>
      </c>
      <c r="B955" s="2">
        <f>_xlfn.XLOOKUP(Table9[[#This Row],[orderID]],orders[orderID],orders[orderDate],,0)</f>
        <v>41844</v>
      </c>
      <c r="C955">
        <f>_xlfn.XLOOKUP(A955,order_details[orderID],order_details[productID],,0)</f>
        <v>1</v>
      </c>
      <c r="D955" t="str">
        <f>_xlfn.XLOOKUP(C955,products[productID],products[productName],,0)</f>
        <v>Chai</v>
      </c>
      <c r="E955" t="str">
        <f>_xlfn.XLOOKUP(_xlfn.XLOOKUP(Table9[[#This Row],[ProductName ]],products[productName],products[categoryID],,0),categories[categoryID],categories[categoryName],,0)</f>
        <v>Beverages</v>
      </c>
      <c r="F955">
        <v>3</v>
      </c>
      <c r="G955">
        <v>18</v>
      </c>
      <c r="H955">
        <v>0</v>
      </c>
      <c r="I955">
        <f>Table9[[#This Row],[quantity]]*Table9[[#This Row],[unitPrice]]*(1-Table9[[#This Row],[discount]]/100)</f>
        <v>54</v>
      </c>
      <c r="J955" t="str">
        <f>_xlfn.XLOOKUP(_xlfn.XLOOKUP(A955,orders[orderID],orders[customerID],,0),customers__2[customerID],customers__2[companyName],,0)</f>
        <v>Du monde entier</v>
      </c>
      <c r="K955" t="str">
        <f>_xlfn.XLOOKUP(Table9[[#This Row],[Company Name]],customers__2[companyName],customers__2[country],,0)</f>
        <v>France</v>
      </c>
      <c r="L955">
        <f>MONTH(Table9[[#This Row],[OrderDate ]])</f>
        <v>7</v>
      </c>
      <c r="M955" t="str">
        <f>TEXT(Table9[[#This Row],[OrderDate ]],"mmm")</f>
        <v>Jul</v>
      </c>
      <c r="N955">
        <f>YEAR(Table9[[#This Row],[OrderDate ]])</f>
        <v>2014</v>
      </c>
    </row>
    <row r="956" spans="1:14" x14ac:dyDescent="0.3">
      <c r="A956">
        <v>10609</v>
      </c>
      <c r="B956" s="2">
        <f>_xlfn.XLOOKUP(Table9[[#This Row],[orderID]],orders[orderID],orders[orderDate],,0)</f>
        <v>41844</v>
      </c>
      <c r="C956">
        <f>_xlfn.XLOOKUP(A956,order_details[orderID],order_details[productID],,0)</f>
        <v>1</v>
      </c>
      <c r="D956" t="str">
        <f>_xlfn.XLOOKUP(C956,products[productID],products[productName],,0)</f>
        <v>Chai</v>
      </c>
      <c r="E956" t="str">
        <f>_xlfn.XLOOKUP(_xlfn.XLOOKUP(Table9[[#This Row],[ProductName ]],products[productName],products[categoryID],,0),categories[categoryID],categories[categoryName],,0)</f>
        <v>Beverages</v>
      </c>
      <c r="F956">
        <v>10</v>
      </c>
      <c r="G956">
        <v>31</v>
      </c>
      <c r="H956">
        <v>0</v>
      </c>
      <c r="I956">
        <f>Table9[[#This Row],[quantity]]*Table9[[#This Row],[unitPrice]]*(1-Table9[[#This Row],[discount]]/100)</f>
        <v>310</v>
      </c>
      <c r="J956" t="str">
        <f>_xlfn.XLOOKUP(_xlfn.XLOOKUP(A956,orders[orderID],orders[customerID],,0),customers__2[customerID],customers__2[companyName],,0)</f>
        <v>Du monde entier</v>
      </c>
      <c r="K956" t="str">
        <f>_xlfn.XLOOKUP(Table9[[#This Row],[Company Name]],customers__2[companyName],customers__2[country],,0)</f>
        <v>France</v>
      </c>
      <c r="L956">
        <f>MONTH(Table9[[#This Row],[OrderDate ]])</f>
        <v>7</v>
      </c>
      <c r="M956" t="str">
        <f>TEXT(Table9[[#This Row],[OrderDate ]],"mmm")</f>
        <v>Jul</v>
      </c>
      <c r="N956">
        <f>YEAR(Table9[[#This Row],[OrderDate ]])</f>
        <v>2014</v>
      </c>
    </row>
    <row r="957" spans="1:14" x14ac:dyDescent="0.3">
      <c r="A957">
        <v>10609</v>
      </c>
      <c r="B957" s="2">
        <f>_xlfn.XLOOKUP(Table9[[#This Row],[orderID]],orders[orderID],orders[orderDate],,0)</f>
        <v>41844</v>
      </c>
      <c r="C957">
        <f>_xlfn.XLOOKUP(A957,order_details[orderID],order_details[productID],,0)</f>
        <v>1</v>
      </c>
      <c r="D957" t="str">
        <f>_xlfn.XLOOKUP(C957,products[productID],products[productName],,0)</f>
        <v>Chai</v>
      </c>
      <c r="E957" t="str">
        <f>_xlfn.XLOOKUP(_xlfn.XLOOKUP(Table9[[#This Row],[ProductName ]],products[productName],products[categoryID],,0),categories[categoryID],categories[categoryName],,0)</f>
        <v>Beverages</v>
      </c>
      <c r="F957">
        <v>6</v>
      </c>
      <c r="G957">
        <v>10</v>
      </c>
      <c r="H957">
        <v>0</v>
      </c>
      <c r="I957">
        <f>Table9[[#This Row],[quantity]]*Table9[[#This Row],[unitPrice]]*(1-Table9[[#This Row],[discount]]/100)</f>
        <v>60</v>
      </c>
      <c r="J957" t="str">
        <f>_xlfn.XLOOKUP(_xlfn.XLOOKUP(A957,orders[orderID],orders[customerID],,0),customers__2[customerID],customers__2[companyName],,0)</f>
        <v>Du monde entier</v>
      </c>
      <c r="K957" t="str">
        <f>_xlfn.XLOOKUP(Table9[[#This Row],[Company Name]],customers__2[companyName],customers__2[country],,0)</f>
        <v>France</v>
      </c>
      <c r="L957">
        <f>MONTH(Table9[[#This Row],[OrderDate ]])</f>
        <v>7</v>
      </c>
      <c r="M957" t="str">
        <f>TEXT(Table9[[#This Row],[OrderDate ]],"mmm")</f>
        <v>Jul</v>
      </c>
      <c r="N957">
        <f>YEAR(Table9[[#This Row],[OrderDate ]])</f>
        <v>2014</v>
      </c>
    </row>
    <row r="958" spans="1:14" x14ac:dyDescent="0.3">
      <c r="A958">
        <v>10610</v>
      </c>
      <c r="B958" s="2">
        <f>_xlfn.XLOOKUP(Table9[[#This Row],[orderID]],orders[orderID],orders[orderDate],,0)</f>
        <v>41845</v>
      </c>
      <c r="C958">
        <f>_xlfn.XLOOKUP(A958,order_details[orderID],order_details[productID],,0)</f>
        <v>36</v>
      </c>
      <c r="D958" t="str">
        <f>_xlfn.XLOOKUP(C958,products[productID],products[productName],,0)</f>
        <v>Inlagd Sill</v>
      </c>
      <c r="E958" t="str">
        <f>_xlfn.XLOOKUP(_xlfn.XLOOKUP(Table9[[#This Row],[ProductName ]],products[productName],products[categoryID],,0),categories[categoryID],categories[categoryName],,0)</f>
        <v>Seafood</v>
      </c>
      <c r="F958">
        <v>21</v>
      </c>
      <c r="G958">
        <v>19</v>
      </c>
      <c r="H958">
        <v>25</v>
      </c>
      <c r="I958">
        <f>Table9[[#This Row],[quantity]]*Table9[[#This Row],[unitPrice]]*(1-Table9[[#This Row],[discount]]/100)</f>
        <v>299.25</v>
      </c>
      <c r="J958" t="str">
        <f>_xlfn.XLOOKUP(_xlfn.XLOOKUP(A958,orders[orderID],orders[customerID],,0),customers__2[customerID],customers__2[companyName],,0)</f>
        <v>La maison d'Asie</v>
      </c>
      <c r="K958" t="str">
        <f>_xlfn.XLOOKUP(Table9[[#This Row],[Company Name]],customers__2[companyName],customers__2[country],,0)</f>
        <v>France</v>
      </c>
      <c r="L958">
        <f>MONTH(Table9[[#This Row],[OrderDate ]])</f>
        <v>7</v>
      </c>
      <c r="M958" t="str">
        <f>TEXT(Table9[[#This Row],[OrderDate ]],"mmm")</f>
        <v>Jul</v>
      </c>
      <c r="N958">
        <f>YEAR(Table9[[#This Row],[OrderDate ]])</f>
        <v>2014</v>
      </c>
    </row>
    <row r="959" spans="1:14" x14ac:dyDescent="0.3">
      <c r="A959">
        <v>10611</v>
      </c>
      <c r="B959" s="2">
        <f>_xlfn.XLOOKUP(Table9[[#This Row],[orderID]],orders[orderID],orders[orderDate],,0)</f>
        <v>41845</v>
      </c>
      <c r="C959">
        <f>_xlfn.XLOOKUP(A959,order_details[orderID],order_details[productID],,0)</f>
        <v>1</v>
      </c>
      <c r="D959" t="str">
        <f>_xlfn.XLOOKUP(C959,products[productID],products[productName],,0)</f>
        <v>Chai</v>
      </c>
      <c r="E959" t="str">
        <f>_xlfn.XLOOKUP(_xlfn.XLOOKUP(Table9[[#This Row],[ProductName ]],products[productName],products[categoryID],,0),categories[categoryID],categories[categoryName],,0)</f>
        <v>Beverages</v>
      </c>
      <c r="F959">
        <v>6</v>
      </c>
      <c r="G959">
        <v>18</v>
      </c>
      <c r="H959">
        <v>0</v>
      </c>
      <c r="I959">
        <f>Table9[[#This Row],[quantity]]*Table9[[#This Row],[unitPrice]]*(1-Table9[[#This Row],[discount]]/100)</f>
        <v>108</v>
      </c>
      <c r="J959" t="str">
        <f>_xlfn.XLOOKUP(_xlfn.XLOOKUP(A959,orders[orderID],orders[customerID],,0),customers__2[customerID],customers__2[companyName],,0)</f>
        <v>Wolski  Zajazd</v>
      </c>
      <c r="K959" t="str">
        <f>_xlfn.XLOOKUP(Table9[[#This Row],[Company Name]],customers__2[companyName],customers__2[country],,0)</f>
        <v>Poland</v>
      </c>
      <c r="L959">
        <f>MONTH(Table9[[#This Row],[OrderDate ]])</f>
        <v>7</v>
      </c>
      <c r="M959" t="str">
        <f>TEXT(Table9[[#This Row],[OrderDate ]],"mmm")</f>
        <v>Jul</v>
      </c>
      <c r="N959">
        <f>YEAR(Table9[[#This Row],[OrderDate ]])</f>
        <v>2014</v>
      </c>
    </row>
    <row r="960" spans="1:14" x14ac:dyDescent="0.3">
      <c r="A960">
        <v>10611</v>
      </c>
      <c r="B960" s="2">
        <f>_xlfn.XLOOKUP(Table9[[#This Row],[orderID]],orders[orderID],orders[orderDate],,0)</f>
        <v>41845</v>
      </c>
      <c r="C960">
        <f>_xlfn.XLOOKUP(A960,order_details[orderID],order_details[productID],,0)</f>
        <v>1</v>
      </c>
      <c r="D960" t="str">
        <f>_xlfn.XLOOKUP(C960,products[productID],products[productName],,0)</f>
        <v>Chai</v>
      </c>
      <c r="E960" t="str">
        <f>_xlfn.XLOOKUP(_xlfn.XLOOKUP(Table9[[#This Row],[ProductName ]],products[productName],products[categoryID],,0),categories[categoryID],categories[categoryName],,0)</f>
        <v>Beverages</v>
      </c>
      <c r="F960">
        <v>10</v>
      </c>
      <c r="G960">
        <v>19</v>
      </c>
      <c r="H960">
        <v>0</v>
      </c>
      <c r="I960">
        <f>Table9[[#This Row],[quantity]]*Table9[[#This Row],[unitPrice]]*(1-Table9[[#This Row],[discount]]/100)</f>
        <v>190</v>
      </c>
      <c r="J960" t="str">
        <f>_xlfn.XLOOKUP(_xlfn.XLOOKUP(A960,orders[orderID],orders[customerID],,0),customers__2[customerID],customers__2[companyName],,0)</f>
        <v>Wolski  Zajazd</v>
      </c>
      <c r="K960" t="str">
        <f>_xlfn.XLOOKUP(Table9[[#This Row],[Company Name]],customers__2[companyName],customers__2[country],,0)</f>
        <v>Poland</v>
      </c>
      <c r="L960">
        <f>MONTH(Table9[[#This Row],[OrderDate ]])</f>
        <v>7</v>
      </c>
      <c r="M960" t="str">
        <f>TEXT(Table9[[#This Row],[OrderDate ]],"mmm")</f>
        <v>Jul</v>
      </c>
      <c r="N960">
        <f>YEAR(Table9[[#This Row],[OrderDate ]])</f>
        <v>2014</v>
      </c>
    </row>
    <row r="961" spans="1:14" x14ac:dyDescent="0.3">
      <c r="A961">
        <v>10611</v>
      </c>
      <c r="B961" s="2">
        <f>_xlfn.XLOOKUP(Table9[[#This Row],[orderID]],orders[orderID],orders[orderDate],,0)</f>
        <v>41845</v>
      </c>
      <c r="C961">
        <f>_xlfn.XLOOKUP(A961,order_details[orderID],order_details[productID],,0)</f>
        <v>1</v>
      </c>
      <c r="D961" t="str">
        <f>_xlfn.XLOOKUP(C961,products[productID],products[productName],,0)</f>
        <v>Chai</v>
      </c>
      <c r="E961" t="str">
        <f>_xlfn.XLOOKUP(_xlfn.XLOOKUP(Table9[[#This Row],[ProductName ]],products[productName],products[categoryID],,0),categories[categoryID],categories[categoryName],,0)</f>
        <v>Beverages</v>
      </c>
      <c r="F961">
        <v>15</v>
      </c>
      <c r="G961">
        <v>34</v>
      </c>
      <c r="H961">
        <v>0</v>
      </c>
      <c r="I961">
        <f>Table9[[#This Row],[quantity]]*Table9[[#This Row],[unitPrice]]*(1-Table9[[#This Row],[discount]]/100)</f>
        <v>510</v>
      </c>
      <c r="J961" t="str">
        <f>_xlfn.XLOOKUP(_xlfn.XLOOKUP(A961,orders[orderID],orders[customerID],,0),customers__2[customerID],customers__2[companyName],,0)</f>
        <v>Wolski  Zajazd</v>
      </c>
      <c r="K961" t="str">
        <f>_xlfn.XLOOKUP(Table9[[#This Row],[Company Name]],customers__2[companyName],customers__2[country],,0)</f>
        <v>Poland</v>
      </c>
      <c r="L961">
        <f>MONTH(Table9[[#This Row],[OrderDate ]])</f>
        <v>7</v>
      </c>
      <c r="M961" t="str">
        <f>TEXT(Table9[[#This Row],[OrderDate ]],"mmm")</f>
        <v>Jul</v>
      </c>
      <c r="N961">
        <f>YEAR(Table9[[#This Row],[OrderDate ]])</f>
        <v>2014</v>
      </c>
    </row>
    <row r="962" spans="1:14" x14ac:dyDescent="0.3">
      <c r="A962">
        <v>10612</v>
      </c>
      <c r="B962" s="2">
        <f>_xlfn.XLOOKUP(Table9[[#This Row],[orderID]],orders[orderID],orders[orderDate],,0)</f>
        <v>41848</v>
      </c>
      <c r="C962">
        <f>_xlfn.XLOOKUP(A962,order_details[orderID],order_details[productID],,0)</f>
        <v>10</v>
      </c>
      <c r="D962" t="str">
        <f>_xlfn.XLOOKUP(C962,products[productID],products[productName],,0)</f>
        <v>Ikura</v>
      </c>
      <c r="E962" t="str">
        <f>_xlfn.XLOOKUP(_xlfn.XLOOKUP(Table9[[#This Row],[ProductName ]],products[productName],products[categoryID],,0),categories[categoryID],categories[categoryName],,0)</f>
        <v>Seafood</v>
      </c>
      <c r="F962">
        <v>70</v>
      </c>
      <c r="G962">
        <v>31</v>
      </c>
      <c r="H962">
        <v>0</v>
      </c>
      <c r="I962">
        <f>Table9[[#This Row],[quantity]]*Table9[[#This Row],[unitPrice]]*(1-Table9[[#This Row],[discount]]/100)</f>
        <v>2170</v>
      </c>
      <c r="J962" t="str">
        <f>_xlfn.XLOOKUP(_xlfn.XLOOKUP(A962,orders[orderID],orders[customerID],,0),customers__2[customerID],customers__2[companyName],,0)</f>
        <v>Save-a-lot Markets</v>
      </c>
      <c r="K962" t="str">
        <f>_xlfn.XLOOKUP(Table9[[#This Row],[Company Name]],customers__2[companyName],customers__2[country],,0)</f>
        <v>USA</v>
      </c>
      <c r="L962">
        <f>MONTH(Table9[[#This Row],[OrderDate ]])</f>
        <v>7</v>
      </c>
      <c r="M962" t="str">
        <f>TEXT(Table9[[#This Row],[OrderDate ]],"mmm")</f>
        <v>Jul</v>
      </c>
      <c r="N962">
        <f>YEAR(Table9[[#This Row],[OrderDate ]])</f>
        <v>2014</v>
      </c>
    </row>
    <row r="963" spans="1:14" x14ac:dyDescent="0.3">
      <c r="A963">
        <v>10612</v>
      </c>
      <c r="B963" s="2">
        <f>_xlfn.XLOOKUP(Table9[[#This Row],[orderID]],orders[orderID],orders[orderDate],,0)</f>
        <v>41848</v>
      </c>
      <c r="C963">
        <f>_xlfn.XLOOKUP(A963,order_details[orderID],order_details[productID],,0)</f>
        <v>10</v>
      </c>
      <c r="D963" t="str">
        <f>_xlfn.XLOOKUP(C963,products[productID],products[productName],,0)</f>
        <v>Ikura</v>
      </c>
      <c r="E963" t="str">
        <f>_xlfn.XLOOKUP(_xlfn.XLOOKUP(Table9[[#This Row],[ProductName ]],products[productName],products[categoryID],,0),categories[categoryID],categories[categoryName],,0)</f>
        <v>Seafood</v>
      </c>
      <c r="F963">
        <v>55</v>
      </c>
      <c r="G963">
        <v>19</v>
      </c>
      <c r="H963">
        <v>0</v>
      </c>
      <c r="I963">
        <f>Table9[[#This Row],[quantity]]*Table9[[#This Row],[unitPrice]]*(1-Table9[[#This Row],[discount]]/100)</f>
        <v>1045</v>
      </c>
      <c r="J963" t="str">
        <f>_xlfn.XLOOKUP(_xlfn.XLOOKUP(A963,orders[orderID],orders[customerID],,0),customers__2[customerID],customers__2[companyName],,0)</f>
        <v>Save-a-lot Markets</v>
      </c>
      <c r="K963" t="str">
        <f>_xlfn.XLOOKUP(Table9[[#This Row],[Company Name]],customers__2[companyName],customers__2[country],,0)</f>
        <v>USA</v>
      </c>
      <c r="L963">
        <f>MONTH(Table9[[#This Row],[OrderDate ]])</f>
        <v>7</v>
      </c>
      <c r="M963" t="str">
        <f>TEXT(Table9[[#This Row],[OrderDate ]],"mmm")</f>
        <v>Jul</v>
      </c>
      <c r="N963">
        <f>YEAR(Table9[[#This Row],[OrderDate ]])</f>
        <v>2014</v>
      </c>
    </row>
    <row r="964" spans="1:14" x14ac:dyDescent="0.3">
      <c r="A964">
        <v>10612</v>
      </c>
      <c r="B964" s="2">
        <f>_xlfn.XLOOKUP(Table9[[#This Row],[orderID]],orders[orderID],orders[orderDate],,0)</f>
        <v>41848</v>
      </c>
      <c r="C964">
        <f>_xlfn.XLOOKUP(A964,order_details[orderID],order_details[productID],,0)</f>
        <v>10</v>
      </c>
      <c r="D964" t="str">
        <f>_xlfn.XLOOKUP(C964,products[productID],products[productName],,0)</f>
        <v>Ikura</v>
      </c>
      <c r="E964" t="str">
        <f>_xlfn.XLOOKUP(_xlfn.XLOOKUP(Table9[[#This Row],[ProductName ]],products[productName],products[categoryID],,0),categories[categoryID],categories[categoryName],,0)</f>
        <v>Seafood</v>
      </c>
      <c r="F964">
        <v>18</v>
      </c>
      <c r="G964">
        <v>20</v>
      </c>
      <c r="H964">
        <v>0</v>
      </c>
      <c r="I964">
        <f>Table9[[#This Row],[quantity]]*Table9[[#This Row],[unitPrice]]*(1-Table9[[#This Row],[discount]]/100)</f>
        <v>360</v>
      </c>
      <c r="J964" t="str">
        <f>_xlfn.XLOOKUP(_xlfn.XLOOKUP(A964,orders[orderID],orders[customerID],,0),customers__2[customerID],customers__2[companyName],,0)</f>
        <v>Save-a-lot Markets</v>
      </c>
      <c r="K964" t="str">
        <f>_xlfn.XLOOKUP(Table9[[#This Row],[Company Name]],customers__2[companyName],customers__2[country],,0)</f>
        <v>USA</v>
      </c>
      <c r="L964">
        <f>MONTH(Table9[[#This Row],[OrderDate ]])</f>
        <v>7</v>
      </c>
      <c r="M964" t="str">
        <f>TEXT(Table9[[#This Row],[OrderDate ]],"mmm")</f>
        <v>Jul</v>
      </c>
      <c r="N964">
        <f>YEAR(Table9[[#This Row],[OrderDate ]])</f>
        <v>2014</v>
      </c>
    </row>
    <row r="965" spans="1:14" x14ac:dyDescent="0.3">
      <c r="A965">
        <v>10612</v>
      </c>
      <c r="B965" s="2">
        <f>_xlfn.XLOOKUP(Table9[[#This Row],[orderID]],orders[orderID],orders[orderDate],,0)</f>
        <v>41848</v>
      </c>
      <c r="C965">
        <f>_xlfn.XLOOKUP(A965,order_details[orderID],order_details[productID],,0)</f>
        <v>10</v>
      </c>
      <c r="D965" t="str">
        <f>_xlfn.XLOOKUP(C965,products[productID],products[productName],,0)</f>
        <v>Ikura</v>
      </c>
      <c r="E965" t="str">
        <f>_xlfn.XLOOKUP(_xlfn.XLOOKUP(Table9[[#This Row],[ProductName ]],products[productName],products[categoryID],,0),categories[categoryID],categories[categoryName],,0)</f>
        <v>Seafood</v>
      </c>
      <c r="F965">
        <v>40</v>
      </c>
      <c r="G965">
        <v>34</v>
      </c>
      <c r="H965">
        <v>0</v>
      </c>
      <c r="I965">
        <f>Table9[[#This Row],[quantity]]*Table9[[#This Row],[unitPrice]]*(1-Table9[[#This Row],[discount]]/100)</f>
        <v>1360</v>
      </c>
      <c r="J965" t="str">
        <f>_xlfn.XLOOKUP(_xlfn.XLOOKUP(A965,orders[orderID],orders[customerID],,0),customers__2[customerID],customers__2[companyName],,0)</f>
        <v>Save-a-lot Markets</v>
      </c>
      <c r="K965" t="str">
        <f>_xlfn.XLOOKUP(Table9[[#This Row],[Company Name]],customers__2[companyName],customers__2[country],,0)</f>
        <v>USA</v>
      </c>
      <c r="L965">
        <f>MONTH(Table9[[#This Row],[OrderDate ]])</f>
        <v>7</v>
      </c>
      <c r="M965" t="str">
        <f>TEXT(Table9[[#This Row],[OrderDate ]],"mmm")</f>
        <v>Jul</v>
      </c>
      <c r="N965">
        <f>YEAR(Table9[[#This Row],[OrderDate ]])</f>
        <v>2014</v>
      </c>
    </row>
    <row r="966" spans="1:14" x14ac:dyDescent="0.3">
      <c r="A966">
        <v>10612</v>
      </c>
      <c r="B966" s="2">
        <f>_xlfn.XLOOKUP(Table9[[#This Row],[orderID]],orders[orderID],orders[orderDate],,0)</f>
        <v>41848</v>
      </c>
      <c r="C966">
        <f>_xlfn.XLOOKUP(A966,order_details[orderID],order_details[productID],,0)</f>
        <v>10</v>
      </c>
      <c r="D966" t="str">
        <f>_xlfn.XLOOKUP(C966,products[productID],products[productName],,0)</f>
        <v>Ikura</v>
      </c>
      <c r="E966" t="str">
        <f>_xlfn.XLOOKUP(_xlfn.XLOOKUP(Table9[[#This Row],[ProductName ]],products[productName],products[categoryID],,0),categories[categoryID],categories[categoryName],,0)</f>
        <v>Seafood</v>
      </c>
      <c r="F966">
        <v>80</v>
      </c>
      <c r="G966">
        <v>18</v>
      </c>
      <c r="H966">
        <v>0</v>
      </c>
      <c r="I966">
        <f>Table9[[#This Row],[quantity]]*Table9[[#This Row],[unitPrice]]*(1-Table9[[#This Row],[discount]]/100)</f>
        <v>1440</v>
      </c>
      <c r="J966" t="str">
        <f>_xlfn.XLOOKUP(_xlfn.XLOOKUP(A966,orders[orderID],orders[customerID],,0),customers__2[customerID],customers__2[companyName],,0)</f>
        <v>Save-a-lot Markets</v>
      </c>
      <c r="K966" t="str">
        <f>_xlfn.XLOOKUP(Table9[[#This Row],[Company Name]],customers__2[companyName],customers__2[country],,0)</f>
        <v>USA</v>
      </c>
      <c r="L966">
        <f>MONTH(Table9[[#This Row],[OrderDate ]])</f>
        <v>7</v>
      </c>
      <c r="M966" t="str">
        <f>TEXT(Table9[[#This Row],[OrderDate ]],"mmm")</f>
        <v>Jul</v>
      </c>
      <c r="N966">
        <f>YEAR(Table9[[#This Row],[OrderDate ]])</f>
        <v>2014</v>
      </c>
    </row>
    <row r="967" spans="1:14" x14ac:dyDescent="0.3">
      <c r="A967">
        <v>10613</v>
      </c>
      <c r="B967" s="2">
        <f>_xlfn.XLOOKUP(Table9[[#This Row],[orderID]],orders[orderID],orders[orderDate],,0)</f>
        <v>41849</v>
      </c>
      <c r="C967">
        <f>_xlfn.XLOOKUP(A967,order_details[orderID],order_details[productID],,0)</f>
        <v>13</v>
      </c>
      <c r="D967" t="str">
        <f>_xlfn.XLOOKUP(C967,products[productID],products[productName],,0)</f>
        <v>Konbu</v>
      </c>
      <c r="E967" t="str">
        <f>_xlfn.XLOOKUP(_xlfn.XLOOKUP(Table9[[#This Row],[ProductName ]],products[productName],products[categoryID],,0),categories[categoryID],categories[categoryName],,0)</f>
        <v>Seafood</v>
      </c>
      <c r="F967">
        <v>8</v>
      </c>
      <c r="G967">
        <v>6</v>
      </c>
      <c r="H967">
        <v>1</v>
      </c>
      <c r="I967">
        <f>Table9[[#This Row],[quantity]]*Table9[[#This Row],[unitPrice]]*(1-Table9[[#This Row],[discount]]/100)</f>
        <v>47.519999999999996</v>
      </c>
      <c r="J967" t="str">
        <f>_xlfn.XLOOKUP(_xlfn.XLOOKUP(A967,orders[orderID],orders[customerID],,0),customers__2[customerID],customers__2[companyName],,0)</f>
        <v>HILARION-Abastos</v>
      </c>
      <c r="K967" t="str">
        <f>_xlfn.XLOOKUP(Table9[[#This Row],[Company Name]],customers__2[companyName],customers__2[country],,0)</f>
        <v>Venezuela</v>
      </c>
      <c r="L967">
        <f>MONTH(Table9[[#This Row],[OrderDate ]])</f>
        <v>7</v>
      </c>
      <c r="M967" t="str">
        <f>TEXT(Table9[[#This Row],[OrderDate ]],"mmm")</f>
        <v>Jul</v>
      </c>
      <c r="N967">
        <f>YEAR(Table9[[#This Row],[OrderDate ]])</f>
        <v>2014</v>
      </c>
    </row>
    <row r="968" spans="1:14" x14ac:dyDescent="0.3">
      <c r="A968">
        <v>10613</v>
      </c>
      <c r="B968" s="2">
        <f>_xlfn.XLOOKUP(Table9[[#This Row],[orderID]],orders[orderID],orders[orderDate],,0)</f>
        <v>41849</v>
      </c>
      <c r="C968">
        <f>_xlfn.XLOOKUP(A968,order_details[orderID],order_details[productID],,0)</f>
        <v>13</v>
      </c>
      <c r="D968" t="str">
        <f>_xlfn.XLOOKUP(C968,products[productID],products[productName],,0)</f>
        <v>Konbu</v>
      </c>
      <c r="E968" t="str">
        <f>_xlfn.XLOOKUP(_xlfn.XLOOKUP(Table9[[#This Row],[ProductName ]],products[productName],products[categoryID],,0),categories[categoryID],categories[categoryName],,0)</f>
        <v>Seafood</v>
      </c>
      <c r="F968">
        <v>40</v>
      </c>
      <c r="G968">
        <v>775</v>
      </c>
      <c r="H968">
        <v>0</v>
      </c>
      <c r="I968">
        <f>Table9[[#This Row],[quantity]]*Table9[[#This Row],[unitPrice]]*(1-Table9[[#This Row],[discount]]/100)</f>
        <v>31000</v>
      </c>
      <c r="J968" t="str">
        <f>_xlfn.XLOOKUP(_xlfn.XLOOKUP(A968,orders[orderID],orders[customerID],,0),customers__2[customerID],customers__2[companyName],,0)</f>
        <v>HILARION-Abastos</v>
      </c>
      <c r="K968" t="str">
        <f>_xlfn.XLOOKUP(Table9[[#This Row],[Company Name]],customers__2[companyName],customers__2[country],,0)</f>
        <v>Venezuela</v>
      </c>
      <c r="L968">
        <f>MONTH(Table9[[#This Row],[OrderDate ]])</f>
        <v>7</v>
      </c>
      <c r="M968" t="str">
        <f>TEXT(Table9[[#This Row],[OrderDate ]],"mmm")</f>
        <v>Jul</v>
      </c>
      <c r="N968">
        <f>YEAR(Table9[[#This Row],[OrderDate ]])</f>
        <v>2014</v>
      </c>
    </row>
    <row r="969" spans="1:14" x14ac:dyDescent="0.3">
      <c r="A969">
        <v>10614</v>
      </c>
      <c r="B969" s="2">
        <f>_xlfn.XLOOKUP(Table9[[#This Row],[orderID]],orders[orderID],orders[orderDate],,0)</f>
        <v>41849</v>
      </c>
      <c r="C969">
        <f>_xlfn.XLOOKUP(A969,order_details[orderID],order_details[productID],,0)</f>
        <v>11</v>
      </c>
      <c r="D969" t="str">
        <f>_xlfn.XLOOKUP(C969,products[productID],products[productName],,0)</f>
        <v>Queso Cabrales</v>
      </c>
      <c r="E969" t="str">
        <f>_xlfn.XLOOKUP(_xlfn.XLOOKUP(Table9[[#This Row],[ProductName ]],products[productName],products[categoryID],,0),categories[categoryID],categories[categoryName],,0)</f>
        <v>Dairy Products</v>
      </c>
      <c r="F969">
        <v>14</v>
      </c>
      <c r="G969">
        <v>21</v>
      </c>
      <c r="H969">
        <v>0</v>
      </c>
      <c r="I969">
        <f>Table9[[#This Row],[quantity]]*Table9[[#This Row],[unitPrice]]*(1-Table9[[#This Row],[discount]]/100)</f>
        <v>294</v>
      </c>
      <c r="J969" t="str">
        <f>_xlfn.XLOOKUP(_xlfn.XLOOKUP(A969,orders[orderID],orders[customerID],,0),customers__2[customerID],customers__2[companyName],,0)</f>
        <v>Blauer See Delikatessen</v>
      </c>
      <c r="K969" t="str">
        <f>_xlfn.XLOOKUP(Table9[[#This Row],[Company Name]],customers__2[companyName],customers__2[country],,0)</f>
        <v>Germany</v>
      </c>
      <c r="L969">
        <f>MONTH(Table9[[#This Row],[OrderDate ]])</f>
        <v>7</v>
      </c>
      <c r="M969" t="str">
        <f>TEXT(Table9[[#This Row],[OrderDate ]],"mmm")</f>
        <v>Jul</v>
      </c>
      <c r="N969">
        <f>YEAR(Table9[[#This Row],[OrderDate ]])</f>
        <v>2014</v>
      </c>
    </row>
    <row r="970" spans="1:14" x14ac:dyDescent="0.3">
      <c r="A970">
        <v>10614</v>
      </c>
      <c r="B970" s="2">
        <f>_xlfn.XLOOKUP(Table9[[#This Row],[orderID]],orders[orderID],orders[orderDate],,0)</f>
        <v>41849</v>
      </c>
      <c r="C970">
        <f>_xlfn.XLOOKUP(A970,order_details[orderID],order_details[productID],,0)</f>
        <v>11</v>
      </c>
      <c r="D970" t="str">
        <f>_xlfn.XLOOKUP(C970,products[productID],products[productName],,0)</f>
        <v>Queso Cabrales</v>
      </c>
      <c r="E970" t="str">
        <f>_xlfn.XLOOKUP(_xlfn.XLOOKUP(Table9[[#This Row],[ProductName ]],products[productName],products[categoryID],,0),categories[categoryID],categories[categoryName],,0)</f>
        <v>Dairy Products</v>
      </c>
      <c r="F970">
        <v>8</v>
      </c>
      <c r="G970">
        <v>10</v>
      </c>
      <c r="H970">
        <v>0</v>
      </c>
      <c r="I970">
        <f>Table9[[#This Row],[quantity]]*Table9[[#This Row],[unitPrice]]*(1-Table9[[#This Row],[discount]]/100)</f>
        <v>80</v>
      </c>
      <c r="J970" t="str">
        <f>_xlfn.XLOOKUP(_xlfn.XLOOKUP(A970,orders[orderID],orders[customerID],,0),customers__2[customerID],customers__2[companyName],,0)</f>
        <v>Blauer See Delikatessen</v>
      </c>
      <c r="K970" t="str">
        <f>_xlfn.XLOOKUP(Table9[[#This Row],[Company Name]],customers__2[companyName],customers__2[country],,0)</f>
        <v>Germany</v>
      </c>
      <c r="L970">
        <f>MONTH(Table9[[#This Row],[OrderDate ]])</f>
        <v>7</v>
      </c>
      <c r="M970" t="str">
        <f>TEXT(Table9[[#This Row],[OrderDate ]],"mmm")</f>
        <v>Jul</v>
      </c>
      <c r="N970">
        <f>YEAR(Table9[[#This Row],[OrderDate ]])</f>
        <v>2014</v>
      </c>
    </row>
    <row r="971" spans="1:14" x14ac:dyDescent="0.3">
      <c r="A971">
        <v>10614</v>
      </c>
      <c r="B971" s="2">
        <f>_xlfn.XLOOKUP(Table9[[#This Row],[orderID]],orders[orderID],orders[orderDate],,0)</f>
        <v>41849</v>
      </c>
      <c r="C971">
        <f>_xlfn.XLOOKUP(A971,order_details[orderID],order_details[productID],,0)</f>
        <v>11</v>
      </c>
      <c r="D971" t="str">
        <f>_xlfn.XLOOKUP(C971,products[productID],products[productName],,0)</f>
        <v>Queso Cabrales</v>
      </c>
      <c r="E971" t="str">
        <f>_xlfn.XLOOKUP(_xlfn.XLOOKUP(Table9[[#This Row],[ProductName ]],products[productName],products[categoryID],,0),categories[categoryID],categories[categoryName],,0)</f>
        <v>Dairy Products</v>
      </c>
      <c r="F971">
        <v>5</v>
      </c>
      <c r="G971">
        <v>18</v>
      </c>
      <c r="H971">
        <v>0</v>
      </c>
      <c r="I971">
        <f>Table9[[#This Row],[quantity]]*Table9[[#This Row],[unitPrice]]*(1-Table9[[#This Row],[discount]]/100)</f>
        <v>90</v>
      </c>
      <c r="J971" t="str">
        <f>_xlfn.XLOOKUP(_xlfn.XLOOKUP(A971,orders[orderID],orders[customerID],,0),customers__2[customerID],customers__2[companyName],,0)</f>
        <v>Blauer See Delikatessen</v>
      </c>
      <c r="K971" t="str">
        <f>_xlfn.XLOOKUP(Table9[[#This Row],[Company Name]],customers__2[companyName],customers__2[country],,0)</f>
        <v>Germany</v>
      </c>
      <c r="L971">
        <f>MONTH(Table9[[#This Row],[OrderDate ]])</f>
        <v>7</v>
      </c>
      <c r="M971" t="str">
        <f>TEXT(Table9[[#This Row],[OrderDate ]],"mmm")</f>
        <v>Jul</v>
      </c>
      <c r="N971">
        <f>YEAR(Table9[[#This Row],[OrderDate ]])</f>
        <v>2014</v>
      </c>
    </row>
    <row r="972" spans="1:14" x14ac:dyDescent="0.3">
      <c r="A972">
        <v>10615</v>
      </c>
      <c r="B972" s="2">
        <f>_xlfn.XLOOKUP(Table9[[#This Row],[orderID]],orders[orderID],orders[orderDate],,0)</f>
        <v>41850</v>
      </c>
      <c r="C972">
        <f>_xlfn.XLOOKUP(A972,order_details[orderID],order_details[productID],,0)</f>
        <v>55</v>
      </c>
      <c r="D972" t="str">
        <f>_xlfn.XLOOKUP(C972,products[productID],products[productName],,0)</f>
        <v>Pâté chinois</v>
      </c>
      <c r="E972" t="str">
        <f>_xlfn.XLOOKUP(_xlfn.XLOOKUP(Table9[[#This Row],[ProductName ]],products[productName],products[categoryID],,0),categories[categoryID],categories[categoryName],,0)</f>
        <v>Meat &amp; Poultry</v>
      </c>
      <c r="F972">
        <v>5</v>
      </c>
      <c r="G972">
        <v>24</v>
      </c>
      <c r="H972">
        <v>0</v>
      </c>
      <c r="I972">
        <f>Table9[[#This Row],[quantity]]*Table9[[#This Row],[unitPrice]]*(1-Table9[[#This Row],[discount]]/100)</f>
        <v>120</v>
      </c>
      <c r="J972" t="str">
        <f>_xlfn.XLOOKUP(_xlfn.XLOOKUP(A972,orders[orderID],orders[customerID],,0),customers__2[customerID],customers__2[companyName],,0)</f>
        <v>Wilman Kala</v>
      </c>
      <c r="K972" t="str">
        <f>_xlfn.XLOOKUP(Table9[[#This Row],[Company Name]],customers__2[companyName],customers__2[country],,0)</f>
        <v>Finland</v>
      </c>
      <c r="L972">
        <f>MONTH(Table9[[#This Row],[OrderDate ]])</f>
        <v>7</v>
      </c>
      <c r="M972" t="str">
        <f>TEXT(Table9[[#This Row],[OrderDate ]],"mmm")</f>
        <v>Jul</v>
      </c>
      <c r="N972">
        <f>YEAR(Table9[[#This Row],[OrderDate ]])</f>
        <v>2014</v>
      </c>
    </row>
    <row r="973" spans="1:14" x14ac:dyDescent="0.3">
      <c r="A973">
        <v>10616</v>
      </c>
      <c r="B973" s="2">
        <f>_xlfn.XLOOKUP(Table9[[#This Row],[orderID]],orders[orderID],orders[orderDate],,0)</f>
        <v>41851</v>
      </c>
      <c r="C973">
        <f>_xlfn.XLOOKUP(A973,order_details[orderID],order_details[productID],,0)</f>
        <v>38</v>
      </c>
      <c r="D973" t="str">
        <f>_xlfn.XLOOKUP(C973,products[productID],products[productName],,0)</f>
        <v>Côte de Blaye</v>
      </c>
      <c r="E973" t="str">
        <f>_xlfn.XLOOKUP(_xlfn.XLOOKUP(Table9[[#This Row],[ProductName ]],products[productName],products[categoryID],,0),categories[categoryID],categories[categoryName],,0)</f>
        <v>Beverages</v>
      </c>
      <c r="F973">
        <v>15</v>
      </c>
      <c r="G973">
        <v>2635</v>
      </c>
      <c r="H973">
        <v>5</v>
      </c>
      <c r="I973">
        <f>Table9[[#This Row],[quantity]]*Table9[[#This Row],[unitPrice]]*(1-Table9[[#This Row],[discount]]/100)</f>
        <v>37548.75</v>
      </c>
      <c r="J973" t="str">
        <f>_xlfn.XLOOKUP(_xlfn.XLOOKUP(A973,orders[orderID],orders[customerID],,0),customers__2[customerID],customers__2[companyName],,0)</f>
        <v>Great Lakes Food Market</v>
      </c>
      <c r="K973" t="str">
        <f>_xlfn.XLOOKUP(Table9[[#This Row],[Company Name]],customers__2[companyName],customers__2[country],,0)</f>
        <v>USA</v>
      </c>
      <c r="L973">
        <f>MONTH(Table9[[#This Row],[OrderDate ]])</f>
        <v>7</v>
      </c>
      <c r="M973" t="str">
        <f>TEXT(Table9[[#This Row],[OrderDate ]],"mmm")</f>
        <v>Jul</v>
      </c>
      <c r="N973">
        <f>YEAR(Table9[[#This Row],[OrderDate ]])</f>
        <v>2014</v>
      </c>
    </row>
    <row r="974" spans="1:14" x14ac:dyDescent="0.3">
      <c r="A974">
        <v>10616</v>
      </c>
      <c r="B974" s="2">
        <f>_xlfn.XLOOKUP(Table9[[#This Row],[orderID]],orders[orderID],orders[orderDate],,0)</f>
        <v>41851</v>
      </c>
      <c r="C974">
        <f>_xlfn.XLOOKUP(A974,order_details[orderID],order_details[productID],,0)</f>
        <v>38</v>
      </c>
      <c r="D974" t="str">
        <f>_xlfn.XLOOKUP(C974,products[productID],products[productName],,0)</f>
        <v>Côte de Blaye</v>
      </c>
      <c r="E974" t="str">
        <f>_xlfn.XLOOKUP(_xlfn.XLOOKUP(Table9[[#This Row],[ProductName ]],products[productName],products[categoryID],,0),categories[categoryID],categories[categoryName],,0)</f>
        <v>Beverages</v>
      </c>
      <c r="F974">
        <v>14</v>
      </c>
      <c r="G974">
        <v>38</v>
      </c>
      <c r="H974">
        <v>0</v>
      </c>
      <c r="I974">
        <f>Table9[[#This Row],[quantity]]*Table9[[#This Row],[unitPrice]]*(1-Table9[[#This Row],[discount]]/100)</f>
        <v>532</v>
      </c>
      <c r="J974" t="str">
        <f>_xlfn.XLOOKUP(_xlfn.XLOOKUP(A974,orders[orderID],orders[customerID],,0),customers__2[customerID],customers__2[companyName],,0)</f>
        <v>Great Lakes Food Market</v>
      </c>
      <c r="K974" t="str">
        <f>_xlfn.XLOOKUP(Table9[[#This Row],[Company Name]],customers__2[companyName],customers__2[country],,0)</f>
        <v>USA</v>
      </c>
      <c r="L974">
        <f>MONTH(Table9[[#This Row],[OrderDate ]])</f>
        <v>7</v>
      </c>
      <c r="M974" t="str">
        <f>TEXT(Table9[[#This Row],[OrderDate ]],"mmm")</f>
        <v>Jul</v>
      </c>
      <c r="N974">
        <f>YEAR(Table9[[#This Row],[OrderDate ]])</f>
        <v>2014</v>
      </c>
    </row>
    <row r="975" spans="1:14" x14ac:dyDescent="0.3">
      <c r="A975">
        <v>10616</v>
      </c>
      <c r="B975" s="2">
        <f>_xlfn.XLOOKUP(Table9[[#This Row],[orderID]],orders[orderID],orders[orderDate],,0)</f>
        <v>41851</v>
      </c>
      <c r="C975">
        <f>_xlfn.XLOOKUP(A975,order_details[orderID],order_details[productID],,0)</f>
        <v>38</v>
      </c>
      <c r="D975" t="str">
        <f>_xlfn.XLOOKUP(C975,products[productID],products[productName],,0)</f>
        <v>Côte de Blaye</v>
      </c>
      <c r="E975" t="str">
        <f>_xlfn.XLOOKUP(_xlfn.XLOOKUP(Table9[[#This Row],[ProductName ]],products[productName],products[categoryID],,0),categories[categoryID],categories[categoryName],,0)</f>
        <v>Beverages</v>
      </c>
      <c r="F975">
        <v>15</v>
      </c>
      <c r="G975">
        <v>15</v>
      </c>
      <c r="H975">
        <v>5</v>
      </c>
      <c r="I975">
        <f>Table9[[#This Row],[quantity]]*Table9[[#This Row],[unitPrice]]*(1-Table9[[#This Row],[discount]]/100)</f>
        <v>213.75</v>
      </c>
      <c r="J975" t="str">
        <f>_xlfn.XLOOKUP(_xlfn.XLOOKUP(A975,orders[orderID],orders[customerID],,0),customers__2[customerID],customers__2[companyName],,0)</f>
        <v>Great Lakes Food Market</v>
      </c>
      <c r="K975" t="str">
        <f>_xlfn.XLOOKUP(Table9[[#This Row],[Company Name]],customers__2[companyName],customers__2[country],,0)</f>
        <v>USA</v>
      </c>
      <c r="L975">
        <f>MONTH(Table9[[#This Row],[OrderDate ]])</f>
        <v>7</v>
      </c>
      <c r="M975" t="str">
        <f>TEXT(Table9[[#This Row],[OrderDate ]],"mmm")</f>
        <v>Jul</v>
      </c>
      <c r="N975">
        <f>YEAR(Table9[[#This Row],[OrderDate ]])</f>
        <v>2014</v>
      </c>
    </row>
    <row r="976" spans="1:14" x14ac:dyDescent="0.3">
      <c r="A976">
        <v>10616</v>
      </c>
      <c r="B976" s="2">
        <f>_xlfn.XLOOKUP(Table9[[#This Row],[orderID]],orders[orderID],orders[orderDate],,0)</f>
        <v>41851</v>
      </c>
      <c r="C976">
        <f>_xlfn.XLOOKUP(A976,order_details[orderID],order_details[productID],,0)</f>
        <v>38</v>
      </c>
      <c r="D976" t="str">
        <f>_xlfn.XLOOKUP(C976,products[productID],products[productName],,0)</f>
        <v>Côte de Blaye</v>
      </c>
      <c r="E976" t="str">
        <f>_xlfn.XLOOKUP(_xlfn.XLOOKUP(Table9[[#This Row],[ProductName ]],products[productName],products[categoryID],,0),categories[categoryID],categories[categoryName],,0)</f>
        <v>Beverages</v>
      </c>
      <c r="F976">
        <v>15</v>
      </c>
      <c r="G976">
        <v>215</v>
      </c>
      <c r="H976">
        <v>5</v>
      </c>
      <c r="I976">
        <f>Table9[[#This Row],[quantity]]*Table9[[#This Row],[unitPrice]]*(1-Table9[[#This Row],[discount]]/100)</f>
        <v>3063.75</v>
      </c>
      <c r="J976" t="str">
        <f>_xlfn.XLOOKUP(_xlfn.XLOOKUP(A976,orders[orderID],orders[customerID],,0),customers__2[customerID],customers__2[companyName],,0)</f>
        <v>Great Lakes Food Market</v>
      </c>
      <c r="K976" t="str">
        <f>_xlfn.XLOOKUP(Table9[[#This Row],[Company Name]],customers__2[companyName],customers__2[country],,0)</f>
        <v>USA</v>
      </c>
      <c r="L976">
        <f>MONTH(Table9[[#This Row],[OrderDate ]])</f>
        <v>7</v>
      </c>
      <c r="M976" t="str">
        <f>TEXT(Table9[[#This Row],[OrderDate ]],"mmm")</f>
        <v>Jul</v>
      </c>
      <c r="N976">
        <f>YEAR(Table9[[#This Row],[OrderDate ]])</f>
        <v>2014</v>
      </c>
    </row>
    <row r="977" spans="1:14" x14ac:dyDescent="0.3">
      <c r="A977">
        <v>10617</v>
      </c>
      <c r="B977" s="2">
        <f>_xlfn.XLOOKUP(Table9[[#This Row],[orderID]],orders[orderID],orders[orderDate],,0)</f>
        <v>41851</v>
      </c>
      <c r="C977">
        <f>_xlfn.XLOOKUP(A977,order_details[orderID],order_details[productID],,0)</f>
        <v>59</v>
      </c>
      <c r="D977" t="str">
        <f>_xlfn.XLOOKUP(C977,products[productID],products[productName],,0)</f>
        <v>Raclette Courdavault</v>
      </c>
      <c r="E977" t="str">
        <f>_xlfn.XLOOKUP(_xlfn.XLOOKUP(Table9[[#This Row],[ProductName ]],products[productName],products[categoryID],,0),categories[categoryID],categories[categoryName],,0)</f>
        <v>Dairy Products</v>
      </c>
      <c r="F977">
        <v>30</v>
      </c>
      <c r="G977">
        <v>55</v>
      </c>
      <c r="H977">
        <v>15</v>
      </c>
      <c r="I977">
        <f>Table9[[#This Row],[quantity]]*Table9[[#This Row],[unitPrice]]*(1-Table9[[#This Row],[discount]]/100)</f>
        <v>1402.5</v>
      </c>
      <c r="J977" t="str">
        <f>_xlfn.XLOOKUP(_xlfn.XLOOKUP(A977,orders[orderID],orders[customerID],,0),customers__2[customerID],customers__2[companyName],,0)</f>
        <v>Great Lakes Food Market</v>
      </c>
      <c r="K977" t="str">
        <f>_xlfn.XLOOKUP(Table9[[#This Row],[Company Name]],customers__2[companyName],customers__2[country],,0)</f>
        <v>USA</v>
      </c>
      <c r="L977">
        <f>MONTH(Table9[[#This Row],[OrderDate ]])</f>
        <v>7</v>
      </c>
      <c r="M977" t="str">
        <f>TEXT(Table9[[#This Row],[OrderDate ]],"mmm")</f>
        <v>Jul</v>
      </c>
      <c r="N977">
        <f>YEAR(Table9[[#This Row],[OrderDate ]])</f>
        <v>2014</v>
      </c>
    </row>
    <row r="978" spans="1:14" x14ac:dyDescent="0.3">
      <c r="A978">
        <v>10618</v>
      </c>
      <c r="B978" s="2">
        <f>_xlfn.XLOOKUP(Table9[[#This Row],[orderID]],orders[orderID],orders[orderDate],,0)</f>
        <v>41852</v>
      </c>
      <c r="C978">
        <f>_xlfn.XLOOKUP(A978,order_details[orderID],order_details[productID],,0)</f>
        <v>6</v>
      </c>
      <c r="D978" t="str">
        <f>_xlfn.XLOOKUP(C978,products[productID],products[productName],,0)</f>
        <v>Grandma's Boysenberry Spread</v>
      </c>
      <c r="E978" t="str">
        <f>_xlfn.XLOOKUP(_xlfn.XLOOKUP(Table9[[#This Row],[ProductName ]],products[productName],products[categoryID],,0),categories[categoryID],categories[categoryName],,0)</f>
        <v>Condiments</v>
      </c>
      <c r="F978">
        <v>70</v>
      </c>
      <c r="G978">
        <v>25</v>
      </c>
      <c r="H978">
        <v>0</v>
      </c>
      <c r="I978">
        <f>Table9[[#This Row],[quantity]]*Table9[[#This Row],[unitPrice]]*(1-Table9[[#This Row],[discount]]/100)</f>
        <v>1750</v>
      </c>
      <c r="J978" t="str">
        <f>_xlfn.XLOOKUP(_xlfn.XLOOKUP(A978,orders[orderID],orders[customerID],,0),customers__2[customerID],customers__2[companyName],,0)</f>
        <v>Mère Paillarde</v>
      </c>
      <c r="K978" t="str">
        <f>_xlfn.XLOOKUP(Table9[[#This Row],[Company Name]],customers__2[companyName],customers__2[country],,0)</f>
        <v>Canada</v>
      </c>
      <c r="L978">
        <f>MONTH(Table9[[#This Row],[OrderDate ]])</f>
        <v>8</v>
      </c>
      <c r="M978" t="str">
        <f>TEXT(Table9[[#This Row],[OrderDate ]],"mmm")</f>
        <v>Aug</v>
      </c>
      <c r="N978">
        <f>YEAR(Table9[[#This Row],[OrderDate ]])</f>
        <v>2014</v>
      </c>
    </row>
    <row r="979" spans="1:14" x14ac:dyDescent="0.3">
      <c r="A979">
        <v>10618</v>
      </c>
      <c r="B979" s="2">
        <f>_xlfn.XLOOKUP(Table9[[#This Row],[orderID]],orders[orderID],orders[orderDate],,0)</f>
        <v>41852</v>
      </c>
      <c r="C979">
        <f>_xlfn.XLOOKUP(A979,order_details[orderID],order_details[productID],,0)</f>
        <v>6</v>
      </c>
      <c r="D979" t="str">
        <f>_xlfn.XLOOKUP(C979,products[productID],products[productName],,0)</f>
        <v>Grandma's Boysenberry Spread</v>
      </c>
      <c r="E979" t="str">
        <f>_xlfn.XLOOKUP(_xlfn.XLOOKUP(Table9[[#This Row],[ProductName ]],products[productName],products[categoryID],,0),categories[categoryID],categories[categoryName],,0)</f>
        <v>Condiments</v>
      </c>
      <c r="F979">
        <v>20</v>
      </c>
      <c r="G979">
        <v>38</v>
      </c>
      <c r="H979">
        <v>0</v>
      </c>
      <c r="I979">
        <f>Table9[[#This Row],[quantity]]*Table9[[#This Row],[unitPrice]]*(1-Table9[[#This Row],[discount]]/100)</f>
        <v>760</v>
      </c>
      <c r="J979" t="str">
        <f>_xlfn.XLOOKUP(_xlfn.XLOOKUP(A979,orders[orderID],orders[customerID],,0),customers__2[customerID],customers__2[companyName],,0)</f>
        <v>Mère Paillarde</v>
      </c>
      <c r="K979" t="str">
        <f>_xlfn.XLOOKUP(Table9[[#This Row],[Company Name]],customers__2[companyName],customers__2[country],,0)</f>
        <v>Canada</v>
      </c>
      <c r="L979">
        <f>MONTH(Table9[[#This Row],[OrderDate ]])</f>
        <v>8</v>
      </c>
      <c r="M979" t="str">
        <f>TEXT(Table9[[#This Row],[OrderDate ]],"mmm")</f>
        <v>Aug</v>
      </c>
      <c r="N979">
        <f>YEAR(Table9[[#This Row],[OrderDate ]])</f>
        <v>2014</v>
      </c>
    </row>
    <row r="980" spans="1:14" x14ac:dyDescent="0.3">
      <c r="A980">
        <v>10618</v>
      </c>
      <c r="B980" s="2">
        <f>_xlfn.XLOOKUP(Table9[[#This Row],[orderID]],orders[orderID],orders[orderDate],,0)</f>
        <v>41852</v>
      </c>
      <c r="C980">
        <f>_xlfn.XLOOKUP(A980,order_details[orderID],order_details[productID],,0)</f>
        <v>6</v>
      </c>
      <c r="D980" t="str">
        <f>_xlfn.XLOOKUP(C980,products[productID],products[productName],,0)</f>
        <v>Grandma's Boysenberry Spread</v>
      </c>
      <c r="E980" t="str">
        <f>_xlfn.XLOOKUP(_xlfn.XLOOKUP(Table9[[#This Row],[ProductName ]],products[productName],products[categoryID],,0),categories[categoryID],categories[categoryName],,0)</f>
        <v>Condiments</v>
      </c>
      <c r="F980">
        <v>15</v>
      </c>
      <c r="G980">
        <v>125</v>
      </c>
      <c r="H980">
        <v>0</v>
      </c>
      <c r="I980">
        <f>Table9[[#This Row],[quantity]]*Table9[[#This Row],[unitPrice]]*(1-Table9[[#This Row],[discount]]/100)</f>
        <v>1875</v>
      </c>
      <c r="J980" t="str">
        <f>_xlfn.XLOOKUP(_xlfn.XLOOKUP(A980,orders[orderID],orders[customerID],,0),customers__2[customerID],customers__2[companyName],,0)</f>
        <v>Mère Paillarde</v>
      </c>
      <c r="K980" t="str">
        <f>_xlfn.XLOOKUP(Table9[[#This Row],[Company Name]],customers__2[companyName],customers__2[country],,0)</f>
        <v>Canada</v>
      </c>
      <c r="L980">
        <f>MONTH(Table9[[#This Row],[OrderDate ]])</f>
        <v>8</v>
      </c>
      <c r="M980" t="str">
        <f>TEXT(Table9[[#This Row],[OrderDate ]],"mmm")</f>
        <v>Aug</v>
      </c>
      <c r="N980">
        <f>YEAR(Table9[[#This Row],[OrderDate ]])</f>
        <v>2014</v>
      </c>
    </row>
    <row r="981" spans="1:14" x14ac:dyDescent="0.3">
      <c r="A981">
        <v>10619</v>
      </c>
      <c r="B981" s="2">
        <f>_xlfn.XLOOKUP(Table9[[#This Row],[orderID]],orders[orderID],orders[orderDate],,0)</f>
        <v>41855</v>
      </c>
      <c r="C981">
        <f>_xlfn.XLOOKUP(A981,order_details[orderID],order_details[productID],,0)</f>
        <v>21</v>
      </c>
      <c r="D981" t="str">
        <f>_xlfn.XLOOKUP(C981,products[productID],products[productName],,0)</f>
        <v>Sir Rodney's Scones</v>
      </c>
      <c r="E981" t="str">
        <f>_xlfn.XLOOKUP(_xlfn.XLOOKUP(Table9[[#This Row],[ProductName ]],products[productName],products[categoryID],,0),categories[categoryID],categories[categoryName],,0)</f>
        <v>Confections</v>
      </c>
      <c r="F981">
        <v>42</v>
      </c>
      <c r="G981">
        <v>10</v>
      </c>
      <c r="H981">
        <v>0</v>
      </c>
      <c r="I981">
        <f>Table9[[#This Row],[quantity]]*Table9[[#This Row],[unitPrice]]*(1-Table9[[#This Row],[discount]]/100)</f>
        <v>420</v>
      </c>
      <c r="J981" t="str">
        <f>_xlfn.XLOOKUP(_xlfn.XLOOKUP(A981,orders[orderID],orders[customerID],,0),customers__2[customerID],customers__2[companyName],,0)</f>
        <v>Mère Paillarde</v>
      </c>
      <c r="K981" t="str">
        <f>_xlfn.XLOOKUP(Table9[[#This Row],[Company Name]],customers__2[companyName],customers__2[country],,0)</f>
        <v>Canada</v>
      </c>
      <c r="L981">
        <f>MONTH(Table9[[#This Row],[OrderDate ]])</f>
        <v>8</v>
      </c>
      <c r="M981" t="str">
        <f>TEXT(Table9[[#This Row],[OrderDate ]],"mmm")</f>
        <v>Aug</v>
      </c>
      <c r="N981">
        <f>YEAR(Table9[[#This Row],[OrderDate ]])</f>
        <v>2014</v>
      </c>
    </row>
    <row r="982" spans="1:14" x14ac:dyDescent="0.3">
      <c r="A982">
        <v>10619</v>
      </c>
      <c r="B982" s="2">
        <f>_xlfn.XLOOKUP(Table9[[#This Row],[orderID]],orders[orderID],orders[orderDate],,0)</f>
        <v>41855</v>
      </c>
      <c r="C982">
        <f>_xlfn.XLOOKUP(A982,order_details[orderID],order_details[productID],,0)</f>
        <v>21</v>
      </c>
      <c r="D982" t="str">
        <f>_xlfn.XLOOKUP(C982,products[productID],products[productName],,0)</f>
        <v>Sir Rodney's Scones</v>
      </c>
      <c r="E982" t="str">
        <f>_xlfn.XLOOKUP(_xlfn.XLOOKUP(Table9[[#This Row],[ProductName ]],products[productName],products[categoryID],,0),categories[categoryID],categories[categoryName],,0)</f>
        <v>Confections</v>
      </c>
      <c r="F982">
        <v>40</v>
      </c>
      <c r="G982">
        <v>21</v>
      </c>
      <c r="H982">
        <v>0</v>
      </c>
      <c r="I982">
        <f>Table9[[#This Row],[quantity]]*Table9[[#This Row],[unitPrice]]*(1-Table9[[#This Row],[discount]]/100)</f>
        <v>840</v>
      </c>
      <c r="J982" t="str">
        <f>_xlfn.XLOOKUP(_xlfn.XLOOKUP(A982,orders[orderID],orders[customerID],,0),customers__2[customerID],customers__2[companyName],,0)</f>
        <v>Mère Paillarde</v>
      </c>
      <c r="K982" t="str">
        <f>_xlfn.XLOOKUP(Table9[[#This Row],[Company Name]],customers__2[companyName],customers__2[country],,0)</f>
        <v>Canada</v>
      </c>
      <c r="L982">
        <f>MONTH(Table9[[#This Row],[OrderDate ]])</f>
        <v>8</v>
      </c>
      <c r="M982" t="str">
        <f>TEXT(Table9[[#This Row],[OrderDate ]],"mmm")</f>
        <v>Aug</v>
      </c>
      <c r="N982">
        <f>YEAR(Table9[[#This Row],[OrderDate ]])</f>
        <v>2014</v>
      </c>
    </row>
    <row r="983" spans="1:14" x14ac:dyDescent="0.3">
      <c r="A983">
        <v>10620</v>
      </c>
      <c r="B983" s="2">
        <f>_xlfn.XLOOKUP(Table9[[#This Row],[orderID]],orders[orderID],orders[orderDate],,0)</f>
        <v>41856</v>
      </c>
      <c r="C983">
        <f>_xlfn.XLOOKUP(A983,order_details[orderID],order_details[productID],,0)</f>
        <v>24</v>
      </c>
      <c r="D983" t="str">
        <f>_xlfn.XLOOKUP(C983,products[productID],products[productName],,0)</f>
        <v>Guarana Fantastica</v>
      </c>
      <c r="E983" t="str">
        <f>_xlfn.XLOOKUP(_xlfn.XLOOKUP(Table9[[#This Row],[ProductName ]],products[productName],products[categoryID],,0),categories[categoryID],categories[categoryName],,0)</f>
        <v>Beverages</v>
      </c>
      <c r="F983">
        <v>5</v>
      </c>
      <c r="G983">
        <v>45</v>
      </c>
      <c r="H983">
        <v>0</v>
      </c>
      <c r="I983">
        <f>Table9[[#This Row],[quantity]]*Table9[[#This Row],[unitPrice]]*(1-Table9[[#This Row],[discount]]/100)</f>
        <v>225</v>
      </c>
      <c r="J983" t="str">
        <f>_xlfn.XLOOKUP(_xlfn.XLOOKUP(A983,orders[orderID],orders[customerID],,0),customers__2[customerID],customers__2[companyName],,0)</f>
        <v>Laughing Bacchus Wine Cellars</v>
      </c>
      <c r="K983" t="str">
        <f>_xlfn.XLOOKUP(Table9[[#This Row],[Company Name]],customers__2[companyName],customers__2[country],,0)</f>
        <v>Canada</v>
      </c>
      <c r="L983">
        <f>MONTH(Table9[[#This Row],[OrderDate ]])</f>
        <v>8</v>
      </c>
      <c r="M983" t="str">
        <f>TEXT(Table9[[#This Row],[OrderDate ]],"mmm")</f>
        <v>Aug</v>
      </c>
      <c r="N983">
        <f>YEAR(Table9[[#This Row],[OrderDate ]])</f>
        <v>2014</v>
      </c>
    </row>
    <row r="984" spans="1:14" x14ac:dyDescent="0.3">
      <c r="A984">
        <v>10620</v>
      </c>
      <c r="B984" s="2">
        <f>_xlfn.XLOOKUP(Table9[[#This Row],[orderID]],orders[orderID],orders[orderDate],,0)</f>
        <v>41856</v>
      </c>
      <c r="C984">
        <f>_xlfn.XLOOKUP(A984,order_details[orderID],order_details[productID],,0)</f>
        <v>24</v>
      </c>
      <c r="D984" t="str">
        <f>_xlfn.XLOOKUP(C984,products[productID],products[productName],,0)</f>
        <v>Guarana Fantastica</v>
      </c>
      <c r="E984" t="str">
        <f>_xlfn.XLOOKUP(_xlfn.XLOOKUP(Table9[[#This Row],[ProductName ]],products[productName],products[categoryID],,0),categories[categoryID],categories[categoryName],,0)</f>
        <v>Beverages</v>
      </c>
      <c r="F984">
        <v>5</v>
      </c>
      <c r="G984">
        <v>7</v>
      </c>
      <c r="H984">
        <v>0</v>
      </c>
      <c r="I984">
        <f>Table9[[#This Row],[quantity]]*Table9[[#This Row],[unitPrice]]*(1-Table9[[#This Row],[discount]]/100)</f>
        <v>35</v>
      </c>
      <c r="J984" t="str">
        <f>_xlfn.XLOOKUP(_xlfn.XLOOKUP(A984,orders[orderID],orders[customerID],,0),customers__2[customerID],customers__2[companyName],,0)</f>
        <v>Laughing Bacchus Wine Cellars</v>
      </c>
      <c r="K984" t="str">
        <f>_xlfn.XLOOKUP(Table9[[#This Row],[Company Name]],customers__2[companyName],customers__2[country],,0)</f>
        <v>Canada</v>
      </c>
      <c r="L984">
        <f>MONTH(Table9[[#This Row],[OrderDate ]])</f>
        <v>8</v>
      </c>
      <c r="M984" t="str">
        <f>TEXT(Table9[[#This Row],[OrderDate ]],"mmm")</f>
        <v>Aug</v>
      </c>
      <c r="N984">
        <f>YEAR(Table9[[#This Row],[OrderDate ]])</f>
        <v>2014</v>
      </c>
    </row>
    <row r="985" spans="1:14" x14ac:dyDescent="0.3">
      <c r="A985">
        <v>10621</v>
      </c>
      <c r="B985" s="2">
        <f>_xlfn.XLOOKUP(Table9[[#This Row],[orderID]],orders[orderID],orders[orderDate],,0)</f>
        <v>41856</v>
      </c>
      <c r="C985">
        <f>_xlfn.XLOOKUP(A985,order_details[orderID],order_details[productID],,0)</f>
        <v>19</v>
      </c>
      <c r="D985" t="str">
        <f>_xlfn.XLOOKUP(C985,products[productID],products[productName],,0)</f>
        <v>Teatime Chocolate Biscuits</v>
      </c>
      <c r="E985" t="str">
        <f>_xlfn.XLOOKUP(_xlfn.XLOOKUP(Table9[[#This Row],[ProductName ]],products[productName],products[categoryID],,0),categories[categoryID],categories[categoryName],,0)</f>
        <v>Confections</v>
      </c>
      <c r="F985">
        <v>5</v>
      </c>
      <c r="G985">
        <v>92</v>
      </c>
      <c r="H985">
        <v>0</v>
      </c>
      <c r="I985">
        <f>Table9[[#This Row],[quantity]]*Table9[[#This Row],[unitPrice]]*(1-Table9[[#This Row],[discount]]/100)</f>
        <v>460</v>
      </c>
      <c r="J985" t="str">
        <f>_xlfn.XLOOKUP(_xlfn.XLOOKUP(A985,orders[orderID],orders[customerID],,0),customers__2[customerID],customers__2[companyName],,0)</f>
        <v>Island Trading</v>
      </c>
      <c r="K985" t="str">
        <f>_xlfn.XLOOKUP(Table9[[#This Row],[Company Name]],customers__2[companyName],customers__2[country],,0)</f>
        <v>UK</v>
      </c>
      <c r="L985">
        <f>MONTH(Table9[[#This Row],[OrderDate ]])</f>
        <v>8</v>
      </c>
      <c r="M985" t="str">
        <f>TEXT(Table9[[#This Row],[OrderDate ]],"mmm")</f>
        <v>Aug</v>
      </c>
      <c r="N985">
        <f>YEAR(Table9[[#This Row],[OrderDate ]])</f>
        <v>2014</v>
      </c>
    </row>
    <row r="986" spans="1:14" x14ac:dyDescent="0.3">
      <c r="A986">
        <v>10621</v>
      </c>
      <c r="B986" s="2">
        <f>_xlfn.XLOOKUP(Table9[[#This Row],[orderID]],orders[orderID],orders[orderDate],,0)</f>
        <v>41856</v>
      </c>
      <c r="C986">
        <f>_xlfn.XLOOKUP(A986,order_details[orderID],order_details[productID],,0)</f>
        <v>19</v>
      </c>
      <c r="D986" t="str">
        <f>_xlfn.XLOOKUP(C986,products[productID],products[productName],,0)</f>
        <v>Teatime Chocolate Biscuits</v>
      </c>
      <c r="E986" t="str">
        <f>_xlfn.XLOOKUP(_xlfn.XLOOKUP(Table9[[#This Row],[ProductName ]],products[productName],products[categoryID],,0),categories[categoryID],categories[categoryName],,0)</f>
        <v>Confections</v>
      </c>
      <c r="F986">
        <v>10</v>
      </c>
      <c r="G986">
        <v>9</v>
      </c>
      <c r="H986">
        <v>0</v>
      </c>
      <c r="I986">
        <f>Table9[[#This Row],[quantity]]*Table9[[#This Row],[unitPrice]]*(1-Table9[[#This Row],[discount]]/100)</f>
        <v>90</v>
      </c>
      <c r="J986" t="str">
        <f>_xlfn.XLOOKUP(_xlfn.XLOOKUP(A986,orders[orderID],orders[customerID],,0),customers__2[customerID],customers__2[companyName],,0)</f>
        <v>Island Trading</v>
      </c>
      <c r="K986" t="str">
        <f>_xlfn.XLOOKUP(Table9[[#This Row],[Company Name]],customers__2[companyName],customers__2[country],,0)</f>
        <v>UK</v>
      </c>
      <c r="L986">
        <f>MONTH(Table9[[#This Row],[OrderDate ]])</f>
        <v>8</v>
      </c>
      <c r="M986" t="str">
        <f>TEXT(Table9[[#This Row],[OrderDate ]],"mmm")</f>
        <v>Aug</v>
      </c>
      <c r="N986">
        <f>YEAR(Table9[[#This Row],[OrderDate ]])</f>
        <v>2014</v>
      </c>
    </row>
    <row r="987" spans="1:14" x14ac:dyDescent="0.3">
      <c r="A987">
        <v>10621</v>
      </c>
      <c r="B987" s="2">
        <f>_xlfn.XLOOKUP(Table9[[#This Row],[orderID]],orders[orderID],orders[orderDate],,0)</f>
        <v>41856</v>
      </c>
      <c r="C987">
        <f>_xlfn.XLOOKUP(A987,order_details[orderID],order_details[productID],,0)</f>
        <v>19</v>
      </c>
      <c r="D987" t="str">
        <f>_xlfn.XLOOKUP(C987,products[productID],products[productName],,0)</f>
        <v>Teatime Chocolate Biscuits</v>
      </c>
      <c r="E987" t="str">
        <f>_xlfn.XLOOKUP(_xlfn.XLOOKUP(Table9[[#This Row],[ProductName ]],products[productName],products[categoryID],,0),categories[categoryID],categories[categoryName],,0)</f>
        <v>Confections</v>
      </c>
      <c r="F987">
        <v>20</v>
      </c>
      <c r="G987">
        <v>15</v>
      </c>
      <c r="H987">
        <v>0</v>
      </c>
      <c r="I987">
        <f>Table9[[#This Row],[quantity]]*Table9[[#This Row],[unitPrice]]*(1-Table9[[#This Row],[discount]]/100)</f>
        <v>300</v>
      </c>
      <c r="J987" t="str">
        <f>_xlfn.XLOOKUP(_xlfn.XLOOKUP(A987,orders[orderID],orders[customerID],,0),customers__2[customerID],customers__2[companyName],,0)</f>
        <v>Island Trading</v>
      </c>
      <c r="K987" t="str">
        <f>_xlfn.XLOOKUP(Table9[[#This Row],[Company Name]],customers__2[companyName],customers__2[country],,0)</f>
        <v>UK</v>
      </c>
      <c r="L987">
        <f>MONTH(Table9[[#This Row],[OrderDate ]])</f>
        <v>8</v>
      </c>
      <c r="M987" t="str">
        <f>TEXT(Table9[[#This Row],[OrderDate ]],"mmm")</f>
        <v>Aug</v>
      </c>
      <c r="N987">
        <f>YEAR(Table9[[#This Row],[OrderDate ]])</f>
        <v>2014</v>
      </c>
    </row>
    <row r="988" spans="1:14" x14ac:dyDescent="0.3">
      <c r="A988">
        <v>10621</v>
      </c>
      <c r="B988" s="2">
        <f>_xlfn.XLOOKUP(Table9[[#This Row],[orderID]],orders[orderID],orders[orderDate],,0)</f>
        <v>41856</v>
      </c>
      <c r="C988">
        <f>_xlfn.XLOOKUP(A988,order_details[orderID],order_details[productID],,0)</f>
        <v>19</v>
      </c>
      <c r="D988" t="str">
        <f>_xlfn.XLOOKUP(C988,products[productID],products[productName],,0)</f>
        <v>Teatime Chocolate Biscuits</v>
      </c>
      <c r="E988" t="str">
        <f>_xlfn.XLOOKUP(_xlfn.XLOOKUP(Table9[[#This Row],[ProductName ]],products[productName],products[categoryID],,0),categories[categoryID],categories[categoryName],,0)</f>
        <v>Confections</v>
      </c>
      <c r="F988">
        <v>15</v>
      </c>
      <c r="G988">
        <v>215</v>
      </c>
      <c r="H988">
        <v>0</v>
      </c>
      <c r="I988">
        <f>Table9[[#This Row],[quantity]]*Table9[[#This Row],[unitPrice]]*(1-Table9[[#This Row],[discount]]/100)</f>
        <v>3225</v>
      </c>
      <c r="J988" t="str">
        <f>_xlfn.XLOOKUP(_xlfn.XLOOKUP(A988,orders[orderID],orders[customerID],,0),customers__2[customerID],customers__2[companyName],,0)</f>
        <v>Island Trading</v>
      </c>
      <c r="K988" t="str">
        <f>_xlfn.XLOOKUP(Table9[[#This Row],[Company Name]],customers__2[companyName],customers__2[country],,0)</f>
        <v>UK</v>
      </c>
      <c r="L988">
        <f>MONTH(Table9[[#This Row],[OrderDate ]])</f>
        <v>8</v>
      </c>
      <c r="M988" t="str">
        <f>TEXT(Table9[[#This Row],[OrderDate ]],"mmm")</f>
        <v>Aug</v>
      </c>
      <c r="N988">
        <f>YEAR(Table9[[#This Row],[OrderDate ]])</f>
        <v>2014</v>
      </c>
    </row>
    <row r="989" spans="1:14" x14ac:dyDescent="0.3">
      <c r="A989">
        <v>10622</v>
      </c>
      <c r="B989" s="2">
        <f>_xlfn.XLOOKUP(Table9[[#This Row],[orderID]],orders[orderID],orders[orderDate],,0)</f>
        <v>41857</v>
      </c>
      <c r="C989">
        <f>_xlfn.XLOOKUP(A989,order_details[orderID],order_details[productID],,0)</f>
        <v>2</v>
      </c>
      <c r="D989" t="str">
        <f>_xlfn.XLOOKUP(C989,products[productID],products[productName],,0)</f>
        <v>Chang</v>
      </c>
      <c r="E989" t="str">
        <f>_xlfn.XLOOKUP(_xlfn.XLOOKUP(Table9[[#This Row],[ProductName ]],products[productName],products[categoryID],,0),categories[categoryID],categories[categoryName],,0)</f>
        <v>Beverages</v>
      </c>
      <c r="F989">
        <v>20</v>
      </c>
      <c r="G989">
        <v>19</v>
      </c>
      <c r="H989">
        <v>0</v>
      </c>
      <c r="I989">
        <f>Table9[[#This Row],[quantity]]*Table9[[#This Row],[unitPrice]]*(1-Table9[[#This Row],[discount]]/100)</f>
        <v>380</v>
      </c>
      <c r="J989" t="str">
        <f>_xlfn.XLOOKUP(_xlfn.XLOOKUP(A989,orders[orderID],orders[customerID],,0),customers__2[customerID],customers__2[companyName],,0)</f>
        <v>Ricardo Adocicados</v>
      </c>
      <c r="K989" t="str">
        <f>_xlfn.XLOOKUP(Table9[[#This Row],[Company Name]],customers__2[companyName],customers__2[country],,0)</f>
        <v>Brazil</v>
      </c>
      <c r="L989">
        <f>MONTH(Table9[[#This Row],[OrderDate ]])</f>
        <v>8</v>
      </c>
      <c r="M989" t="str">
        <f>TEXT(Table9[[#This Row],[OrderDate ]],"mmm")</f>
        <v>Aug</v>
      </c>
      <c r="N989">
        <f>YEAR(Table9[[#This Row],[OrderDate ]])</f>
        <v>2014</v>
      </c>
    </row>
    <row r="990" spans="1:14" x14ac:dyDescent="0.3">
      <c r="A990">
        <v>10622</v>
      </c>
      <c r="B990" s="2">
        <f>_xlfn.XLOOKUP(Table9[[#This Row],[orderID]],orders[orderID],orders[orderDate],,0)</f>
        <v>41857</v>
      </c>
      <c r="C990">
        <f>_xlfn.XLOOKUP(A990,order_details[orderID],order_details[productID],,0)</f>
        <v>2</v>
      </c>
      <c r="D990" t="str">
        <f>_xlfn.XLOOKUP(C990,products[productID],products[productName],,0)</f>
        <v>Chang</v>
      </c>
      <c r="E990" t="str">
        <f>_xlfn.XLOOKUP(_xlfn.XLOOKUP(Table9[[#This Row],[ProductName ]],products[productName],products[categoryID],,0),categories[categoryID],categories[categoryName],,0)</f>
        <v>Beverages</v>
      </c>
      <c r="F990">
        <v>18</v>
      </c>
      <c r="G990">
        <v>125</v>
      </c>
      <c r="H990">
        <v>2</v>
      </c>
      <c r="I990">
        <f>Table9[[#This Row],[quantity]]*Table9[[#This Row],[unitPrice]]*(1-Table9[[#This Row],[discount]]/100)</f>
        <v>2205</v>
      </c>
      <c r="J990" t="str">
        <f>_xlfn.XLOOKUP(_xlfn.XLOOKUP(A990,orders[orderID],orders[customerID],,0),customers__2[customerID],customers__2[companyName],,0)</f>
        <v>Ricardo Adocicados</v>
      </c>
      <c r="K990" t="str">
        <f>_xlfn.XLOOKUP(Table9[[#This Row],[Company Name]],customers__2[companyName],customers__2[country],,0)</f>
        <v>Brazil</v>
      </c>
      <c r="L990">
        <f>MONTH(Table9[[#This Row],[OrderDate ]])</f>
        <v>8</v>
      </c>
      <c r="M990" t="str">
        <f>TEXT(Table9[[#This Row],[OrderDate ]],"mmm")</f>
        <v>Aug</v>
      </c>
      <c r="N990">
        <f>YEAR(Table9[[#This Row],[OrderDate ]])</f>
        <v>2014</v>
      </c>
    </row>
    <row r="991" spans="1:14" x14ac:dyDescent="0.3">
      <c r="A991">
        <v>10623</v>
      </c>
      <c r="B991" s="2">
        <f>_xlfn.XLOOKUP(Table9[[#This Row],[orderID]],orders[orderID],orders[orderDate],,0)</f>
        <v>41858</v>
      </c>
      <c r="C991">
        <f>_xlfn.XLOOKUP(A991,order_details[orderID],order_details[productID],,0)</f>
        <v>14</v>
      </c>
      <c r="D991" t="str">
        <f>_xlfn.XLOOKUP(C991,products[productID],products[productName],,0)</f>
        <v>Tofu</v>
      </c>
      <c r="E991" t="str">
        <f>_xlfn.XLOOKUP(_xlfn.XLOOKUP(Table9[[#This Row],[ProductName ]],products[productName],products[categoryID],,0),categories[categoryID],categories[categoryName],,0)</f>
        <v>Produce</v>
      </c>
      <c r="F991">
        <v>21</v>
      </c>
      <c r="G991">
        <v>2325</v>
      </c>
      <c r="H991">
        <v>0</v>
      </c>
      <c r="I991">
        <f>Table9[[#This Row],[quantity]]*Table9[[#This Row],[unitPrice]]*(1-Table9[[#This Row],[discount]]/100)</f>
        <v>48825</v>
      </c>
      <c r="J991" t="str">
        <f>_xlfn.XLOOKUP(_xlfn.XLOOKUP(A991,orders[orderID],orders[customerID],,0),customers__2[customerID],customers__2[companyName],,0)</f>
        <v>Frankenversand</v>
      </c>
      <c r="K991" t="str">
        <f>_xlfn.XLOOKUP(Table9[[#This Row],[Company Name]],customers__2[companyName],customers__2[country],,0)</f>
        <v>Germany</v>
      </c>
      <c r="L991">
        <f>MONTH(Table9[[#This Row],[OrderDate ]])</f>
        <v>8</v>
      </c>
      <c r="M991" t="str">
        <f>TEXT(Table9[[#This Row],[OrderDate ]],"mmm")</f>
        <v>Aug</v>
      </c>
      <c r="N991">
        <f>YEAR(Table9[[#This Row],[OrderDate ]])</f>
        <v>2014</v>
      </c>
    </row>
    <row r="992" spans="1:14" x14ac:dyDescent="0.3">
      <c r="A992">
        <v>10623</v>
      </c>
      <c r="B992" s="2">
        <f>_xlfn.XLOOKUP(Table9[[#This Row],[orderID]],orders[orderID],orders[orderDate],,0)</f>
        <v>41858</v>
      </c>
      <c r="C992">
        <f>_xlfn.XLOOKUP(A992,order_details[orderID],order_details[productID],,0)</f>
        <v>14</v>
      </c>
      <c r="D992" t="str">
        <f>_xlfn.XLOOKUP(C992,products[productID],products[productName],,0)</f>
        <v>Tofu</v>
      </c>
      <c r="E992" t="str">
        <f>_xlfn.XLOOKUP(_xlfn.XLOOKUP(Table9[[#This Row],[ProductName ]],products[productName],products[categoryID],,0),categories[categoryID],categories[categoryName],,0)</f>
        <v>Produce</v>
      </c>
      <c r="F992">
        <v>15</v>
      </c>
      <c r="G992">
        <v>92</v>
      </c>
      <c r="H992">
        <v>1</v>
      </c>
      <c r="I992">
        <f>Table9[[#This Row],[quantity]]*Table9[[#This Row],[unitPrice]]*(1-Table9[[#This Row],[discount]]/100)</f>
        <v>1366.2</v>
      </c>
      <c r="J992" t="str">
        <f>_xlfn.XLOOKUP(_xlfn.XLOOKUP(A992,orders[orderID],orders[customerID],,0),customers__2[customerID],customers__2[companyName],,0)</f>
        <v>Frankenversand</v>
      </c>
      <c r="K992" t="str">
        <f>_xlfn.XLOOKUP(Table9[[#This Row],[Company Name]],customers__2[companyName],customers__2[country],,0)</f>
        <v>Germany</v>
      </c>
      <c r="L992">
        <f>MONTH(Table9[[#This Row],[OrderDate ]])</f>
        <v>8</v>
      </c>
      <c r="M992" t="str">
        <f>TEXT(Table9[[#This Row],[OrderDate ]],"mmm")</f>
        <v>Aug</v>
      </c>
      <c r="N992">
        <f>YEAR(Table9[[#This Row],[OrderDate ]])</f>
        <v>2014</v>
      </c>
    </row>
    <row r="993" spans="1:14" x14ac:dyDescent="0.3">
      <c r="A993">
        <v>10623</v>
      </c>
      <c r="B993" s="2">
        <f>_xlfn.XLOOKUP(Table9[[#This Row],[orderID]],orders[orderID],orders[orderDate],,0)</f>
        <v>41858</v>
      </c>
      <c r="C993">
        <f>_xlfn.XLOOKUP(A993,order_details[orderID],order_details[productID],,0)</f>
        <v>14</v>
      </c>
      <c r="D993" t="str">
        <f>_xlfn.XLOOKUP(C993,products[productID],products[productName],,0)</f>
        <v>Tofu</v>
      </c>
      <c r="E993" t="str">
        <f>_xlfn.XLOOKUP(_xlfn.XLOOKUP(Table9[[#This Row],[ProductName ]],products[productName],products[categoryID],,0),categories[categoryID],categories[categoryName],,0)</f>
        <v>Produce</v>
      </c>
      <c r="F993">
        <v>25</v>
      </c>
      <c r="G993">
        <v>10</v>
      </c>
      <c r="H993">
        <v>1</v>
      </c>
      <c r="I993">
        <f>Table9[[#This Row],[quantity]]*Table9[[#This Row],[unitPrice]]*(1-Table9[[#This Row],[discount]]/100)</f>
        <v>247.5</v>
      </c>
      <c r="J993" t="str">
        <f>_xlfn.XLOOKUP(_xlfn.XLOOKUP(A993,orders[orderID],orders[customerID],,0),customers__2[customerID],customers__2[companyName],,0)</f>
        <v>Frankenversand</v>
      </c>
      <c r="K993" t="str">
        <f>_xlfn.XLOOKUP(Table9[[#This Row],[Company Name]],customers__2[companyName],customers__2[country],,0)</f>
        <v>Germany</v>
      </c>
      <c r="L993">
        <f>MONTH(Table9[[#This Row],[OrderDate ]])</f>
        <v>8</v>
      </c>
      <c r="M993" t="str">
        <f>TEXT(Table9[[#This Row],[OrderDate ]],"mmm")</f>
        <v>Aug</v>
      </c>
      <c r="N993">
        <f>YEAR(Table9[[#This Row],[OrderDate ]])</f>
        <v>2014</v>
      </c>
    </row>
    <row r="994" spans="1:14" x14ac:dyDescent="0.3">
      <c r="A994">
        <v>10623</v>
      </c>
      <c r="B994" s="2">
        <f>_xlfn.XLOOKUP(Table9[[#This Row],[orderID]],orders[orderID],orders[orderDate],,0)</f>
        <v>41858</v>
      </c>
      <c r="C994">
        <f>_xlfn.XLOOKUP(A994,order_details[orderID],order_details[productID],,0)</f>
        <v>14</v>
      </c>
      <c r="D994" t="str">
        <f>_xlfn.XLOOKUP(C994,products[productID],products[productName],,0)</f>
        <v>Tofu</v>
      </c>
      <c r="E994" t="str">
        <f>_xlfn.XLOOKUP(_xlfn.XLOOKUP(Table9[[#This Row],[ProductName ]],products[productName],products[categoryID],,0),categories[categoryID],categories[categoryName],,0)</f>
        <v>Produce</v>
      </c>
      <c r="F994">
        <v>3</v>
      </c>
      <c r="G994">
        <v>45</v>
      </c>
      <c r="H994">
        <v>0</v>
      </c>
      <c r="I994">
        <f>Table9[[#This Row],[quantity]]*Table9[[#This Row],[unitPrice]]*(1-Table9[[#This Row],[discount]]/100)</f>
        <v>135</v>
      </c>
      <c r="J994" t="str">
        <f>_xlfn.XLOOKUP(_xlfn.XLOOKUP(A994,orders[orderID],orders[customerID],,0),customers__2[customerID],customers__2[companyName],,0)</f>
        <v>Frankenversand</v>
      </c>
      <c r="K994" t="str">
        <f>_xlfn.XLOOKUP(Table9[[#This Row],[Company Name]],customers__2[companyName],customers__2[country],,0)</f>
        <v>Germany</v>
      </c>
      <c r="L994">
        <f>MONTH(Table9[[#This Row],[OrderDate ]])</f>
        <v>8</v>
      </c>
      <c r="M994" t="str">
        <f>TEXT(Table9[[#This Row],[OrderDate ]],"mmm")</f>
        <v>Aug</v>
      </c>
      <c r="N994">
        <f>YEAR(Table9[[#This Row],[OrderDate ]])</f>
        <v>2014</v>
      </c>
    </row>
    <row r="995" spans="1:14" x14ac:dyDescent="0.3">
      <c r="A995">
        <v>10623</v>
      </c>
      <c r="B995" s="2">
        <f>_xlfn.XLOOKUP(Table9[[#This Row],[orderID]],orders[orderID],orders[orderDate],,0)</f>
        <v>41858</v>
      </c>
      <c r="C995">
        <f>_xlfn.XLOOKUP(A995,order_details[orderID],order_details[productID],,0)</f>
        <v>14</v>
      </c>
      <c r="D995" t="str">
        <f>_xlfn.XLOOKUP(C995,products[productID],products[productName],,0)</f>
        <v>Tofu</v>
      </c>
      <c r="E995" t="str">
        <f>_xlfn.XLOOKUP(_xlfn.XLOOKUP(Table9[[#This Row],[ProductName ]],products[productName],products[categoryID],,0),categories[categoryID],categories[categoryName],,0)</f>
        <v>Produce</v>
      </c>
      <c r="F995">
        <v>30</v>
      </c>
      <c r="G995">
        <v>18</v>
      </c>
      <c r="H995">
        <v>1</v>
      </c>
      <c r="I995">
        <f>Table9[[#This Row],[quantity]]*Table9[[#This Row],[unitPrice]]*(1-Table9[[#This Row],[discount]]/100)</f>
        <v>534.6</v>
      </c>
      <c r="J995" t="str">
        <f>_xlfn.XLOOKUP(_xlfn.XLOOKUP(A995,orders[orderID],orders[customerID],,0),customers__2[customerID],customers__2[companyName],,0)</f>
        <v>Frankenversand</v>
      </c>
      <c r="K995" t="str">
        <f>_xlfn.XLOOKUP(Table9[[#This Row],[Company Name]],customers__2[companyName],customers__2[country],,0)</f>
        <v>Germany</v>
      </c>
      <c r="L995">
        <f>MONTH(Table9[[#This Row],[OrderDate ]])</f>
        <v>8</v>
      </c>
      <c r="M995" t="str">
        <f>TEXT(Table9[[#This Row],[OrderDate ]],"mmm")</f>
        <v>Aug</v>
      </c>
      <c r="N995">
        <f>YEAR(Table9[[#This Row],[OrderDate ]])</f>
        <v>2014</v>
      </c>
    </row>
    <row r="996" spans="1:14" x14ac:dyDescent="0.3">
      <c r="A996">
        <v>10624</v>
      </c>
      <c r="B996" s="2">
        <f>_xlfn.XLOOKUP(Table9[[#This Row],[orderID]],orders[orderID],orders[orderDate],,0)</f>
        <v>41858</v>
      </c>
      <c r="C996">
        <f>_xlfn.XLOOKUP(A996,order_details[orderID],order_details[productID],,0)</f>
        <v>28</v>
      </c>
      <c r="D996" t="str">
        <f>_xlfn.XLOOKUP(C996,products[productID],products[productName],,0)</f>
        <v>Rössle Sauerkraut</v>
      </c>
      <c r="E996" t="str">
        <f>_xlfn.XLOOKUP(_xlfn.XLOOKUP(Table9[[#This Row],[ProductName ]],products[productName],products[categoryID],,0),categories[categoryID],categories[categoryName],,0)</f>
        <v>Produce</v>
      </c>
      <c r="F996">
        <v>10</v>
      </c>
      <c r="G996">
        <v>456</v>
      </c>
      <c r="H996">
        <v>0</v>
      </c>
      <c r="I996">
        <f>Table9[[#This Row],[quantity]]*Table9[[#This Row],[unitPrice]]*(1-Table9[[#This Row],[discount]]/100)</f>
        <v>4560</v>
      </c>
      <c r="J996" t="str">
        <f>_xlfn.XLOOKUP(_xlfn.XLOOKUP(A996,orders[orderID],orders[customerID],,0),customers__2[customerID],customers__2[companyName],,0)</f>
        <v>The Cracker Box</v>
      </c>
      <c r="K996" t="str">
        <f>_xlfn.XLOOKUP(Table9[[#This Row],[Company Name]],customers__2[companyName],customers__2[country],,0)</f>
        <v>USA</v>
      </c>
      <c r="L996">
        <f>MONTH(Table9[[#This Row],[OrderDate ]])</f>
        <v>8</v>
      </c>
      <c r="M996" t="str">
        <f>TEXT(Table9[[#This Row],[OrderDate ]],"mmm")</f>
        <v>Aug</v>
      </c>
      <c r="N996">
        <f>YEAR(Table9[[#This Row],[OrderDate ]])</f>
        <v>2014</v>
      </c>
    </row>
    <row r="997" spans="1:14" x14ac:dyDescent="0.3">
      <c r="A997">
        <v>10624</v>
      </c>
      <c r="B997" s="2">
        <f>_xlfn.XLOOKUP(Table9[[#This Row],[orderID]],orders[orderID],orders[orderDate],,0)</f>
        <v>41858</v>
      </c>
      <c r="C997">
        <f>_xlfn.XLOOKUP(A997,order_details[orderID],order_details[productID],,0)</f>
        <v>28</v>
      </c>
      <c r="D997" t="str">
        <f>_xlfn.XLOOKUP(C997,products[productID],products[productName],,0)</f>
        <v>Rössle Sauerkraut</v>
      </c>
      <c r="E997" t="str">
        <f>_xlfn.XLOOKUP(_xlfn.XLOOKUP(Table9[[#This Row],[ProductName ]],products[productName],products[categoryID],,0),categories[categoryID],categories[categoryName],,0)</f>
        <v>Produce</v>
      </c>
      <c r="F997">
        <v>6</v>
      </c>
      <c r="G997">
        <v>12379</v>
      </c>
      <c r="H997">
        <v>0</v>
      </c>
      <c r="I997">
        <f>Table9[[#This Row],[quantity]]*Table9[[#This Row],[unitPrice]]*(1-Table9[[#This Row],[discount]]/100)</f>
        <v>74274</v>
      </c>
      <c r="J997" t="str">
        <f>_xlfn.XLOOKUP(_xlfn.XLOOKUP(A997,orders[orderID],orders[customerID],,0),customers__2[customerID],customers__2[companyName],,0)</f>
        <v>The Cracker Box</v>
      </c>
      <c r="K997" t="str">
        <f>_xlfn.XLOOKUP(Table9[[#This Row],[Company Name]],customers__2[companyName],customers__2[country],,0)</f>
        <v>USA</v>
      </c>
      <c r="L997">
        <f>MONTH(Table9[[#This Row],[OrderDate ]])</f>
        <v>8</v>
      </c>
      <c r="M997" t="str">
        <f>TEXT(Table9[[#This Row],[OrderDate ]],"mmm")</f>
        <v>Aug</v>
      </c>
      <c r="N997">
        <f>YEAR(Table9[[#This Row],[OrderDate ]])</f>
        <v>2014</v>
      </c>
    </row>
    <row r="998" spans="1:14" x14ac:dyDescent="0.3">
      <c r="A998">
        <v>10624</v>
      </c>
      <c r="B998" s="2">
        <f>_xlfn.XLOOKUP(Table9[[#This Row],[orderID]],orders[orderID],orders[orderDate],,0)</f>
        <v>41858</v>
      </c>
      <c r="C998">
        <f>_xlfn.XLOOKUP(A998,order_details[orderID],order_details[productID],,0)</f>
        <v>28</v>
      </c>
      <c r="D998" t="str">
        <f>_xlfn.XLOOKUP(C998,products[productID],products[productName],,0)</f>
        <v>Rössle Sauerkraut</v>
      </c>
      <c r="E998" t="str">
        <f>_xlfn.XLOOKUP(_xlfn.XLOOKUP(Table9[[#This Row],[ProductName ]],products[productName],products[categoryID],,0),categories[categoryID],categories[categoryName],,0)</f>
        <v>Produce</v>
      </c>
      <c r="F998">
        <v>10</v>
      </c>
      <c r="G998">
        <v>1945</v>
      </c>
      <c r="H998">
        <v>0</v>
      </c>
      <c r="I998">
        <f>Table9[[#This Row],[quantity]]*Table9[[#This Row],[unitPrice]]*(1-Table9[[#This Row],[discount]]/100)</f>
        <v>19450</v>
      </c>
      <c r="J998" t="str">
        <f>_xlfn.XLOOKUP(_xlfn.XLOOKUP(A998,orders[orderID],orders[customerID],,0),customers__2[customerID],customers__2[companyName],,0)</f>
        <v>The Cracker Box</v>
      </c>
      <c r="K998" t="str">
        <f>_xlfn.XLOOKUP(Table9[[#This Row],[Company Name]],customers__2[companyName],customers__2[country],,0)</f>
        <v>USA</v>
      </c>
      <c r="L998">
        <f>MONTH(Table9[[#This Row],[OrderDate ]])</f>
        <v>8</v>
      </c>
      <c r="M998" t="str">
        <f>TEXT(Table9[[#This Row],[OrderDate ]],"mmm")</f>
        <v>Aug</v>
      </c>
      <c r="N998">
        <f>YEAR(Table9[[#This Row],[OrderDate ]])</f>
        <v>2014</v>
      </c>
    </row>
    <row r="999" spans="1:14" x14ac:dyDescent="0.3">
      <c r="A999">
        <v>10625</v>
      </c>
      <c r="B999" s="2">
        <f>_xlfn.XLOOKUP(Table9[[#This Row],[orderID]],orders[orderID],orders[orderDate],,0)</f>
        <v>41859</v>
      </c>
      <c r="C999">
        <f>_xlfn.XLOOKUP(A999,order_details[orderID],order_details[productID],,0)</f>
        <v>14</v>
      </c>
      <c r="D999" t="str">
        <f>_xlfn.XLOOKUP(C999,products[productID],products[productName],,0)</f>
        <v>Tofu</v>
      </c>
      <c r="E999" t="str">
        <f>_xlfn.XLOOKUP(_xlfn.XLOOKUP(Table9[[#This Row],[ProductName ]],products[productName],products[categoryID],,0),categories[categoryID],categories[categoryName],,0)</f>
        <v>Produce</v>
      </c>
      <c r="F999">
        <v>3</v>
      </c>
      <c r="G999">
        <v>2325</v>
      </c>
      <c r="H999">
        <v>0</v>
      </c>
      <c r="I999">
        <f>Table9[[#This Row],[quantity]]*Table9[[#This Row],[unitPrice]]*(1-Table9[[#This Row],[discount]]/100)</f>
        <v>6975</v>
      </c>
      <c r="J999" t="str">
        <f>_xlfn.XLOOKUP(_xlfn.XLOOKUP(A999,orders[orderID],orders[customerID],,0),customers__2[customerID],customers__2[companyName],,0)</f>
        <v>Ana Trujillo Emparedados y helados</v>
      </c>
      <c r="K999" t="str">
        <f>_xlfn.XLOOKUP(Table9[[#This Row],[Company Name]],customers__2[companyName],customers__2[country],,0)</f>
        <v>Mexico</v>
      </c>
      <c r="L999">
        <f>MONTH(Table9[[#This Row],[OrderDate ]])</f>
        <v>8</v>
      </c>
      <c r="M999" t="str">
        <f>TEXT(Table9[[#This Row],[OrderDate ]],"mmm")</f>
        <v>Aug</v>
      </c>
      <c r="N999">
        <f>YEAR(Table9[[#This Row],[OrderDate ]])</f>
        <v>2014</v>
      </c>
    </row>
    <row r="1000" spans="1:14" x14ac:dyDescent="0.3">
      <c r="A1000">
        <v>10625</v>
      </c>
      <c r="B1000" s="2">
        <f>_xlfn.XLOOKUP(Table9[[#This Row],[orderID]],orders[orderID],orders[orderDate],,0)</f>
        <v>41859</v>
      </c>
      <c r="C1000">
        <f>_xlfn.XLOOKUP(A1000,order_details[orderID],order_details[productID],,0)</f>
        <v>14</v>
      </c>
      <c r="D1000" t="str">
        <f>_xlfn.XLOOKUP(C1000,products[productID],products[productName],,0)</f>
        <v>Tofu</v>
      </c>
      <c r="E1000" t="str">
        <f>_xlfn.XLOOKUP(_xlfn.XLOOKUP(Table9[[#This Row],[ProductName ]],products[productName],products[categoryID],,0),categories[categoryID],categories[categoryName],,0)</f>
        <v>Produce</v>
      </c>
      <c r="F1000">
        <v>5</v>
      </c>
      <c r="G1000">
        <v>14</v>
      </c>
      <c r="H1000">
        <v>0</v>
      </c>
      <c r="I1000">
        <f>Table9[[#This Row],[quantity]]*Table9[[#This Row],[unitPrice]]*(1-Table9[[#This Row],[discount]]/100)</f>
        <v>70</v>
      </c>
      <c r="J1000" t="str">
        <f>_xlfn.XLOOKUP(_xlfn.XLOOKUP(A1000,orders[orderID],orders[customerID],,0),customers__2[customerID],customers__2[companyName],,0)</f>
        <v>Ana Trujillo Emparedados y helados</v>
      </c>
      <c r="K1000" t="str">
        <f>_xlfn.XLOOKUP(Table9[[#This Row],[Company Name]],customers__2[companyName],customers__2[country],,0)</f>
        <v>Mexico</v>
      </c>
      <c r="L1000">
        <f>MONTH(Table9[[#This Row],[OrderDate ]])</f>
        <v>8</v>
      </c>
      <c r="M1000" t="str">
        <f>TEXT(Table9[[#This Row],[OrderDate ]],"mmm")</f>
        <v>Aug</v>
      </c>
      <c r="N1000">
        <f>YEAR(Table9[[#This Row],[OrderDate ]])</f>
        <v>2014</v>
      </c>
    </row>
    <row r="1001" spans="1:14" x14ac:dyDescent="0.3">
      <c r="A1001">
        <v>10625</v>
      </c>
      <c r="B1001" s="2">
        <f>_xlfn.XLOOKUP(Table9[[#This Row],[orderID]],orders[orderID],orders[orderDate],,0)</f>
        <v>41859</v>
      </c>
      <c r="C1001">
        <f>_xlfn.XLOOKUP(A1001,order_details[orderID],order_details[productID],,0)</f>
        <v>14</v>
      </c>
      <c r="D1001" t="str">
        <f>_xlfn.XLOOKUP(C1001,products[productID],products[productName],,0)</f>
        <v>Tofu</v>
      </c>
      <c r="E1001" t="str">
        <f>_xlfn.XLOOKUP(_xlfn.XLOOKUP(Table9[[#This Row],[ProductName ]],products[productName],products[categoryID],,0),categories[categoryID],categories[categoryName],,0)</f>
        <v>Produce</v>
      </c>
      <c r="F1001">
        <v>10</v>
      </c>
      <c r="G1001">
        <v>34</v>
      </c>
      <c r="H1001">
        <v>0</v>
      </c>
      <c r="I1001">
        <f>Table9[[#This Row],[quantity]]*Table9[[#This Row],[unitPrice]]*(1-Table9[[#This Row],[discount]]/100)</f>
        <v>340</v>
      </c>
      <c r="J1001" t="str">
        <f>_xlfn.XLOOKUP(_xlfn.XLOOKUP(A1001,orders[orderID],orders[customerID],,0),customers__2[customerID],customers__2[companyName],,0)</f>
        <v>Ana Trujillo Emparedados y helados</v>
      </c>
      <c r="K1001" t="str">
        <f>_xlfn.XLOOKUP(Table9[[#This Row],[Company Name]],customers__2[companyName],customers__2[country],,0)</f>
        <v>Mexico</v>
      </c>
      <c r="L1001">
        <f>MONTH(Table9[[#This Row],[OrderDate ]])</f>
        <v>8</v>
      </c>
      <c r="M1001" t="str">
        <f>TEXT(Table9[[#This Row],[OrderDate ]],"mmm")</f>
        <v>Aug</v>
      </c>
      <c r="N1001">
        <f>YEAR(Table9[[#This Row],[OrderDate ]])</f>
        <v>2014</v>
      </c>
    </row>
    <row r="1002" spans="1:14" x14ac:dyDescent="0.3">
      <c r="A1002">
        <v>10626</v>
      </c>
      <c r="B1002" s="2">
        <f>_xlfn.XLOOKUP(Table9[[#This Row],[orderID]],orders[orderID],orders[orderDate],,0)</f>
        <v>41862</v>
      </c>
      <c r="C1002">
        <f>_xlfn.XLOOKUP(A1002,order_details[orderID],order_details[productID],,0)</f>
        <v>53</v>
      </c>
      <c r="D1002" t="str">
        <f>_xlfn.XLOOKUP(C1002,products[productID],products[productName],,0)</f>
        <v>Perth Pasties</v>
      </c>
      <c r="E1002" t="str">
        <f>_xlfn.XLOOKUP(_xlfn.XLOOKUP(Table9[[#This Row],[ProductName ]],products[productName],products[categoryID],,0),categories[categoryID],categories[categoryName],,0)</f>
        <v>Meat &amp; Poultry</v>
      </c>
      <c r="F1002">
        <v>12</v>
      </c>
      <c r="G1002">
        <v>328</v>
      </c>
      <c r="H1002">
        <v>0</v>
      </c>
      <c r="I1002">
        <f>Table9[[#This Row],[quantity]]*Table9[[#This Row],[unitPrice]]*(1-Table9[[#This Row],[discount]]/100)</f>
        <v>3936</v>
      </c>
      <c r="J1002" t="str">
        <f>_xlfn.XLOOKUP(_xlfn.XLOOKUP(A1002,orders[orderID],orders[customerID],,0),customers__2[customerID],customers__2[companyName],,0)</f>
        <v>Berglunds snabbköp</v>
      </c>
      <c r="K1002" t="str">
        <f>_xlfn.XLOOKUP(Table9[[#This Row],[Company Name]],customers__2[companyName],customers__2[country],,0)</f>
        <v>Sweden</v>
      </c>
      <c r="L1002">
        <f>MONTH(Table9[[#This Row],[OrderDate ]])</f>
        <v>8</v>
      </c>
      <c r="M1002" t="str">
        <f>TEXT(Table9[[#This Row],[OrderDate ]],"mmm")</f>
        <v>Aug</v>
      </c>
      <c r="N1002">
        <f>YEAR(Table9[[#This Row],[OrderDate ]])</f>
        <v>2014</v>
      </c>
    </row>
    <row r="1003" spans="1:14" x14ac:dyDescent="0.3">
      <c r="A1003">
        <v>10626</v>
      </c>
      <c r="B1003" s="2">
        <f>_xlfn.XLOOKUP(Table9[[#This Row],[orderID]],orders[orderID],orders[orderDate],,0)</f>
        <v>41862</v>
      </c>
      <c r="C1003">
        <f>_xlfn.XLOOKUP(A1003,order_details[orderID],order_details[productID],,0)</f>
        <v>53</v>
      </c>
      <c r="D1003" t="str">
        <f>_xlfn.XLOOKUP(C1003,products[productID],products[productName],,0)</f>
        <v>Perth Pasties</v>
      </c>
      <c r="E1003" t="str">
        <f>_xlfn.XLOOKUP(_xlfn.XLOOKUP(Table9[[#This Row],[ProductName ]],products[productName],products[categoryID],,0),categories[categoryID],categories[categoryName],,0)</f>
        <v>Meat &amp; Poultry</v>
      </c>
      <c r="F1003">
        <v>20</v>
      </c>
      <c r="G1003">
        <v>34</v>
      </c>
      <c r="H1003">
        <v>0</v>
      </c>
      <c r="I1003">
        <f>Table9[[#This Row],[quantity]]*Table9[[#This Row],[unitPrice]]*(1-Table9[[#This Row],[discount]]/100)</f>
        <v>680</v>
      </c>
      <c r="J1003" t="str">
        <f>_xlfn.XLOOKUP(_xlfn.XLOOKUP(A1003,orders[orderID],orders[customerID],,0),customers__2[customerID],customers__2[companyName],,0)</f>
        <v>Berglunds snabbköp</v>
      </c>
      <c r="K1003" t="str">
        <f>_xlfn.XLOOKUP(Table9[[#This Row],[Company Name]],customers__2[companyName],customers__2[country],,0)</f>
        <v>Sweden</v>
      </c>
      <c r="L1003">
        <f>MONTH(Table9[[#This Row],[OrderDate ]])</f>
        <v>8</v>
      </c>
      <c r="M1003" t="str">
        <f>TEXT(Table9[[#This Row],[OrderDate ]],"mmm")</f>
        <v>Aug</v>
      </c>
      <c r="N1003">
        <f>YEAR(Table9[[#This Row],[OrderDate ]])</f>
        <v>2014</v>
      </c>
    </row>
    <row r="1004" spans="1:14" x14ac:dyDescent="0.3">
      <c r="A1004">
        <v>10626</v>
      </c>
      <c r="B1004" s="2">
        <f>_xlfn.XLOOKUP(Table9[[#This Row],[orderID]],orders[orderID],orders[orderDate],,0)</f>
        <v>41862</v>
      </c>
      <c r="C1004">
        <f>_xlfn.XLOOKUP(A1004,order_details[orderID],order_details[productID],,0)</f>
        <v>53</v>
      </c>
      <c r="D1004" t="str">
        <f>_xlfn.XLOOKUP(C1004,products[productID],products[productName],,0)</f>
        <v>Perth Pasties</v>
      </c>
      <c r="E1004" t="str">
        <f>_xlfn.XLOOKUP(_xlfn.XLOOKUP(Table9[[#This Row],[ProductName ]],products[productName],products[categoryID],,0),categories[categoryID],categories[categoryName],,0)</f>
        <v>Meat &amp; Poultry</v>
      </c>
      <c r="F1004">
        <v>20</v>
      </c>
      <c r="G1004">
        <v>215</v>
      </c>
      <c r="H1004">
        <v>0</v>
      </c>
      <c r="I1004">
        <f>Table9[[#This Row],[quantity]]*Table9[[#This Row],[unitPrice]]*(1-Table9[[#This Row],[discount]]/100)</f>
        <v>4300</v>
      </c>
      <c r="J1004" t="str">
        <f>_xlfn.XLOOKUP(_xlfn.XLOOKUP(A1004,orders[orderID],orders[customerID],,0),customers__2[customerID],customers__2[companyName],,0)</f>
        <v>Berglunds snabbköp</v>
      </c>
      <c r="K1004" t="str">
        <f>_xlfn.XLOOKUP(Table9[[#This Row],[Company Name]],customers__2[companyName],customers__2[country],,0)</f>
        <v>Sweden</v>
      </c>
      <c r="L1004">
        <f>MONTH(Table9[[#This Row],[OrderDate ]])</f>
        <v>8</v>
      </c>
      <c r="M1004" t="str">
        <f>TEXT(Table9[[#This Row],[OrderDate ]],"mmm")</f>
        <v>Aug</v>
      </c>
      <c r="N1004">
        <f>YEAR(Table9[[#This Row],[OrderDate ]])</f>
        <v>2014</v>
      </c>
    </row>
    <row r="1005" spans="1:14" x14ac:dyDescent="0.3">
      <c r="A1005">
        <v>10627</v>
      </c>
      <c r="B1005" s="2">
        <f>_xlfn.XLOOKUP(Table9[[#This Row],[orderID]],orders[orderID],orders[orderDate],,0)</f>
        <v>41862</v>
      </c>
      <c r="C1005">
        <f>_xlfn.XLOOKUP(A1005,order_details[orderID],order_details[productID],,0)</f>
        <v>62</v>
      </c>
      <c r="D1005" t="str">
        <f>_xlfn.XLOOKUP(C1005,products[productID],products[productName],,0)</f>
        <v>Tarte au sucre</v>
      </c>
      <c r="E1005" t="str">
        <f>_xlfn.XLOOKUP(_xlfn.XLOOKUP(Table9[[#This Row],[ProductName ]],products[productName],products[categoryID],,0),categories[categoryID],categories[categoryName],,0)</f>
        <v>Confections</v>
      </c>
      <c r="F1005">
        <v>15</v>
      </c>
      <c r="G1005">
        <v>493</v>
      </c>
      <c r="H1005">
        <v>0</v>
      </c>
      <c r="I1005">
        <f>Table9[[#This Row],[quantity]]*Table9[[#This Row],[unitPrice]]*(1-Table9[[#This Row],[discount]]/100)</f>
        <v>7395</v>
      </c>
      <c r="J1005" t="str">
        <f>_xlfn.XLOOKUP(_xlfn.XLOOKUP(A1005,orders[orderID],orders[customerID],,0),customers__2[customerID],customers__2[companyName],,0)</f>
        <v>Save-a-lot Markets</v>
      </c>
      <c r="K1005" t="str">
        <f>_xlfn.XLOOKUP(Table9[[#This Row],[Company Name]],customers__2[companyName],customers__2[country],,0)</f>
        <v>USA</v>
      </c>
      <c r="L1005">
        <f>MONTH(Table9[[#This Row],[OrderDate ]])</f>
        <v>8</v>
      </c>
      <c r="M1005" t="str">
        <f>TEXT(Table9[[#This Row],[OrderDate ]],"mmm")</f>
        <v>Aug</v>
      </c>
      <c r="N1005">
        <f>YEAR(Table9[[#This Row],[OrderDate ]])</f>
        <v>2014</v>
      </c>
    </row>
    <row r="1006" spans="1:14" x14ac:dyDescent="0.3">
      <c r="A1006">
        <v>10627</v>
      </c>
      <c r="B1006" s="2">
        <f>_xlfn.XLOOKUP(Table9[[#This Row],[orderID]],orders[orderID],orders[orderDate],,0)</f>
        <v>41862</v>
      </c>
      <c r="C1006">
        <f>_xlfn.XLOOKUP(A1006,order_details[orderID],order_details[productID],,0)</f>
        <v>62</v>
      </c>
      <c r="D1006" t="str">
        <f>_xlfn.XLOOKUP(C1006,products[productID],products[productName],,0)</f>
        <v>Tarte au sucre</v>
      </c>
      <c r="E1006" t="str">
        <f>_xlfn.XLOOKUP(_xlfn.XLOOKUP(Table9[[#This Row],[ProductName ]],products[productName],products[categoryID],,0),categories[categoryID],categories[categoryName],,0)</f>
        <v>Confections</v>
      </c>
      <c r="F1006">
        <v>35</v>
      </c>
      <c r="G1006">
        <v>15</v>
      </c>
      <c r="H1006">
        <v>15</v>
      </c>
      <c r="I1006">
        <f>Table9[[#This Row],[quantity]]*Table9[[#This Row],[unitPrice]]*(1-Table9[[#This Row],[discount]]/100)</f>
        <v>446.25</v>
      </c>
      <c r="J1006" t="str">
        <f>_xlfn.XLOOKUP(_xlfn.XLOOKUP(A1006,orders[orderID],orders[customerID],,0),customers__2[customerID],customers__2[companyName],,0)</f>
        <v>Save-a-lot Markets</v>
      </c>
      <c r="K1006" t="str">
        <f>_xlfn.XLOOKUP(Table9[[#This Row],[Company Name]],customers__2[companyName],customers__2[country],,0)</f>
        <v>USA</v>
      </c>
      <c r="L1006">
        <f>MONTH(Table9[[#This Row],[OrderDate ]])</f>
        <v>8</v>
      </c>
      <c r="M1006" t="str">
        <f>TEXT(Table9[[#This Row],[OrderDate ]],"mmm")</f>
        <v>Aug</v>
      </c>
      <c r="N1006">
        <f>YEAR(Table9[[#This Row],[OrderDate ]])</f>
        <v>2014</v>
      </c>
    </row>
    <row r="1007" spans="1:14" x14ac:dyDescent="0.3">
      <c r="A1007">
        <v>10628</v>
      </c>
      <c r="B1007" s="2">
        <f>_xlfn.XLOOKUP(Table9[[#This Row],[orderID]],orders[orderID],orders[orderDate],,0)</f>
        <v>41863</v>
      </c>
      <c r="C1007">
        <f>_xlfn.XLOOKUP(A1007,order_details[orderID],order_details[productID],,0)</f>
        <v>1</v>
      </c>
      <c r="D1007" t="str">
        <f>_xlfn.XLOOKUP(C1007,products[productID],products[productName],,0)</f>
        <v>Chai</v>
      </c>
      <c r="E1007" t="str">
        <f>_xlfn.XLOOKUP(_xlfn.XLOOKUP(Table9[[#This Row],[ProductName ]],products[productName],products[categoryID],,0),categories[categoryID],categories[categoryName],,0)</f>
        <v>Beverages</v>
      </c>
      <c r="F1007">
        <v>25</v>
      </c>
      <c r="G1007">
        <v>18</v>
      </c>
      <c r="H1007">
        <v>0</v>
      </c>
      <c r="I1007">
        <f>Table9[[#This Row],[quantity]]*Table9[[#This Row],[unitPrice]]*(1-Table9[[#This Row],[discount]]/100)</f>
        <v>450</v>
      </c>
      <c r="J1007" t="str">
        <f>_xlfn.XLOOKUP(_xlfn.XLOOKUP(A1007,orders[orderID],orders[customerID],,0),customers__2[customerID],customers__2[companyName],,0)</f>
        <v>Blondesddsl père et fils</v>
      </c>
      <c r="K1007" t="str">
        <f>_xlfn.XLOOKUP(Table9[[#This Row],[Company Name]],customers__2[companyName],customers__2[country],,0)</f>
        <v>France</v>
      </c>
      <c r="L1007">
        <f>MONTH(Table9[[#This Row],[OrderDate ]])</f>
        <v>8</v>
      </c>
      <c r="M1007" t="str">
        <f>TEXT(Table9[[#This Row],[OrderDate ]],"mmm")</f>
        <v>Aug</v>
      </c>
      <c r="N1007">
        <f>YEAR(Table9[[#This Row],[OrderDate ]])</f>
        <v>2014</v>
      </c>
    </row>
    <row r="1008" spans="1:14" x14ac:dyDescent="0.3">
      <c r="A1008">
        <v>10629</v>
      </c>
      <c r="B1008" s="2">
        <f>_xlfn.XLOOKUP(Table9[[#This Row],[orderID]],orders[orderID],orders[orderDate],,0)</f>
        <v>41863</v>
      </c>
      <c r="C1008">
        <f>_xlfn.XLOOKUP(A1008,order_details[orderID],order_details[productID],,0)</f>
        <v>29</v>
      </c>
      <c r="D1008" t="str">
        <f>_xlfn.XLOOKUP(C1008,products[productID],products[productName],,0)</f>
        <v>Thüringer Rostbratwurst</v>
      </c>
      <c r="E1008" t="str">
        <f>_xlfn.XLOOKUP(_xlfn.XLOOKUP(Table9[[#This Row],[ProductName ]],products[productName],products[categoryID],,0),categories[categoryID],categories[categoryName],,0)</f>
        <v>Meat &amp; Poultry</v>
      </c>
      <c r="F1008">
        <v>20</v>
      </c>
      <c r="G1008">
        <v>12379</v>
      </c>
      <c r="H1008">
        <v>0</v>
      </c>
      <c r="I1008">
        <f>Table9[[#This Row],[quantity]]*Table9[[#This Row],[unitPrice]]*(1-Table9[[#This Row],[discount]]/100)</f>
        <v>247580</v>
      </c>
      <c r="J1008" t="str">
        <f>_xlfn.XLOOKUP(_xlfn.XLOOKUP(A1008,orders[orderID],orders[customerID],,0),customers__2[customerID],customers__2[companyName],,0)</f>
        <v>Godos Cocina Típica</v>
      </c>
      <c r="K1008" t="str">
        <f>_xlfn.XLOOKUP(Table9[[#This Row],[Company Name]],customers__2[companyName],customers__2[country],,0)</f>
        <v>Spain</v>
      </c>
      <c r="L1008">
        <f>MONTH(Table9[[#This Row],[OrderDate ]])</f>
        <v>8</v>
      </c>
      <c r="M1008" t="str">
        <f>TEXT(Table9[[#This Row],[OrderDate ]],"mmm")</f>
        <v>Aug</v>
      </c>
      <c r="N1008">
        <f>YEAR(Table9[[#This Row],[OrderDate ]])</f>
        <v>2014</v>
      </c>
    </row>
    <row r="1009" spans="1:14" x14ac:dyDescent="0.3">
      <c r="A1009">
        <v>10629</v>
      </c>
      <c r="B1009" s="2">
        <f>_xlfn.XLOOKUP(Table9[[#This Row],[orderID]],orders[orderID],orders[orderDate],,0)</f>
        <v>41863</v>
      </c>
      <c r="C1009">
        <f>_xlfn.XLOOKUP(A1009,order_details[orderID],order_details[productID],,0)</f>
        <v>29</v>
      </c>
      <c r="D1009" t="str">
        <f>_xlfn.XLOOKUP(C1009,products[productID],products[productName],,0)</f>
        <v>Thüringer Rostbratwurst</v>
      </c>
      <c r="E1009" t="str">
        <f>_xlfn.XLOOKUP(_xlfn.XLOOKUP(Table9[[#This Row],[ProductName ]],products[productName],products[categoryID],,0),categories[categoryID],categories[categoryName],,0)</f>
        <v>Meat &amp; Poultry</v>
      </c>
      <c r="F1009">
        <v>9</v>
      </c>
      <c r="G1009">
        <v>3325</v>
      </c>
      <c r="H1009">
        <v>0</v>
      </c>
      <c r="I1009">
        <f>Table9[[#This Row],[quantity]]*Table9[[#This Row],[unitPrice]]*(1-Table9[[#This Row],[discount]]/100)</f>
        <v>29925</v>
      </c>
      <c r="J1009" t="str">
        <f>_xlfn.XLOOKUP(_xlfn.XLOOKUP(A1009,orders[orderID],orders[customerID],,0),customers__2[customerID],customers__2[companyName],,0)</f>
        <v>Godos Cocina Típica</v>
      </c>
      <c r="K1009" t="str">
        <f>_xlfn.XLOOKUP(Table9[[#This Row],[Company Name]],customers__2[companyName],customers__2[country],,0)</f>
        <v>Spain</v>
      </c>
      <c r="L1009">
        <f>MONTH(Table9[[#This Row],[OrderDate ]])</f>
        <v>8</v>
      </c>
      <c r="M1009" t="str">
        <f>TEXT(Table9[[#This Row],[OrderDate ]],"mmm")</f>
        <v>Aug</v>
      </c>
      <c r="N1009">
        <f>YEAR(Table9[[#This Row],[OrderDate ]])</f>
        <v>2014</v>
      </c>
    </row>
    <row r="1010" spans="1:14" x14ac:dyDescent="0.3">
      <c r="A1010">
        <v>10630</v>
      </c>
      <c r="B1010" s="2">
        <f>_xlfn.XLOOKUP(Table9[[#This Row],[orderID]],orders[orderID],orders[orderDate],,0)</f>
        <v>41864</v>
      </c>
      <c r="C1010">
        <f>_xlfn.XLOOKUP(A1010,order_details[orderID],order_details[productID],,0)</f>
        <v>55</v>
      </c>
      <c r="D1010" t="str">
        <f>_xlfn.XLOOKUP(C1010,products[productID],products[productName],,0)</f>
        <v>Pâté chinois</v>
      </c>
      <c r="E1010" t="str">
        <f>_xlfn.XLOOKUP(_xlfn.XLOOKUP(Table9[[#This Row],[ProductName ]],products[productName],products[categoryID],,0),categories[categoryID],categories[categoryName],,0)</f>
        <v>Meat &amp; Poultry</v>
      </c>
      <c r="F1010">
        <v>12</v>
      </c>
      <c r="G1010">
        <v>24</v>
      </c>
      <c r="H1010">
        <v>5</v>
      </c>
      <c r="I1010">
        <f>Table9[[#This Row],[quantity]]*Table9[[#This Row],[unitPrice]]*(1-Table9[[#This Row],[discount]]/100)</f>
        <v>273.59999999999997</v>
      </c>
      <c r="J1010" t="str">
        <f>_xlfn.XLOOKUP(_xlfn.XLOOKUP(A1010,orders[orderID],orders[customerID],,0),customers__2[customerID],customers__2[companyName],,0)</f>
        <v>Königlich Essen</v>
      </c>
      <c r="K1010" t="str">
        <f>_xlfn.XLOOKUP(Table9[[#This Row],[Company Name]],customers__2[companyName],customers__2[country],,0)</f>
        <v>Germany</v>
      </c>
      <c r="L1010">
        <f>MONTH(Table9[[#This Row],[OrderDate ]])</f>
        <v>8</v>
      </c>
      <c r="M1010" t="str">
        <f>TEXT(Table9[[#This Row],[OrderDate ]],"mmm")</f>
        <v>Aug</v>
      </c>
      <c r="N1010">
        <f>YEAR(Table9[[#This Row],[OrderDate ]])</f>
        <v>2014</v>
      </c>
    </row>
    <row r="1011" spans="1:14" x14ac:dyDescent="0.3">
      <c r="A1011">
        <v>10630</v>
      </c>
      <c r="B1011" s="2">
        <f>_xlfn.XLOOKUP(Table9[[#This Row],[orderID]],orders[orderID],orders[orderDate],,0)</f>
        <v>41864</v>
      </c>
      <c r="C1011">
        <f>_xlfn.XLOOKUP(A1011,order_details[orderID],order_details[productID],,0)</f>
        <v>55</v>
      </c>
      <c r="D1011" t="str">
        <f>_xlfn.XLOOKUP(C1011,products[productID],products[productName],,0)</f>
        <v>Pâté chinois</v>
      </c>
      <c r="E1011" t="str">
        <f>_xlfn.XLOOKUP(_xlfn.XLOOKUP(Table9[[#This Row],[ProductName ]],products[productName],products[categoryID],,0),categories[categoryID],categories[categoryName],,0)</f>
        <v>Meat &amp; Poultry</v>
      </c>
      <c r="F1011">
        <v>35</v>
      </c>
      <c r="G1011">
        <v>18</v>
      </c>
      <c r="H1011">
        <v>0</v>
      </c>
      <c r="I1011">
        <f>Table9[[#This Row],[quantity]]*Table9[[#This Row],[unitPrice]]*(1-Table9[[#This Row],[discount]]/100)</f>
        <v>630</v>
      </c>
      <c r="J1011" t="str">
        <f>_xlfn.XLOOKUP(_xlfn.XLOOKUP(A1011,orders[orderID],orders[customerID],,0),customers__2[customerID],customers__2[companyName],,0)</f>
        <v>Königlich Essen</v>
      </c>
      <c r="K1011" t="str">
        <f>_xlfn.XLOOKUP(Table9[[#This Row],[Company Name]],customers__2[companyName],customers__2[country],,0)</f>
        <v>Germany</v>
      </c>
      <c r="L1011">
        <f>MONTH(Table9[[#This Row],[OrderDate ]])</f>
        <v>8</v>
      </c>
      <c r="M1011" t="str">
        <f>TEXT(Table9[[#This Row],[OrderDate ]],"mmm")</f>
        <v>Aug</v>
      </c>
      <c r="N1011">
        <f>YEAR(Table9[[#This Row],[OrderDate ]])</f>
        <v>2014</v>
      </c>
    </row>
    <row r="1012" spans="1:14" x14ac:dyDescent="0.3">
      <c r="A1012">
        <v>10631</v>
      </c>
      <c r="B1012" s="2">
        <f>_xlfn.XLOOKUP(Table9[[#This Row],[orderID]],orders[orderID],orders[orderDate],,0)</f>
        <v>41865</v>
      </c>
      <c r="C1012">
        <f>_xlfn.XLOOKUP(A1012,order_details[orderID],order_details[productID],,0)</f>
        <v>75</v>
      </c>
      <c r="D1012" t="str">
        <f>_xlfn.XLOOKUP(C1012,products[productID],products[productName],,0)</f>
        <v>Rhönbräu Klosterbier</v>
      </c>
      <c r="E1012" t="str">
        <f>_xlfn.XLOOKUP(_xlfn.XLOOKUP(Table9[[#This Row],[ProductName ]],products[productName],products[categoryID],,0),categories[categoryID],categories[categoryName],,0)</f>
        <v>Beverages</v>
      </c>
      <c r="F1012">
        <v>8</v>
      </c>
      <c r="G1012">
        <v>775</v>
      </c>
      <c r="H1012">
        <v>1</v>
      </c>
      <c r="I1012">
        <f>Table9[[#This Row],[quantity]]*Table9[[#This Row],[unitPrice]]*(1-Table9[[#This Row],[discount]]/100)</f>
        <v>6138</v>
      </c>
      <c r="J1012" t="str">
        <f>_xlfn.XLOOKUP(_xlfn.XLOOKUP(A1012,orders[orderID],orders[customerID],,0),customers__2[customerID],customers__2[companyName],,0)</f>
        <v>La maison d'Asie</v>
      </c>
      <c r="K1012" t="str">
        <f>_xlfn.XLOOKUP(Table9[[#This Row],[Company Name]],customers__2[companyName],customers__2[country],,0)</f>
        <v>France</v>
      </c>
      <c r="L1012">
        <f>MONTH(Table9[[#This Row],[OrderDate ]])</f>
        <v>8</v>
      </c>
      <c r="M1012" t="str">
        <f>TEXT(Table9[[#This Row],[OrderDate ]],"mmm")</f>
        <v>Aug</v>
      </c>
      <c r="N1012">
        <f>YEAR(Table9[[#This Row],[OrderDate ]])</f>
        <v>2014</v>
      </c>
    </row>
    <row r="1013" spans="1:14" x14ac:dyDescent="0.3">
      <c r="A1013">
        <v>10632</v>
      </c>
      <c r="B1013" s="2">
        <f>_xlfn.XLOOKUP(Table9[[#This Row],[orderID]],orders[orderID],orders[orderDate],,0)</f>
        <v>41865</v>
      </c>
      <c r="C1013">
        <f>_xlfn.XLOOKUP(A1013,order_details[orderID],order_details[productID],,0)</f>
        <v>2</v>
      </c>
      <c r="D1013" t="str">
        <f>_xlfn.XLOOKUP(C1013,products[productID],products[productName],,0)</f>
        <v>Chang</v>
      </c>
      <c r="E1013" t="str">
        <f>_xlfn.XLOOKUP(_xlfn.XLOOKUP(Table9[[#This Row],[ProductName ]],products[productName],products[categoryID],,0),categories[categoryID],categories[categoryName],,0)</f>
        <v>Beverages</v>
      </c>
      <c r="F1013">
        <v>30</v>
      </c>
      <c r="G1013">
        <v>19</v>
      </c>
      <c r="H1013">
        <v>5</v>
      </c>
      <c r="I1013">
        <f>Table9[[#This Row],[quantity]]*Table9[[#This Row],[unitPrice]]*(1-Table9[[#This Row],[discount]]/100)</f>
        <v>541.5</v>
      </c>
      <c r="J1013" t="str">
        <f>_xlfn.XLOOKUP(_xlfn.XLOOKUP(A1013,orders[orderID],orders[customerID],,0),customers__2[customerID],customers__2[companyName],,0)</f>
        <v>Die Wandernde Kuh</v>
      </c>
      <c r="K1013" t="str">
        <f>_xlfn.XLOOKUP(Table9[[#This Row],[Company Name]],customers__2[companyName],customers__2[country],,0)</f>
        <v>Germany</v>
      </c>
      <c r="L1013">
        <f>MONTH(Table9[[#This Row],[OrderDate ]])</f>
        <v>8</v>
      </c>
      <c r="M1013" t="str">
        <f>TEXT(Table9[[#This Row],[OrderDate ]],"mmm")</f>
        <v>Aug</v>
      </c>
      <c r="N1013">
        <f>YEAR(Table9[[#This Row],[OrderDate ]])</f>
        <v>2014</v>
      </c>
    </row>
    <row r="1014" spans="1:14" x14ac:dyDescent="0.3">
      <c r="A1014">
        <v>10632</v>
      </c>
      <c r="B1014" s="2">
        <f>_xlfn.XLOOKUP(Table9[[#This Row],[orderID]],orders[orderID],orders[orderDate],,0)</f>
        <v>41865</v>
      </c>
      <c r="C1014">
        <f>_xlfn.XLOOKUP(A1014,order_details[orderID],order_details[productID],,0)</f>
        <v>2</v>
      </c>
      <c r="D1014" t="str">
        <f>_xlfn.XLOOKUP(C1014,products[productID],products[productName],,0)</f>
        <v>Chang</v>
      </c>
      <c r="E1014" t="str">
        <f>_xlfn.XLOOKUP(_xlfn.XLOOKUP(Table9[[#This Row],[ProductName ]],products[productName],products[categoryID],,0),categories[categoryID],categories[categoryName],,0)</f>
        <v>Beverages</v>
      </c>
      <c r="F1014">
        <v>20</v>
      </c>
      <c r="G1014">
        <v>25</v>
      </c>
      <c r="H1014">
        <v>5</v>
      </c>
      <c r="I1014">
        <f>Table9[[#This Row],[quantity]]*Table9[[#This Row],[unitPrice]]*(1-Table9[[#This Row],[discount]]/100)</f>
        <v>475</v>
      </c>
      <c r="J1014" t="str">
        <f>_xlfn.XLOOKUP(_xlfn.XLOOKUP(A1014,orders[orderID],orders[customerID],,0),customers__2[customerID],customers__2[companyName],,0)</f>
        <v>Die Wandernde Kuh</v>
      </c>
      <c r="K1014" t="str">
        <f>_xlfn.XLOOKUP(Table9[[#This Row],[Company Name]],customers__2[companyName],customers__2[country],,0)</f>
        <v>Germany</v>
      </c>
      <c r="L1014">
        <f>MONTH(Table9[[#This Row],[OrderDate ]])</f>
        <v>8</v>
      </c>
      <c r="M1014" t="str">
        <f>TEXT(Table9[[#This Row],[OrderDate ]],"mmm")</f>
        <v>Aug</v>
      </c>
      <c r="N1014">
        <f>YEAR(Table9[[#This Row],[OrderDate ]])</f>
        <v>2014</v>
      </c>
    </row>
    <row r="1015" spans="1:14" x14ac:dyDescent="0.3">
      <c r="A1015">
        <v>10633</v>
      </c>
      <c r="B1015" s="2">
        <f>_xlfn.XLOOKUP(Table9[[#This Row],[orderID]],orders[orderID],orders[orderDate],,0)</f>
        <v>41866</v>
      </c>
      <c r="C1015">
        <f>_xlfn.XLOOKUP(A1015,order_details[orderID],order_details[productID],,0)</f>
        <v>12</v>
      </c>
      <c r="D1015" t="str">
        <f>_xlfn.XLOOKUP(C1015,products[productID],products[productName],,0)</f>
        <v>Queso Manchego La Pastora</v>
      </c>
      <c r="E1015" t="str">
        <f>_xlfn.XLOOKUP(_xlfn.XLOOKUP(Table9[[#This Row],[ProductName ]],products[productName],products[categoryID],,0),categories[categoryID],categories[categoryName],,0)</f>
        <v>Dairy Products</v>
      </c>
      <c r="F1015">
        <v>36</v>
      </c>
      <c r="G1015">
        <v>38</v>
      </c>
      <c r="H1015">
        <v>15</v>
      </c>
      <c r="I1015">
        <f>Table9[[#This Row],[quantity]]*Table9[[#This Row],[unitPrice]]*(1-Table9[[#This Row],[discount]]/100)</f>
        <v>1162.8</v>
      </c>
      <c r="J1015" t="str">
        <f>_xlfn.XLOOKUP(_xlfn.XLOOKUP(A1015,orders[orderID],orders[customerID],,0),customers__2[customerID],customers__2[companyName],,0)</f>
        <v>Ernst Handel</v>
      </c>
      <c r="K1015" t="str">
        <f>_xlfn.XLOOKUP(Table9[[#This Row],[Company Name]],customers__2[companyName],customers__2[country],,0)</f>
        <v>Austria</v>
      </c>
      <c r="L1015">
        <f>MONTH(Table9[[#This Row],[OrderDate ]])</f>
        <v>8</v>
      </c>
      <c r="M1015" t="str">
        <f>TEXT(Table9[[#This Row],[OrderDate ]],"mmm")</f>
        <v>Aug</v>
      </c>
      <c r="N1015">
        <f>YEAR(Table9[[#This Row],[OrderDate ]])</f>
        <v>2014</v>
      </c>
    </row>
    <row r="1016" spans="1:14" x14ac:dyDescent="0.3">
      <c r="A1016">
        <v>10633</v>
      </c>
      <c r="B1016" s="2">
        <f>_xlfn.XLOOKUP(Table9[[#This Row],[orderID]],orders[orderID],orders[orderDate],,0)</f>
        <v>41866</v>
      </c>
      <c r="C1016">
        <f>_xlfn.XLOOKUP(A1016,order_details[orderID],order_details[productID],,0)</f>
        <v>12</v>
      </c>
      <c r="D1016" t="str">
        <f>_xlfn.XLOOKUP(C1016,products[productID],products[productName],,0)</f>
        <v>Queso Manchego La Pastora</v>
      </c>
      <c r="E1016" t="str">
        <f>_xlfn.XLOOKUP(_xlfn.XLOOKUP(Table9[[#This Row],[ProductName ]],products[productName],products[categoryID],,0),categories[categoryID],categories[categoryName],,0)</f>
        <v>Dairy Products</v>
      </c>
      <c r="F1016">
        <v>13</v>
      </c>
      <c r="G1016">
        <v>6</v>
      </c>
      <c r="H1016">
        <v>15</v>
      </c>
      <c r="I1016">
        <f>Table9[[#This Row],[quantity]]*Table9[[#This Row],[unitPrice]]*(1-Table9[[#This Row],[discount]]/100)</f>
        <v>66.3</v>
      </c>
      <c r="J1016" t="str">
        <f>_xlfn.XLOOKUP(_xlfn.XLOOKUP(A1016,orders[orderID],orders[customerID],,0),customers__2[customerID],customers__2[companyName],,0)</f>
        <v>Ernst Handel</v>
      </c>
      <c r="K1016" t="str">
        <f>_xlfn.XLOOKUP(Table9[[#This Row],[Company Name]],customers__2[companyName],customers__2[country],,0)</f>
        <v>Austria</v>
      </c>
      <c r="L1016">
        <f>MONTH(Table9[[#This Row],[OrderDate ]])</f>
        <v>8</v>
      </c>
      <c r="M1016" t="str">
        <f>TEXT(Table9[[#This Row],[OrderDate ]],"mmm")</f>
        <v>Aug</v>
      </c>
      <c r="N1016">
        <f>YEAR(Table9[[#This Row],[OrderDate ]])</f>
        <v>2014</v>
      </c>
    </row>
    <row r="1017" spans="1:14" x14ac:dyDescent="0.3">
      <c r="A1017">
        <v>10633</v>
      </c>
      <c r="B1017" s="2">
        <f>_xlfn.XLOOKUP(Table9[[#This Row],[orderID]],orders[orderID],orders[orderDate],,0)</f>
        <v>41866</v>
      </c>
      <c r="C1017">
        <f>_xlfn.XLOOKUP(A1017,order_details[orderID],order_details[productID],,0)</f>
        <v>12</v>
      </c>
      <c r="D1017" t="str">
        <f>_xlfn.XLOOKUP(C1017,products[productID],products[productName],,0)</f>
        <v>Queso Manchego La Pastora</v>
      </c>
      <c r="E1017" t="str">
        <f>_xlfn.XLOOKUP(_xlfn.XLOOKUP(Table9[[#This Row],[ProductName ]],products[productName],products[categoryID],,0),categories[categoryID],categories[categoryName],,0)</f>
        <v>Dairy Products</v>
      </c>
      <c r="F1017">
        <v>35</v>
      </c>
      <c r="G1017">
        <v>3123</v>
      </c>
      <c r="H1017">
        <v>15</v>
      </c>
      <c r="I1017">
        <f>Table9[[#This Row],[quantity]]*Table9[[#This Row],[unitPrice]]*(1-Table9[[#This Row],[discount]]/100)</f>
        <v>92909.25</v>
      </c>
      <c r="J1017" t="str">
        <f>_xlfn.XLOOKUP(_xlfn.XLOOKUP(A1017,orders[orderID],orders[customerID],,0),customers__2[customerID],customers__2[companyName],,0)</f>
        <v>Ernst Handel</v>
      </c>
      <c r="K1017" t="str">
        <f>_xlfn.XLOOKUP(Table9[[#This Row],[Company Name]],customers__2[companyName],customers__2[country],,0)</f>
        <v>Austria</v>
      </c>
      <c r="L1017">
        <f>MONTH(Table9[[#This Row],[OrderDate ]])</f>
        <v>8</v>
      </c>
      <c r="M1017" t="str">
        <f>TEXT(Table9[[#This Row],[OrderDate ]],"mmm")</f>
        <v>Aug</v>
      </c>
      <c r="N1017">
        <f>YEAR(Table9[[#This Row],[OrderDate ]])</f>
        <v>2014</v>
      </c>
    </row>
    <row r="1018" spans="1:14" x14ac:dyDescent="0.3">
      <c r="A1018">
        <v>10633</v>
      </c>
      <c r="B1018" s="2">
        <f>_xlfn.XLOOKUP(Table9[[#This Row],[orderID]],orders[orderID],orders[orderDate],,0)</f>
        <v>41866</v>
      </c>
      <c r="C1018">
        <f>_xlfn.XLOOKUP(A1018,order_details[orderID],order_details[productID],,0)</f>
        <v>12</v>
      </c>
      <c r="D1018" t="str">
        <f>_xlfn.XLOOKUP(C1018,products[productID],products[productName],,0)</f>
        <v>Queso Manchego La Pastora</v>
      </c>
      <c r="E1018" t="str">
        <f>_xlfn.XLOOKUP(_xlfn.XLOOKUP(Table9[[#This Row],[ProductName ]],products[productName],products[categoryID],,0),categories[categoryID],categories[categoryName],,0)</f>
        <v>Dairy Products</v>
      </c>
      <c r="F1018">
        <v>80</v>
      </c>
      <c r="G1018">
        <v>493</v>
      </c>
      <c r="H1018">
        <v>15</v>
      </c>
      <c r="I1018">
        <f>Table9[[#This Row],[quantity]]*Table9[[#This Row],[unitPrice]]*(1-Table9[[#This Row],[discount]]/100)</f>
        <v>33524</v>
      </c>
      <c r="J1018" t="str">
        <f>_xlfn.XLOOKUP(_xlfn.XLOOKUP(A1018,orders[orderID],orders[customerID],,0),customers__2[customerID],customers__2[companyName],,0)</f>
        <v>Ernst Handel</v>
      </c>
      <c r="K1018" t="str">
        <f>_xlfn.XLOOKUP(Table9[[#This Row],[Company Name]],customers__2[companyName],customers__2[country],,0)</f>
        <v>Austria</v>
      </c>
      <c r="L1018">
        <f>MONTH(Table9[[#This Row],[OrderDate ]])</f>
        <v>8</v>
      </c>
      <c r="M1018" t="str">
        <f>TEXT(Table9[[#This Row],[OrderDate ]],"mmm")</f>
        <v>Aug</v>
      </c>
      <c r="N1018">
        <f>YEAR(Table9[[#This Row],[OrderDate ]])</f>
        <v>2014</v>
      </c>
    </row>
    <row r="1019" spans="1:14" x14ac:dyDescent="0.3">
      <c r="A1019">
        <v>10634</v>
      </c>
      <c r="B1019" s="2">
        <f>_xlfn.XLOOKUP(Table9[[#This Row],[orderID]],orders[orderID],orders[orderDate],,0)</f>
        <v>41866</v>
      </c>
      <c r="C1019">
        <f>_xlfn.XLOOKUP(A1019,order_details[orderID],order_details[productID],,0)</f>
        <v>7</v>
      </c>
      <c r="D1019" t="str">
        <f>_xlfn.XLOOKUP(C1019,products[productID],products[productName],,0)</f>
        <v>Uncle Bob's Organic Dried Pears</v>
      </c>
      <c r="E1019" t="str">
        <f>_xlfn.XLOOKUP(_xlfn.XLOOKUP(Table9[[#This Row],[ProductName ]],products[productName],products[categoryID],,0),categories[categoryID],categories[categoryName],,0)</f>
        <v>Produce</v>
      </c>
      <c r="F1019">
        <v>35</v>
      </c>
      <c r="G1019">
        <v>30</v>
      </c>
      <c r="H1019">
        <v>0</v>
      </c>
      <c r="I1019">
        <f>Table9[[#This Row],[quantity]]*Table9[[#This Row],[unitPrice]]*(1-Table9[[#This Row],[discount]]/100)</f>
        <v>1050</v>
      </c>
      <c r="J1019" t="str">
        <f>_xlfn.XLOOKUP(_xlfn.XLOOKUP(A1019,orders[orderID],orders[customerID],,0),customers__2[customerID],customers__2[companyName],,0)</f>
        <v>Folies gourmandes</v>
      </c>
      <c r="K1019" t="str">
        <f>_xlfn.XLOOKUP(Table9[[#This Row],[Company Name]],customers__2[companyName],customers__2[country],,0)</f>
        <v>France</v>
      </c>
      <c r="L1019">
        <f>MONTH(Table9[[#This Row],[OrderDate ]])</f>
        <v>8</v>
      </c>
      <c r="M1019" t="str">
        <f>TEXT(Table9[[#This Row],[OrderDate ]],"mmm")</f>
        <v>Aug</v>
      </c>
      <c r="N1019">
        <f>YEAR(Table9[[#This Row],[OrderDate ]])</f>
        <v>2014</v>
      </c>
    </row>
    <row r="1020" spans="1:14" x14ac:dyDescent="0.3">
      <c r="A1020">
        <v>10634</v>
      </c>
      <c r="B1020" s="2">
        <f>_xlfn.XLOOKUP(Table9[[#This Row],[orderID]],orders[orderID],orders[orderDate],,0)</f>
        <v>41866</v>
      </c>
      <c r="C1020">
        <f>_xlfn.XLOOKUP(A1020,order_details[orderID],order_details[productID],,0)</f>
        <v>7</v>
      </c>
      <c r="D1020" t="str">
        <f>_xlfn.XLOOKUP(C1020,products[productID],products[productName],,0)</f>
        <v>Uncle Bob's Organic Dried Pears</v>
      </c>
      <c r="E1020" t="str">
        <f>_xlfn.XLOOKUP(_xlfn.XLOOKUP(Table9[[#This Row],[ProductName ]],products[productName],products[categoryID],,0),categories[categoryID],categories[categoryName],,0)</f>
        <v>Produce</v>
      </c>
      <c r="F1020">
        <v>50</v>
      </c>
      <c r="G1020">
        <v>625</v>
      </c>
      <c r="H1020">
        <v>0</v>
      </c>
      <c r="I1020">
        <f>Table9[[#This Row],[quantity]]*Table9[[#This Row],[unitPrice]]*(1-Table9[[#This Row],[discount]]/100)</f>
        <v>31250</v>
      </c>
      <c r="J1020" t="str">
        <f>_xlfn.XLOOKUP(_xlfn.XLOOKUP(A1020,orders[orderID],orders[customerID],,0),customers__2[customerID],customers__2[companyName],,0)</f>
        <v>Folies gourmandes</v>
      </c>
      <c r="K1020" t="str">
        <f>_xlfn.XLOOKUP(Table9[[#This Row],[Company Name]],customers__2[companyName],customers__2[country],,0)</f>
        <v>France</v>
      </c>
      <c r="L1020">
        <f>MONTH(Table9[[#This Row],[OrderDate ]])</f>
        <v>8</v>
      </c>
      <c r="M1020" t="str">
        <f>TEXT(Table9[[#This Row],[OrderDate ]],"mmm")</f>
        <v>Aug</v>
      </c>
      <c r="N1020">
        <f>YEAR(Table9[[#This Row],[OrderDate ]])</f>
        <v>2014</v>
      </c>
    </row>
    <row r="1021" spans="1:14" x14ac:dyDescent="0.3">
      <c r="A1021">
        <v>10634</v>
      </c>
      <c r="B1021" s="2">
        <f>_xlfn.XLOOKUP(Table9[[#This Row],[orderID]],orders[orderID],orders[orderDate],,0)</f>
        <v>41866</v>
      </c>
      <c r="C1021">
        <f>_xlfn.XLOOKUP(A1021,order_details[orderID],order_details[productID],,0)</f>
        <v>7</v>
      </c>
      <c r="D1021" t="str">
        <f>_xlfn.XLOOKUP(C1021,products[productID],products[productName],,0)</f>
        <v>Uncle Bob's Organic Dried Pears</v>
      </c>
      <c r="E1021" t="str">
        <f>_xlfn.XLOOKUP(_xlfn.XLOOKUP(Table9[[#This Row],[ProductName ]],products[productName],products[categoryID],,0),categories[categoryID],categories[categoryName],,0)</f>
        <v>Produce</v>
      </c>
      <c r="F1021">
        <v>15</v>
      </c>
      <c r="G1021">
        <v>53</v>
      </c>
      <c r="H1021">
        <v>0</v>
      </c>
      <c r="I1021">
        <f>Table9[[#This Row],[quantity]]*Table9[[#This Row],[unitPrice]]*(1-Table9[[#This Row],[discount]]/100)</f>
        <v>795</v>
      </c>
      <c r="J1021" t="str">
        <f>_xlfn.XLOOKUP(_xlfn.XLOOKUP(A1021,orders[orderID],orders[customerID],,0),customers__2[customerID],customers__2[companyName],,0)</f>
        <v>Folies gourmandes</v>
      </c>
      <c r="K1021" t="str">
        <f>_xlfn.XLOOKUP(Table9[[#This Row],[Company Name]],customers__2[companyName],customers__2[country],,0)</f>
        <v>France</v>
      </c>
      <c r="L1021">
        <f>MONTH(Table9[[#This Row],[OrderDate ]])</f>
        <v>8</v>
      </c>
      <c r="M1021" t="str">
        <f>TEXT(Table9[[#This Row],[OrderDate ]],"mmm")</f>
        <v>Aug</v>
      </c>
      <c r="N1021">
        <f>YEAR(Table9[[#This Row],[OrderDate ]])</f>
        <v>2014</v>
      </c>
    </row>
    <row r="1022" spans="1:14" x14ac:dyDescent="0.3">
      <c r="A1022">
        <v>10634</v>
      </c>
      <c r="B1022" s="2">
        <f>_xlfn.XLOOKUP(Table9[[#This Row],[orderID]],orders[orderID],orders[orderDate],,0)</f>
        <v>41866</v>
      </c>
      <c r="C1022">
        <f>_xlfn.XLOOKUP(A1022,order_details[orderID],order_details[productID],,0)</f>
        <v>7</v>
      </c>
      <c r="D1022" t="str">
        <f>_xlfn.XLOOKUP(C1022,products[productID],products[productName],,0)</f>
        <v>Uncle Bob's Organic Dried Pears</v>
      </c>
      <c r="E1022" t="str">
        <f>_xlfn.XLOOKUP(_xlfn.XLOOKUP(Table9[[#This Row],[ProductName ]],products[productName],products[categoryID],,0),categories[categoryID],categories[categoryName],,0)</f>
        <v>Produce</v>
      </c>
      <c r="F1022">
        <v>2</v>
      </c>
      <c r="G1022">
        <v>775</v>
      </c>
      <c r="H1022">
        <v>0</v>
      </c>
      <c r="I1022">
        <f>Table9[[#This Row],[quantity]]*Table9[[#This Row],[unitPrice]]*(1-Table9[[#This Row],[discount]]/100)</f>
        <v>1550</v>
      </c>
      <c r="J1022" t="str">
        <f>_xlfn.XLOOKUP(_xlfn.XLOOKUP(A1022,orders[orderID],orders[customerID],,0),customers__2[customerID],customers__2[companyName],,0)</f>
        <v>Folies gourmandes</v>
      </c>
      <c r="K1022" t="str">
        <f>_xlfn.XLOOKUP(Table9[[#This Row],[Company Name]],customers__2[companyName],customers__2[country],,0)</f>
        <v>France</v>
      </c>
      <c r="L1022">
        <f>MONTH(Table9[[#This Row],[OrderDate ]])</f>
        <v>8</v>
      </c>
      <c r="M1022" t="str">
        <f>TEXT(Table9[[#This Row],[OrderDate ]],"mmm")</f>
        <v>Aug</v>
      </c>
      <c r="N1022">
        <f>YEAR(Table9[[#This Row],[OrderDate ]])</f>
        <v>2014</v>
      </c>
    </row>
    <row r="1023" spans="1:14" x14ac:dyDescent="0.3">
      <c r="A1023">
        <v>10635</v>
      </c>
      <c r="B1023" s="2">
        <f>_xlfn.XLOOKUP(Table9[[#This Row],[orderID]],orders[orderID],orders[orderDate],,0)</f>
        <v>41869</v>
      </c>
      <c r="C1023">
        <f>_xlfn.XLOOKUP(A1023,order_details[orderID],order_details[productID],,0)</f>
        <v>4</v>
      </c>
      <c r="D1023" t="str">
        <f>_xlfn.XLOOKUP(C1023,products[productID],products[productName],,0)</f>
        <v>Chef Anton's Cajun Seasoning</v>
      </c>
      <c r="E1023" t="str">
        <f>_xlfn.XLOOKUP(_xlfn.XLOOKUP(Table9[[#This Row],[ProductName ]],products[productName],products[categoryID],,0),categories[categoryID],categories[categoryName],,0)</f>
        <v>Condiments</v>
      </c>
      <c r="F1023">
        <v>10</v>
      </c>
      <c r="G1023">
        <v>22</v>
      </c>
      <c r="H1023">
        <v>1</v>
      </c>
      <c r="I1023">
        <f>Table9[[#This Row],[quantity]]*Table9[[#This Row],[unitPrice]]*(1-Table9[[#This Row],[discount]]/100)</f>
        <v>217.8</v>
      </c>
      <c r="J1023" t="str">
        <f>_xlfn.XLOOKUP(_xlfn.XLOOKUP(A1023,orders[orderID],orders[customerID],,0),customers__2[customerID],customers__2[companyName],,0)</f>
        <v>Magazzini Alimentari Riuniti</v>
      </c>
      <c r="K1023" t="str">
        <f>_xlfn.XLOOKUP(Table9[[#This Row],[Company Name]],customers__2[companyName],customers__2[country],,0)</f>
        <v>Italy</v>
      </c>
      <c r="L1023">
        <f>MONTH(Table9[[#This Row],[OrderDate ]])</f>
        <v>8</v>
      </c>
      <c r="M1023" t="str">
        <f>TEXT(Table9[[#This Row],[OrderDate ]],"mmm")</f>
        <v>Aug</v>
      </c>
      <c r="N1023">
        <f>YEAR(Table9[[#This Row],[OrderDate ]])</f>
        <v>2014</v>
      </c>
    </row>
    <row r="1024" spans="1:14" x14ac:dyDescent="0.3">
      <c r="A1024">
        <v>10635</v>
      </c>
      <c r="B1024" s="2">
        <f>_xlfn.XLOOKUP(Table9[[#This Row],[orderID]],orders[orderID],orders[orderDate],,0)</f>
        <v>41869</v>
      </c>
      <c r="C1024">
        <f>_xlfn.XLOOKUP(A1024,order_details[orderID],order_details[productID],,0)</f>
        <v>4</v>
      </c>
      <c r="D1024" t="str">
        <f>_xlfn.XLOOKUP(C1024,products[productID],products[productName],,0)</f>
        <v>Chef Anton's Cajun Seasoning</v>
      </c>
      <c r="E1024" t="str">
        <f>_xlfn.XLOOKUP(_xlfn.XLOOKUP(Table9[[#This Row],[ProductName ]],products[productName],products[categoryID],,0),categories[categoryID],categories[categoryName],,0)</f>
        <v>Condiments</v>
      </c>
      <c r="F1024">
        <v>15</v>
      </c>
      <c r="G1024">
        <v>2135</v>
      </c>
      <c r="H1024">
        <v>1</v>
      </c>
      <c r="I1024">
        <f>Table9[[#This Row],[quantity]]*Table9[[#This Row],[unitPrice]]*(1-Table9[[#This Row],[discount]]/100)</f>
        <v>31704.75</v>
      </c>
      <c r="J1024" t="str">
        <f>_xlfn.XLOOKUP(_xlfn.XLOOKUP(A1024,orders[orderID],orders[customerID],,0),customers__2[customerID],customers__2[companyName],,0)</f>
        <v>Magazzini Alimentari Riuniti</v>
      </c>
      <c r="K1024" t="str">
        <f>_xlfn.XLOOKUP(Table9[[#This Row],[Company Name]],customers__2[companyName],customers__2[country],,0)</f>
        <v>Italy</v>
      </c>
      <c r="L1024">
        <f>MONTH(Table9[[#This Row],[OrderDate ]])</f>
        <v>8</v>
      </c>
      <c r="M1024" t="str">
        <f>TEXT(Table9[[#This Row],[OrderDate ]],"mmm")</f>
        <v>Aug</v>
      </c>
      <c r="N1024">
        <f>YEAR(Table9[[#This Row],[OrderDate ]])</f>
        <v>2014</v>
      </c>
    </row>
    <row r="1025" spans="1:14" x14ac:dyDescent="0.3">
      <c r="A1025">
        <v>10635</v>
      </c>
      <c r="B1025" s="2">
        <f>_xlfn.XLOOKUP(Table9[[#This Row],[orderID]],orders[orderID],orders[orderDate],,0)</f>
        <v>41869</v>
      </c>
      <c r="C1025">
        <f>_xlfn.XLOOKUP(A1025,order_details[orderID],order_details[productID],,0)</f>
        <v>4</v>
      </c>
      <c r="D1025" t="str">
        <f>_xlfn.XLOOKUP(C1025,products[productID],products[productName],,0)</f>
        <v>Chef Anton's Cajun Seasoning</v>
      </c>
      <c r="E1025" t="str">
        <f>_xlfn.XLOOKUP(_xlfn.XLOOKUP(Table9[[#This Row],[ProductName ]],products[productName],products[categoryID],,0),categories[categoryID],categories[categoryName],,0)</f>
        <v>Condiments</v>
      </c>
      <c r="F1025">
        <v>40</v>
      </c>
      <c r="G1025">
        <v>21</v>
      </c>
      <c r="H1025">
        <v>0</v>
      </c>
      <c r="I1025">
        <f>Table9[[#This Row],[quantity]]*Table9[[#This Row],[unitPrice]]*(1-Table9[[#This Row],[discount]]/100)</f>
        <v>840</v>
      </c>
      <c r="J1025" t="str">
        <f>_xlfn.XLOOKUP(_xlfn.XLOOKUP(A1025,orders[orderID],orders[customerID],,0),customers__2[customerID],customers__2[companyName],,0)</f>
        <v>Magazzini Alimentari Riuniti</v>
      </c>
      <c r="K1025" t="str">
        <f>_xlfn.XLOOKUP(Table9[[#This Row],[Company Name]],customers__2[companyName],customers__2[country],,0)</f>
        <v>Italy</v>
      </c>
      <c r="L1025">
        <f>MONTH(Table9[[#This Row],[OrderDate ]])</f>
        <v>8</v>
      </c>
      <c r="M1025" t="str">
        <f>TEXT(Table9[[#This Row],[OrderDate ]],"mmm")</f>
        <v>Aug</v>
      </c>
      <c r="N1025">
        <f>YEAR(Table9[[#This Row],[OrderDate ]])</f>
        <v>2014</v>
      </c>
    </row>
    <row r="1026" spans="1:14" x14ac:dyDescent="0.3">
      <c r="A1026">
        <v>10636</v>
      </c>
      <c r="B1026" s="2">
        <f>_xlfn.XLOOKUP(Table9[[#This Row],[orderID]],orders[orderID],orders[orderDate],,0)</f>
        <v>41870</v>
      </c>
      <c r="C1026">
        <f>_xlfn.XLOOKUP(A1026,order_details[orderID],order_details[productID],,0)</f>
        <v>4</v>
      </c>
      <c r="D1026" t="str">
        <f>_xlfn.XLOOKUP(C1026,products[productID],products[productName],,0)</f>
        <v>Chef Anton's Cajun Seasoning</v>
      </c>
      <c r="E1026" t="str">
        <f>_xlfn.XLOOKUP(_xlfn.XLOOKUP(Table9[[#This Row],[ProductName ]],products[productName],products[categoryID],,0),categories[categoryID],categories[categoryName],,0)</f>
        <v>Condiments</v>
      </c>
      <c r="F1026">
        <v>25</v>
      </c>
      <c r="G1026">
        <v>22</v>
      </c>
      <c r="H1026">
        <v>0</v>
      </c>
      <c r="I1026">
        <f>Table9[[#This Row],[quantity]]*Table9[[#This Row],[unitPrice]]*(1-Table9[[#This Row],[discount]]/100)</f>
        <v>550</v>
      </c>
      <c r="J1026" t="str">
        <f>_xlfn.XLOOKUP(_xlfn.XLOOKUP(A1026,orders[orderID],orders[customerID],,0),customers__2[customerID],customers__2[companyName],,0)</f>
        <v>Wartian Herkku</v>
      </c>
      <c r="K1026" t="str">
        <f>_xlfn.XLOOKUP(Table9[[#This Row],[Company Name]],customers__2[companyName],customers__2[country],,0)</f>
        <v>Finland</v>
      </c>
      <c r="L1026">
        <f>MONTH(Table9[[#This Row],[OrderDate ]])</f>
        <v>8</v>
      </c>
      <c r="M1026" t="str">
        <f>TEXT(Table9[[#This Row],[OrderDate ]],"mmm")</f>
        <v>Aug</v>
      </c>
      <c r="N1026">
        <f>YEAR(Table9[[#This Row],[OrderDate ]])</f>
        <v>2014</v>
      </c>
    </row>
    <row r="1027" spans="1:14" x14ac:dyDescent="0.3">
      <c r="A1027">
        <v>10636</v>
      </c>
      <c r="B1027" s="2">
        <f>_xlfn.XLOOKUP(Table9[[#This Row],[orderID]],orders[orderID],orders[orderDate],,0)</f>
        <v>41870</v>
      </c>
      <c r="C1027">
        <f>_xlfn.XLOOKUP(A1027,order_details[orderID],order_details[productID],,0)</f>
        <v>4</v>
      </c>
      <c r="D1027" t="str">
        <f>_xlfn.XLOOKUP(C1027,products[productID],products[productName],,0)</f>
        <v>Chef Anton's Cajun Seasoning</v>
      </c>
      <c r="E1027" t="str">
        <f>_xlfn.XLOOKUP(_xlfn.XLOOKUP(Table9[[#This Row],[ProductName ]],products[productName],products[categoryID],,0),categories[categoryID],categories[categoryName],,0)</f>
        <v>Condiments</v>
      </c>
      <c r="F1027">
        <v>6</v>
      </c>
      <c r="G1027">
        <v>1325</v>
      </c>
      <c r="H1027">
        <v>0</v>
      </c>
      <c r="I1027">
        <f>Table9[[#This Row],[quantity]]*Table9[[#This Row],[unitPrice]]*(1-Table9[[#This Row],[discount]]/100)</f>
        <v>7950</v>
      </c>
      <c r="J1027" t="str">
        <f>_xlfn.XLOOKUP(_xlfn.XLOOKUP(A1027,orders[orderID],orders[customerID],,0),customers__2[customerID],customers__2[companyName],,0)</f>
        <v>Wartian Herkku</v>
      </c>
      <c r="K1027" t="str">
        <f>_xlfn.XLOOKUP(Table9[[#This Row],[Company Name]],customers__2[companyName],customers__2[country],,0)</f>
        <v>Finland</v>
      </c>
      <c r="L1027">
        <f>MONTH(Table9[[#This Row],[OrderDate ]])</f>
        <v>8</v>
      </c>
      <c r="M1027" t="str">
        <f>TEXT(Table9[[#This Row],[OrderDate ]],"mmm")</f>
        <v>Aug</v>
      </c>
      <c r="N1027">
        <f>YEAR(Table9[[#This Row],[OrderDate ]])</f>
        <v>2014</v>
      </c>
    </row>
    <row r="1028" spans="1:14" x14ac:dyDescent="0.3">
      <c r="A1028">
        <v>10637</v>
      </c>
      <c r="B1028" s="2">
        <f>_xlfn.XLOOKUP(Table9[[#This Row],[orderID]],orders[orderID],orders[orderDate],,0)</f>
        <v>41870</v>
      </c>
      <c r="C1028">
        <f>_xlfn.XLOOKUP(A1028,order_details[orderID],order_details[productID],,0)</f>
        <v>11</v>
      </c>
      <c r="D1028" t="str">
        <f>_xlfn.XLOOKUP(C1028,products[productID],products[productName],,0)</f>
        <v>Queso Cabrales</v>
      </c>
      <c r="E1028" t="str">
        <f>_xlfn.XLOOKUP(_xlfn.XLOOKUP(Table9[[#This Row],[ProductName ]],products[productName],products[categoryID],,0),categories[categoryID],categories[categoryName],,0)</f>
        <v>Dairy Products</v>
      </c>
      <c r="F1028">
        <v>10</v>
      </c>
      <c r="G1028">
        <v>21</v>
      </c>
      <c r="H1028">
        <v>0</v>
      </c>
      <c r="I1028">
        <f>Table9[[#This Row],[quantity]]*Table9[[#This Row],[unitPrice]]*(1-Table9[[#This Row],[discount]]/100)</f>
        <v>210</v>
      </c>
      <c r="J1028" t="str">
        <f>_xlfn.XLOOKUP(_xlfn.XLOOKUP(A1028,orders[orderID],orders[customerID],,0),customers__2[customerID],customers__2[companyName],,0)</f>
        <v>Queen Cozinha</v>
      </c>
      <c r="K1028" t="str">
        <f>_xlfn.XLOOKUP(Table9[[#This Row],[Company Name]],customers__2[companyName],customers__2[country],,0)</f>
        <v>Brazil</v>
      </c>
      <c r="L1028">
        <f>MONTH(Table9[[#This Row],[OrderDate ]])</f>
        <v>8</v>
      </c>
      <c r="M1028" t="str">
        <f>TEXT(Table9[[#This Row],[OrderDate ]],"mmm")</f>
        <v>Aug</v>
      </c>
      <c r="N1028">
        <f>YEAR(Table9[[#This Row],[OrderDate ]])</f>
        <v>2014</v>
      </c>
    </row>
    <row r="1029" spans="1:14" x14ac:dyDescent="0.3">
      <c r="A1029">
        <v>10637</v>
      </c>
      <c r="B1029" s="2">
        <f>_xlfn.XLOOKUP(Table9[[#This Row],[orderID]],orders[orderID],orders[orderDate],,0)</f>
        <v>41870</v>
      </c>
      <c r="C1029">
        <f>_xlfn.XLOOKUP(A1029,order_details[orderID],order_details[productID],,0)</f>
        <v>11</v>
      </c>
      <c r="D1029" t="str">
        <f>_xlfn.XLOOKUP(C1029,products[productID],products[productName],,0)</f>
        <v>Queso Cabrales</v>
      </c>
      <c r="E1029" t="str">
        <f>_xlfn.XLOOKUP(_xlfn.XLOOKUP(Table9[[#This Row],[ProductName ]],products[productName],products[categoryID],,0),categories[categoryID],categories[categoryName],,0)</f>
        <v>Dairy Products</v>
      </c>
      <c r="F1029">
        <v>25</v>
      </c>
      <c r="G1029">
        <v>1625</v>
      </c>
      <c r="H1029">
        <v>5</v>
      </c>
      <c r="I1029">
        <f>Table9[[#This Row],[quantity]]*Table9[[#This Row],[unitPrice]]*(1-Table9[[#This Row],[discount]]/100)</f>
        <v>38593.75</v>
      </c>
      <c r="J1029" t="str">
        <f>_xlfn.XLOOKUP(_xlfn.XLOOKUP(A1029,orders[orderID],orders[customerID],,0),customers__2[customerID],customers__2[companyName],,0)</f>
        <v>Queen Cozinha</v>
      </c>
      <c r="K1029" t="str">
        <f>_xlfn.XLOOKUP(Table9[[#This Row],[Company Name]],customers__2[companyName],customers__2[country],,0)</f>
        <v>Brazil</v>
      </c>
      <c r="L1029">
        <f>MONTH(Table9[[#This Row],[OrderDate ]])</f>
        <v>8</v>
      </c>
      <c r="M1029" t="str">
        <f>TEXT(Table9[[#This Row],[OrderDate ]],"mmm")</f>
        <v>Aug</v>
      </c>
      <c r="N1029">
        <f>YEAR(Table9[[#This Row],[OrderDate ]])</f>
        <v>2014</v>
      </c>
    </row>
    <row r="1030" spans="1:14" x14ac:dyDescent="0.3">
      <c r="A1030">
        <v>10637</v>
      </c>
      <c r="B1030" s="2">
        <f>_xlfn.XLOOKUP(Table9[[#This Row],[orderID]],orders[orderID],orders[orderDate],,0)</f>
        <v>41870</v>
      </c>
      <c r="C1030">
        <f>_xlfn.XLOOKUP(A1030,order_details[orderID],order_details[productID],,0)</f>
        <v>11</v>
      </c>
      <c r="D1030" t="str">
        <f>_xlfn.XLOOKUP(C1030,products[productID],products[productName],,0)</f>
        <v>Queso Cabrales</v>
      </c>
      <c r="E1030" t="str">
        <f>_xlfn.XLOOKUP(_xlfn.XLOOKUP(Table9[[#This Row],[ProductName ]],products[productName],products[categoryID],,0),categories[categoryID],categories[categoryName],,0)</f>
        <v>Dairy Products</v>
      </c>
      <c r="F1030">
        <v>60</v>
      </c>
      <c r="G1030">
        <v>38</v>
      </c>
      <c r="H1030">
        <v>5</v>
      </c>
      <c r="I1030">
        <f>Table9[[#This Row],[quantity]]*Table9[[#This Row],[unitPrice]]*(1-Table9[[#This Row],[discount]]/100)</f>
        <v>2166</v>
      </c>
      <c r="J1030" t="str">
        <f>_xlfn.XLOOKUP(_xlfn.XLOOKUP(A1030,orders[orderID],orders[customerID],,0),customers__2[customerID],customers__2[companyName],,0)</f>
        <v>Queen Cozinha</v>
      </c>
      <c r="K1030" t="str">
        <f>_xlfn.XLOOKUP(Table9[[#This Row],[Company Name]],customers__2[companyName],customers__2[country],,0)</f>
        <v>Brazil</v>
      </c>
      <c r="L1030">
        <f>MONTH(Table9[[#This Row],[OrderDate ]])</f>
        <v>8</v>
      </c>
      <c r="M1030" t="str">
        <f>TEXT(Table9[[#This Row],[OrderDate ]],"mmm")</f>
        <v>Aug</v>
      </c>
      <c r="N1030">
        <f>YEAR(Table9[[#This Row],[OrderDate ]])</f>
        <v>2014</v>
      </c>
    </row>
    <row r="1031" spans="1:14" x14ac:dyDescent="0.3">
      <c r="A1031">
        <v>10638</v>
      </c>
      <c r="B1031" s="2">
        <f>_xlfn.XLOOKUP(Table9[[#This Row],[orderID]],orders[orderID],orders[orderDate],,0)</f>
        <v>41871</v>
      </c>
      <c r="C1031">
        <f>_xlfn.XLOOKUP(A1031,order_details[orderID],order_details[productID],,0)</f>
        <v>45</v>
      </c>
      <c r="D1031" t="str">
        <f>_xlfn.XLOOKUP(C1031,products[productID],products[productName],,0)</f>
        <v>Rogede sild</v>
      </c>
      <c r="E1031" t="str">
        <f>_xlfn.XLOOKUP(_xlfn.XLOOKUP(Table9[[#This Row],[ProductName ]],products[productName],products[categoryID],,0),categories[categoryID],categories[categoryName],,0)</f>
        <v>Seafood</v>
      </c>
      <c r="F1031">
        <v>20</v>
      </c>
      <c r="G1031">
        <v>95</v>
      </c>
      <c r="H1031">
        <v>0</v>
      </c>
      <c r="I1031">
        <f>Table9[[#This Row],[quantity]]*Table9[[#This Row],[unitPrice]]*(1-Table9[[#This Row],[discount]]/100)</f>
        <v>1900</v>
      </c>
      <c r="J1031" t="str">
        <f>_xlfn.XLOOKUP(_xlfn.XLOOKUP(A1031,orders[orderID],orders[customerID],,0),customers__2[customerID],customers__2[companyName],,0)</f>
        <v>LINO-Delicateses</v>
      </c>
      <c r="K1031" t="str">
        <f>_xlfn.XLOOKUP(Table9[[#This Row],[Company Name]],customers__2[companyName],customers__2[country],,0)</f>
        <v>Venezuela</v>
      </c>
      <c r="L1031">
        <f>MONTH(Table9[[#This Row],[OrderDate ]])</f>
        <v>8</v>
      </c>
      <c r="M1031" t="str">
        <f>TEXT(Table9[[#This Row],[OrderDate ]],"mmm")</f>
        <v>Aug</v>
      </c>
      <c r="N1031">
        <f>YEAR(Table9[[#This Row],[OrderDate ]])</f>
        <v>2014</v>
      </c>
    </row>
    <row r="1032" spans="1:14" x14ac:dyDescent="0.3">
      <c r="A1032">
        <v>10638</v>
      </c>
      <c r="B1032" s="2">
        <f>_xlfn.XLOOKUP(Table9[[#This Row],[orderID]],orders[orderID],orders[orderDate],,0)</f>
        <v>41871</v>
      </c>
      <c r="C1032">
        <f>_xlfn.XLOOKUP(A1032,order_details[orderID],order_details[productID],,0)</f>
        <v>45</v>
      </c>
      <c r="D1032" t="str">
        <f>_xlfn.XLOOKUP(C1032,products[productID],products[productName],,0)</f>
        <v>Rogede sild</v>
      </c>
      <c r="E1032" t="str">
        <f>_xlfn.XLOOKUP(_xlfn.XLOOKUP(Table9[[#This Row],[ProductName ]],products[productName],products[categoryID],,0),categories[categoryID],categories[categoryName],,0)</f>
        <v>Seafood</v>
      </c>
      <c r="F1032">
        <v>21</v>
      </c>
      <c r="G1032">
        <v>2105</v>
      </c>
      <c r="H1032">
        <v>0</v>
      </c>
      <c r="I1032">
        <f>Table9[[#This Row],[quantity]]*Table9[[#This Row],[unitPrice]]*(1-Table9[[#This Row],[discount]]/100)</f>
        <v>44205</v>
      </c>
      <c r="J1032" t="str">
        <f>_xlfn.XLOOKUP(_xlfn.XLOOKUP(A1032,orders[orderID],orders[customerID],,0),customers__2[customerID],customers__2[companyName],,0)</f>
        <v>LINO-Delicateses</v>
      </c>
      <c r="K1032" t="str">
        <f>_xlfn.XLOOKUP(Table9[[#This Row],[Company Name]],customers__2[companyName],customers__2[country],,0)</f>
        <v>Venezuela</v>
      </c>
      <c r="L1032">
        <f>MONTH(Table9[[#This Row],[OrderDate ]])</f>
        <v>8</v>
      </c>
      <c r="M1032" t="str">
        <f>TEXT(Table9[[#This Row],[OrderDate ]],"mmm")</f>
        <v>Aug</v>
      </c>
      <c r="N1032">
        <f>YEAR(Table9[[#This Row],[OrderDate ]])</f>
        <v>2014</v>
      </c>
    </row>
    <row r="1033" spans="1:14" x14ac:dyDescent="0.3">
      <c r="A1033">
        <v>10638</v>
      </c>
      <c r="B1033" s="2">
        <f>_xlfn.XLOOKUP(Table9[[#This Row],[orderID]],orders[orderID],orders[orderDate],,0)</f>
        <v>41871</v>
      </c>
      <c r="C1033">
        <f>_xlfn.XLOOKUP(A1033,order_details[orderID],order_details[productID],,0)</f>
        <v>45</v>
      </c>
      <c r="D1033" t="str">
        <f>_xlfn.XLOOKUP(C1033,products[productID],products[productName],,0)</f>
        <v>Rogede sild</v>
      </c>
      <c r="E1033" t="str">
        <f>_xlfn.XLOOKUP(_xlfn.XLOOKUP(Table9[[#This Row],[ProductName ]],products[productName],products[categoryID],,0),categories[categoryID],categories[categoryName],,0)</f>
        <v>Seafood</v>
      </c>
      <c r="F1033">
        <v>60</v>
      </c>
      <c r="G1033">
        <v>348</v>
      </c>
      <c r="H1033">
        <v>0</v>
      </c>
      <c r="I1033">
        <f>Table9[[#This Row],[quantity]]*Table9[[#This Row],[unitPrice]]*(1-Table9[[#This Row],[discount]]/100)</f>
        <v>20880</v>
      </c>
      <c r="J1033" t="str">
        <f>_xlfn.XLOOKUP(_xlfn.XLOOKUP(A1033,orders[orderID],orders[customerID],,0),customers__2[customerID],customers__2[companyName],,0)</f>
        <v>LINO-Delicateses</v>
      </c>
      <c r="K1033" t="str">
        <f>_xlfn.XLOOKUP(Table9[[#This Row],[Company Name]],customers__2[companyName],customers__2[country],,0)</f>
        <v>Venezuela</v>
      </c>
      <c r="L1033">
        <f>MONTH(Table9[[#This Row],[OrderDate ]])</f>
        <v>8</v>
      </c>
      <c r="M1033" t="str">
        <f>TEXT(Table9[[#This Row],[OrderDate ]],"mmm")</f>
        <v>Aug</v>
      </c>
      <c r="N1033">
        <f>YEAR(Table9[[#This Row],[OrderDate ]])</f>
        <v>2014</v>
      </c>
    </row>
    <row r="1034" spans="1:14" x14ac:dyDescent="0.3">
      <c r="A1034">
        <v>10639</v>
      </c>
      <c r="B1034" s="2">
        <f>_xlfn.XLOOKUP(Table9[[#This Row],[orderID]],orders[orderID],orders[orderDate],,0)</f>
        <v>41871</v>
      </c>
      <c r="C1034">
        <f>_xlfn.XLOOKUP(A1034,order_details[orderID],order_details[productID],,0)</f>
        <v>18</v>
      </c>
      <c r="D1034" t="str">
        <f>_xlfn.XLOOKUP(C1034,products[productID],products[productName],,0)</f>
        <v>Carnarvon Tigers</v>
      </c>
      <c r="E1034" t="str">
        <f>_xlfn.XLOOKUP(_xlfn.XLOOKUP(Table9[[#This Row],[ProductName ]],products[productName],products[categoryID],,0),categories[categoryID],categories[categoryName],,0)</f>
        <v>Seafood</v>
      </c>
      <c r="F1034">
        <v>8</v>
      </c>
      <c r="G1034">
        <v>625</v>
      </c>
      <c r="H1034">
        <v>0</v>
      </c>
      <c r="I1034">
        <f>Table9[[#This Row],[quantity]]*Table9[[#This Row],[unitPrice]]*(1-Table9[[#This Row],[discount]]/100)</f>
        <v>5000</v>
      </c>
      <c r="J1034" t="str">
        <f>_xlfn.XLOOKUP(_xlfn.XLOOKUP(A1034,orders[orderID],orders[customerID],,0),customers__2[customerID],customers__2[companyName],,0)</f>
        <v>Santé Gourmet</v>
      </c>
      <c r="K1034" t="str">
        <f>_xlfn.XLOOKUP(Table9[[#This Row],[Company Name]],customers__2[companyName],customers__2[country],,0)</f>
        <v>Norway</v>
      </c>
      <c r="L1034">
        <f>MONTH(Table9[[#This Row],[OrderDate ]])</f>
        <v>8</v>
      </c>
      <c r="M1034" t="str">
        <f>TEXT(Table9[[#This Row],[OrderDate ]],"mmm")</f>
        <v>Aug</v>
      </c>
      <c r="N1034">
        <f>YEAR(Table9[[#This Row],[OrderDate ]])</f>
        <v>2014</v>
      </c>
    </row>
    <row r="1035" spans="1:14" x14ac:dyDescent="0.3">
      <c r="A1035">
        <v>10640</v>
      </c>
      <c r="B1035" s="2">
        <f>_xlfn.XLOOKUP(Table9[[#This Row],[orderID]],orders[orderID],orders[orderDate],,0)</f>
        <v>41872</v>
      </c>
      <c r="C1035">
        <f>_xlfn.XLOOKUP(A1035,order_details[orderID],order_details[productID],,0)</f>
        <v>69</v>
      </c>
      <c r="D1035" t="str">
        <f>_xlfn.XLOOKUP(C1035,products[productID],products[productName],,0)</f>
        <v>Gudbrandsdalsost</v>
      </c>
      <c r="E1035" t="str">
        <f>_xlfn.XLOOKUP(_xlfn.XLOOKUP(Table9[[#This Row],[ProductName ]],products[productName],products[categoryID],,0),categories[categoryID],categories[categoryName],,0)</f>
        <v>Dairy Products</v>
      </c>
      <c r="F1035">
        <v>20</v>
      </c>
      <c r="G1035">
        <v>36</v>
      </c>
      <c r="H1035">
        <v>25</v>
      </c>
      <c r="I1035">
        <f>Table9[[#This Row],[quantity]]*Table9[[#This Row],[unitPrice]]*(1-Table9[[#This Row],[discount]]/100)</f>
        <v>540</v>
      </c>
      <c r="J1035" t="str">
        <f>_xlfn.XLOOKUP(_xlfn.XLOOKUP(A1035,orders[orderID],orders[customerID],,0),customers__2[customerID],customers__2[companyName],,0)</f>
        <v>Die Wandernde Kuh</v>
      </c>
      <c r="K1035" t="str">
        <f>_xlfn.XLOOKUP(Table9[[#This Row],[Company Name]],customers__2[companyName],customers__2[country],,0)</f>
        <v>Germany</v>
      </c>
      <c r="L1035">
        <f>MONTH(Table9[[#This Row],[OrderDate ]])</f>
        <v>8</v>
      </c>
      <c r="M1035" t="str">
        <f>TEXT(Table9[[#This Row],[OrderDate ]],"mmm")</f>
        <v>Aug</v>
      </c>
      <c r="N1035">
        <f>YEAR(Table9[[#This Row],[OrderDate ]])</f>
        <v>2014</v>
      </c>
    </row>
    <row r="1036" spans="1:14" x14ac:dyDescent="0.3">
      <c r="A1036">
        <v>10640</v>
      </c>
      <c r="B1036" s="2">
        <f>_xlfn.XLOOKUP(Table9[[#This Row],[orderID]],orders[orderID],orders[orderDate],,0)</f>
        <v>41872</v>
      </c>
      <c r="C1036">
        <f>_xlfn.XLOOKUP(A1036,order_details[orderID],order_details[productID],,0)</f>
        <v>69</v>
      </c>
      <c r="D1036" t="str">
        <f>_xlfn.XLOOKUP(C1036,products[productID],products[productName],,0)</f>
        <v>Gudbrandsdalsost</v>
      </c>
      <c r="E1036" t="str">
        <f>_xlfn.XLOOKUP(_xlfn.XLOOKUP(Table9[[#This Row],[ProductName ]],products[productName],products[categoryID],,0),categories[categoryID],categories[categoryName],,0)</f>
        <v>Dairy Products</v>
      </c>
      <c r="F1036">
        <v>15</v>
      </c>
      <c r="G1036">
        <v>15</v>
      </c>
      <c r="H1036">
        <v>25</v>
      </c>
      <c r="I1036">
        <f>Table9[[#This Row],[quantity]]*Table9[[#This Row],[unitPrice]]*(1-Table9[[#This Row],[discount]]/100)</f>
        <v>168.75</v>
      </c>
      <c r="J1036" t="str">
        <f>_xlfn.XLOOKUP(_xlfn.XLOOKUP(A1036,orders[orderID],orders[customerID],,0),customers__2[customerID],customers__2[companyName],,0)</f>
        <v>Die Wandernde Kuh</v>
      </c>
      <c r="K1036" t="str">
        <f>_xlfn.XLOOKUP(Table9[[#This Row],[Company Name]],customers__2[companyName],customers__2[country],,0)</f>
        <v>Germany</v>
      </c>
      <c r="L1036">
        <f>MONTH(Table9[[#This Row],[OrderDate ]])</f>
        <v>8</v>
      </c>
      <c r="M1036" t="str">
        <f>TEXT(Table9[[#This Row],[OrderDate ]],"mmm")</f>
        <v>Aug</v>
      </c>
      <c r="N1036">
        <f>YEAR(Table9[[#This Row],[OrderDate ]])</f>
        <v>2014</v>
      </c>
    </row>
    <row r="1037" spans="1:14" x14ac:dyDescent="0.3">
      <c r="A1037">
        <v>10641</v>
      </c>
      <c r="B1037" s="2">
        <f>_xlfn.XLOOKUP(Table9[[#This Row],[orderID]],orders[orderID],orders[orderDate],,0)</f>
        <v>41873</v>
      </c>
      <c r="C1037">
        <f>_xlfn.XLOOKUP(A1037,order_details[orderID],order_details[productID],,0)</f>
        <v>2</v>
      </c>
      <c r="D1037" t="str">
        <f>_xlfn.XLOOKUP(C1037,products[productID],products[productName],,0)</f>
        <v>Chang</v>
      </c>
      <c r="E1037" t="str">
        <f>_xlfn.XLOOKUP(_xlfn.XLOOKUP(Table9[[#This Row],[ProductName ]],products[productName],products[categoryID],,0),categories[categoryID],categories[categoryName],,0)</f>
        <v>Beverages</v>
      </c>
      <c r="F1037">
        <v>50</v>
      </c>
      <c r="G1037">
        <v>19</v>
      </c>
      <c r="H1037">
        <v>0</v>
      </c>
      <c r="I1037">
        <f>Table9[[#This Row],[quantity]]*Table9[[#This Row],[unitPrice]]*(1-Table9[[#This Row],[discount]]/100)</f>
        <v>950</v>
      </c>
      <c r="J1037" t="str">
        <f>_xlfn.XLOOKUP(_xlfn.XLOOKUP(A1037,orders[orderID],orders[customerID],,0),customers__2[customerID],customers__2[companyName],,0)</f>
        <v>HILARION-Abastos</v>
      </c>
      <c r="K1037" t="str">
        <f>_xlfn.XLOOKUP(Table9[[#This Row],[Company Name]],customers__2[companyName],customers__2[country],,0)</f>
        <v>Venezuela</v>
      </c>
      <c r="L1037">
        <f>MONTH(Table9[[#This Row],[OrderDate ]])</f>
        <v>8</v>
      </c>
      <c r="M1037" t="str">
        <f>TEXT(Table9[[#This Row],[OrderDate ]],"mmm")</f>
        <v>Aug</v>
      </c>
      <c r="N1037">
        <f>YEAR(Table9[[#This Row],[OrderDate ]])</f>
        <v>2014</v>
      </c>
    </row>
    <row r="1038" spans="1:14" x14ac:dyDescent="0.3">
      <c r="A1038">
        <v>10641</v>
      </c>
      <c r="B1038" s="2">
        <f>_xlfn.XLOOKUP(Table9[[#This Row],[orderID]],orders[orderID],orders[orderDate],,0)</f>
        <v>41873</v>
      </c>
      <c r="C1038">
        <f>_xlfn.XLOOKUP(A1038,order_details[orderID],order_details[productID],,0)</f>
        <v>2</v>
      </c>
      <c r="D1038" t="str">
        <f>_xlfn.XLOOKUP(C1038,products[productID],products[productName],,0)</f>
        <v>Chang</v>
      </c>
      <c r="E1038" t="str">
        <f>_xlfn.XLOOKUP(_xlfn.XLOOKUP(Table9[[#This Row],[ProductName ]],products[productName],products[categoryID],,0),categories[categoryID],categories[categoryName],,0)</f>
        <v>Beverages</v>
      </c>
      <c r="F1038">
        <v>60</v>
      </c>
      <c r="G1038">
        <v>184</v>
      </c>
      <c r="H1038">
        <v>0</v>
      </c>
      <c r="I1038">
        <f>Table9[[#This Row],[quantity]]*Table9[[#This Row],[unitPrice]]*(1-Table9[[#This Row],[discount]]/100)</f>
        <v>11040</v>
      </c>
      <c r="J1038" t="str">
        <f>_xlfn.XLOOKUP(_xlfn.XLOOKUP(A1038,orders[orderID],orders[customerID],,0),customers__2[customerID],customers__2[companyName],,0)</f>
        <v>HILARION-Abastos</v>
      </c>
      <c r="K1038" t="str">
        <f>_xlfn.XLOOKUP(Table9[[#This Row],[Company Name]],customers__2[companyName],customers__2[country],,0)</f>
        <v>Venezuela</v>
      </c>
      <c r="L1038">
        <f>MONTH(Table9[[#This Row],[OrderDate ]])</f>
        <v>8</v>
      </c>
      <c r="M1038" t="str">
        <f>TEXT(Table9[[#This Row],[OrderDate ]],"mmm")</f>
        <v>Aug</v>
      </c>
      <c r="N1038">
        <f>YEAR(Table9[[#This Row],[OrderDate ]])</f>
        <v>2014</v>
      </c>
    </row>
    <row r="1039" spans="1:14" x14ac:dyDescent="0.3">
      <c r="A1039">
        <v>10642</v>
      </c>
      <c r="B1039" s="2">
        <f>_xlfn.XLOOKUP(Table9[[#This Row],[orderID]],orders[orderID],orders[orderDate],,0)</f>
        <v>41873</v>
      </c>
      <c r="C1039">
        <f>_xlfn.XLOOKUP(A1039,order_details[orderID],order_details[productID],,0)</f>
        <v>21</v>
      </c>
      <c r="D1039" t="str">
        <f>_xlfn.XLOOKUP(C1039,products[productID],products[productName],,0)</f>
        <v>Sir Rodney's Scones</v>
      </c>
      <c r="E1039" t="str">
        <f>_xlfn.XLOOKUP(_xlfn.XLOOKUP(Table9[[#This Row],[ProductName ]],products[productName],products[categoryID],,0),categories[categoryID],categories[categoryName],,0)</f>
        <v>Confections</v>
      </c>
      <c r="F1039">
        <v>30</v>
      </c>
      <c r="G1039">
        <v>10</v>
      </c>
      <c r="H1039">
        <v>2</v>
      </c>
      <c r="I1039">
        <f>Table9[[#This Row],[quantity]]*Table9[[#This Row],[unitPrice]]*(1-Table9[[#This Row],[discount]]/100)</f>
        <v>294</v>
      </c>
      <c r="J1039" t="str">
        <f>_xlfn.XLOOKUP(_xlfn.XLOOKUP(A1039,orders[orderID],orders[customerID],,0),customers__2[customerID],customers__2[companyName],,0)</f>
        <v>Simons bistro</v>
      </c>
      <c r="K1039" t="str">
        <f>_xlfn.XLOOKUP(Table9[[#This Row],[Company Name]],customers__2[companyName],customers__2[country],,0)</f>
        <v>Denmark</v>
      </c>
      <c r="L1039">
        <f>MONTH(Table9[[#This Row],[OrderDate ]])</f>
        <v>8</v>
      </c>
      <c r="M1039" t="str">
        <f>TEXT(Table9[[#This Row],[OrderDate ]],"mmm")</f>
        <v>Aug</v>
      </c>
      <c r="N1039">
        <f>YEAR(Table9[[#This Row],[OrderDate ]])</f>
        <v>2014</v>
      </c>
    </row>
    <row r="1040" spans="1:14" x14ac:dyDescent="0.3">
      <c r="A1040">
        <v>10642</v>
      </c>
      <c r="B1040" s="2">
        <f>_xlfn.XLOOKUP(Table9[[#This Row],[orderID]],orders[orderID],orders[orderDate],,0)</f>
        <v>41873</v>
      </c>
      <c r="C1040">
        <f>_xlfn.XLOOKUP(A1040,order_details[orderID],order_details[productID],,0)</f>
        <v>21</v>
      </c>
      <c r="D1040" t="str">
        <f>_xlfn.XLOOKUP(C1040,products[productID],products[productName],,0)</f>
        <v>Sir Rodney's Scones</v>
      </c>
      <c r="E1040" t="str">
        <f>_xlfn.XLOOKUP(_xlfn.XLOOKUP(Table9[[#This Row],[ProductName ]],products[productName],products[categoryID],,0),categories[categoryID],categories[categoryName],,0)</f>
        <v>Confections</v>
      </c>
      <c r="F1040">
        <v>20</v>
      </c>
      <c r="G1040">
        <v>285</v>
      </c>
      <c r="H1040">
        <v>2</v>
      </c>
      <c r="I1040">
        <f>Table9[[#This Row],[quantity]]*Table9[[#This Row],[unitPrice]]*(1-Table9[[#This Row],[discount]]/100)</f>
        <v>5586</v>
      </c>
      <c r="J1040" t="str">
        <f>_xlfn.XLOOKUP(_xlfn.XLOOKUP(A1040,orders[orderID],orders[customerID],,0),customers__2[customerID],customers__2[companyName],,0)</f>
        <v>Simons bistro</v>
      </c>
      <c r="K1040" t="str">
        <f>_xlfn.XLOOKUP(Table9[[#This Row],[Company Name]],customers__2[companyName],customers__2[country],,0)</f>
        <v>Denmark</v>
      </c>
      <c r="L1040">
        <f>MONTH(Table9[[#This Row],[OrderDate ]])</f>
        <v>8</v>
      </c>
      <c r="M1040" t="str">
        <f>TEXT(Table9[[#This Row],[OrderDate ]],"mmm")</f>
        <v>Aug</v>
      </c>
      <c r="N1040">
        <f>YEAR(Table9[[#This Row],[OrderDate ]])</f>
        <v>2014</v>
      </c>
    </row>
    <row r="1041" spans="1:14" x14ac:dyDescent="0.3">
      <c r="A1041">
        <v>10643</v>
      </c>
      <c r="B1041" s="2">
        <f>_xlfn.XLOOKUP(Table9[[#This Row],[orderID]],orders[orderID],orders[orderDate],,0)</f>
        <v>41876</v>
      </c>
      <c r="C1041">
        <f>_xlfn.XLOOKUP(A1041,order_details[orderID],order_details[productID],,0)</f>
        <v>28</v>
      </c>
      <c r="D1041" t="str">
        <f>_xlfn.XLOOKUP(C1041,products[productID],products[productName],,0)</f>
        <v>Rössle Sauerkraut</v>
      </c>
      <c r="E1041" t="str">
        <f>_xlfn.XLOOKUP(_xlfn.XLOOKUP(Table9[[#This Row],[ProductName ]],products[productName],products[categoryID],,0),categories[categoryID],categories[categoryName],,0)</f>
        <v>Produce</v>
      </c>
      <c r="F1041">
        <v>15</v>
      </c>
      <c r="G1041">
        <v>456</v>
      </c>
      <c r="H1041">
        <v>25</v>
      </c>
      <c r="I1041">
        <f>Table9[[#This Row],[quantity]]*Table9[[#This Row],[unitPrice]]*(1-Table9[[#This Row],[discount]]/100)</f>
        <v>5130</v>
      </c>
      <c r="J1041" t="str">
        <f>_xlfn.XLOOKUP(_xlfn.XLOOKUP(A1041,orders[orderID],orders[customerID],,0),customers__2[customerID],customers__2[companyName],,0)</f>
        <v>Alfreds Futterkiste</v>
      </c>
      <c r="K1041" t="str">
        <f>_xlfn.XLOOKUP(Table9[[#This Row],[Company Name]],customers__2[companyName],customers__2[country],,0)</f>
        <v>Germany</v>
      </c>
      <c r="L1041">
        <f>MONTH(Table9[[#This Row],[OrderDate ]])</f>
        <v>8</v>
      </c>
      <c r="M1041" t="str">
        <f>TEXT(Table9[[#This Row],[OrderDate ]],"mmm")</f>
        <v>Aug</v>
      </c>
      <c r="N1041">
        <f>YEAR(Table9[[#This Row],[OrderDate ]])</f>
        <v>2014</v>
      </c>
    </row>
    <row r="1042" spans="1:14" x14ac:dyDescent="0.3">
      <c r="A1042">
        <v>10643</v>
      </c>
      <c r="B1042" s="2">
        <f>_xlfn.XLOOKUP(Table9[[#This Row],[orderID]],orders[orderID],orders[orderDate],,0)</f>
        <v>41876</v>
      </c>
      <c r="C1042">
        <f>_xlfn.XLOOKUP(A1042,order_details[orderID],order_details[productID],,0)</f>
        <v>28</v>
      </c>
      <c r="D1042" t="str">
        <f>_xlfn.XLOOKUP(C1042,products[productID],products[productName],,0)</f>
        <v>Rössle Sauerkraut</v>
      </c>
      <c r="E1042" t="str">
        <f>_xlfn.XLOOKUP(_xlfn.XLOOKUP(Table9[[#This Row],[ProductName ]],products[productName],products[categoryID],,0),categories[categoryID],categories[categoryName],,0)</f>
        <v>Produce</v>
      </c>
      <c r="F1042">
        <v>21</v>
      </c>
      <c r="G1042">
        <v>18</v>
      </c>
      <c r="H1042">
        <v>25</v>
      </c>
      <c r="I1042">
        <f>Table9[[#This Row],[quantity]]*Table9[[#This Row],[unitPrice]]*(1-Table9[[#This Row],[discount]]/100)</f>
        <v>283.5</v>
      </c>
      <c r="J1042" t="str">
        <f>_xlfn.XLOOKUP(_xlfn.XLOOKUP(A1042,orders[orderID],orders[customerID],,0),customers__2[customerID],customers__2[companyName],,0)</f>
        <v>Alfreds Futterkiste</v>
      </c>
      <c r="K1042" t="str">
        <f>_xlfn.XLOOKUP(Table9[[#This Row],[Company Name]],customers__2[companyName],customers__2[country],,0)</f>
        <v>Germany</v>
      </c>
      <c r="L1042">
        <f>MONTH(Table9[[#This Row],[OrderDate ]])</f>
        <v>8</v>
      </c>
      <c r="M1042" t="str">
        <f>TEXT(Table9[[#This Row],[OrderDate ]],"mmm")</f>
        <v>Aug</v>
      </c>
      <c r="N1042">
        <f>YEAR(Table9[[#This Row],[OrderDate ]])</f>
        <v>2014</v>
      </c>
    </row>
    <row r="1043" spans="1:14" x14ac:dyDescent="0.3">
      <c r="A1043">
        <v>10643</v>
      </c>
      <c r="B1043" s="2">
        <f>_xlfn.XLOOKUP(Table9[[#This Row],[orderID]],orders[orderID],orders[orderDate],,0)</f>
        <v>41876</v>
      </c>
      <c r="C1043">
        <f>_xlfn.XLOOKUP(A1043,order_details[orderID],order_details[productID],,0)</f>
        <v>28</v>
      </c>
      <c r="D1043" t="str">
        <f>_xlfn.XLOOKUP(C1043,products[productID],products[productName],,0)</f>
        <v>Rössle Sauerkraut</v>
      </c>
      <c r="E1043" t="str">
        <f>_xlfn.XLOOKUP(_xlfn.XLOOKUP(Table9[[#This Row],[ProductName ]],products[productName],products[categoryID],,0),categories[categoryID],categories[categoryName],,0)</f>
        <v>Produce</v>
      </c>
      <c r="F1043">
        <v>2</v>
      </c>
      <c r="G1043">
        <v>12</v>
      </c>
      <c r="H1043">
        <v>25</v>
      </c>
      <c r="I1043">
        <f>Table9[[#This Row],[quantity]]*Table9[[#This Row],[unitPrice]]*(1-Table9[[#This Row],[discount]]/100)</f>
        <v>18</v>
      </c>
      <c r="J1043" t="str">
        <f>_xlfn.XLOOKUP(_xlfn.XLOOKUP(A1043,orders[orderID],orders[customerID],,0),customers__2[customerID],customers__2[companyName],,0)</f>
        <v>Alfreds Futterkiste</v>
      </c>
      <c r="K1043" t="str">
        <f>_xlfn.XLOOKUP(Table9[[#This Row],[Company Name]],customers__2[companyName],customers__2[country],,0)</f>
        <v>Germany</v>
      </c>
      <c r="L1043">
        <f>MONTH(Table9[[#This Row],[OrderDate ]])</f>
        <v>8</v>
      </c>
      <c r="M1043" t="str">
        <f>TEXT(Table9[[#This Row],[OrderDate ]],"mmm")</f>
        <v>Aug</v>
      </c>
      <c r="N1043">
        <f>YEAR(Table9[[#This Row],[OrderDate ]])</f>
        <v>2014</v>
      </c>
    </row>
    <row r="1044" spans="1:14" x14ac:dyDescent="0.3">
      <c r="A1044">
        <v>10644</v>
      </c>
      <c r="B1044" s="2">
        <f>_xlfn.XLOOKUP(Table9[[#This Row],[orderID]],orders[orderID],orders[orderDate],,0)</f>
        <v>41876</v>
      </c>
      <c r="C1044">
        <f>_xlfn.XLOOKUP(A1044,order_details[orderID],order_details[productID],,0)</f>
        <v>18</v>
      </c>
      <c r="D1044" t="str">
        <f>_xlfn.XLOOKUP(C1044,products[productID],products[productName],,0)</f>
        <v>Carnarvon Tigers</v>
      </c>
      <c r="E1044" t="str">
        <f>_xlfn.XLOOKUP(_xlfn.XLOOKUP(Table9[[#This Row],[ProductName ]],products[productName],products[categoryID],,0),categories[categoryID],categories[categoryName],,0)</f>
        <v>Seafood</v>
      </c>
      <c r="F1044">
        <v>4</v>
      </c>
      <c r="G1044">
        <v>625</v>
      </c>
      <c r="H1044">
        <v>1</v>
      </c>
      <c r="I1044">
        <f>Table9[[#This Row],[quantity]]*Table9[[#This Row],[unitPrice]]*(1-Table9[[#This Row],[discount]]/100)</f>
        <v>2475</v>
      </c>
      <c r="J1044" t="str">
        <f>_xlfn.XLOOKUP(_xlfn.XLOOKUP(A1044,orders[orderID],orders[customerID],,0),customers__2[customerID],customers__2[companyName],,0)</f>
        <v>Wellington Importadora</v>
      </c>
      <c r="K1044" t="str">
        <f>_xlfn.XLOOKUP(Table9[[#This Row],[Company Name]],customers__2[companyName],customers__2[country],,0)</f>
        <v>Brazil</v>
      </c>
      <c r="L1044">
        <f>MONTH(Table9[[#This Row],[OrderDate ]])</f>
        <v>8</v>
      </c>
      <c r="M1044" t="str">
        <f>TEXT(Table9[[#This Row],[OrderDate ]],"mmm")</f>
        <v>Aug</v>
      </c>
      <c r="N1044">
        <f>YEAR(Table9[[#This Row],[OrderDate ]])</f>
        <v>2014</v>
      </c>
    </row>
    <row r="1045" spans="1:14" x14ac:dyDescent="0.3">
      <c r="A1045">
        <v>10644</v>
      </c>
      <c r="B1045" s="2">
        <f>_xlfn.XLOOKUP(Table9[[#This Row],[orderID]],orders[orderID],orders[orderDate],,0)</f>
        <v>41876</v>
      </c>
      <c r="C1045">
        <f>_xlfn.XLOOKUP(A1045,order_details[orderID],order_details[productID],,0)</f>
        <v>18</v>
      </c>
      <c r="D1045" t="str">
        <f>_xlfn.XLOOKUP(C1045,products[productID],products[productName],,0)</f>
        <v>Carnarvon Tigers</v>
      </c>
      <c r="E1045" t="str">
        <f>_xlfn.XLOOKUP(_xlfn.XLOOKUP(Table9[[#This Row],[ProductName ]],products[productName],products[categoryID],,0),categories[categoryID],categories[categoryName],,0)</f>
        <v>Seafood</v>
      </c>
      <c r="F1045">
        <v>20</v>
      </c>
      <c r="G1045">
        <v>46</v>
      </c>
      <c r="H1045">
        <v>0</v>
      </c>
      <c r="I1045">
        <f>Table9[[#This Row],[quantity]]*Table9[[#This Row],[unitPrice]]*(1-Table9[[#This Row],[discount]]/100)</f>
        <v>920</v>
      </c>
      <c r="J1045" t="str">
        <f>_xlfn.XLOOKUP(_xlfn.XLOOKUP(A1045,orders[orderID],orders[customerID],,0),customers__2[customerID],customers__2[companyName],,0)</f>
        <v>Wellington Importadora</v>
      </c>
      <c r="K1045" t="str">
        <f>_xlfn.XLOOKUP(Table9[[#This Row],[Company Name]],customers__2[companyName],customers__2[country],,0)</f>
        <v>Brazil</v>
      </c>
      <c r="L1045">
        <f>MONTH(Table9[[#This Row],[OrderDate ]])</f>
        <v>8</v>
      </c>
      <c r="M1045" t="str">
        <f>TEXT(Table9[[#This Row],[OrderDate ]],"mmm")</f>
        <v>Aug</v>
      </c>
      <c r="N1045">
        <f>YEAR(Table9[[#This Row],[OrderDate ]])</f>
        <v>2014</v>
      </c>
    </row>
    <row r="1046" spans="1:14" x14ac:dyDescent="0.3">
      <c r="A1046">
        <v>10644</v>
      </c>
      <c r="B1046" s="2">
        <f>_xlfn.XLOOKUP(Table9[[#This Row],[orderID]],orders[orderID],orders[orderDate],,0)</f>
        <v>41876</v>
      </c>
      <c r="C1046">
        <f>_xlfn.XLOOKUP(A1046,order_details[orderID],order_details[productID],,0)</f>
        <v>18</v>
      </c>
      <c r="D1046" t="str">
        <f>_xlfn.XLOOKUP(C1046,products[productID],products[productName],,0)</f>
        <v>Carnarvon Tigers</v>
      </c>
      <c r="E1046" t="str">
        <f>_xlfn.XLOOKUP(_xlfn.XLOOKUP(Table9[[#This Row],[ProductName ]],products[productName],products[categoryID],,0),categories[categoryID],categories[categoryName],,0)</f>
        <v>Seafood</v>
      </c>
      <c r="F1046">
        <v>21</v>
      </c>
      <c r="G1046">
        <v>12</v>
      </c>
      <c r="H1046">
        <v>1</v>
      </c>
      <c r="I1046">
        <f>Table9[[#This Row],[quantity]]*Table9[[#This Row],[unitPrice]]*(1-Table9[[#This Row],[discount]]/100)</f>
        <v>249.48</v>
      </c>
      <c r="J1046" t="str">
        <f>_xlfn.XLOOKUP(_xlfn.XLOOKUP(A1046,orders[orderID],orders[customerID],,0),customers__2[customerID],customers__2[companyName],,0)</f>
        <v>Wellington Importadora</v>
      </c>
      <c r="K1046" t="str">
        <f>_xlfn.XLOOKUP(Table9[[#This Row],[Company Name]],customers__2[companyName],customers__2[country],,0)</f>
        <v>Brazil</v>
      </c>
      <c r="L1046">
        <f>MONTH(Table9[[#This Row],[OrderDate ]])</f>
        <v>8</v>
      </c>
      <c r="M1046" t="str">
        <f>TEXT(Table9[[#This Row],[OrderDate ]],"mmm")</f>
        <v>Aug</v>
      </c>
      <c r="N1046">
        <f>YEAR(Table9[[#This Row],[OrderDate ]])</f>
        <v>2014</v>
      </c>
    </row>
    <row r="1047" spans="1:14" x14ac:dyDescent="0.3">
      <c r="A1047">
        <v>10645</v>
      </c>
      <c r="B1047" s="2">
        <f>_xlfn.XLOOKUP(Table9[[#This Row],[orderID]],orders[orderID],orders[orderDate],,0)</f>
        <v>41877</v>
      </c>
      <c r="C1047">
        <f>_xlfn.XLOOKUP(A1047,order_details[orderID],order_details[productID],,0)</f>
        <v>18</v>
      </c>
      <c r="D1047" t="str">
        <f>_xlfn.XLOOKUP(C1047,products[productID],products[productName],,0)</f>
        <v>Carnarvon Tigers</v>
      </c>
      <c r="E1047" t="str">
        <f>_xlfn.XLOOKUP(_xlfn.XLOOKUP(Table9[[#This Row],[ProductName ]],products[productName],products[categoryID],,0),categories[categoryID],categories[categoryName],,0)</f>
        <v>Seafood</v>
      </c>
      <c r="F1047">
        <v>20</v>
      </c>
      <c r="G1047">
        <v>625</v>
      </c>
      <c r="H1047">
        <v>0</v>
      </c>
      <c r="I1047">
        <f>Table9[[#This Row],[quantity]]*Table9[[#This Row],[unitPrice]]*(1-Table9[[#This Row],[discount]]/100)</f>
        <v>12500</v>
      </c>
      <c r="J1047" t="str">
        <f>_xlfn.XLOOKUP(_xlfn.XLOOKUP(A1047,orders[orderID],orders[customerID],,0),customers__2[customerID],customers__2[companyName],,0)</f>
        <v>Hanari Carnes</v>
      </c>
      <c r="K1047" t="str">
        <f>_xlfn.XLOOKUP(Table9[[#This Row],[Company Name]],customers__2[companyName],customers__2[country],,0)</f>
        <v>Brazil</v>
      </c>
      <c r="L1047">
        <f>MONTH(Table9[[#This Row],[OrderDate ]])</f>
        <v>8</v>
      </c>
      <c r="M1047" t="str">
        <f>TEXT(Table9[[#This Row],[OrderDate ]],"mmm")</f>
        <v>Aug</v>
      </c>
      <c r="N1047">
        <f>YEAR(Table9[[#This Row],[OrderDate ]])</f>
        <v>2014</v>
      </c>
    </row>
    <row r="1048" spans="1:14" x14ac:dyDescent="0.3">
      <c r="A1048">
        <v>10645</v>
      </c>
      <c r="B1048" s="2">
        <f>_xlfn.XLOOKUP(Table9[[#This Row],[orderID]],orders[orderID],orders[orderDate],,0)</f>
        <v>41877</v>
      </c>
      <c r="C1048">
        <f>_xlfn.XLOOKUP(A1048,order_details[orderID],order_details[productID],,0)</f>
        <v>18</v>
      </c>
      <c r="D1048" t="str">
        <f>_xlfn.XLOOKUP(C1048,products[productID],products[productName],,0)</f>
        <v>Carnarvon Tigers</v>
      </c>
      <c r="E1048" t="str">
        <f>_xlfn.XLOOKUP(_xlfn.XLOOKUP(Table9[[#This Row],[ProductName ]],products[productName],products[categoryID],,0),categories[categoryID],categories[categoryName],,0)</f>
        <v>Seafood</v>
      </c>
      <c r="F1048">
        <v>15</v>
      </c>
      <c r="G1048">
        <v>19</v>
      </c>
      <c r="H1048">
        <v>0</v>
      </c>
      <c r="I1048">
        <f>Table9[[#This Row],[quantity]]*Table9[[#This Row],[unitPrice]]*(1-Table9[[#This Row],[discount]]/100)</f>
        <v>285</v>
      </c>
      <c r="J1048" t="str">
        <f>_xlfn.XLOOKUP(_xlfn.XLOOKUP(A1048,orders[orderID],orders[customerID],,0),customers__2[customerID],customers__2[companyName],,0)</f>
        <v>Hanari Carnes</v>
      </c>
      <c r="K1048" t="str">
        <f>_xlfn.XLOOKUP(Table9[[#This Row],[Company Name]],customers__2[companyName],customers__2[country],,0)</f>
        <v>Brazil</v>
      </c>
      <c r="L1048">
        <f>MONTH(Table9[[#This Row],[OrderDate ]])</f>
        <v>8</v>
      </c>
      <c r="M1048" t="str">
        <f>TEXT(Table9[[#This Row],[OrderDate ]],"mmm")</f>
        <v>Aug</v>
      </c>
      <c r="N1048">
        <f>YEAR(Table9[[#This Row],[OrderDate ]])</f>
        <v>2014</v>
      </c>
    </row>
    <row r="1049" spans="1:14" x14ac:dyDescent="0.3">
      <c r="A1049">
        <v>10646</v>
      </c>
      <c r="B1049" s="2">
        <f>_xlfn.XLOOKUP(Table9[[#This Row],[orderID]],orders[orderID],orders[orderDate],,0)</f>
        <v>41878</v>
      </c>
      <c r="C1049">
        <f>_xlfn.XLOOKUP(A1049,order_details[orderID],order_details[productID],,0)</f>
        <v>1</v>
      </c>
      <c r="D1049" t="str">
        <f>_xlfn.XLOOKUP(C1049,products[productID],products[productName],,0)</f>
        <v>Chai</v>
      </c>
      <c r="E1049" t="str">
        <f>_xlfn.XLOOKUP(_xlfn.XLOOKUP(Table9[[#This Row],[ProductName ]],products[productName],products[categoryID],,0),categories[categoryID],categories[categoryName],,0)</f>
        <v>Beverages</v>
      </c>
      <c r="F1049">
        <v>15</v>
      </c>
      <c r="G1049">
        <v>18</v>
      </c>
      <c r="H1049">
        <v>25</v>
      </c>
      <c r="I1049">
        <f>Table9[[#This Row],[quantity]]*Table9[[#This Row],[unitPrice]]*(1-Table9[[#This Row],[discount]]/100)</f>
        <v>202.5</v>
      </c>
      <c r="J1049" t="str">
        <f>_xlfn.XLOOKUP(_xlfn.XLOOKUP(A1049,orders[orderID],orders[customerID],,0),customers__2[customerID],customers__2[companyName],,0)</f>
        <v>Hungry Owl All-Night Grocers</v>
      </c>
      <c r="K1049" t="str">
        <f>_xlfn.XLOOKUP(Table9[[#This Row],[Company Name]],customers__2[companyName],customers__2[country],,0)</f>
        <v>Ireland</v>
      </c>
      <c r="L1049">
        <f>MONTH(Table9[[#This Row],[OrderDate ]])</f>
        <v>8</v>
      </c>
      <c r="M1049" t="str">
        <f>TEXT(Table9[[#This Row],[OrderDate ]],"mmm")</f>
        <v>Aug</v>
      </c>
      <c r="N1049">
        <f>YEAR(Table9[[#This Row],[OrderDate ]])</f>
        <v>2014</v>
      </c>
    </row>
    <row r="1050" spans="1:14" x14ac:dyDescent="0.3">
      <c r="A1050">
        <v>10646</v>
      </c>
      <c r="B1050" s="2">
        <f>_xlfn.XLOOKUP(Table9[[#This Row],[orderID]],orders[orderID],orders[orderDate],,0)</f>
        <v>41878</v>
      </c>
      <c r="C1050">
        <f>_xlfn.XLOOKUP(A1050,order_details[orderID],order_details[productID],,0)</f>
        <v>1</v>
      </c>
      <c r="D1050" t="str">
        <f>_xlfn.XLOOKUP(C1050,products[productID],products[productName],,0)</f>
        <v>Chai</v>
      </c>
      <c r="E1050" t="str">
        <f>_xlfn.XLOOKUP(_xlfn.XLOOKUP(Table9[[#This Row],[ProductName ]],products[productName],products[categoryID],,0),categories[categoryID],categories[categoryName],,0)</f>
        <v>Beverages</v>
      </c>
      <c r="F1050">
        <v>18</v>
      </c>
      <c r="G1050">
        <v>31</v>
      </c>
      <c r="H1050">
        <v>25</v>
      </c>
      <c r="I1050">
        <f>Table9[[#This Row],[quantity]]*Table9[[#This Row],[unitPrice]]*(1-Table9[[#This Row],[discount]]/100)</f>
        <v>418.5</v>
      </c>
      <c r="J1050" t="str">
        <f>_xlfn.XLOOKUP(_xlfn.XLOOKUP(A1050,orders[orderID],orders[customerID],,0),customers__2[customerID],customers__2[companyName],,0)</f>
        <v>Hungry Owl All-Night Grocers</v>
      </c>
      <c r="K1050" t="str">
        <f>_xlfn.XLOOKUP(Table9[[#This Row],[Company Name]],customers__2[companyName],customers__2[country],,0)</f>
        <v>Ireland</v>
      </c>
      <c r="L1050">
        <f>MONTH(Table9[[#This Row],[OrderDate ]])</f>
        <v>8</v>
      </c>
      <c r="M1050" t="str">
        <f>TEXT(Table9[[#This Row],[OrderDate ]],"mmm")</f>
        <v>Aug</v>
      </c>
      <c r="N1050">
        <f>YEAR(Table9[[#This Row],[OrderDate ]])</f>
        <v>2014</v>
      </c>
    </row>
    <row r="1051" spans="1:14" x14ac:dyDescent="0.3">
      <c r="A1051">
        <v>10646</v>
      </c>
      <c r="B1051" s="2">
        <f>_xlfn.XLOOKUP(Table9[[#This Row],[orderID]],orders[orderID],orders[orderDate],,0)</f>
        <v>41878</v>
      </c>
      <c r="C1051">
        <f>_xlfn.XLOOKUP(A1051,order_details[orderID],order_details[productID],,0)</f>
        <v>1</v>
      </c>
      <c r="D1051" t="str">
        <f>_xlfn.XLOOKUP(C1051,products[productID],products[productName],,0)</f>
        <v>Chai</v>
      </c>
      <c r="E1051" t="str">
        <f>_xlfn.XLOOKUP(_xlfn.XLOOKUP(Table9[[#This Row],[ProductName ]],products[productName],products[categoryID],,0),categories[categoryID],categories[categoryName],,0)</f>
        <v>Beverages</v>
      </c>
      <c r="F1051">
        <v>30</v>
      </c>
      <c r="G1051">
        <v>215</v>
      </c>
      <c r="H1051">
        <v>25</v>
      </c>
      <c r="I1051">
        <f>Table9[[#This Row],[quantity]]*Table9[[#This Row],[unitPrice]]*(1-Table9[[#This Row],[discount]]/100)</f>
        <v>4837.5</v>
      </c>
      <c r="J1051" t="str">
        <f>_xlfn.XLOOKUP(_xlfn.XLOOKUP(A1051,orders[orderID],orders[customerID],,0),customers__2[customerID],customers__2[companyName],,0)</f>
        <v>Hungry Owl All-Night Grocers</v>
      </c>
      <c r="K1051" t="str">
        <f>_xlfn.XLOOKUP(Table9[[#This Row],[Company Name]],customers__2[companyName],customers__2[country],,0)</f>
        <v>Ireland</v>
      </c>
      <c r="L1051">
        <f>MONTH(Table9[[#This Row],[OrderDate ]])</f>
        <v>8</v>
      </c>
      <c r="M1051" t="str">
        <f>TEXT(Table9[[#This Row],[OrderDate ]],"mmm")</f>
        <v>Aug</v>
      </c>
      <c r="N1051">
        <f>YEAR(Table9[[#This Row],[OrderDate ]])</f>
        <v>2014</v>
      </c>
    </row>
    <row r="1052" spans="1:14" x14ac:dyDescent="0.3">
      <c r="A1052">
        <v>10646</v>
      </c>
      <c r="B1052" s="2">
        <f>_xlfn.XLOOKUP(Table9[[#This Row],[orderID]],orders[orderID],orders[orderDate],,0)</f>
        <v>41878</v>
      </c>
      <c r="C1052">
        <f>_xlfn.XLOOKUP(A1052,order_details[orderID],order_details[productID],,0)</f>
        <v>1</v>
      </c>
      <c r="D1052" t="str">
        <f>_xlfn.XLOOKUP(C1052,products[productID],products[productName],,0)</f>
        <v>Chai</v>
      </c>
      <c r="E1052" t="str">
        <f>_xlfn.XLOOKUP(_xlfn.XLOOKUP(Table9[[#This Row],[ProductName ]],products[productName],products[categoryID],,0),categories[categoryID],categories[categoryName],,0)</f>
        <v>Beverages</v>
      </c>
      <c r="F1052">
        <v>35</v>
      </c>
      <c r="G1052">
        <v>13</v>
      </c>
      <c r="H1052">
        <v>25</v>
      </c>
      <c r="I1052">
        <f>Table9[[#This Row],[quantity]]*Table9[[#This Row],[unitPrice]]*(1-Table9[[#This Row],[discount]]/100)</f>
        <v>341.25</v>
      </c>
      <c r="J1052" t="str">
        <f>_xlfn.XLOOKUP(_xlfn.XLOOKUP(A1052,orders[orderID],orders[customerID],,0),customers__2[customerID],customers__2[companyName],,0)</f>
        <v>Hungry Owl All-Night Grocers</v>
      </c>
      <c r="K1052" t="str">
        <f>_xlfn.XLOOKUP(Table9[[#This Row],[Company Name]],customers__2[companyName],customers__2[country],,0)</f>
        <v>Ireland</v>
      </c>
      <c r="L1052">
        <f>MONTH(Table9[[#This Row],[OrderDate ]])</f>
        <v>8</v>
      </c>
      <c r="M1052" t="str">
        <f>TEXT(Table9[[#This Row],[OrderDate ]],"mmm")</f>
        <v>Aug</v>
      </c>
      <c r="N1052">
        <f>YEAR(Table9[[#This Row],[OrderDate ]])</f>
        <v>2014</v>
      </c>
    </row>
    <row r="1053" spans="1:14" x14ac:dyDescent="0.3">
      <c r="A1053">
        <v>10647</v>
      </c>
      <c r="B1053" s="2">
        <f>_xlfn.XLOOKUP(Table9[[#This Row],[orderID]],orders[orderID],orders[orderDate],,0)</f>
        <v>41878</v>
      </c>
      <c r="C1053">
        <f>_xlfn.XLOOKUP(A1053,order_details[orderID],order_details[productID],,0)</f>
        <v>19</v>
      </c>
      <c r="D1053" t="str">
        <f>_xlfn.XLOOKUP(C1053,products[productID],products[productName],,0)</f>
        <v>Teatime Chocolate Biscuits</v>
      </c>
      <c r="E1053" t="str">
        <f>_xlfn.XLOOKUP(_xlfn.XLOOKUP(Table9[[#This Row],[ProductName ]],products[productName],products[categoryID],,0),categories[categoryID],categories[categoryName],,0)</f>
        <v>Confections</v>
      </c>
      <c r="F1053">
        <v>30</v>
      </c>
      <c r="G1053">
        <v>92</v>
      </c>
      <c r="H1053">
        <v>0</v>
      </c>
      <c r="I1053">
        <f>Table9[[#This Row],[quantity]]*Table9[[#This Row],[unitPrice]]*(1-Table9[[#This Row],[discount]]/100)</f>
        <v>2760</v>
      </c>
      <c r="J1053" t="str">
        <f>_xlfn.XLOOKUP(_xlfn.XLOOKUP(A1053,orders[orderID],orders[customerID],,0),customers__2[customerID],customers__2[companyName],,0)</f>
        <v>Que Delícia</v>
      </c>
      <c r="K1053" t="str">
        <f>_xlfn.XLOOKUP(Table9[[#This Row],[Company Name]],customers__2[companyName],customers__2[country],,0)</f>
        <v>Brazil</v>
      </c>
      <c r="L1053">
        <f>MONTH(Table9[[#This Row],[OrderDate ]])</f>
        <v>8</v>
      </c>
      <c r="M1053" t="str">
        <f>TEXT(Table9[[#This Row],[OrderDate ]],"mmm")</f>
        <v>Aug</v>
      </c>
      <c r="N1053">
        <f>YEAR(Table9[[#This Row],[OrderDate ]])</f>
        <v>2014</v>
      </c>
    </row>
    <row r="1054" spans="1:14" x14ac:dyDescent="0.3">
      <c r="A1054">
        <v>10647</v>
      </c>
      <c r="B1054" s="2">
        <f>_xlfn.XLOOKUP(Table9[[#This Row],[orderID]],orders[orderID],orders[orderDate],,0)</f>
        <v>41878</v>
      </c>
      <c r="C1054">
        <f>_xlfn.XLOOKUP(A1054,order_details[orderID],order_details[productID],,0)</f>
        <v>19</v>
      </c>
      <c r="D1054" t="str">
        <f>_xlfn.XLOOKUP(C1054,products[productID],products[productName],,0)</f>
        <v>Teatime Chocolate Biscuits</v>
      </c>
      <c r="E1054" t="str">
        <f>_xlfn.XLOOKUP(_xlfn.XLOOKUP(Table9[[#This Row],[ProductName ]],products[productName],products[categoryID],,0),categories[categoryID],categories[categoryName],,0)</f>
        <v>Confections</v>
      </c>
      <c r="F1054">
        <v>20</v>
      </c>
      <c r="G1054">
        <v>18</v>
      </c>
      <c r="H1054">
        <v>0</v>
      </c>
      <c r="I1054">
        <f>Table9[[#This Row],[quantity]]*Table9[[#This Row],[unitPrice]]*(1-Table9[[#This Row],[discount]]/100)</f>
        <v>360</v>
      </c>
      <c r="J1054" t="str">
        <f>_xlfn.XLOOKUP(_xlfn.XLOOKUP(A1054,orders[orderID],orders[customerID],,0),customers__2[customerID],customers__2[companyName],,0)</f>
        <v>Que Delícia</v>
      </c>
      <c r="K1054" t="str">
        <f>_xlfn.XLOOKUP(Table9[[#This Row],[Company Name]],customers__2[companyName],customers__2[country],,0)</f>
        <v>Brazil</v>
      </c>
      <c r="L1054">
        <f>MONTH(Table9[[#This Row],[OrderDate ]])</f>
        <v>8</v>
      </c>
      <c r="M1054" t="str">
        <f>TEXT(Table9[[#This Row],[OrderDate ]],"mmm")</f>
        <v>Aug</v>
      </c>
      <c r="N1054">
        <f>YEAR(Table9[[#This Row],[OrderDate ]])</f>
        <v>2014</v>
      </c>
    </row>
    <row r="1055" spans="1:14" x14ac:dyDescent="0.3">
      <c r="A1055">
        <v>10648</v>
      </c>
      <c r="B1055" s="2">
        <f>_xlfn.XLOOKUP(Table9[[#This Row],[orderID]],orders[orderID],orders[orderDate],,0)</f>
        <v>41879</v>
      </c>
      <c r="C1055">
        <f>_xlfn.XLOOKUP(A1055,order_details[orderID],order_details[productID],,0)</f>
        <v>22</v>
      </c>
      <c r="D1055" t="str">
        <f>_xlfn.XLOOKUP(C1055,products[productID],products[productName],,0)</f>
        <v>Gustaf's Knackebröd</v>
      </c>
      <c r="E1055" t="str">
        <f>_xlfn.XLOOKUP(_xlfn.XLOOKUP(Table9[[#This Row],[ProductName ]],products[productName],products[categoryID],,0),categories[categoryID],categories[categoryName],,0)</f>
        <v>Grains &amp; Cereals</v>
      </c>
      <c r="F1055">
        <v>15</v>
      </c>
      <c r="G1055">
        <v>21</v>
      </c>
      <c r="H1055">
        <v>0</v>
      </c>
      <c r="I1055">
        <f>Table9[[#This Row],[quantity]]*Table9[[#This Row],[unitPrice]]*(1-Table9[[#This Row],[discount]]/100)</f>
        <v>315</v>
      </c>
      <c r="J1055" t="str">
        <f>_xlfn.XLOOKUP(_xlfn.XLOOKUP(A1055,orders[orderID],orders[customerID],,0),customers__2[customerID],customers__2[companyName],,0)</f>
        <v>Ricardo Adocicados</v>
      </c>
      <c r="K1055" t="str">
        <f>_xlfn.XLOOKUP(Table9[[#This Row],[Company Name]],customers__2[companyName],customers__2[country],,0)</f>
        <v>Brazil</v>
      </c>
      <c r="L1055">
        <f>MONTH(Table9[[#This Row],[OrderDate ]])</f>
        <v>8</v>
      </c>
      <c r="M1055" t="str">
        <f>TEXT(Table9[[#This Row],[OrderDate ]],"mmm")</f>
        <v>Aug</v>
      </c>
      <c r="N1055">
        <f>YEAR(Table9[[#This Row],[OrderDate ]])</f>
        <v>2014</v>
      </c>
    </row>
    <row r="1056" spans="1:14" x14ac:dyDescent="0.3">
      <c r="A1056">
        <v>10648</v>
      </c>
      <c r="B1056" s="2">
        <f>_xlfn.XLOOKUP(Table9[[#This Row],[orderID]],orders[orderID],orders[orderDate],,0)</f>
        <v>41879</v>
      </c>
      <c r="C1056">
        <f>_xlfn.XLOOKUP(A1056,order_details[orderID],order_details[productID],,0)</f>
        <v>22</v>
      </c>
      <c r="D1056" t="str">
        <f>_xlfn.XLOOKUP(C1056,products[productID],products[productName],,0)</f>
        <v>Gustaf's Knackebröd</v>
      </c>
      <c r="E1056" t="str">
        <f>_xlfn.XLOOKUP(_xlfn.XLOOKUP(Table9[[#This Row],[ProductName ]],products[productName],products[categoryID],,0),categories[categoryID],categories[categoryName],,0)</f>
        <v>Grains &amp; Cereals</v>
      </c>
      <c r="F1056">
        <v>15</v>
      </c>
      <c r="G1056">
        <v>45</v>
      </c>
      <c r="H1056">
        <v>15</v>
      </c>
      <c r="I1056">
        <f>Table9[[#This Row],[quantity]]*Table9[[#This Row],[unitPrice]]*(1-Table9[[#This Row],[discount]]/100)</f>
        <v>573.75</v>
      </c>
      <c r="J1056" t="str">
        <f>_xlfn.XLOOKUP(_xlfn.XLOOKUP(A1056,orders[orderID],orders[customerID],,0),customers__2[customerID],customers__2[companyName],,0)</f>
        <v>Ricardo Adocicados</v>
      </c>
      <c r="K1056" t="str">
        <f>_xlfn.XLOOKUP(Table9[[#This Row],[Company Name]],customers__2[companyName],customers__2[country],,0)</f>
        <v>Brazil</v>
      </c>
      <c r="L1056">
        <f>MONTH(Table9[[#This Row],[OrderDate ]])</f>
        <v>8</v>
      </c>
      <c r="M1056" t="str">
        <f>TEXT(Table9[[#This Row],[OrderDate ]],"mmm")</f>
        <v>Aug</v>
      </c>
      <c r="N1056">
        <f>YEAR(Table9[[#This Row],[OrderDate ]])</f>
        <v>2014</v>
      </c>
    </row>
    <row r="1057" spans="1:14" x14ac:dyDescent="0.3">
      <c r="A1057">
        <v>10649</v>
      </c>
      <c r="B1057" s="2">
        <f>_xlfn.XLOOKUP(Table9[[#This Row],[orderID]],orders[orderID],orders[orderDate],,0)</f>
        <v>41879</v>
      </c>
      <c r="C1057">
        <f>_xlfn.XLOOKUP(A1057,order_details[orderID],order_details[productID],,0)</f>
        <v>28</v>
      </c>
      <c r="D1057" t="str">
        <f>_xlfn.XLOOKUP(C1057,products[productID],products[productName],,0)</f>
        <v>Rössle Sauerkraut</v>
      </c>
      <c r="E1057" t="str">
        <f>_xlfn.XLOOKUP(_xlfn.XLOOKUP(Table9[[#This Row],[ProductName ]],products[productName],products[categoryID],,0),categories[categoryID],categories[categoryName],,0)</f>
        <v>Produce</v>
      </c>
      <c r="F1057">
        <v>20</v>
      </c>
      <c r="G1057">
        <v>456</v>
      </c>
      <c r="H1057">
        <v>0</v>
      </c>
      <c r="I1057">
        <f>Table9[[#This Row],[quantity]]*Table9[[#This Row],[unitPrice]]*(1-Table9[[#This Row],[discount]]/100)</f>
        <v>9120</v>
      </c>
      <c r="J1057" t="str">
        <f>_xlfn.XLOOKUP(_xlfn.XLOOKUP(A1057,orders[orderID],orders[customerID],,0),customers__2[customerID],customers__2[companyName],,0)</f>
        <v>Maison Dewey</v>
      </c>
      <c r="K1057" t="str">
        <f>_xlfn.XLOOKUP(Table9[[#This Row],[Company Name]],customers__2[companyName],customers__2[country],,0)</f>
        <v>Belgium</v>
      </c>
      <c r="L1057">
        <f>MONTH(Table9[[#This Row],[OrderDate ]])</f>
        <v>8</v>
      </c>
      <c r="M1057" t="str">
        <f>TEXT(Table9[[#This Row],[OrderDate ]],"mmm")</f>
        <v>Aug</v>
      </c>
      <c r="N1057">
        <f>YEAR(Table9[[#This Row],[OrderDate ]])</f>
        <v>2014</v>
      </c>
    </row>
    <row r="1058" spans="1:14" x14ac:dyDescent="0.3">
      <c r="A1058">
        <v>10649</v>
      </c>
      <c r="B1058" s="2">
        <f>_xlfn.XLOOKUP(Table9[[#This Row],[orderID]],orders[orderID],orders[orderDate],,0)</f>
        <v>41879</v>
      </c>
      <c r="C1058">
        <f>_xlfn.XLOOKUP(A1058,order_details[orderID],order_details[productID],,0)</f>
        <v>28</v>
      </c>
      <c r="D1058" t="str">
        <f>_xlfn.XLOOKUP(C1058,products[productID],products[productName],,0)</f>
        <v>Rössle Sauerkraut</v>
      </c>
      <c r="E1058" t="str">
        <f>_xlfn.XLOOKUP(_xlfn.XLOOKUP(Table9[[#This Row],[ProductName ]],products[productName],products[categoryID],,0),categories[categoryID],categories[categoryName],,0)</f>
        <v>Produce</v>
      </c>
      <c r="F1058">
        <v>15</v>
      </c>
      <c r="G1058">
        <v>348</v>
      </c>
      <c r="H1058">
        <v>0</v>
      </c>
      <c r="I1058">
        <f>Table9[[#This Row],[quantity]]*Table9[[#This Row],[unitPrice]]*(1-Table9[[#This Row],[discount]]/100)</f>
        <v>5220</v>
      </c>
      <c r="J1058" t="str">
        <f>_xlfn.XLOOKUP(_xlfn.XLOOKUP(A1058,orders[orderID],orders[customerID],,0),customers__2[customerID],customers__2[companyName],,0)</f>
        <v>Maison Dewey</v>
      </c>
      <c r="K1058" t="str">
        <f>_xlfn.XLOOKUP(Table9[[#This Row],[Company Name]],customers__2[companyName],customers__2[country],,0)</f>
        <v>Belgium</v>
      </c>
      <c r="L1058">
        <f>MONTH(Table9[[#This Row],[OrderDate ]])</f>
        <v>8</v>
      </c>
      <c r="M1058" t="str">
        <f>TEXT(Table9[[#This Row],[OrderDate ]],"mmm")</f>
        <v>Aug</v>
      </c>
      <c r="N1058">
        <f>YEAR(Table9[[#This Row],[OrderDate ]])</f>
        <v>2014</v>
      </c>
    </row>
    <row r="1059" spans="1:14" x14ac:dyDescent="0.3">
      <c r="A1059">
        <v>10650</v>
      </c>
      <c r="B1059" s="2">
        <f>_xlfn.XLOOKUP(Table9[[#This Row],[orderID]],orders[orderID],orders[orderDate],,0)</f>
        <v>41880</v>
      </c>
      <c r="C1059">
        <f>_xlfn.XLOOKUP(A1059,order_details[orderID],order_details[productID],,0)</f>
        <v>30</v>
      </c>
      <c r="D1059" t="str">
        <f>_xlfn.XLOOKUP(C1059,products[productID],products[productName],,0)</f>
        <v>Nord-Ost Matjeshering</v>
      </c>
      <c r="E1059" t="str">
        <f>_xlfn.XLOOKUP(_xlfn.XLOOKUP(Table9[[#This Row],[ProductName ]],products[productName],products[categoryID],,0),categories[categoryID],categories[categoryName],,0)</f>
        <v>Seafood</v>
      </c>
      <c r="F1059">
        <v>30</v>
      </c>
      <c r="G1059">
        <v>2589</v>
      </c>
      <c r="H1059">
        <v>0</v>
      </c>
      <c r="I1059">
        <f>Table9[[#This Row],[quantity]]*Table9[[#This Row],[unitPrice]]*(1-Table9[[#This Row],[discount]]/100)</f>
        <v>77670</v>
      </c>
      <c r="J1059" t="str">
        <f>_xlfn.XLOOKUP(_xlfn.XLOOKUP(A1059,orders[orderID],orders[customerID],,0),customers__2[customerID],customers__2[companyName],,0)</f>
        <v>Familia Arquibaldo</v>
      </c>
      <c r="K1059" t="str">
        <f>_xlfn.XLOOKUP(Table9[[#This Row],[Company Name]],customers__2[companyName],customers__2[country],,0)</f>
        <v>Brazil</v>
      </c>
      <c r="L1059">
        <f>MONTH(Table9[[#This Row],[OrderDate ]])</f>
        <v>8</v>
      </c>
      <c r="M1059" t="str">
        <f>TEXT(Table9[[#This Row],[OrderDate ]],"mmm")</f>
        <v>Aug</v>
      </c>
      <c r="N1059">
        <f>YEAR(Table9[[#This Row],[OrderDate ]])</f>
        <v>2014</v>
      </c>
    </row>
    <row r="1060" spans="1:14" x14ac:dyDescent="0.3">
      <c r="A1060">
        <v>10650</v>
      </c>
      <c r="B1060" s="2">
        <f>_xlfn.XLOOKUP(Table9[[#This Row],[orderID]],orders[orderID],orders[orderDate],,0)</f>
        <v>41880</v>
      </c>
      <c r="C1060">
        <f>_xlfn.XLOOKUP(A1060,order_details[orderID],order_details[productID],,0)</f>
        <v>30</v>
      </c>
      <c r="D1060" t="str">
        <f>_xlfn.XLOOKUP(C1060,products[productID],products[productName],,0)</f>
        <v>Nord-Ost Matjeshering</v>
      </c>
      <c r="E1060" t="str">
        <f>_xlfn.XLOOKUP(_xlfn.XLOOKUP(Table9[[#This Row],[ProductName ]],products[productName],products[categoryID],,0),categories[categoryID],categories[categoryName],,0)</f>
        <v>Seafood</v>
      </c>
      <c r="F1060">
        <v>25</v>
      </c>
      <c r="G1060">
        <v>328</v>
      </c>
      <c r="H1060">
        <v>5</v>
      </c>
      <c r="I1060">
        <f>Table9[[#This Row],[quantity]]*Table9[[#This Row],[unitPrice]]*(1-Table9[[#This Row],[discount]]/100)</f>
        <v>7790</v>
      </c>
      <c r="J1060" t="str">
        <f>_xlfn.XLOOKUP(_xlfn.XLOOKUP(A1060,orders[orderID],orders[customerID],,0),customers__2[customerID],customers__2[companyName],,0)</f>
        <v>Familia Arquibaldo</v>
      </c>
      <c r="K1060" t="str">
        <f>_xlfn.XLOOKUP(Table9[[#This Row],[Company Name]],customers__2[companyName],customers__2[country],,0)</f>
        <v>Brazil</v>
      </c>
      <c r="L1060">
        <f>MONTH(Table9[[#This Row],[OrderDate ]])</f>
        <v>8</v>
      </c>
      <c r="M1060" t="str">
        <f>TEXT(Table9[[#This Row],[OrderDate ]],"mmm")</f>
        <v>Aug</v>
      </c>
      <c r="N1060">
        <f>YEAR(Table9[[#This Row],[OrderDate ]])</f>
        <v>2014</v>
      </c>
    </row>
    <row r="1061" spans="1:14" x14ac:dyDescent="0.3">
      <c r="A1061">
        <v>10650</v>
      </c>
      <c r="B1061" s="2">
        <f>_xlfn.XLOOKUP(Table9[[#This Row],[orderID]],orders[orderID],orders[orderDate],,0)</f>
        <v>41880</v>
      </c>
      <c r="C1061">
        <f>_xlfn.XLOOKUP(A1061,order_details[orderID],order_details[productID],,0)</f>
        <v>30</v>
      </c>
      <c r="D1061" t="str">
        <f>_xlfn.XLOOKUP(C1061,products[productID],products[productName],,0)</f>
        <v>Nord-Ost Matjeshering</v>
      </c>
      <c r="E1061" t="str">
        <f>_xlfn.XLOOKUP(_xlfn.XLOOKUP(Table9[[#This Row],[ProductName ]],products[productName],products[categoryID],,0),categories[categoryID],categories[categoryName],,0)</f>
        <v>Seafood</v>
      </c>
      <c r="F1061">
        <v>30</v>
      </c>
      <c r="G1061">
        <v>745</v>
      </c>
      <c r="H1061">
        <v>0</v>
      </c>
      <c r="I1061">
        <f>Table9[[#This Row],[quantity]]*Table9[[#This Row],[unitPrice]]*(1-Table9[[#This Row],[discount]]/100)</f>
        <v>22350</v>
      </c>
      <c r="J1061" t="str">
        <f>_xlfn.XLOOKUP(_xlfn.XLOOKUP(A1061,orders[orderID],orders[customerID],,0),customers__2[customerID],customers__2[companyName],,0)</f>
        <v>Familia Arquibaldo</v>
      </c>
      <c r="K1061" t="str">
        <f>_xlfn.XLOOKUP(Table9[[#This Row],[Company Name]],customers__2[companyName],customers__2[country],,0)</f>
        <v>Brazil</v>
      </c>
      <c r="L1061">
        <f>MONTH(Table9[[#This Row],[OrderDate ]])</f>
        <v>8</v>
      </c>
      <c r="M1061" t="str">
        <f>TEXT(Table9[[#This Row],[OrderDate ]],"mmm")</f>
        <v>Aug</v>
      </c>
      <c r="N1061">
        <f>YEAR(Table9[[#This Row],[OrderDate ]])</f>
        <v>2014</v>
      </c>
    </row>
    <row r="1062" spans="1:14" x14ac:dyDescent="0.3">
      <c r="A1062">
        <v>10651</v>
      </c>
      <c r="B1062" s="2">
        <f>_xlfn.XLOOKUP(Table9[[#This Row],[orderID]],orders[orderID],orders[orderDate],,0)</f>
        <v>41883</v>
      </c>
      <c r="C1062">
        <f>_xlfn.XLOOKUP(A1062,order_details[orderID],order_details[productID],,0)</f>
        <v>19</v>
      </c>
      <c r="D1062" t="str">
        <f>_xlfn.XLOOKUP(C1062,products[productID],products[productName],,0)</f>
        <v>Teatime Chocolate Biscuits</v>
      </c>
      <c r="E1062" t="str">
        <f>_xlfn.XLOOKUP(_xlfn.XLOOKUP(Table9[[#This Row],[ProductName ]],products[productName],products[categoryID],,0),categories[categoryID],categories[categoryName],,0)</f>
        <v>Confections</v>
      </c>
      <c r="F1062">
        <v>12</v>
      </c>
      <c r="G1062">
        <v>92</v>
      </c>
      <c r="H1062">
        <v>25</v>
      </c>
      <c r="I1062">
        <f>Table9[[#This Row],[quantity]]*Table9[[#This Row],[unitPrice]]*(1-Table9[[#This Row],[discount]]/100)</f>
        <v>828</v>
      </c>
      <c r="J1062" t="str">
        <f>_xlfn.XLOOKUP(_xlfn.XLOOKUP(A1062,orders[orderID],orders[customerID],,0),customers__2[customerID],customers__2[companyName],,0)</f>
        <v>Die Wandernde Kuh</v>
      </c>
      <c r="K1062" t="str">
        <f>_xlfn.XLOOKUP(Table9[[#This Row],[Company Name]],customers__2[companyName],customers__2[country],,0)</f>
        <v>Germany</v>
      </c>
      <c r="L1062">
        <f>MONTH(Table9[[#This Row],[OrderDate ]])</f>
        <v>9</v>
      </c>
      <c r="M1062" t="str">
        <f>TEXT(Table9[[#This Row],[OrderDate ]],"mmm")</f>
        <v>Sep</v>
      </c>
      <c r="N1062">
        <f>YEAR(Table9[[#This Row],[OrderDate ]])</f>
        <v>2014</v>
      </c>
    </row>
    <row r="1063" spans="1:14" x14ac:dyDescent="0.3">
      <c r="A1063">
        <v>10651</v>
      </c>
      <c r="B1063" s="2">
        <f>_xlfn.XLOOKUP(Table9[[#This Row],[orderID]],orders[orderID],orders[orderDate],,0)</f>
        <v>41883</v>
      </c>
      <c r="C1063">
        <f>_xlfn.XLOOKUP(A1063,order_details[orderID],order_details[productID],,0)</f>
        <v>19</v>
      </c>
      <c r="D1063" t="str">
        <f>_xlfn.XLOOKUP(C1063,products[productID],products[productName],,0)</f>
        <v>Teatime Chocolate Biscuits</v>
      </c>
      <c r="E1063" t="str">
        <f>_xlfn.XLOOKUP(_xlfn.XLOOKUP(Table9[[#This Row],[ProductName ]],products[productName],products[categoryID],,0),categories[categoryID],categories[categoryName],,0)</f>
        <v>Confections</v>
      </c>
      <c r="F1063">
        <v>20</v>
      </c>
      <c r="G1063">
        <v>21</v>
      </c>
      <c r="H1063">
        <v>25</v>
      </c>
      <c r="I1063">
        <f>Table9[[#This Row],[quantity]]*Table9[[#This Row],[unitPrice]]*(1-Table9[[#This Row],[discount]]/100)</f>
        <v>315</v>
      </c>
      <c r="J1063" t="str">
        <f>_xlfn.XLOOKUP(_xlfn.XLOOKUP(A1063,orders[orderID],orders[customerID],,0),customers__2[customerID],customers__2[companyName],,0)</f>
        <v>Die Wandernde Kuh</v>
      </c>
      <c r="K1063" t="str">
        <f>_xlfn.XLOOKUP(Table9[[#This Row],[Company Name]],customers__2[companyName],customers__2[country],,0)</f>
        <v>Germany</v>
      </c>
      <c r="L1063">
        <f>MONTH(Table9[[#This Row],[OrderDate ]])</f>
        <v>9</v>
      </c>
      <c r="M1063" t="str">
        <f>TEXT(Table9[[#This Row],[OrderDate ]],"mmm")</f>
        <v>Sep</v>
      </c>
      <c r="N1063">
        <f>YEAR(Table9[[#This Row],[OrderDate ]])</f>
        <v>2014</v>
      </c>
    </row>
    <row r="1064" spans="1:14" x14ac:dyDescent="0.3">
      <c r="A1064">
        <v>10652</v>
      </c>
      <c r="B1064" s="2">
        <f>_xlfn.XLOOKUP(Table9[[#This Row],[orderID]],orders[orderID],orders[orderDate],,0)</f>
        <v>41883</v>
      </c>
      <c r="C1064">
        <f>_xlfn.XLOOKUP(A1064,order_details[orderID],order_details[productID],,0)</f>
        <v>30</v>
      </c>
      <c r="D1064" t="str">
        <f>_xlfn.XLOOKUP(C1064,products[productID],products[productName],,0)</f>
        <v>Nord-Ost Matjeshering</v>
      </c>
      <c r="E1064" t="str">
        <f>_xlfn.XLOOKUP(_xlfn.XLOOKUP(Table9[[#This Row],[ProductName ]],products[productName],products[categoryID],,0),categories[categoryID],categories[categoryName],,0)</f>
        <v>Seafood</v>
      </c>
      <c r="F1064">
        <v>2</v>
      </c>
      <c r="G1064">
        <v>2589</v>
      </c>
      <c r="H1064">
        <v>25</v>
      </c>
      <c r="I1064">
        <f>Table9[[#This Row],[quantity]]*Table9[[#This Row],[unitPrice]]*(1-Table9[[#This Row],[discount]]/100)</f>
        <v>3883.5</v>
      </c>
      <c r="J1064" t="str">
        <f>_xlfn.XLOOKUP(_xlfn.XLOOKUP(A1064,orders[orderID],orders[customerID],,0),customers__2[customerID],customers__2[companyName],,0)</f>
        <v>Gourmet Lanchonetes</v>
      </c>
      <c r="K1064" t="str">
        <f>_xlfn.XLOOKUP(Table9[[#This Row],[Company Name]],customers__2[companyName],customers__2[country],,0)</f>
        <v>Brazil</v>
      </c>
      <c r="L1064">
        <f>MONTH(Table9[[#This Row],[OrderDate ]])</f>
        <v>9</v>
      </c>
      <c r="M1064" t="str">
        <f>TEXT(Table9[[#This Row],[OrderDate ]],"mmm")</f>
        <v>Sep</v>
      </c>
      <c r="N1064">
        <f>YEAR(Table9[[#This Row],[OrderDate ]])</f>
        <v>2014</v>
      </c>
    </row>
    <row r="1065" spans="1:14" x14ac:dyDescent="0.3">
      <c r="A1065">
        <v>10652</v>
      </c>
      <c r="B1065" s="2">
        <f>_xlfn.XLOOKUP(Table9[[#This Row],[orderID]],orders[orderID],orders[orderDate],,0)</f>
        <v>41883</v>
      </c>
      <c r="C1065">
        <f>_xlfn.XLOOKUP(A1065,order_details[orderID],order_details[productID],,0)</f>
        <v>30</v>
      </c>
      <c r="D1065" t="str">
        <f>_xlfn.XLOOKUP(C1065,products[productID],products[productName],,0)</f>
        <v>Nord-Ost Matjeshering</v>
      </c>
      <c r="E1065" t="str">
        <f>_xlfn.XLOOKUP(_xlfn.XLOOKUP(Table9[[#This Row],[ProductName ]],products[productName],products[categoryID],,0),categories[categoryID],categories[categoryName],,0)</f>
        <v>Seafood</v>
      </c>
      <c r="F1065">
        <v>20</v>
      </c>
      <c r="G1065">
        <v>14</v>
      </c>
      <c r="H1065">
        <v>0</v>
      </c>
      <c r="I1065">
        <f>Table9[[#This Row],[quantity]]*Table9[[#This Row],[unitPrice]]*(1-Table9[[#This Row],[discount]]/100)</f>
        <v>280</v>
      </c>
      <c r="J1065" t="str">
        <f>_xlfn.XLOOKUP(_xlfn.XLOOKUP(A1065,orders[orderID],orders[customerID],,0),customers__2[customerID],customers__2[companyName],,0)</f>
        <v>Gourmet Lanchonetes</v>
      </c>
      <c r="K1065" t="str">
        <f>_xlfn.XLOOKUP(Table9[[#This Row],[Company Name]],customers__2[companyName],customers__2[country],,0)</f>
        <v>Brazil</v>
      </c>
      <c r="L1065">
        <f>MONTH(Table9[[#This Row],[OrderDate ]])</f>
        <v>9</v>
      </c>
      <c r="M1065" t="str">
        <f>TEXT(Table9[[#This Row],[OrderDate ]],"mmm")</f>
        <v>Sep</v>
      </c>
      <c r="N1065">
        <f>YEAR(Table9[[#This Row],[OrderDate ]])</f>
        <v>2014</v>
      </c>
    </row>
    <row r="1066" spans="1:14" x14ac:dyDescent="0.3">
      <c r="A1066">
        <v>10653</v>
      </c>
      <c r="B1066" s="2">
        <f>_xlfn.XLOOKUP(Table9[[#This Row],[orderID]],orders[orderID],orders[orderDate],,0)</f>
        <v>41884</v>
      </c>
      <c r="C1066">
        <f>_xlfn.XLOOKUP(A1066,order_details[orderID],order_details[productID],,0)</f>
        <v>16</v>
      </c>
      <c r="D1066" t="str">
        <f>_xlfn.XLOOKUP(C1066,products[productID],products[productName],,0)</f>
        <v>Pavlova</v>
      </c>
      <c r="E1066" t="str">
        <f>_xlfn.XLOOKUP(_xlfn.XLOOKUP(Table9[[#This Row],[ProductName ]],products[productName],products[categoryID],,0),categories[categoryID],categories[categoryName],,0)</f>
        <v>Confections</v>
      </c>
      <c r="F1066">
        <v>30</v>
      </c>
      <c r="G1066">
        <v>1745</v>
      </c>
      <c r="H1066">
        <v>1</v>
      </c>
      <c r="I1066">
        <f>Table9[[#This Row],[quantity]]*Table9[[#This Row],[unitPrice]]*(1-Table9[[#This Row],[discount]]/100)</f>
        <v>51826.5</v>
      </c>
      <c r="J1066" t="str">
        <f>_xlfn.XLOOKUP(_xlfn.XLOOKUP(A1066,orders[orderID],orders[customerID],,0),customers__2[customerID],customers__2[companyName],,0)</f>
        <v>Frankenversand</v>
      </c>
      <c r="K1066" t="str">
        <f>_xlfn.XLOOKUP(Table9[[#This Row],[Company Name]],customers__2[companyName],customers__2[country],,0)</f>
        <v>Germany</v>
      </c>
      <c r="L1066">
        <f>MONTH(Table9[[#This Row],[OrderDate ]])</f>
        <v>9</v>
      </c>
      <c r="M1066" t="str">
        <f>TEXT(Table9[[#This Row],[OrderDate ]],"mmm")</f>
        <v>Sep</v>
      </c>
      <c r="N1066">
        <f>YEAR(Table9[[#This Row],[OrderDate ]])</f>
        <v>2014</v>
      </c>
    </row>
    <row r="1067" spans="1:14" x14ac:dyDescent="0.3">
      <c r="A1067">
        <v>10653</v>
      </c>
      <c r="B1067" s="2">
        <f>_xlfn.XLOOKUP(Table9[[#This Row],[orderID]],orders[orderID],orders[orderDate],,0)</f>
        <v>41884</v>
      </c>
      <c r="C1067">
        <f>_xlfn.XLOOKUP(A1067,order_details[orderID],order_details[productID],,0)</f>
        <v>16</v>
      </c>
      <c r="D1067" t="str">
        <f>_xlfn.XLOOKUP(C1067,products[productID],products[productName],,0)</f>
        <v>Pavlova</v>
      </c>
      <c r="E1067" t="str">
        <f>_xlfn.XLOOKUP(_xlfn.XLOOKUP(Table9[[#This Row],[ProductName ]],products[productName],products[categoryID],,0),categories[categoryID],categories[categoryName],,0)</f>
        <v>Confections</v>
      </c>
      <c r="F1067">
        <v>20</v>
      </c>
      <c r="G1067">
        <v>34</v>
      </c>
      <c r="H1067">
        <v>1</v>
      </c>
      <c r="I1067">
        <f>Table9[[#This Row],[quantity]]*Table9[[#This Row],[unitPrice]]*(1-Table9[[#This Row],[discount]]/100)</f>
        <v>673.2</v>
      </c>
      <c r="J1067" t="str">
        <f>_xlfn.XLOOKUP(_xlfn.XLOOKUP(A1067,orders[orderID],orders[customerID],,0),customers__2[customerID],customers__2[companyName],,0)</f>
        <v>Frankenversand</v>
      </c>
      <c r="K1067" t="str">
        <f>_xlfn.XLOOKUP(Table9[[#This Row],[Company Name]],customers__2[companyName],customers__2[country],,0)</f>
        <v>Germany</v>
      </c>
      <c r="L1067">
        <f>MONTH(Table9[[#This Row],[OrderDate ]])</f>
        <v>9</v>
      </c>
      <c r="M1067" t="str">
        <f>TEXT(Table9[[#This Row],[OrderDate ]],"mmm")</f>
        <v>Sep</v>
      </c>
      <c r="N1067">
        <f>YEAR(Table9[[#This Row],[OrderDate ]])</f>
        <v>2014</v>
      </c>
    </row>
    <row r="1068" spans="1:14" x14ac:dyDescent="0.3">
      <c r="A1068">
        <v>10654</v>
      </c>
      <c r="B1068" s="2">
        <f>_xlfn.XLOOKUP(Table9[[#This Row],[orderID]],orders[orderID],orders[orderDate],,0)</f>
        <v>41884</v>
      </c>
      <c r="C1068">
        <f>_xlfn.XLOOKUP(A1068,order_details[orderID],order_details[productID],,0)</f>
        <v>4</v>
      </c>
      <c r="D1068" t="str">
        <f>_xlfn.XLOOKUP(C1068,products[productID],products[productName],,0)</f>
        <v>Chef Anton's Cajun Seasoning</v>
      </c>
      <c r="E1068" t="str">
        <f>_xlfn.XLOOKUP(_xlfn.XLOOKUP(Table9[[#This Row],[ProductName ]],products[productName],products[categoryID],,0),categories[categoryID],categories[categoryName],,0)</f>
        <v>Condiments</v>
      </c>
      <c r="F1068">
        <v>12</v>
      </c>
      <c r="G1068">
        <v>22</v>
      </c>
      <c r="H1068">
        <v>1</v>
      </c>
      <c r="I1068">
        <f>Table9[[#This Row],[quantity]]*Table9[[#This Row],[unitPrice]]*(1-Table9[[#This Row],[discount]]/100)</f>
        <v>261.36</v>
      </c>
      <c r="J1068" t="str">
        <f>_xlfn.XLOOKUP(_xlfn.XLOOKUP(A1068,orders[orderID],orders[customerID],,0),customers__2[customerID],customers__2[companyName],,0)</f>
        <v>Berglunds snabbköp</v>
      </c>
      <c r="K1068" t="str">
        <f>_xlfn.XLOOKUP(Table9[[#This Row],[Company Name]],customers__2[companyName],customers__2[country],,0)</f>
        <v>Sweden</v>
      </c>
      <c r="L1068">
        <f>MONTH(Table9[[#This Row],[OrderDate ]])</f>
        <v>9</v>
      </c>
      <c r="M1068" t="str">
        <f>TEXT(Table9[[#This Row],[OrderDate ]],"mmm")</f>
        <v>Sep</v>
      </c>
      <c r="N1068">
        <f>YEAR(Table9[[#This Row],[OrderDate ]])</f>
        <v>2014</v>
      </c>
    </row>
    <row r="1069" spans="1:14" x14ac:dyDescent="0.3">
      <c r="A1069">
        <v>10654</v>
      </c>
      <c r="B1069" s="2">
        <f>_xlfn.XLOOKUP(Table9[[#This Row],[orderID]],orders[orderID],orders[orderDate],,0)</f>
        <v>41884</v>
      </c>
      <c r="C1069">
        <f>_xlfn.XLOOKUP(A1069,order_details[orderID],order_details[productID],,0)</f>
        <v>4</v>
      </c>
      <c r="D1069" t="str">
        <f>_xlfn.XLOOKUP(C1069,products[productID],products[productName],,0)</f>
        <v>Chef Anton's Cajun Seasoning</v>
      </c>
      <c r="E1069" t="str">
        <f>_xlfn.XLOOKUP(_xlfn.XLOOKUP(Table9[[#This Row],[ProductName ]],products[productName],products[categoryID],,0),categories[categoryID],categories[categoryName],,0)</f>
        <v>Condiments</v>
      </c>
      <c r="F1069">
        <v>20</v>
      </c>
      <c r="G1069">
        <v>18</v>
      </c>
      <c r="H1069">
        <v>1</v>
      </c>
      <c r="I1069">
        <f>Table9[[#This Row],[quantity]]*Table9[[#This Row],[unitPrice]]*(1-Table9[[#This Row],[discount]]/100)</f>
        <v>356.4</v>
      </c>
      <c r="J1069" t="str">
        <f>_xlfn.XLOOKUP(_xlfn.XLOOKUP(A1069,orders[orderID],orders[customerID],,0),customers__2[customerID],customers__2[companyName],,0)</f>
        <v>Berglunds snabbköp</v>
      </c>
      <c r="K1069" t="str">
        <f>_xlfn.XLOOKUP(Table9[[#This Row],[Company Name]],customers__2[companyName],customers__2[country],,0)</f>
        <v>Sweden</v>
      </c>
      <c r="L1069">
        <f>MONTH(Table9[[#This Row],[OrderDate ]])</f>
        <v>9</v>
      </c>
      <c r="M1069" t="str">
        <f>TEXT(Table9[[#This Row],[OrderDate ]],"mmm")</f>
        <v>Sep</v>
      </c>
      <c r="N1069">
        <f>YEAR(Table9[[#This Row],[OrderDate ]])</f>
        <v>2014</v>
      </c>
    </row>
    <row r="1070" spans="1:14" x14ac:dyDescent="0.3">
      <c r="A1070">
        <v>10654</v>
      </c>
      <c r="B1070" s="2">
        <f>_xlfn.XLOOKUP(Table9[[#This Row],[orderID]],orders[orderID],orders[orderDate],,0)</f>
        <v>41884</v>
      </c>
      <c r="C1070">
        <f>_xlfn.XLOOKUP(A1070,order_details[orderID],order_details[productID],,0)</f>
        <v>4</v>
      </c>
      <c r="D1070" t="str">
        <f>_xlfn.XLOOKUP(C1070,products[productID],products[productName],,0)</f>
        <v>Chef Anton's Cajun Seasoning</v>
      </c>
      <c r="E1070" t="str">
        <f>_xlfn.XLOOKUP(_xlfn.XLOOKUP(Table9[[#This Row],[ProductName ]],products[productName],products[categoryID],,0),categories[categoryID],categories[categoryName],,0)</f>
        <v>Condiments</v>
      </c>
      <c r="F1070">
        <v>6</v>
      </c>
      <c r="G1070">
        <v>745</v>
      </c>
      <c r="H1070">
        <v>1</v>
      </c>
      <c r="I1070">
        <f>Table9[[#This Row],[quantity]]*Table9[[#This Row],[unitPrice]]*(1-Table9[[#This Row],[discount]]/100)</f>
        <v>4425.3</v>
      </c>
      <c r="J1070" t="str">
        <f>_xlfn.XLOOKUP(_xlfn.XLOOKUP(A1070,orders[orderID],orders[customerID],,0),customers__2[customerID],customers__2[companyName],,0)</f>
        <v>Berglunds snabbköp</v>
      </c>
      <c r="K1070" t="str">
        <f>_xlfn.XLOOKUP(Table9[[#This Row],[Company Name]],customers__2[companyName],customers__2[country],,0)</f>
        <v>Sweden</v>
      </c>
      <c r="L1070">
        <f>MONTH(Table9[[#This Row],[OrderDate ]])</f>
        <v>9</v>
      </c>
      <c r="M1070" t="str">
        <f>TEXT(Table9[[#This Row],[OrderDate ]],"mmm")</f>
        <v>Sep</v>
      </c>
      <c r="N1070">
        <f>YEAR(Table9[[#This Row],[OrderDate ]])</f>
        <v>2014</v>
      </c>
    </row>
    <row r="1071" spans="1:14" x14ac:dyDescent="0.3">
      <c r="A1071">
        <v>10655</v>
      </c>
      <c r="B1071" s="2">
        <f>_xlfn.XLOOKUP(Table9[[#This Row],[orderID]],orders[orderID],orders[orderDate],,0)</f>
        <v>41885</v>
      </c>
      <c r="C1071">
        <f>_xlfn.XLOOKUP(A1071,order_details[orderID],order_details[productID],,0)</f>
        <v>41</v>
      </c>
      <c r="D1071" t="str">
        <f>_xlfn.XLOOKUP(C1071,products[productID],products[productName],,0)</f>
        <v>Jack's New England Clam Chowder</v>
      </c>
      <c r="E1071" t="str">
        <f>_xlfn.XLOOKUP(_xlfn.XLOOKUP(Table9[[#This Row],[ProductName ]],products[productName],products[categoryID],,0),categories[categoryID],categories[categoryName],,0)</f>
        <v>Seafood</v>
      </c>
      <c r="F1071">
        <v>20</v>
      </c>
      <c r="G1071">
        <v>965</v>
      </c>
      <c r="H1071">
        <v>2</v>
      </c>
      <c r="I1071">
        <f>Table9[[#This Row],[quantity]]*Table9[[#This Row],[unitPrice]]*(1-Table9[[#This Row],[discount]]/100)</f>
        <v>18914</v>
      </c>
      <c r="J1071" t="str">
        <f>_xlfn.XLOOKUP(_xlfn.XLOOKUP(A1071,orders[orderID],orders[customerID],,0),customers__2[customerID],customers__2[companyName],,0)</f>
        <v>Reggiani Caseifici</v>
      </c>
      <c r="K1071" t="str">
        <f>_xlfn.XLOOKUP(Table9[[#This Row],[Company Name]],customers__2[companyName],customers__2[country],,0)</f>
        <v>Italy</v>
      </c>
      <c r="L1071">
        <f>MONTH(Table9[[#This Row],[OrderDate ]])</f>
        <v>9</v>
      </c>
      <c r="M1071" t="str">
        <f>TEXT(Table9[[#This Row],[OrderDate ]],"mmm")</f>
        <v>Sep</v>
      </c>
      <c r="N1071">
        <f>YEAR(Table9[[#This Row],[OrderDate ]])</f>
        <v>2014</v>
      </c>
    </row>
    <row r="1072" spans="1:14" x14ac:dyDescent="0.3">
      <c r="A1072">
        <v>10656</v>
      </c>
      <c r="B1072" s="2">
        <f>_xlfn.XLOOKUP(Table9[[#This Row],[orderID]],orders[orderID],orders[orderDate],,0)</f>
        <v>41886</v>
      </c>
      <c r="C1072">
        <f>_xlfn.XLOOKUP(A1072,order_details[orderID],order_details[productID],,0)</f>
        <v>14</v>
      </c>
      <c r="D1072" t="str">
        <f>_xlfn.XLOOKUP(C1072,products[productID],products[productName],,0)</f>
        <v>Tofu</v>
      </c>
      <c r="E1072" t="str">
        <f>_xlfn.XLOOKUP(_xlfn.XLOOKUP(Table9[[#This Row],[ProductName ]],products[productName],products[categoryID],,0),categories[categoryID],categories[categoryName],,0)</f>
        <v>Produce</v>
      </c>
      <c r="F1072">
        <v>3</v>
      </c>
      <c r="G1072">
        <v>2325</v>
      </c>
      <c r="H1072">
        <v>1</v>
      </c>
      <c r="I1072">
        <f>Table9[[#This Row],[quantity]]*Table9[[#This Row],[unitPrice]]*(1-Table9[[#This Row],[discount]]/100)</f>
        <v>6905.25</v>
      </c>
      <c r="J1072" t="str">
        <f>_xlfn.XLOOKUP(_xlfn.XLOOKUP(A1072,orders[orderID],orders[customerID],,0),customers__2[customerID],customers__2[companyName],,0)</f>
        <v>Great Lakes Food Market</v>
      </c>
      <c r="K1072" t="str">
        <f>_xlfn.XLOOKUP(Table9[[#This Row],[Company Name]],customers__2[companyName],customers__2[country],,0)</f>
        <v>USA</v>
      </c>
      <c r="L1072">
        <f>MONTH(Table9[[#This Row],[OrderDate ]])</f>
        <v>9</v>
      </c>
      <c r="M1072" t="str">
        <f>TEXT(Table9[[#This Row],[OrderDate ]],"mmm")</f>
        <v>Sep</v>
      </c>
      <c r="N1072">
        <f>YEAR(Table9[[#This Row],[OrderDate ]])</f>
        <v>2014</v>
      </c>
    </row>
    <row r="1073" spans="1:14" x14ac:dyDescent="0.3">
      <c r="A1073">
        <v>10656</v>
      </c>
      <c r="B1073" s="2">
        <f>_xlfn.XLOOKUP(Table9[[#This Row],[orderID]],orders[orderID],orders[orderDate],,0)</f>
        <v>41886</v>
      </c>
      <c r="C1073">
        <f>_xlfn.XLOOKUP(A1073,order_details[orderID],order_details[productID],,0)</f>
        <v>14</v>
      </c>
      <c r="D1073" t="str">
        <f>_xlfn.XLOOKUP(C1073,products[productID],products[productName],,0)</f>
        <v>Tofu</v>
      </c>
      <c r="E1073" t="str">
        <f>_xlfn.XLOOKUP(_xlfn.XLOOKUP(Table9[[#This Row],[ProductName ]],products[productName],products[categoryID],,0),categories[categoryID],categories[categoryName],,0)</f>
        <v>Produce</v>
      </c>
      <c r="F1073">
        <v>28</v>
      </c>
      <c r="G1073">
        <v>1945</v>
      </c>
      <c r="H1073">
        <v>1</v>
      </c>
      <c r="I1073">
        <f>Table9[[#This Row],[quantity]]*Table9[[#This Row],[unitPrice]]*(1-Table9[[#This Row],[discount]]/100)</f>
        <v>53915.4</v>
      </c>
      <c r="J1073" t="str">
        <f>_xlfn.XLOOKUP(_xlfn.XLOOKUP(A1073,orders[orderID],orders[customerID],,0),customers__2[customerID],customers__2[companyName],,0)</f>
        <v>Great Lakes Food Market</v>
      </c>
      <c r="K1073" t="str">
        <f>_xlfn.XLOOKUP(Table9[[#This Row],[Company Name]],customers__2[companyName],customers__2[country],,0)</f>
        <v>USA</v>
      </c>
      <c r="L1073">
        <f>MONTH(Table9[[#This Row],[OrderDate ]])</f>
        <v>9</v>
      </c>
      <c r="M1073" t="str">
        <f>TEXT(Table9[[#This Row],[OrderDate ]],"mmm")</f>
        <v>Sep</v>
      </c>
      <c r="N1073">
        <f>YEAR(Table9[[#This Row],[OrderDate ]])</f>
        <v>2014</v>
      </c>
    </row>
    <row r="1074" spans="1:14" x14ac:dyDescent="0.3">
      <c r="A1074">
        <v>10656</v>
      </c>
      <c r="B1074" s="2">
        <f>_xlfn.XLOOKUP(Table9[[#This Row],[orderID]],orders[orderID],orders[orderDate],,0)</f>
        <v>41886</v>
      </c>
      <c r="C1074">
        <f>_xlfn.XLOOKUP(A1074,order_details[orderID],order_details[productID],,0)</f>
        <v>14</v>
      </c>
      <c r="D1074" t="str">
        <f>_xlfn.XLOOKUP(C1074,products[productID],products[productName],,0)</f>
        <v>Tofu</v>
      </c>
      <c r="E1074" t="str">
        <f>_xlfn.XLOOKUP(_xlfn.XLOOKUP(Table9[[#This Row],[ProductName ]],products[productName],products[categoryID],,0),categories[categoryID],categories[categoryName],,0)</f>
        <v>Produce</v>
      </c>
      <c r="F1074">
        <v>6</v>
      </c>
      <c r="G1074">
        <v>95</v>
      </c>
      <c r="H1074">
        <v>1</v>
      </c>
      <c r="I1074">
        <f>Table9[[#This Row],[quantity]]*Table9[[#This Row],[unitPrice]]*(1-Table9[[#This Row],[discount]]/100)</f>
        <v>564.29999999999995</v>
      </c>
      <c r="J1074" t="str">
        <f>_xlfn.XLOOKUP(_xlfn.XLOOKUP(A1074,orders[orderID],orders[customerID],,0),customers__2[customerID],customers__2[companyName],,0)</f>
        <v>Great Lakes Food Market</v>
      </c>
      <c r="K1074" t="str">
        <f>_xlfn.XLOOKUP(Table9[[#This Row],[Company Name]],customers__2[companyName],customers__2[country],,0)</f>
        <v>USA</v>
      </c>
      <c r="L1074">
        <f>MONTH(Table9[[#This Row],[OrderDate ]])</f>
        <v>9</v>
      </c>
      <c r="M1074" t="str">
        <f>TEXT(Table9[[#This Row],[OrderDate ]],"mmm")</f>
        <v>Sep</v>
      </c>
      <c r="N1074">
        <f>YEAR(Table9[[#This Row],[OrderDate ]])</f>
        <v>2014</v>
      </c>
    </row>
    <row r="1075" spans="1:14" x14ac:dyDescent="0.3">
      <c r="A1075">
        <v>10657</v>
      </c>
      <c r="B1075" s="2">
        <f>_xlfn.XLOOKUP(Table9[[#This Row],[orderID]],orders[orderID],orders[orderDate],,0)</f>
        <v>41886</v>
      </c>
      <c r="C1075">
        <f>_xlfn.XLOOKUP(A1075,order_details[orderID],order_details[productID],,0)</f>
        <v>15</v>
      </c>
      <c r="D1075" t="str">
        <f>_xlfn.XLOOKUP(C1075,products[productID],products[productName],,0)</f>
        <v>Genen Shouyu</v>
      </c>
      <c r="E1075" t="str">
        <f>_xlfn.XLOOKUP(_xlfn.XLOOKUP(Table9[[#This Row],[ProductName ]],products[productName],products[categoryID],,0),categories[categoryID],categories[categoryName],,0)</f>
        <v>Condiments</v>
      </c>
      <c r="F1075">
        <v>50</v>
      </c>
      <c r="G1075">
        <v>155</v>
      </c>
      <c r="H1075">
        <v>0</v>
      </c>
      <c r="I1075">
        <f>Table9[[#This Row],[quantity]]*Table9[[#This Row],[unitPrice]]*(1-Table9[[#This Row],[discount]]/100)</f>
        <v>7750</v>
      </c>
      <c r="J1075" t="str">
        <f>_xlfn.XLOOKUP(_xlfn.XLOOKUP(A1075,orders[orderID],orders[customerID],,0),customers__2[customerID],customers__2[companyName],,0)</f>
        <v>Save-a-lot Markets</v>
      </c>
      <c r="K1075" t="str">
        <f>_xlfn.XLOOKUP(Table9[[#This Row],[Company Name]],customers__2[companyName],customers__2[country],,0)</f>
        <v>USA</v>
      </c>
      <c r="L1075">
        <f>MONTH(Table9[[#This Row],[OrderDate ]])</f>
        <v>9</v>
      </c>
      <c r="M1075" t="str">
        <f>TEXT(Table9[[#This Row],[OrderDate ]],"mmm")</f>
        <v>Sep</v>
      </c>
      <c r="N1075">
        <f>YEAR(Table9[[#This Row],[OrderDate ]])</f>
        <v>2014</v>
      </c>
    </row>
    <row r="1076" spans="1:14" x14ac:dyDescent="0.3">
      <c r="A1076">
        <v>10657</v>
      </c>
      <c r="B1076" s="2">
        <f>_xlfn.XLOOKUP(Table9[[#This Row],[orderID]],orders[orderID],orders[orderDate],,0)</f>
        <v>41886</v>
      </c>
      <c r="C1076">
        <f>_xlfn.XLOOKUP(A1076,order_details[orderID],order_details[productID],,0)</f>
        <v>15</v>
      </c>
      <c r="D1076" t="str">
        <f>_xlfn.XLOOKUP(C1076,products[productID],products[productName],,0)</f>
        <v>Genen Shouyu</v>
      </c>
      <c r="E1076" t="str">
        <f>_xlfn.XLOOKUP(_xlfn.XLOOKUP(Table9[[#This Row],[ProductName ]],products[productName],products[categoryID],,0),categories[categoryID],categories[categoryName],,0)</f>
        <v>Condiments</v>
      </c>
      <c r="F1076">
        <v>24</v>
      </c>
      <c r="G1076">
        <v>965</v>
      </c>
      <c r="H1076">
        <v>0</v>
      </c>
      <c r="I1076">
        <f>Table9[[#This Row],[quantity]]*Table9[[#This Row],[unitPrice]]*(1-Table9[[#This Row],[discount]]/100)</f>
        <v>23160</v>
      </c>
      <c r="J1076" t="str">
        <f>_xlfn.XLOOKUP(_xlfn.XLOOKUP(A1076,orders[orderID],orders[customerID],,0),customers__2[customerID],customers__2[companyName],,0)</f>
        <v>Save-a-lot Markets</v>
      </c>
      <c r="K1076" t="str">
        <f>_xlfn.XLOOKUP(Table9[[#This Row],[Company Name]],customers__2[companyName],customers__2[country],,0)</f>
        <v>USA</v>
      </c>
      <c r="L1076">
        <f>MONTH(Table9[[#This Row],[OrderDate ]])</f>
        <v>9</v>
      </c>
      <c r="M1076" t="str">
        <f>TEXT(Table9[[#This Row],[OrderDate ]],"mmm")</f>
        <v>Sep</v>
      </c>
      <c r="N1076">
        <f>YEAR(Table9[[#This Row],[OrderDate ]])</f>
        <v>2014</v>
      </c>
    </row>
    <row r="1077" spans="1:14" x14ac:dyDescent="0.3">
      <c r="A1077">
        <v>10657</v>
      </c>
      <c r="B1077" s="2">
        <f>_xlfn.XLOOKUP(Table9[[#This Row],[orderID]],orders[orderID],orders[orderDate],,0)</f>
        <v>41886</v>
      </c>
      <c r="C1077">
        <f>_xlfn.XLOOKUP(A1077,order_details[orderID],order_details[productID],,0)</f>
        <v>15</v>
      </c>
      <c r="D1077" t="str">
        <f>_xlfn.XLOOKUP(C1077,products[productID],products[productName],,0)</f>
        <v>Genen Shouyu</v>
      </c>
      <c r="E1077" t="str">
        <f>_xlfn.XLOOKUP(_xlfn.XLOOKUP(Table9[[#This Row],[ProductName ]],products[productName],products[categoryID],,0),categories[categoryID],categories[categoryName],,0)</f>
        <v>Condiments</v>
      </c>
      <c r="F1077">
        <v>45</v>
      </c>
      <c r="G1077">
        <v>12</v>
      </c>
      <c r="H1077">
        <v>0</v>
      </c>
      <c r="I1077">
        <f>Table9[[#This Row],[quantity]]*Table9[[#This Row],[unitPrice]]*(1-Table9[[#This Row],[discount]]/100)</f>
        <v>540</v>
      </c>
      <c r="J1077" t="str">
        <f>_xlfn.XLOOKUP(_xlfn.XLOOKUP(A1077,orders[orderID],orders[customerID],,0),customers__2[customerID],customers__2[companyName],,0)</f>
        <v>Save-a-lot Markets</v>
      </c>
      <c r="K1077" t="str">
        <f>_xlfn.XLOOKUP(Table9[[#This Row],[Company Name]],customers__2[companyName],customers__2[country],,0)</f>
        <v>USA</v>
      </c>
      <c r="L1077">
        <f>MONTH(Table9[[#This Row],[OrderDate ]])</f>
        <v>9</v>
      </c>
      <c r="M1077" t="str">
        <f>TEXT(Table9[[#This Row],[OrderDate ]],"mmm")</f>
        <v>Sep</v>
      </c>
      <c r="N1077">
        <f>YEAR(Table9[[#This Row],[OrderDate ]])</f>
        <v>2014</v>
      </c>
    </row>
    <row r="1078" spans="1:14" x14ac:dyDescent="0.3">
      <c r="A1078">
        <v>10657</v>
      </c>
      <c r="B1078" s="2">
        <f>_xlfn.XLOOKUP(Table9[[#This Row],[orderID]],orders[orderID],orders[orderDate],,0)</f>
        <v>41886</v>
      </c>
      <c r="C1078">
        <f>_xlfn.XLOOKUP(A1078,order_details[orderID],order_details[productID],,0)</f>
        <v>15</v>
      </c>
      <c r="D1078" t="str">
        <f>_xlfn.XLOOKUP(C1078,products[productID],products[productName],,0)</f>
        <v>Genen Shouyu</v>
      </c>
      <c r="E1078" t="str">
        <f>_xlfn.XLOOKUP(_xlfn.XLOOKUP(Table9[[#This Row],[ProductName ]],products[productName],products[categoryID],,0),categories[categoryID],categories[categoryName],,0)</f>
        <v>Condiments</v>
      </c>
      <c r="F1078">
        <v>10</v>
      </c>
      <c r="G1078">
        <v>95</v>
      </c>
      <c r="H1078">
        <v>0</v>
      </c>
      <c r="I1078">
        <f>Table9[[#This Row],[quantity]]*Table9[[#This Row],[unitPrice]]*(1-Table9[[#This Row],[discount]]/100)</f>
        <v>950</v>
      </c>
      <c r="J1078" t="str">
        <f>_xlfn.XLOOKUP(_xlfn.XLOOKUP(A1078,orders[orderID],orders[customerID],,0),customers__2[customerID],customers__2[companyName],,0)</f>
        <v>Save-a-lot Markets</v>
      </c>
      <c r="K1078" t="str">
        <f>_xlfn.XLOOKUP(Table9[[#This Row],[Company Name]],customers__2[companyName],customers__2[country],,0)</f>
        <v>USA</v>
      </c>
      <c r="L1078">
        <f>MONTH(Table9[[#This Row],[OrderDate ]])</f>
        <v>9</v>
      </c>
      <c r="M1078" t="str">
        <f>TEXT(Table9[[#This Row],[OrderDate ]],"mmm")</f>
        <v>Sep</v>
      </c>
      <c r="N1078">
        <f>YEAR(Table9[[#This Row],[OrderDate ]])</f>
        <v>2014</v>
      </c>
    </row>
    <row r="1079" spans="1:14" x14ac:dyDescent="0.3">
      <c r="A1079">
        <v>10657</v>
      </c>
      <c r="B1079" s="2">
        <f>_xlfn.XLOOKUP(Table9[[#This Row],[orderID]],orders[orderID],orders[orderDate],,0)</f>
        <v>41886</v>
      </c>
      <c r="C1079">
        <f>_xlfn.XLOOKUP(A1079,order_details[orderID],order_details[productID],,0)</f>
        <v>15</v>
      </c>
      <c r="D1079" t="str">
        <f>_xlfn.XLOOKUP(C1079,products[productID],products[productName],,0)</f>
        <v>Genen Shouyu</v>
      </c>
      <c r="E1079" t="str">
        <f>_xlfn.XLOOKUP(_xlfn.XLOOKUP(Table9[[#This Row],[ProductName ]],products[productName],products[categoryID],,0),categories[categoryID],categories[categoryName],,0)</f>
        <v>Condiments</v>
      </c>
      <c r="F1079">
        <v>45</v>
      </c>
      <c r="G1079">
        <v>38</v>
      </c>
      <c r="H1079">
        <v>0</v>
      </c>
      <c r="I1079">
        <f>Table9[[#This Row],[quantity]]*Table9[[#This Row],[unitPrice]]*(1-Table9[[#This Row],[discount]]/100)</f>
        <v>1710</v>
      </c>
      <c r="J1079" t="str">
        <f>_xlfn.XLOOKUP(_xlfn.XLOOKUP(A1079,orders[orderID],orders[customerID],,0),customers__2[customerID],customers__2[companyName],,0)</f>
        <v>Save-a-lot Markets</v>
      </c>
      <c r="K1079" t="str">
        <f>_xlfn.XLOOKUP(Table9[[#This Row],[Company Name]],customers__2[companyName],customers__2[country],,0)</f>
        <v>USA</v>
      </c>
      <c r="L1079">
        <f>MONTH(Table9[[#This Row],[OrderDate ]])</f>
        <v>9</v>
      </c>
      <c r="M1079" t="str">
        <f>TEXT(Table9[[#This Row],[OrderDate ]],"mmm")</f>
        <v>Sep</v>
      </c>
      <c r="N1079">
        <f>YEAR(Table9[[#This Row],[OrderDate ]])</f>
        <v>2014</v>
      </c>
    </row>
    <row r="1080" spans="1:14" x14ac:dyDescent="0.3">
      <c r="A1080">
        <v>10657</v>
      </c>
      <c r="B1080" s="2">
        <f>_xlfn.XLOOKUP(Table9[[#This Row],[orderID]],orders[orderID],orders[orderDate],,0)</f>
        <v>41886</v>
      </c>
      <c r="C1080">
        <f>_xlfn.XLOOKUP(A1080,order_details[orderID],order_details[productID],,0)</f>
        <v>15</v>
      </c>
      <c r="D1080" t="str">
        <f>_xlfn.XLOOKUP(C1080,products[productID],products[productName],,0)</f>
        <v>Genen Shouyu</v>
      </c>
      <c r="E1080" t="str">
        <f>_xlfn.XLOOKUP(_xlfn.XLOOKUP(Table9[[#This Row],[ProductName ]],products[productName],products[categoryID],,0),categories[categoryID],categories[categoryName],,0)</f>
        <v>Condiments</v>
      </c>
      <c r="F1080">
        <v>30</v>
      </c>
      <c r="G1080">
        <v>34</v>
      </c>
      <c r="H1080">
        <v>0</v>
      </c>
      <c r="I1080">
        <f>Table9[[#This Row],[quantity]]*Table9[[#This Row],[unitPrice]]*(1-Table9[[#This Row],[discount]]/100)</f>
        <v>1020</v>
      </c>
      <c r="J1080" t="str">
        <f>_xlfn.XLOOKUP(_xlfn.XLOOKUP(A1080,orders[orderID],orders[customerID],,0),customers__2[customerID],customers__2[companyName],,0)</f>
        <v>Save-a-lot Markets</v>
      </c>
      <c r="K1080" t="str">
        <f>_xlfn.XLOOKUP(Table9[[#This Row],[Company Name]],customers__2[companyName],customers__2[country],,0)</f>
        <v>USA</v>
      </c>
      <c r="L1080">
        <f>MONTH(Table9[[#This Row],[OrderDate ]])</f>
        <v>9</v>
      </c>
      <c r="M1080" t="str">
        <f>TEXT(Table9[[#This Row],[OrderDate ]],"mmm")</f>
        <v>Sep</v>
      </c>
      <c r="N1080">
        <f>YEAR(Table9[[#This Row],[OrderDate ]])</f>
        <v>2014</v>
      </c>
    </row>
    <row r="1081" spans="1:14" x14ac:dyDescent="0.3">
      <c r="A1081">
        <v>10658</v>
      </c>
      <c r="B1081" s="2">
        <f>_xlfn.XLOOKUP(Table9[[#This Row],[orderID]],orders[orderID],orders[orderDate],,0)</f>
        <v>41887</v>
      </c>
      <c r="C1081">
        <f>_xlfn.XLOOKUP(A1081,order_details[orderID],order_details[productID],,0)</f>
        <v>21</v>
      </c>
      <c r="D1081" t="str">
        <f>_xlfn.XLOOKUP(C1081,products[productID],products[productName],,0)</f>
        <v>Sir Rodney's Scones</v>
      </c>
      <c r="E1081" t="str">
        <f>_xlfn.XLOOKUP(_xlfn.XLOOKUP(Table9[[#This Row],[ProductName ]],products[productName],products[categoryID],,0),categories[categoryID],categories[categoryName],,0)</f>
        <v>Confections</v>
      </c>
      <c r="F1081">
        <v>60</v>
      </c>
      <c r="G1081">
        <v>10</v>
      </c>
      <c r="H1081">
        <v>0</v>
      </c>
      <c r="I1081">
        <f>Table9[[#This Row],[quantity]]*Table9[[#This Row],[unitPrice]]*(1-Table9[[#This Row],[discount]]/100)</f>
        <v>600</v>
      </c>
      <c r="J1081" t="str">
        <f>_xlfn.XLOOKUP(_xlfn.XLOOKUP(A1081,orders[orderID],orders[customerID],,0),customers__2[customerID],customers__2[companyName],,0)</f>
        <v>QUICK-Stop</v>
      </c>
      <c r="K1081" t="str">
        <f>_xlfn.XLOOKUP(Table9[[#This Row],[Company Name]],customers__2[companyName],customers__2[country],,0)</f>
        <v>Germany</v>
      </c>
      <c r="L1081">
        <f>MONTH(Table9[[#This Row],[OrderDate ]])</f>
        <v>9</v>
      </c>
      <c r="M1081" t="str">
        <f>TEXT(Table9[[#This Row],[OrderDate ]],"mmm")</f>
        <v>Sep</v>
      </c>
      <c r="N1081">
        <f>YEAR(Table9[[#This Row],[OrderDate ]])</f>
        <v>2014</v>
      </c>
    </row>
    <row r="1082" spans="1:14" x14ac:dyDescent="0.3">
      <c r="A1082">
        <v>10658</v>
      </c>
      <c r="B1082" s="2">
        <f>_xlfn.XLOOKUP(Table9[[#This Row],[orderID]],orders[orderID],orders[orderDate],,0)</f>
        <v>41887</v>
      </c>
      <c r="C1082">
        <f>_xlfn.XLOOKUP(A1082,order_details[orderID],order_details[productID],,0)</f>
        <v>21</v>
      </c>
      <c r="D1082" t="str">
        <f>_xlfn.XLOOKUP(C1082,products[productID],products[productName],,0)</f>
        <v>Sir Rodney's Scones</v>
      </c>
      <c r="E1082" t="str">
        <f>_xlfn.XLOOKUP(_xlfn.XLOOKUP(Table9[[#This Row],[ProductName ]],products[productName],products[categoryID],,0),categories[categoryID],categories[categoryName],,0)</f>
        <v>Confections</v>
      </c>
      <c r="F1082">
        <v>70</v>
      </c>
      <c r="G1082">
        <v>184</v>
      </c>
      <c r="H1082">
        <v>5</v>
      </c>
      <c r="I1082">
        <f>Table9[[#This Row],[quantity]]*Table9[[#This Row],[unitPrice]]*(1-Table9[[#This Row],[discount]]/100)</f>
        <v>12236</v>
      </c>
      <c r="J1082" t="str">
        <f>_xlfn.XLOOKUP(_xlfn.XLOOKUP(A1082,orders[orderID],orders[customerID],,0),customers__2[customerID],customers__2[companyName],,0)</f>
        <v>QUICK-Stop</v>
      </c>
      <c r="K1082" t="str">
        <f>_xlfn.XLOOKUP(Table9[[#This Row],[Company Name]],customers__2[companyName],customers__2[country],,0)</f>
        <v>Germany</v>
      </c>
      <c r="L1082">
        <f>MONTH(Table9[[#This Row],[OrderDate ]])</f>
        <v>9</v>
      </c>
      <c r="M1082" t="str">
        <f>TEXT(Table9[[#This Row],[OrderDate ]],"mmm")</f>
        <v>Sep</v>
      </c>
      <c r="N1082">
        <f>YEAR(Table9[[#This Row],[OrderDate ]])</f>
        <v>2014</v>
      </c>
    </row>
    <row r="1083" spans="1:14" x14ac:dyDescent="0.3">
      <c r="A1083">
        <v>10658</v>
      </c>
      <c r="B1083" s="2">
        <f>_xlfn.XLOOKUP(Table9[[#This Row],[orderID]],orders[orderID],orders[orderDate],,0)</f>
        <v>41887</v>
      </c>
      <c r="C1083">
        <f>_xlfn.XLOOKUP(A1083,order_details[orderID],order_details[productID],,0)</f>
        <v>21</v>
      </c>
      <c r="D1083" t="str">
        <f>_xlfn.XLOOKUP(C1083,products[productID],products[productName],,0)</f>
        <v>Sir Rodney's Scones</v>
      </c>
      <c r="E1083" t="str">
        <f>_xlfn.XLOOKUP(_xlfn.XLOOKUP(Table9[[#This Row],[ProductName ]],products[productName],products[categoryID],,0),categories[categoryID],categories[categoryName],,0)</f>
        <v>Confections</v>
      </c>
      <c r="F1083">
        <v>55</v>
      </c>
      <c r="G1083">
        <v>34</v>
      </c>
      <c r="H1083">
        <v>5</v>
      </c>
      <c r="I1083">
        <f>Table9[[#This Row],[quantity]]*Table9[[#This Row],[unitPrice]]*(1-Table9[[#This Row],[discount]]/100)</f>
        <v>1776.5</v>
      </c>
      <c r="J1083" t="str">
        <f>_xlfn.XLOOKUP(_xlfn.XLOOKUP(A1083,orders[orderID],orders[customerID],,0),customers__2[customerID],customers__2[companyName],,0)</f>
        <v>QUICK-Stop</v>
      </c>
      <c r="K1083" t="str">
        <f>_xlfn.XLOOKUP(Table9[[#This Row],[Company Name]],customers__2[companyName],customers__2[country],,0)</f>
        <v>Germany</v>
      </c>
      <c r="L1083">
        <f>MONTH(Table9[[#This Row],[OrderDate ]])</f>
        <v>9</v>
      </c>
      <c r="M1083" t="str">
        <f>TEXT(Table9[[#This Row],[OrderDate ]],"mmm")</f>
        <v>Sep</v>
      </c>
      <c r="N1083">
        <f>YEAR(Table9[[#This Row],[OrderDate ]])</f>
        <v>2014</v>
      </c>
    </row>
    <row r="1084" spans="1:14" x14ac:dyDescent="0.3">
      <c r="A1084">
        <v>10658</v>
      </c>
      <c r="B1084" s="2">
        <f>_xlfn.XLOOKUP(Table9[[#This Row],[orderID]],orders[orderID],orders[orderDate],,0)</f>
        <v>41887</v>
      </c>
      <c r="C1084">
        <f>_xlfn.XLOOKUP(A1084,order_details[orderID],order_details[productID],,0)</f>
        <v>21</v>
      </c>
      <c r="D1084" t="str">
        <f>_xlfn.XLOOKUP(C1084,products[productID],products[productName],,0)</f>
        <v>Sir Rodney's Scones</v>
      </c>
      <c r="E1084" t="str">
        <f>_xlfn.XLOOKUP(_xlfn.XLOOKUP(Table9[[#This Row],[ProductName ]],products[productName],products[categoryID],,0),categories[categoryID],categories[categoryName],,0)</f>
        <v>Confections</v>
      </c>
      <c r="F1084">
        <v>70</v>
      </c>
      <c r="G1084">
        <v>13</v>
      </c>
      <c r="H1084">
        <v>5</v>
      </c>
      <c r="I1084">
        <f>Table9[[#This Row],[quantity]]*Table9[[#This Row],[unitPrice]]*(1-Table9[[#This Row],[discount]]/100)</f>
        <v>864.5</v>
      </c>
      <c r="J1084" t="str">
        <f>_xlfn.XLOOKUP(_xlfn.XLOOKUP(A1084,orders[orderID],orders[customerID],,0),customers__2[customerID],customers__2[companyName],,0)</f>
        <v>QUICK-Stop</v>
      </c>
      <c r="K1084" t="str">
        <f>_xlfn.XLOOKUP(Table9[[#This Row],[Company Name]],customers__2[companyName],customers__2[country],,0)</f>
        <v>Germany</v>
      </c>
      <c r="L1084">
        <f>MONTH(Table9[[#This Row],[OrderDate ]])</f>
        <v>9</v>
      </c>
      <c r="M1084" t="str">
        <f>TEXT(Table9[[#This Row],[OrderDate ]],"mmm")</f>
        <v>Sep</v>
      </c>
      <c r="N1084">
        <f>YEAR(Table9[[#This Row],[OrderDate ]])</f>
        <v>2014</v>
      </c>
    </row>
    <row r="1085" spans="1:14" x14ac:dyDescent="0.3">
      <c r="A1085">
        <v>10659</v>
      </c>
      <c r="B1085" s="2">
        <f>_xlfn.XLOOKUP(Table9[[#This Row],[orderID]],orders[orderID],orders[orderDate],,0)</f>
        <v>41887</v>
      </c>
      <c r="C1085">
        <f>_xlfn.XLOOKUP(A1085,order_details[orderID],order_details[productID],,0)</f>
        <v>31</v>
      </c>
      <c r="D1085" t="str">
        <f>_xlfn.XLOOKUP(C1085,products[productID],products[productName],,0)</f>
        <v>Gorgonzola Telino</v>
      </c>
      <c r="E1085" t="str">
        <f>_xlfn.XLOOKUP(_xlfn.XLOOKUP(Table9[[#This Row],[ProductName ]],products[productName],products[categoryID],,0),categories[categoryID],categories[categoryName],,0)</f>
        <v>Dairy Products</v>
      </c>
      <c r="F1085">
        <v>20</v>
      </c>
      <c r="G1085">
        <v>125</v>
      </c>
      <c r="H1085">
        <v>5</v>
      </c>
      <c r="I1085">
        <f>Table9[[#This Row],[quantity]]*Table9[[#This Row],[unitPrice]]*(1-Table9[[#This Row],[discount]]/100)</f>
        <v>2375</v>
      </c>
      <c r="J1085" t="str">
        <f>_xlfn.XLOOKUP(_xlfn.XLOOKUP(A1085,orders[orderID],orders[customerID],,0),customers__2[customerID],customers__2[companyName],,0)</f>
        <v>Queen Cozinha</v>
      </c>
      <c r="K1085" t="str">
        <f>_xlfn.XLOOKUP(Table9[[#This Row],[Company Name]],customers__2[companyName],customers__2[country],,0)</f>
        <v>Brazil</v>
      </c>
      <c r="L1085">
        <f>MONTH(Table9[[#This Row],[OrderDate ]])</f>
        <v>9</v>
      </c>
      <c r="M1085" t="str">
        <f>TEXT(Table9[[#This Row],[OrderDate ]],"mmm")</f>
        <v>Sep</v>
      </c>
      <c r="N1085">
        <f>YEAR(Table9[[#This Row],[OrderDate ]])</f>
        <v>2014</v>
      </c>
    </row>
    <row r="1086" spans="1:14" x14ac:dyDescent="0.3">
      <c r="A1086">
        <v>10659</v>
      </c>
      <c r="B1086" s="2">
        <f>_xlfn.XLOOKUP(Table9[[#This Row],[orderID]],orders[orderID],orders[orderDate],,0)</f>
        <v>41887</v>
      </c>
      <c r="C1086">
        <f>_xlfn.XLOOKUP(A1086,order_details[orderID],order_details[productID],,0)</f>
        <v>31</v>
      </c>
      <c r="D1086" t="str">
        <f>_xlfn.XLOOKUP(C1086,products[productID],products[productName],,0)</f>
        <v>Gorgonzola Telino</v>
      </c>
      <c r="E1086" t="str">
        <f>_xlfn.XLOOKUP(_xlfn.XLOOKUP(Table9[[#This Row],[ProductName ]],products[productName],products[categoryID],,0),categories[categoryID],categories[categoryName],,0)</f>
        <v>Dairy Products</v>
      </c>
      <c r="F1086">
        <v>24</v>
      </c>
      <c r="G1086">
        <v>184</v>
      </c>
      <c r="H1086">
        <v>5</v>
      </c>
      <c r="I1086">
        <f>Table9[[#This Row],[quantity]]*Table9[[#This Row],[unitPrice]]*(1-Table9[[#This Row],[discount]]/100)</f>
        <v>4195.2</v>
      </c>
      <c r="J1086" t="str">
        <f>_xlfn.XLOOKUP(_xlfn.XLOOKUP(A1086,orders[orderID],orders[customerID],,0),customers__2[customerID],customers__2[companyName],,0)</f>
        <v>Queen Cozinha</v>
      </c>
      <c r="K1086" t="str">
        <f>_xlfn.XLOOKUP(Table9[[#This Row],[Company Name]],customers__2[companyName],customers__2[country],,0)</f>
        <v>Brazil</v>
      </c>
      <c r="L1086">
        <f>MONTH(Table9[[#This Row],[OrderDate ]])</f>
        <v>9</v>
      </c>
      <c r="M1086" t="str">
        <f>TEXT(Table9[[#This Row],[OrderDate ]],"mmm")</f>
        <v>Sep</v>
      </c>
      <c r="N1086">
        <f>YEAR(Table9[[#This Row],[OrderDate ]])</f>
        <v>2014</v>
      </c>
    </row>
    <row r="1087" spans="1:14" x14ac:dyDescent="0.3">
      <c r="A1087">
        <v>10659</v>
      </c>
      <c r="B1087" s="2">
        <f>_xlfn.XLOOKUP(Table9[[#This Row],[orderID]],orders[orderID],orders[orderDate],,0)</f>
        <v>41887</v>
      </c>
      <c r="C1087">
        <f>_xlfn.XLOOKUP(A1087,order_details[orderID],order_details[productID],,0)</f>
        <v>31</v>
      </c>
      <c r="D1087" t="str">
        <f>_xlfn.XLOOKUP(C1087,products[productID],products[productName],,0)</f>
        <v>Gorgonzola Telino</v>
      </c>
      <c r="E1087" t="str">
        <f>_xlfn.XLOOKUP(_xlfn.XLOOKUP(Table9[[#This Row],[ProductName ]],products[productName],products[categoryID],,0),categories[categoryID],categories[categoryName],,0)</f>
        <v>Dairy Products</v>
      </c>
      <c r="F1087">
        <v>40</v>
      </c>
      <c r="G1087">
        <v>15</v>
      </c>
      <c r="H1087">
        <v>5</v>
      </c>
      <c r="I1087">
        <f>Table9[[#This Row],[quantity]]*Table9[[#This Row],[unitPrice]]*(1-Table9[[#This Row],[discount]]/100)</f>
        <v>570</v>
      </c>
      <c r="J1087" t="str">
        <f>_xlfn.XLOOKUP(_xlfn.XLOOKUP(A1087,orders[orderID],orders[customerID],,0),customers__2[customerID],customers__2[companyName],,0)</f>
        <v>Queen Cozinha</v>
      </c>
      <c r="K1087" t="str">
        <f>_xlfn.XLOOKUP(Table9[[#This Row],[Company Name]],customers__2[companyName],customers__2[country],,0)</f>
        <v>Brazil</v>
      </c>
      <c r="L1087">
        <f>MONTH(Table9[[#This Row],[OrderDate ]])</f>
        <v>9</v>
      </c>
      <c r="M1087" t="str">
        <f>TEXT(Table9[[#This Row],[OrderDate ]],"mmm")</f>
        <v>Sep</v>
      </c>
      <c r="N1087">
        <f>YEAR(Table9[[#This Row],[OrderDate ]])</f>
        <v>2014</v>
      </c>
    </row>
    <row r="1088" spans="1:14" x14ac:dyDescent="0.3">
      <c r="A1088">
        <v>10660</v>
      </c>
      <c r="B1088" s="2">
        <f>_xlfn.XLOOKUP(Table9[[#This Row],[orderID]],orders[orderID],orders[orderDate],,0)</f>
        <v>41890</v>
      </c>
      <c r="C1088">
        <f>_xlfn.XLOOKUP(A1088,order_details[orderID],order_details[productID],,0)</f>
        <v>20</v>
      </c>
      <c r="D1088" t="str">
        <f>_xlfn.XLOOKUP(C1088,products[productID],products[productName],,0)</f>
        <v>Sir Rodney's Marmalade</v>
      </c>
      <c r="E1088" t="str">
        <f>_xlfn.XLOOKUP(_xlfn.XLOOKUP(Table9[[#This Row],[ProductName ]],products[productName],products[categoryID],,0),categories[categoryID],categories[categoryName],,0)</f>
        <v>Confections</v>
      </c>
      <c r="F1088">
        <v>21</v>
      </c>
      <c r="G1088">
        <v>81</v>
      </c>
      <c r="H1088">
        <v>0</v>
      </c>
      <c r="I1088">
        <f>Table9[[#This Row],[quantity]]*Table9[[#This Row],[unitPrice]]*(1-Table9[[#This Row],[discount]]/100)</f>
        <v>1701</v>
      </c>
      <c r="J1088" t="str">
        <f>_xlfn.XLOOKUP(_xlfn.XLOOKUP(A1088,orders[orderID],orders[customerID],,0),customers__2[customerID],customers__2[companyName],,0)</f>
        <v>Hungry Coyote Import Store</v>
      </c>
      <c r="K1088" t="str">
        <f>_xlfn.XLOOKUP(Table9[[#This Row],[Company Name]],customers__2[companyName],customers__2[country],,0)</f>
        <v>USA</v>
      </c>
      <c r="L1088">
        <f>MONTH(Table9[[#This Row],[OrderDate ]])</f>
        <v>9</v>
      </c>
      <c r="M1088" t="str">
        <f>TEXT(Table9[[#This Row],[OrderDate ]],"mmm")</f>
        <v>Sep</v>
      </c>
      <c r="N1088">
        <f>YEAR(Table9[[#This Row],[OrderDate ]])</f>
        <v>2014</v>
      </c>
    </row>
    <row r="1089" spans="1:14" x14ac:dyDescent="0.3">
      <c r="A1089">
        <v>10661</v>
      </c>
      <c r="B1089" s="2">
        <f>_xlfn.XLOOKUP(Table9[[#This Row],[orderID]],orders[orderID],orders[orderDate],,0)</f>
        <v>41891</v>
      </c>
      <c r="C1089">
        <f>_xlfn.XLOOKUP(A1089,order_details[orderID],order_details[productID],,0)</f>
        <v>39</v>
      </c>
      <c r="D1089" t="str">
        <f>_xlfn.XLOOKUP(C1089,products[productID],products[productName],,0)</f>
        <v>Chartreuse verte</v>
      </c>
      <c r="E1089" t="str">
        <f>_xlfn.XLOOKUP(_xlfn.XLOOKUP(Table9[[#This Row],[ProductName ]],products[productName],products[categoryID],,0),categories[categoryID],categories[categoryName],,0)</f>
        <v>Beverages</v>
      </c>
      <c r="F1089">
        <v>3</v>
      </c>
      <c r="G1089">
        <v>18</v>
      </c>
      <c r="H1089">
        <v>2</v>
      </c>
      <c r="I1089">
        <f>Table9[[#This Row],[quantity]]*Table9[[#This Row],[unitPrice]]*(1-Table9[[#This Row],[discount]]/100)</f>
        <v>52.92</v>
      </c>
      <c r="J1089" t="str">
        <f>_xlfn.XLOOKUP(_xlfn.XLOOKUP(A1089,orders[orderID],orders[customerID],,0),customers__2[customerID],customers__2[companyName],,0)</f>
        <v>Hungry Owl All-Night Grocers</v>
      </c>
      <c r="K1089" t="str">
        <f>_xlfn.XLOOKUP(Table9[[#This Row],[Company Name]],customers__2[companyName],customers__2[country],,0)</f>
        <v>Ireland</v>
      </c>
      <c r="L1089">
        <f>MONTH(Table9[[#This Row],[OrderDate ]])</f>
        <v>9</v>
      </c>
      <c r="M1089" t="str">
        <f>TEXT(Table9[[#This Row],[OrderDate ]],"mmm")</f>
        <v>Sep</v>
      </c>
      <c r="N1089">
        <f>YEAR(Table9[[#This Row],[OrderDate ]])</f>
        <v>2014</v>
      </c>
    </row>
    <row r="1090" spans="1:14" x14ac:dyDescent="0.3">
      <c r="A1090">
        <v>10661</v>
      </c>
      <c r="B1090" s="2">
        <f>_xlfn.XLOOKUP(Table9[[#This Row],[orderID]],orders[orderID],orders[orderDate],,0)</f>
        <v>41891</v>
      </c>
      <c r="C1090">
        <f>_xlfn.XLOOKUP(A1090,order_details[orderID],order_details[productID],,0)</f>
        <v>39</v>
      </c>
      <c r="D1090" t="str">
        <f>_xlfn.XLOOKUP(C1090,products[productID],products[productName],,0)</f>
        <v>Chartreuse verte</v>
      </c>
      <c r="E1090" t="str">
        <f>_xlfn.XLOOKUP(_xlfn.XLOOKUP(Table9[[#This Row],[ProductName ]],products[productName],products[categoryID],,0),categories[categoryID],categories[categoryName],,0)</f>
        <v>Beverages</v>
      </c>
      <c r="F1090">
        <v>49</v>
      </c>
      <c r="G1090">
        <v>1325</v>
      </c>
      <c r="H1090">
        <v>2</v>
      </c>
      <c r="I1090">
        <f>Table9[[#This Row],[quantity]]*Table9[[#This Row],[unitPrice]]*(1-Table9[[#This Row],[discount]]/100)</f>
        <v>63626.5</v>
      </c>
      <c r="J1090" t="str">
        <f>_xlfn.XLOOKUP(_xlfn.XLOOKUP(A1090,orders[orderID],orders[customerID],,0),customers__2[customerID],customers__2[companyName],,0)</f>
        <v>Hungry Owl All-Night Grocers</v>
      </c>
      <c r="K1090" t="str">
        <f>_xlfn.XLOOKUP(Table9[[#This Row],[Company Name]],customers__2[companyName],customers__2[country],,0)</f>
        <v>Ireland</v>
      </c>
      <c r="L1090">
        <f>MONTH(Table9[[#This Row],[OrderDate ]])</f>
        <v>9</v>
      </c>
      <c r="M1090" t="str">
        <f>TEXT(Table9[[#This Row],[OrderDate ]],"mmm")</f>
        <v>Sep</v>
      </c>
      <c r="N1090">
        <f>YEAR(Table9[[#This Row],[OrderDate ]])</f>
        <v>2014</v>
      </c>
    </row>
    <row r="1091" spans="1:14" x14ac:dyDescent="0.3">
      <c r="A1091">
        <v>10662</v>
      </c>
      <c r="B1091" s="2">
        <f>_xlfn.XLOOKUP(Table9[[#This Row],[orderID]],orders[orderID],orders[orderDate],,0)</f>
        <v>41891</v>
      </c>
      <c r="C1091">
        <f>_xlfn.XLOOKUP(A1091,order_details[orderID],order_details[productID],,0)</f>
        <v>68</v>
      </c>
      <c r="D1091" t="str">
        <f>_xlfn.XLOOKUP(C1091,products[productID],products[productName],,0)</f>
        <v>Scottish Longbreads</v>
      </c>
      <c r="E1091" t="str">
        <f>_xlfn.XLOOKUP(_xlfn.XLOOKUP(Table9[[#This Row],[ProductName ]],products[productName],products[categoryID],,0),categories[categoryID],categories[categoryName],,0)</f>
        <v>Confections</v>
      </c>
      <c r="F1091">
        <v>10</v>
      </c>
      <c r="G1091">
        <v>125</v>
      </c>
      <c r="H1091">
        <v>0</v>
      </c>
      <c r="I1091">
        <f>Table9[[#This Row],[quantity]]*Table9[[#This Row],[unitPrice]]*(1-Table9[[#This Row],[discount]]/100)</f>
        <v>1250</v>
      </c>
      <c r="J1091" t="str">
        <f>_xlfn.XLOOKUP(_xlfn.XLOOKUP(A1091,orders[orderID],orders[customerID],,0),customers__2[customerID],customers__2[companyName],,0)</f>
        <v>Lonesome Pine Restaurant</v>
      </c>
      <c r="K1091" t="str">
        <f>_xlfn.XLOOKUP(Table9[[#This Row],[Company Name]],customers__2[companyName],customers__2[country],,0)</f>
        <v>USA</v>
      </c>
      <c r="L1091">
        <f>MONTH(Table9[[#This Row],[OrderDate ]])</f>
        <v>9</v>
      </c>
      <c r="M1091" t="str">
        <f>TEXT(Table9[[#This Row],[OrderDate ]],"mmm")</f>
        <v>Sep</v>
      </c>
      <c r="N1091">
        <f>YEAR(Table9[[#This Row],[OrderDate ]])</f>
        <v>2014</v>
      </c>
    </row>
    <row r="1092" spans="1:14" x14ac:dyDescent="0.3">
      <c r="A1092">
        <v>10663</v>
      </c>
      <c r="B1092" s="2">
        <f>_xlfn.XLOOKUP(Table9[[#This Row],[orderID]],orders[orderID],orders[orderDate],,0)</f>
        <v>41892</v>
      </c>
      <c r="C1092">
        <f>_xlfn.XLOOKUP(A1092,order_details[orderID],order_details[productID],,0)</f>
        <v>40</v>
      </c>
      <c r="D1092" t="str">
        <f>_xlfn.XLOOKUP(C1092,products[productID],products[productName],,0)</f>
        <v>Boston Crab Meat</v>
      </c>
      <c r="E1092" t="str">
        <f>_xlfn.XLOOKUP(_xlfn.XLOOKUP(Table9[[#This Row],[ProductName ]],products[productName],products[categoryID],,0),categories[categoryID],categories[categoryName],,0)</f>
        <v>Seafood</v>
      </c>
      <c r="F1092">
        <v>30</v>
      </c>
      <c r="G1092">
        <v>184</v>
      </c>
      <c r="H1092">
        <v>5</v>
      </c>
      <c r="I1092">
        <f>Table9[[#This Row],[quantity]]*Table9[[#This Row],[unitPrice]]*(1-Table9[[#This Row],[discount]]/100)</f>
        <v>5244</v>
      </c>
      <c r="J1092" t="str">
        <f>_xlfn.XLOOKUP(_xlfn.XLOOKUP(A1092,orders[orderID],orders[customerID],,0),customers__2[customerID],customers__2[companyName],,0)</f>
        <v>Bon app'</v>
      </c>
      <c r="K1092" t="str">
        <f>_xlfn.XLOOKUP(Table9[[#This Row],[Company Name]],customers__2[companyName],customers__2[country],,0)</f>
        <v>France</v>
      </c>
      <c r="L1092">
        <f>MONTH(Table9[[#This Row],[OrderDate ]])</f>
        <v>9</v>
      </c>
      <c r="M1092" t="str">
        <f>TEXT(Table9[[#This Row],[OrderDate ]],"mmm")</f>
        <v>Sep</v>
      </c>
      <c r="N1092">
        <f>YEAR(Table9[[#This Row],[OrderDate ]])</f>
        <v>2014</v>
      </c>
    </row>
    <row r="1093" spans="1:14" x14ac:dyDescent="0.3">
      <c r="A1093">
        <v>10663</v>
      </c>
      <c r="B1093" s="2">
        <f>_xlfn.XLOOKUP(Table9[[#This Row],[orderID]],orders[orderID],orders[orderDate],,0)</f>
        <v>41892</v>
      </c>
      <c r="C1093">
        <f>_xlfn.XLOOKUP(A1093,order_details[orderID],order_details[productID],,0)</f>
        <v>40</v>
      </c>
      <c r="D1093" t="str">
        <f>_xlfn.XLOOKUP(C1093,products[productID],products[productName],,0)</f>
        <v>Boston Crab Meat</v>
      </c>
      <c r="E1093" t="str">
        <f>_xlfn.XLOOKUP(_xlfn.XLOOKUP(Table9[[#This Row],[ProductName ]],products[productName],products[categoryID],,0),categories[categoryID],categories[categoryName],,0)</f>
        <v>Seafood</v>
      </c>
      <c r="F1093">
        <v>30</v>
      </c>
      <c r="G1093">
        <v>14</v>
      </c>
      <c r="H1093">
        <v>5</v>
      </c>
      <c r="I1093">
        <f>Table9[[#This Row],[quantity]]*Table9[[#This Row],[unitPrice]]*(1-Table9[[#This Row],[discount]]/100)</f>
        <v>399</v>
      </c>
      <c r="J1093" t="str">
        <f>_xlfn.XLOOKUP(_xlfn.XLOOKUP(A1093,orders[orderID],orders[customerID],,0),customers__2[customerID],customers__2[companyName],,0)</f>
        <v>Bon app'</v>
      </c>
      <c r="K1093" t="str">
        <f>_xlfn.XLOOKUP(Table9[[#This Row],[Company Name]],customers__2[companyName],customers__2[country],,0)</f>
        <v>France</v>
      </c>
      <c r="L1093">
        <f>MONTH(Table9[[#This Row],[OrderDate ]])</f>
        <v>9</v>
      </c>
      <c r="M1093" t="str">
        <f>TEXT(Table9[[#This Row],[OrderDate ]],"mmm")</f>
        <v>Sep</v>
      </c>
      <c r="N1093">
        <f>YEAR(Table9[[#This Row],[OrderDate ]])</f>
        <v>2014</v>
      </c>
    </row>
    <row r="1094" spans="1:14" x14ac:dyDescent="0.3">
      <c r="A1094">
        <v>10663</v>
      </c>
      <c r="B1094" s="2">
        <f>_xlfn.XLOOKUP(Table9[[#This Row],[orderID]],orders[orderID],orders[orderDate],,0)</f>
        <v>41892</v>
      </c>
      <c r="C1094">
        <f>_xlfn.XLOOKUP(A1094,order_details[orderID],order_details[productID],,0)</f>
        <v>40</v>
      </c>
      <c r="D1094" t="str">
        <f>_xlfn.XLOOKUP(C1094,products[productID],products[productName],,0)</f>
        <v>Boston Crab Meat</v>
      </c>
      <c r="E1094" t="str">
        <f>_xlfn.XLOOKUP(_xlfn.XLOOKUP(Table9[[#This Row],[ProductName ]],products[productName],products[categoryID],,0),categories[categoryID],categories[categoryName],,0)</f>
        <v>Seafood</v>
      </c>
      <c r="F1094">
        <v>20</v>
      </c>
      <c r="G1094">
        <v>53</v>
      </c>
      <c r="H1094">
        <v>5</v>
      </c>
      <c r="I1094">
        <f>Table9[[#This Row],[quantity]]*Table9[[#This Row],[unitPrice]]*(1-Table9[[#This Row],[discount]]/100)</f>
        <v>1007</v>
      </c>
      <c r="J1094" t="str">
        <f>_xlfn.XLOOKUP(_xlfn.XLOOKUP(A1094,orders[orderID],orders[customerID],,0),customers__2[customerID],customers__2[companyName],,0)</f>
        <v>Bon app'</v>
      </c>
      <c r="K1094" t="str">
        <f>_xlfn.XLOOKUP(Table9[[#This Row],[Company Name]],customers__2[companyName],customers__2[country],,0)</f>
        <v>France</v>
      </c>
      <c r="L1094">
        <f>MONTH(Table9[[#This Row],[OrderDate ]])</f>
        <v>9</v>
      </c>
      <c r="M1094" t="str">
        <f>TEXT(Table9[[#This Row],[OrderDate ]],"mmm")</f>
        <v>Sep</v>
      </c>
      <c r="N1094">
        <f>YEAR(Table9[[#This Row],[OrderDate ]])</f>
        <v>2014</v>
      </c>
    </row>
    <row r="1095" spans="1:14" x14ac:dyDescent="0.3">
      <c r="A1095">
        <v>10664</v>
      </c>
      <c r="B1095" s="2">
        <f>_xlfn.XLOOKUP(Table9[[#This Row],[orderID]],orders[orderID],orders[orderDate],,0)</f>
        <v>41892</v>
      </c>
      <c r="C1095">
        <f>_xlfn.XLOOKUP(A1095,order_details[orderID],order_details[productID],,0)</f>
        <v>10</v>
      </c>
      <c r="D1095" t="str">
        <f>_xlfn.XLOOKUP(C1095,products[productID],products[productName],,0)</f>
        <v>Ikura</v>
      </c>
      <c r="E1095" t="str">
        <f>_xlfn.XLOOKUP(_xlfn.XLOOKUP(Table9[[#This Row],[ProductName ]],products[productName],products[categoryID],,0),categories[categoryID],categories[categoryName],,0)</f>
        <v>Seafood</v>
      </c>
      <c r="F1095">
        <v>24</v>
      </c>
      <c r="G1095">
        <v>31</v>
      </c>
      <c r="H1095">
        <v>15</v>
      </c>
      <c r="I1095">
        <f>Table9[[#This Row],[quantity]]*Table9[[#This Row],[unitPrice]]*(1-Table9[[#This Row],[discount]]/100)</f>
        <v>632.4</v>
      </c>
      <c r="J1095" t="str">
        <f>_xlfn.XLOOKUP(_xlfn.XLOOKUP(A1095,orders[orderID],orders[customerID],,0),customers__2[customerID],customers__2[companyName],,0)</f>
        <v>Furia Bacalhau e Frutos do Mar</v>
      </c>
      <c r="K1095" t="str">
        <f>_xlfn.XLOOKUP(Table9[[#This Row],[Company Name]],customers__2[companyName],customers__2[country],,0)</f>
        <v>Portugal</v>
      </c>
      <c r="L1095">
        <f>MONTH(Table9[[#This Row],[OrderDate ]])</f>
        <v>9</v>
      </c>
      <c r="M1095" t="str">
        <f>TEXT(Table9[[#This Row],[OrderDate ]],"mmm")</f>
        <v>Sep</v>
      </c>
      <c r="N1095">
        <f>YEAR(Table9[[#This Row],[OrderDate ]])</f>
        <v>2014</v>
      </c>
    </row>
    <row r="1096" spans="1:14" x14ac:dyDescent="0.3">
      <c r="A1096">
        <v>10664</v>
      </c>
      <c r="B1096" s="2">
        <f>_xlfn.XLOOKUP(Table9[[#This Row],[orderID]],orders[orderID],orders[orderDate],,0)</f>
        <v>41892</v>
      </c>
      <c r="C1096">
        <f>_xlfn.XLOOKUP(A1096,order_details[orderID],order_details[productID],,0)</f>
        <v>10</v>
      </c>
      <c r="D1096" t="str">
        <f>_xlfn.XLOOKUP(C1096,products[productID],products[productName],,0)</f>
        <v>Ikura</v>
      </c>
      <c r="E1096" t="str">
        <f>_xlfn.XLOOKUP(_xlfn.XLOOKUP(Table9[[#This Row],[ProductName ]],products[productName],products[categoryID],,0),categories[categoryID],categories[categoryName],,0)</f>
        <v>Seafood</v>
      </c>
      <c r="F1096">
        <v>12</v>
      </c>
      <c r="G1096">
        <v>38</v>
      </c>
      <c r="H1096">
        <v>15</v>
      </c>
      <c r="I1096">
        <f>Table9[[#This Row],[quantity]]*Table9[[#This Row],[unitPrice]]*(1-Table9[[#This Row],[discount]]/100)</f>
        <v>387.59999999999997</v>
      </c>
      <c r="J1096" t="str">
        <f>_xlfn.XLOOKUP(_xlfn.XLOOKUP(A1096,orders[orderID],orders[customerID],,0),customers__2[customerID],customers__2[companyName],,0)</f>
        <v>Furia Bacalhau e Frutos do Mar</v>
      </c>
      <c r="K1096" t="str">
        <f>_xlfn.XLOOKUP(Table9[[#This Row],[Company Name]],customers__2[companyName],customers__2[country],,0)</f>
        <v>Portugal</v>
      </c>
      <c r="L1096">
        <f>MONTH(Table9[[#This Row],[OrderDate ]])</f>
        <v>9</v>
      </c>
      <c r="M1096" t="str">
        <f>TEXT(Table9[[#This Row],[OrderDate ]],"mmm")</f>
        <v>Sep</v>
      </c>
      <c r="N1096">
        <f>YEAR(Table9[[#This Row],[OrderDate ]])</f>
        <v>2014</v>
      </c>
    </row>
    <row r="1097" spans="1:14" x14ac:dyDescent="0.3">
      <c r="A1097">
        <v>10664</v>
      </c>
      <c r="B1097" s="2">
        <f>_xlfn.XLOOKUP(Table9[[#This Row],[orderID]],orders[orderID],orders[orderDate],,0)</f>
        <v>41892</v>
      </c>
      <c r="C1097">
        <f>_xlfn.XLOOKUP(A1097,order_details[orderID],order_details[productID],,0)</f>
        <v>10</v>
      </c>
      <c r="D1097" t="str">
        <f>_xlfn.XLOOKUP(C1097,products[productID],products[productName],,0)</f>
        <v>Ikura</v>
      </c>
      <c r="E1097" t="str">
        <f>_xlfn.XLOOKUP(_xlfn.XLOOKUP(Table9[[#This Row],[ProductName ]],products[productName],products[categoryID],,0),categories[categoryID],categories[categoryName],,0)</f>
        <v>Seafood</v>
      </c>
      <c r="F1097">
        <v>15</v>
      </c>
      <c r="G1097">
        <v>2105</v>
      </c>
      <c r="H1097">
        <v>15</v>
      </c>
      <c r="I1097">
        <f>Table9[[#This Row],[quantity]]*Table9[[#This Row],[unitPrice]]*(1-Table9[[#This Row],[discount]]/100)</f>
        <v>26838.75</v>
      </c>
      <c r="J1097" t="str">
        <f>_xlfn.XLOOKUP(_xlfn.XLOOKUP(A1097,orders[orderID],orders[customerID],,0),customers__2[customerID],customers__2[companyName],,0)</f>
        <v>Furia Bacalhau e Frutos do Mar</v>
      </c>
      <c r="K1097" t="str">
        <f>_xlfn.XLOOKUP(Table9[[#This Row],[Company Name]],customers__2[companyName],customers__2[country],,0)</f>
        <v>Portugal</v>
      </c>
      <c r="L1097">
        <f>MONTH(Table9[[#This Row],[OrderDate ]])</f>
        <v>9</v>
      </c>
      <c r="M1097" t="str">
        <f>TEXT(Table9[[#This Row],[OrderDate ]],"mmm")</f>
        <v>Sep</v>
      </c>
      <c r="N1097">
        <f>YEAR(Table9[[#This Row],[OrderDate ]])</f>
        <v>2014</v>
      </c>
    </row>
    <row r="1098" spans="1:14" x14ac:dyDescent="0.3">
      <c r="A1098">
        <v>10665</v>
      </c>
      <c r="B1098" s="2">
        <f>_xlfn.XLOOKUP(Table9[[#This Row],[orderID]],orders[orderID],orders[orderDate],,0)</f>
        <v>41893</v>
      </c>
      <c r="C1098">
        <f>_xlfn.XLOOKUP(A1098,order_details[orderID],order_details[productID],,0)</f>
        <v>51</v>
      </c>
      <c r="D1098" t="str">
        <f>_xlfn.XLOOKUP(C1098,products[productID],products[productName],,0)</f>
        <v>Manjimup Dried Apples</v>
      </c>
      <c r="E1098" t="str">
        <f>_xlfn.XLOOKUP(_xlfn.XLOOKUP(Table9[[#This Row],[ProductName ]],products[productName],products[categoryID],,0),categories[categoryID],categories[categoryName],,0)</f>
        <v>Produce</v>
      </c>
      <c r="F1098">
        <v>20</v>
      </c>
      <c r="G1098">
        <v>53</v>
      </c>
      <c r="H1098">
        <v>0</v>
      </c>
      <c r="I1098">
        <f>Table9[[#This Row],[quantity]]*Table9[[#This Row],[unitPrice]]*(1-Table9[[#This Row],[discount]]/100)</f>
        <v>1060</v>
      </c>
      <c r="J1098" t="str">
        <f>_xlfn.XLOOKUP(_xlfn.XLOOKUP(A1098,orders[orderID],orders[customerID],,0),customers__2[customerID],customers__2[companyName],,0)</f>
        <v>Lonesome Pine Restaurant</v>
      </c>
      <c r="K1098" t="str">
        <f>_xlfn.XLOOKUP(Table9[[#This Row],[Company Name]],customers__2[companyName],customers__2[country],,0)</f>
        <v>USA</v>
      </c>
      <c r="L1098">
        <f>MONTH(Table9[[#This Row],[OrderDate ]])</f>
        <v>9</v>
      </c>
      <c r="M1098" t="str">
        <f>TEXT(Table9[[#This Row],[OrderDate ]],"mmm")</f>
        <v>Sep</v>
      </c>
      <c r="N1098">
        <f>YEAR(Table9[[#This Row],[OrderDate ]])</f>
        <v>2014</v>
      </c>
    </row>
    <row r="1099" spans="1:14" x14ac:dyDescent="0.3">
      <c r="A1099">
        <v>10665</v>
      </c>
      <c r="B1099" s="2">
        <f>_xlfn.XLOOKUP(Table9[[#This Row],[orderID]],orders[orderID],orders[orderDate],,0)</f>
        <v>41893</v>
      </c>
      <c r="C1099">
        <f>_xlfn.XLOOKUP(A1099,order_details[orderID],order_details[productID],,0)</f>
        <v>51</v>
      </c>
      <c r="D1099" t="str">
        <f>_xlfn.XLOOKUP(C1099,products[productID],products[productName],,0)</f>
        <v>Manjimup Dried Apples</v>
      </c>
      <c r="E1099" t="str">
        <f>_xlfn.XLOOKUP(_xlfn.XLOOKUP(Table9[[#This Row],[ProductName ]],products[productName],products[categoryID],,0),categories[categoryID],categories[categoryName],,0)</f>
        <v>Produce</v>
      </c>
      <c r="F1099">
        <v>1</v>
      </c>
      <c r="G1099">
        <v>55</v>
      </c>
      <c r="H1099">
        <v>0</v>
      </c>
      <c r="I1099">
        <f>Table9[[#This Row],[quantity]]*Table9[[#This Row],[unitPrice]]*(1-Table9[[#This Row],[discount]]/100)</f>
        <v>55</v>
      </c>
      <c r="J1099" t="str">
        <f>_xlfn.XLOOKUP(_xlfn.XLOOKUP(A1099,orders[orderID],orders[customerID],,0),customers__2[customerID],customers__2[companyName],,0)</f>
        <v>Lonesome Pine Restaurant</v>
      </c>
      <c r="K1099" t="str">
        <f>_xlfn.XLOOKUP(Table9[[#This Row],[Company Name]],customers__2[companyName],customers__2[country],,0)</f>
        <v>USA</v>
      </c>
      <c r="L1099">
        <f>MONTH(Table9[[#This Row],[OrderDate ]])</f>
        <v>9</v>
      </c>
      <c r="M1099" t="str">
        <f>TEXT(Table9[[#This Row],[OrderDate ]],"mmm")</f>
        <v>Sep</v>
      </c>
      <c r="N1099">
        <f>YEAR(Table9[[#This Row],[OrderDate ]])</f>
        <v>2014</v>
      </c>
    </row>
    <row r="1100" spans="1:14" x14ac:dyDescent="0.3">
      <c r="A1100">
        <v>10665</v>
      </c>
      <c r="B1100" s="2">
        <f>_xlfn.XLOOKUP(Table9[[#This Row],[orderID]],orders[orderID],orders[orderDate],,0)</f>
        <v>41893</v>
      </c>
      <c r="C1100">
        <f>_xlfn.XLOOKUP(A1100,order_details[orderID],order_details[productID],,0)</f>
        <v>51</v>
      </c>
      <c r="D1100" t="str">
        <f>_xlfn.XLOOKUP(C1100,products[productID],products[productName],,0)</f>
        <v>Manjimup Dried Apples</v>
      </c>
      <c r="E1100" t="str">
        <f>_xlfn.XLOOKUP(_xlfn.XLOOKUP(Table9[[#This Row],[ProductName ]],products[productName],products[categoryID],,0),categories[categoryID],categories[categoryName],,0)</f>
        <v>Produce</v>
      </c>
      <c r="F1100">
        <v>10</v>
      </c>
      <c r="G1100">
        <v>18</v>
      </c>
      <c r="H1100">
        <v>0</v>
      </c>
      <c r="I1100">
        <f>Table9[[#This Row],[quantity]]*Table9[[#This Row],[unitPrice]]*(1-Table9[[#This Row],[discount]]/100)</f>
        <v>180</v>
      </c>
      <c r="J1100" t="str">
        <f>_xlfn.XLOOKUP(_xlfn.XLOOKUP(A1100,orders[orderID],orders[customerID],,0),customers__2[customerID],customers__2[companyName],,0)</f>
        <v>Lonesome Pine Restaurant</v>
      </c>
      <c r="K1100" t="str">
        <f>_xlfn.XLOOKUP(Table9[[#This Row],[Company Name]],customers__2[companyName],customers__2[country],,0)</f>
        <v>USA</v>
      </c>
      <c r="L1100">
        <f>MONTH(Table9[[#This Row],[OrderDate ]])</f>
        <v>9</v>
      </c>
      <c r="M1100" t="str">
        <f>TEXT(Table9[[#This Row],[OrderDate ]],"mmm")</f>
        <v>Sep</v>
      </c>
      <c r="N1100">
        <f>YEAR(Table9[[#This Row],[OrderDate ]])</f>
        <v>2014</v>
      </c>
    </row>
    <row r="1101" spans="1:14" x14ac:dyDescent="0.3">
      <c r="A1101">
        <v>10666</v>
      </c>
      <c r="B1101" s="2">
        <f>_xlfn.XLOOKUP(Table9[[#This Row],[orderID]],orders[orderID],orders[orderDate],,0)</f>
        <v>41894</v>
      </c>
      <c r="C1101">
        <f>_xlfn.XLOOKUP(A1101,order_details[orderID],order_details[productID],,0)</f>
        <v>29</v>
      </c>
      <c r="D1101" t="str">
        <f>_xlfn.XLOOKUP(C1101,products[productID],products[productName],,0)</f>
        <v>Thüringer Rostbratwurst</v>
      </c>
      <c r="E1101" t="str">
        <f>_xlfn.XLOOKUP(_xlfn.XLOOKUP(Table9[[#This Row],[ProductName ]],products[productName],products[categoryID],,0),categories[categoryID],categories[categoryName],,0)</f>
        <v>Meat &amp; Poultry</v>
      </c>
      <c r="F1101">
        <v>36</v>
      </c>
      <c r="G1101">
        <v>12379</v>
      </c>
      <c r="H1101">
        <v>0</v>
      </c>
      <c r="I1101">
        <f>Table9[[#This Row],[quantity]]*Table9[[#This Row],[unitPrice]]*(1-Table9[[#This Row],[discount]]/100)</f>
        <v>445644</v>
      </c>
      <c r="J1101" t="str">
        <f>_xlfn.XLOOKUP(_xlfn.XLOOKUP(A1101,orders[orderID],orders[customerID],,0),customers__2[customerID],customers__2[companyName],,0)</f>
        <v>Richter Supermarkt</v>
      </c>
      <c r="K1101" t="str">
        <f>_xlfn.XLOOKUP(Table9[[#This Row],[Company Name]],customers__2[companyName],customers__2[country],,0)</f>
        <v>Switzerland</v>
      </c>
      <c r="L1101">
        <f>MONTH(Table9[[#This Row],[OrderDate ]])</f>
        <v>9</v>
      </c>
      <c r="M1101" t="str">
        <f>TEXT(Table9[[#This Row],[OrderDate ]],"mmm")</f>
        <v>Sep</v>
      </c>
      <c r="N1101">
        <f>YEAR(Table9[[#This Row],[OrderDate ]])</f>
        <v>2014</v>
      </c>
    </row>
    <row r="1102" spans="1:14" x14ac:dyDescent="0.3">
      <c r="A1102">
        <v>10666</v>
      </c>
      <c r="B1102" s="2">
        <f>_xlfn.XLOOKUP(Table9[[#This Row],[orderID]],orders[orderID],orders[orderDate],,0)</f>
        <v>41894</v>
      </c>
      <c r="C1102">
        <f>_xlfn.XLOOKUP(A1102,order_details[orderID],order_details[productID],,0)</f>
        <v>29</v>
      </c>
      <c r="D1102" t="str">
        <f>_xlfn.XLOOKUP(C1102,products[productID],products[productName],,0)</f>
        <v>Thüringer Rostbratwurst</v>
      </c>
      <c r="E1102" t="str">
        <f>_xlfn.XLOOKUP(_xlfn.XLOOKUP(Table9[[#This Row],[ProductName ]],products[productName],products[categoryID],,0),categories[categoryID],categories[categoryName],,0)</f>
        <v>Meat &amp; Poultry</v>
      </c>
      <c r="F1102">
        <v>10</v>
      </c>
      <c r="G1102">
        <v>2105</v>
      </c>
      <c r="H1102">
        <v>0</v>
      </c>
      <c r="I1102">
        <f>Table9[[#This Row],[quantity]]*Table9[[#This Row],[unitPrice]]*(1-Table9[[#This Row],[discount]]/100)</f>
        <v>21050</v>
      </c>
      <c r="J1102" t="str">
        <f>_xlfn.XLOOKUP(_xlfn.XLOOKUP(A1102,orders[orderID],orders[customerID],,0),customers__2[customerID],customers__2[companyName],,0)</f>
        <v>Richter Supermarkt</v>
      </c>
      <c r="K1102" t="str">
        <f>_xlfn.XLOOKUP(Table9[[#This Row],[Company Name]],customers__2[companyName],customers__2[country],,0)</f>
        <v>Switzerland</v>
      </c>
      <c r="L1102">
        <f>MONTH(Table9[[#This Row],[OrderDate ]])</f>
        <v>9</v>
      </c>
      <c r="M1102" t="str">
        <f>TEXT(Table9[[#This Row],[OrderDate ]],"mmm")</f>
        <v>Sep</v>
      </c>
      <c r="N1102">
        <f>YEAR(Table9[[#This Row],[OrderDate ]])</f>
        <v>2014</v>
      </c>
    </row>
    <row r="1103" spans="1:14" x14ac:dyDescent="0.3">
      <c r="A1103">
        <v>10667</v>
      </c>
      <c r="B1103" s="2">
        <f>_xlfn.XLOOKUP(Table9[[#This Row],[orderID]],orders[orderID],orders[orderDate],,0)</f>
        <v>41894</v>
      </c>
      <c r="C1103">
        <f>_xlfn.XLOOKUP(A1103,order_details[orderID],order_details[productID],,0)</f>
        <v>69</v>
      </c>
      <c r="D1103" t="str">
        <f>_xlfn.XLOOKUP(C1103,products[productID],products[productName],,0)</f>
        <v>Gudbrandsdalsost</v>
      </c>
      <c r="E1103" t="str">
        <f>_xlfn.XLOOKUP(_xlfn.XLOOKUP(Table9[[#This Row],[ProductName ]],products[productName],products[categoryID],,0),categories[categoryID],categories[categoryName],,0)</f>
        <v>Dairy Products</v>
      </c>
      <c r="F1103">
        <v>45</v>
      </c>
      <c r="G1103">
        <v>36</v>
      </c>
      <c r="H1103">
        <v>2</v>
      </c>
      <c r="I1103">
        <f>Table9[[#This Row],[quantity]]*Table9[[#This Row],[unitPrice]]*(1-Table9[[#This Row],[discount]]/100)</f>
        <v>1587.6</v>
      </c>
      <c r="J1103" t="str">
        <f>_xlfn.XLOOKUP(_xlfn.XLOOKUP(A1103,orders[orderID],orders[customerID],,0),customers__2[customerID],customers__2[companyName],,0)</f>
        <v>Ernst Handel</v>
      </c>
      <c r="K1103" t="str">
        <f>_xlfn.XLOOKUP(Table9[[#This Row],[Company Name]],customers__2[companyName],customers__2[country],,0)</f>
        <v>Austria</v>
      </c>
      <c r="L1103">
        <f>MONTH(Table9[[#This Row],[OrderDate ]])</f>
        <v>9</v>
      </c>
      <c r="M1103" t="str">
        <f>TEXT(Table9[[#This Row],[OrderDate ]],"mmm")</f>
        <v>Sep</v>
      </c>
      <c r="N1103">
        <f>YEAR(Table9[[#This Row],[OrderDate ]])</f>
        <v>2014</v>
      </c>
    </row>
    <row r="1104" spans="1:14" x14ac:dyDescent="0.3">
      <c r="A1104">
        <v>10667</v>
      </c>
      <c r="B1104" s="2">
        <f>_xlfn.XLOOKUP(Table9[[#This Row],[orderID]],orders[orderID],orders[orderDate],,0)</f>
        <v>41894</v>
      </c>
      <c r="C1104">
        <f>_xlfn.XLOOKUP(A1104,order_details[orderID],order_details[productID],,0)</f>
        <v>69</v>
      </c>
      <c r="D1104" t="str">
        <f>_xlfn.XLOOKUP(C1104,products[productID],products[productName],,0)</f>
        <v>Gudbrandsdalsost</v>
      </c>
      <c r="E1104" t="str">
        <f>_xlfn.XLOOKUP(_xlfn.XLOOKUP(Table9[[#This Row],[ProductName ]],products[productName],products[categoryID],,0),categories[categoryID],categories[categoryName],,0)</f>
        <v>Dairy Products</v>
      </c>
      <c r="F1104">
        <v>14</v>
      </c>
      <c r="G1104">
        <v>215</v>
      </c>
      <c r="H1104">
        <v>2</v>
      </c>
      <c r="I1104">
        <f>Table9[[#This Row],[quantity]]*Table9[[#This Row],[unitPrice]]*(1-Table9[[#This Row],[discount]]/100)</f>
        <v>2949.7999999999997</v>
      </c>
      <c r="J1104" t="str">
        <f>_xlfn.XLOOKUP(_xlfn.XLOOKUP(A1104,orders[orderID],orders[customerID],,0),customers__2[customerID],customers__2[companyName],,0)</f>
        <v>Ernst Handel</v>
      </c>
      <c r="K1104" t="str">
        <f>_xlfn.XLOOKUP(Table9[[#This Row],[Company Name]],customers__2[companyName],customers__2[country],,0)</f>
        <v>Austria</v>
      </c>
      <c r="L1104">
        <f>MONTH(Table9[[#This Row],[OrderDate ]])</f>
        <v>9</v>
      </c>
      <c r="M1104" t="str">
        <f>TEXT(Table9[[#This Row],[OrderDate ]],"mmm")</f>
        <v>Sep</v>
      </c>
      <c r="N1104">
        <f>YEAR(Table9[[#This Row],[OrderDate ]])</f>
        <v>2014</v>
      </c>
    </row>
    <row r="1105" spans="1:14" x14ac:dyDescent="0.3">
      <c r="A1105">
        <v>10668</v>
      </c>
      <c r="B1105" s="2">
        <f>_xlfn.XLOOKUP(Table9[[#This Row],[orderID]],orders[orderID],orders[orderDate],,0)</f>
        <v>41897</v>
      </c>
      <c r="C1105">
        <f>_xlfn.XLOOKUP(A1105,order_details[orderID],order_details[productID],,0)</f>
        <v>31</v>
      </c>
      <c r="D1105" t="str">
        <f>_xlfn.XLOOKUP(C1105,products[productID],products[productName],,0)</f>
        <v>Gorgonzola Telino</v>
      </c>
      <c r="E1105" t="str">
        <f>_xlfn.XLOOKUP(_xlfn.XLOOKUP(Table9[[#This Row],[ProductName ]],products[productName],products[categoryID],,0),categories[categoryID],categories[categoryName],,0)</f>
        <v>Dairy Products</v>
      </c>
      <c r="F1105">
        <v>8</v>
      </c>
      <c r="G1105">
        <v>125</v>
      </c>
      <c r="H1105">
        <v>1</v>
      </c>
      <c r="I1105">
        <f>Table9[[#This Row],[quantity]]*Table9[[#This Row],[unitPrice]]*(1-Table9[[#This Row],[discount]]/100)</f>
        <v>990</v>
      </c>
      <c r="J1105" t="str">
        <f>_xlfn.XLOOKUP(_xlfn.XLOOKUP(A1105,orders[orderID],orders[customerID],,0),customers__2[customerID],customers__2[companyName],,0)</f>
        <v>Die Wandernde Kuh</v>
      </c>
      <c r="K1105" t="str">
        <f>_xlfn.XLOOKUP(Table9[[#This Row],[Company Name]],customers__2[companyName],customers__2[country],,0)</f>
        <v>Germany</v>
      </c>
      <c r="L1105">
        <f>MONTH(Table9[[#This Row],[OrderDate ]])</f>
        <v>9</v>
      </c>
      <c r="M1105" t="str">
        <f>TEXT(Table9[[#This Row],[OrderDate ]],"mmm")</f>
        <v>Sep</v>
      </c>
      <c r="N1105">
        <f>YEAR(Table9[[#This Row],[OrderDate ]])</f>
        <v>2014</v>
      </c>
    </row>
    <row r="1106" spans="1:14" x14ac:dyDescent="0.3">
      <c r="A1106">
        <v>10668</v>
      </c>
      <c r="B1106" s="2">
        <f>_xlfn.XLOOKUP(Table9[[#This Row],[orderID]],orders[orderID],orders[orderDate],,0)</f>
        <v>41897</v>
      </c>
      <c r="C1106">
        <f>_xlfn.XLOOKUP(A1106,order_details[orderID],order_details[productID],,0)</f>
        <v>31</v>
      </c>
      <c r="D1106" t="str">
        <f>_xlfn.XLOOKUP(C1106,products[productID],products[productName],,0)</f>
        <v>Gorgonzola Telino</v>
      </c>
      <c r="E1106" t="str">
        <f>_xlfn.XLOOKUP(_xlfn.XLOOKUP(Table9[[#This Row],[ProductName ]],products[productName],products[categoryID],,0),categories[categoryID],categories[categoryName],,0)</f>
        <v>Dairy Products</v>
      </c>
      <c r="F1106">
        <v>4</v>
      </c>
      <c r="G1106">
        <v>24</v>
      </c>
      <c r="H1106">
        <v>1</v>
      </c>
      <c r="I1106">
        <f>Table9[[#This Row],[quantity]]*Table9[[#This Row],[unitPrice]]*(1-Table9[[#This Row],[discount]]/100)</f>
        <v>95.039999999999992</v>
      </c>
      <c r="J1106" t="str">
        <f>_xlfn.XLOOKUP(_xlfn.XLOOKUP(A1106,orders[orderID],orders[customerID],,0),customers__2[customerID],customers__2[companyName],,0)</f>
        <v>Die Wandernde Kuh</v>
      </c>
      <c r="K1106" t="str">
        <f>_xlfn.XLOOKUP(Table9[[#This Row],[Company Name]],customers__2[companyName],customers__2[country],,0)</f>
        <v>Germany</v>
      </c>
      <c r="L1106">
        <f>MONTH(Table9[[#This Row],[OrderDate ]])</f>
        <v>9</v>
      </c>
      <c r="M1106" t="str">
        <f>TEXT(Table9[[#This Row],[OrderDate ]],"mmm")</f>
        <v>Sep</v>
      </c>
      <c r="N1106">
        <f>YEAR(Table9[[#This Row],[OrderDate ]])</f>
        <v>2014</v>
      </c>
    </row>
    <row r="1107" spans="1:14" x14ac:dyDescent="0.3">
      <c r="A1107">
        <v>10668</v>
      </c>
      <c r="B1107" s="2">
        <f>_xlfn.XLOOKUP(Table9[[#This Row],[orderID]],orders[orderID],orders[orderDate],,0)</f>
        <v>41897</v>
      </c>
      <c r="C1107">
        <f>_xlfn.XLOOKUP(A1107,order_details[orderID],order_details[productID],,0)</f>
        <v>31</v>
      </c>
      <c r="D1107" t="str">
        <f>_xlfn.XLOOKUP(C1107,products[productID],products[productName],,0)</f>
        <v>Gorgonzola Telino</v>
      </c>
      <c r="E1107" t="str">
        <f>_xlfn.XLOOKUP(_xlfn.XLOOKUP(Table9[[#This Row],[ProductName ]],products[productName],products[categoryID],,0),categories[categoryID],categories[categoryName],,0)</f>
        <v>Dairy Products</v>
      </c>
      <c r="F1107">
        <v>15</v>
      </c>
      <c r="G1107">
        <v>3325</v>
      </c>
      <c r="H1107">
        <v>1</v>
      </c>
      <c r="I1107">
        <f>Table9[[#This Row],[quantity]]*Table9[[#This Row],[unitPrice]]*(1-Table9[[#This Row],[discount]]/100)</f>
        <v>49376.25</v>
      </c>
      <c r="J1107" t="str">
        <f>_xlfn.XLOOKUP(_xlfn.XLOOKUP(A1107,orders[orderID],orders[customerID],,0),customers__2[customerID],customers__2[companyName],,0)</f>
        <v>Die Wandernde Kuh</v>
      </c>
      <c r="K1107" t="str">
        <f>_xlfn.XLOOKUP(Table9[[#This Row],[Company Name]],customers__2[companyName],customers__2[country],,0)</f>
        <v>Germany</v>
      </c>
      <c r="L1107">
        <f>MONTH(Table9[[#This Row],[OrderDate ]])</f>
        <v>9</v>
      </c>
      <c r="M1107" t="str">
        <f>TEXT(Table9[[#This Row],[OrderDate ]],"mmm")</f>
        <v>Sep</v>
      </c>
      <c r="N1107">
        <f>YEAR(Table9[[#This Row],[OrderDate ]])</f>
        <v>2014</v>
      </c>
    </row>
    <row r="1108" spans="1:14" x14ac:dyDescent="0.3">
      <c r="A1108">
        <v>10669</v>
      </c>
      <c r="B1108" s="2">
        <f>_xlfn.XLOOKUP(Table9[[#This Row],[orderID]],orders[orderID],orders[orderDate],,0)</f>
        <v>41897</v>
      </c>
      <c r="C1108">
        <f>_xlfn.XLOOKUP(A1108,order_details[orderID],order_details[productID],,0)</f>
        <v>36</v>
      </c>
      <c r="D1108" t="str">
        <f>_xlfn.XLOOKUP(C1108,products[productID],products[productName],,0)</f>
        <v>Inlagd Sill</v>
      </c>
      <c r="E1108" t="str">
        <f>_xlfn.XLOOKUP(_xlfn.XLOOKUP(Table9[[#This Row],[ProductName ]],products[productName],products[categoryID],,0),categories[categoryID],categories[categoryName],,0)</f>
        <v>Seafood</v>
      </c>
      <c r="F1108">
        <v>30</v>
      </c>
      <c r="G1108">
        <v>19</v>
      </c>
      <c r="H1108">
        <v>0</v>
      </c>
      <c r="I1108">
        <f>Table9[[#This Row],[quantity]]*Table9[[#This Row],[unitPrice]]*(1-Table9[[#This Row],[discount]]/100)</f>
        <v>570</v>
      </c>
      <c r="J1108" t="str">
        <f>_xlfn.XLOOKUP(_xlfn.XLOOKUP(A1108,orders[orderID],orders[customerID],,0),customers__2[customerID],customers__2[companyName],,0)</f>
        <v>Simons bistro</v>
      </c>
      <c r="K1108" t="str">
        <f>_xlfn.XLOOKUP(Table9[[#This Row],[Company Name]],customers__2[companyName],customers__2[country],,0)</f>
        <v>Denmark</v>
      </c>
      <c r="L1108">
        <f>MONTH(Table9[[#This Row],[OrderDate ]])</f>
        <v>9</v>
      </c>
      <c r="M1108" t="str">
        <f>TEXT(Table9[[#This Row],[OrderDate ]],"mmm")</f>
        <v>Sep</v>
      </c>
      <c r="N1108">
        <f>YEAR(Table9[[#This Row],[OrderDate ]])</f>
        <v>2014</v>
      </c>
    </row>
    <row r="1109" spans="1:14" x14ac:dyDescent="0.3">
      <c r="A1109">
        <v>10670</v>
      </c>
      <c r="B1109" s="2">
        <f>_xlfn.XLOOKUP(Table9[[#This Row],[orderID]],orders[orderID],orders[orderDate],,0)</f>
        <v>41898</v>
      </c>
      <c r="C1109">
        <f>_xlfn.XLOOKUP(A1109,order_details[orderID],order_details[productID],,0)</f>
        <v>23</v>
      </c>
      <c r="D1109" t="str">
        <f>_xlfn.XLOOKUP(C1109,products[productID],products[productName],,0)</f>
        <v>Tunnbröd</v>
      </c>
      <c r="E1109" t="str">
        <f>_xlfn.XLOOKUP(_xlfn.XLOOKUP(Table9[[#This Row],[ProductName ]],products[productName],products[categoryID],,0),categories[categoryID],categories[categoryName],,0)</f>
        <v>Grains &amp; Cereals</v>
      </c>
      <c r="F1109">
        <v>32</v>
      </c>
      <c r="G1109">
        <v>9</v>
      </c>
      <c r="H1109">
        <v>0</v>
      </c>
      <c r="I1109">
        <f>Table9[[#This Row],[quantity]]*Table9[[#This Row],[unitPrice]]*(1-Table9[[#This Row],[discount]]/100)</f>
        <v>288</v>
      </c>
      <c r="J1109" t="str">
        <f>_xlfn.XLOOKUP(_xlfn.XLOOKUP(A1109,orders[orderID],orders[customerID],,0),customers__2[customerID],customers__2[companyName],,0)</f>
        <v>Frankenversand</v>
      </c>
      <c r="K1109" t="str">
        <f>_xlfn.XLOOKUP(Table9[[#This Row],[Company Name]],customers__2[companyName],customers__2[country],,0)</f>
        <v>Germany</v>
      </c>
      <c r="L1109">
        <f>MONTH(Table9[[#This Row],[OrderDate ]])</f>
        <v>9</v>
      </c>
      <c r="M1109" t="str">
        <f>TEXT(Table9[[#This Row],[OrderDate ]],"mmm")</f>
        <v>Sep</v>
      </c>
      <c r="N1109">
        <f>YEAR(Table9[[#This Row],[OrderDate ]])</f>
        <v>2014</v>
      </c>
    </row>
    <row r="1110" spans="1:14" x14ac:dyDescent="0.3">
      <c r="A1110">
        <v>10670</v>
      </c>
      <c r="B1110" s="2">
        <f>_xlfn.XLOOKUP(Table9[[#This Row],[orderID]],orders[orderID],orders[orderDate],,0)</f>
        <v>41898</v>
      </c>
      <c r="C1110">
        <f>_xlfn.XLOOKUP(A1110,order_details[orderID],order_details[productID],,0)</f>
        <v>23</v>
      </c>
      <c r="D1110" t="str">
        <f>_xlfn.XLOOKUP(C1110,products[productID],products[productName],,0)</f>
        <v>Tunnbröd</v>
      </c>
      <c r="E1110" t="str">
        <f>_xlfn.XLOOKUP(_xlfn.XLOOKUP(Table9[[#This Row],[ProductName ]],products[productName],products[categoryID],,0),categories[categoryID],categories[categoryName],,0)</f>
        <v>Grains &amp; Cereals</v>
      </c>
      <c r="F1110">
        <v>60</v>
      </c>
      <c r="G1110">
        <v>12</v>
      </c>
      <c r="H1110">
        <v>0</v>
      </c>
      <c r="I1110">
        <f>Table9[[#This Row],[quantity]]*Table9[[#This Row],[unitPrice]]*(1-Table9[[#This Row],[discount]]/100)</f>
        <v>720</v>
      </c>
      <c r="J1110" t="str">
        <f>_xlfn.XLOOKUP(_xlfn.XLOOKUP(A1110,orders[orderID],orders[customerID],,0),customers__2[customerID],customers__2[companyName],,0)</f>
        <v>Frankenversand</v>
      </c>
      <c r="K1110" t="str">
        <f>_xlfn.XLOOKUP(Table9[[#This Row],[Company Name]],customers__2[companyName],customers__2[country],,0)</f>
        <v>Germany</v>
      </c>
      <c r="L1110">
        <f>MONTH(Table9[[#This Row],[OrderDate ]])</f>
        <v>9</v>
      </c>
      <c r="M1110" t="str">
        <f>TEXT(Table9[[#This Row],[OrderDate ]],"mmm")</f>
        <v>Sep</v>
      </c>
      <c r="N1110">
        <f>YEAR(Table9[[#This Row],[OrderDate ]])</f>
        <v>2014</v>
      </c>
    </row>
    <row r="1111" spans="1:14" x14ac:dyDescent="0.3">
      <c r="A1111">
        <v>10670</v>
      </c>
      <c r="B1111" s="2">
        <f>_xlfn.XLOOKUP(Table9[[#This Row],[orderID]],orders[orderID],orders[orderDate],,0)</f>
        <v>41898</v>
      </c>
      <c r="C1111">
        <f>_xlfn.XLOOKUP(A1111,order_details[orderID],order_details[productID],,0)</f>
        <v>23</v>
      </c>
      <c r="D1111" t="str">
        <f>_xlfn.XLOOKUP(C1111,products[productID],products[productName],,0)</f>
        <v>Tunnbröd</v>
      </c>
      <c r="E1111" t="str">
        <f>_xlfn.XLOOKUP(_xlfn.XLOOKUP(Table9[[#This Row],[ProductName ]],products[productName],products[categoryID],,0),categories[categoryID],categories[categoryName],,0)</f>
        <v>Grains &amp; Cereals</v>
      </c>
      <c r="F1111">
        <v>25</v>
      </c>
      <c r="G1111">
        <v>14</v>
      </c>
      <c r="H1111">
        <v>0</v>
      </c>
      <c r="I1111">
        <f>Table9[[#This Row],[quantity]]*Table9[[#This Row],[unitPrice]]*(1-Table9[[#This Row],[discount]]/100)</f>
        <v>350</v>
      </c>
      <c r="J1111" t="str">
        <f>_xlfn.XLOOKUP(_xlfn.XLOOKUP(A1111,orders[orderID],orders[customerID],,0),customers__2[customerID],customers__2[companyName],,0)</f>
        <v>Frankenversand</v>
      </c>
      <c r="K1111" t="str">
        <f>_xlfn.XLOOKUP(Table9[[#This Row],[Company Name]],customers__2[companyName],customers__2[country],,0)</f>
        <v>Germany</v>
      </c>
      <c r="L1111">
        <f>MONTH(Table9[[#This Row],[OrderDate ]])</f>
        <v>9</v>
      </c>
      <c r="M1111" t="str">
        <f>TEXT(Table9[[#This Row],[OrderDate ]],"mmm")</f>
        <v>Sep</v>
      </c>
      <c r="N1111">
        <f>YEAR(Table9[[#This Row],[OrderDate ]])</f>
        <v>2014</v>
      </c>
    </row>
    <row r="1112" spans="1:14" x14ac:dyDescent="0.3">
      <c r="A1112">
        <v>10670</v>
      </c>
      <c r="B1112" s="2">
        <f>_xlfn.XLOOKUP(Table9[[#This Row],[orderID]],orders[orderID],orders[orderDate],,0)</f>
        <v>41898</v>
      </c>
      <c r="C1112">
        <f>_xlfn.XLOOKUP(A1112,order_details[orderID],order_details[productID],,0)</f>
        <v>23</v>
      </c>
      <c r="D1112" t="str">
        <f>_xlfn.XLOOKUP(C1112,products[productID],products[productName],,0)</f>
        <v>Tunnbröd</v>
      </c>
      <c r="E1112" t="str">
        <f>_xlfn.XLOOKUP(_xlfn.XLOOKUP(Table9[[#This Row],[ProductName ]],products[productName],products[categoryID],,0),categories[categoryID],categories[categoryName],,0)</f>
        <v>Grains &amp; Cereals</v>
      </c>
      <c r="F1112">
        <v>50</v>
      </c>
      <c r="G1112">
        <v>15</v>
      </c>
      <c r="H1112">
        <v>0</v>
      </c>
      <c r="I1112">
        <f>Table9[[#This Row],[quantity]]*Table9[[#This Row],[unitPrice]]*(1-Table9[[#This Row],[discount]]/100)</f>
        <v>750</v>
      </c>
      <c r="J1112" t="str">
        <f>_xlfn.XLOOKUP(_xlfn.XLOOKUP(A1112,orders[orderID],orders[customerID],,0),customers__2[customerID],customers__2[companyName],,0)</f>
        <v>Frankenversand</v>
      </c>
      <c r="K1112" t="str">
        <f>_xlfn.XLOOKUP(Table9[[#This Row],[Company Name]],customers__2[companyName],customers__2[country],,0)</f>
        <v>Germany</v>
      </c>
      <c r="L1112">
        <f>MONTH(Table9[[#This Row],[OrderDate ]])</f>
        <v>9</v>
      </c>
      <c r="M1112" t="str">
        <f>TEXT(Table9[[#This Row],[OrderDate ]],"mmm")</f>
        <v>Sep</v>
      </c>
      <c r="N1112">
        <f>YEAR(Table9[[#This Row],[OrderDate ]])</f>
        <v>2014</v>
      </c>
    </row>
    <row r="1113" spans="1:14" x14ac:dyDescent="0.3">
      <c r="A1113">
        <v>10670</v>
      </c>
      <c r="B1113" s="2">
        <f>_xlfn.XLOOKUP(Table9[[#This Row],[orderID]],orders[orderID],orders[orderDate],,0)</f>
        <v>41898</v>
      </c>
      <c r="C1113">
        <f>_xlfn.XLOOKUP(A1113,order_details[orderID],order_details[productID],,0)</f>
        <v>23</v>
      </c>
      <c r="D1113" t="str">
        <f>_xlfn.XLOOKUP(C1113,products[productID],products[productName],,0)</f>
        <v>Tunnbröd</v>
      </c>
      <c r="E1113" t="str">
        <f>_xlfn.XLOOKUP(_xlfn.XLOOKUP(Table9[[#This Row],[ProductName ]],products[productName],products[categoryID],,0),categories[categoryID],categories[categoryName],,0)</f>
        <v>Grains &amp; Cereals</v>
      </c>
      <c r="F1113">
        <v>25</v>
      </c>
      <c r="G1113">
        <v>775</v>
      </c>
      <c r="H1113">
        <v>0</v>
      </c>
      <c r="I1113">
        <f>Table9[[#This Row],[quantity]]*Table9[[#This Row],[unitPrice]]*(1-Table9[[#This Row],[discount]]/100)</f>
        <v>19375</v>
      </c>
      <c r="J1113" t="str">
        <f>_xlfn.XLOOKUP(_xlfn.XLOOKUP(A1113,orders[orderID],orders[customerID],,0),customers__2[customerID],customers__2[companyName],,0)</f>
        <v>Frankenversand</v>
      </c>
      <c r="K1113" t="str">
        <f>_xlfn.XLOOKUP(Table9[[#This Row],[Company Name]],customers__2[companyName],customers__2[country],,0)</f>
        <v>Germany</v>
      </c>
      <c r="L1113">
        <f>MONTH(Table9[[#This Row],[OrderDate ]])</f>
        <v>9</v>
      </c>
      <c r="M1113" t="str">
        <f>TEXT(Table9[[#This Row],[OrderDate ]],"mmm")</f>
        <v>Sep</v>
      </c>
      <c r="N1113">
        <f>YEAR(Table9[[#This Row],[OrderDate ]])</f>
        <v>2014</v>
      </c>
    </row>
    <row r="1114" spans="1:14" x14ac:dyDescent="0.3">
      <c r="A1114">
        <v>10671</v>
      </c>
      <c r="B1114" s="2">
        <f>_xlfn.XLOOKUP(Table9[[#This Row],[orderID]],orders[orderID],orders[orderDate],,0)</f>
        <v>41899</v>
      </c>
      <c r="C1114">
        <f>_xlfn.XLOOKUP(A1114,order_details[orderID],order_details[productID],,0)</f>
        <v>16</v>
      </c>
      <c r="D1114" t="str">
        <f>_xlfn.XLOOKUP(C1114,products[productID],products[productName],,0)</f>
        <v>Pavlova</v>
      </c>
      <c r="E1114" t="str">
        <f>_xlfn.XLOOKUP(_xlfn.XLOOKUP(Table9[[#This Row],[ProductName ]],products[productName],products[categoryID],,0),categories[categoryID],categories[categoryName],,0)</f>
        <v>Confections</v>
      </c>
      <c r="F1114">
        <v>10</v>
      </c>
      <c r="G1114">
        <v>1745</v>
      </c>
      <c r="H1114">
        <v>0</v>
      </c>
      <c r="I1114">
        <f>Table9[[#This Row],[quantity]]*Table9[[#This Row],[unitPrice]]*(1-Table9[[#This Row],[discount]]/100)</f>
        <v>17450</v>
      </c>
      <c r="J1114" t="str">
        <f>_xlfn.XLOOKUP(_xlfn.XLOOKUP(A1114,orders[orderID],orders[customerID],,0),customers__2[customerID],customers__2[companyName],,0)</f>
        <v>France restauration</v>
      </c>
      <c r="K1114" t="str">
        <f>_xlfn.XLOOKUP(Table9[[#This Row],[Company Name]],customers__2[companyName],customers__2[country],,0)</f>
        <v>France</v>
      </c>
      <c r="L1114">
        <f>MONTH(Table9[[#This Row],[OrderDate ]])</f>
        <v>9</v>
      </c>
      <c r="M1114" t="str">
        <f>TEXT(Table9[[#This Row],[OrderDate ]],"mmm")</f>
        <v>Sep</v>
      </c>
      <c r="N1114">
        <f>YEAR(Table9[[#This Row],[OrderDate ]])</f>
        <v>2014</v>
      </c>
    </row>
    <row r="1115" spans="1:14" x14ac:dyDescent="0.3">
      <c r="A1115">
        <v>10671</v>
      </c>
      <c r="B1115" s="2">
        <f>_xlfn.XLOOKUP(Table9[[#This Row],[orderID]],orders[orderID],orders[orderDate],,0)</f>
        <v>41899</v>
      </c>
      <c r="C1115">
        <f>_xlfn.XLOOKUP(A1115,order_details[orderID],order_details[productID],,0)</f>
        <v>16</v>
      </c>
      <c r="D1115" t="str">
        <f>_xlfn.XLOOKUP(C1115,products[productID],products[productName],,0)</f>
        <v>Pavlova</v>
      </c>
      <c r="E1115" t="str">
        <f>_xlfn.XLOOKUP(_xlfn.XLOOKUP(Table9[[#This Row],[ProductName ]],products[productName],products[categoryID],,0),categories[categoryID],categories[categoryName],,0)</f>
        <v>Confections</v>
      </c>
      <c r="F1115">
        <v>10</v>
      </c>
      <c r="G1115">
        <v>493</v>
      </c>
      <c r="H1115">
        <v>0</v>
      </c>
      <c r="I1115">
        <f>Table9[[#This Row],[quantity]]*Table9[[#This Row],[unitPrice]]*(1-Table9[[#This Row],[discount]]/100)</f>
        <v>4930</v>
      </c>
      <c r="J1115" t="str">
        <f>_xlfn.XLOOKUP(_xlfn.XLOOKUP(A1115,orders[orderID],orders[customerID],,0),customers__2[customerID],customers__2[companyName],,0)</f>
        <v>France restauration</v>
      </c>
      <c r="K1115" t="str">
        <f>_xlfn.XLOOKUP(Table9[[#This Row],[Company Name]],customers__2[companyName],customers__2[country],,0)</f>
        <v>France</v>
      </c>
      <c r="L1115">
        <f>MONTH(Table9[[#This Row],[OrderDate ]])</f>
        <v>9</v>
      </c>
      <c r="M1115" t="str">
        <f>TEXT(Table9[[#This Row],[OrderDate ]],"mmm")</f>
        <v>Sep</v>
      </c>
      <c r="N1115">
        <f>YEAR(Table9[[#This Row],[OrderDate ]])</f>
        <v>2014</v>
      </c>
    </row>
    <row r="1116" spans="1:14" x14ac:dyDescent="0.3">
      <c r="A1116">
        <v>10671</v>
      </c>
      <c r="B1116" s="2">
        <f>_xlfn.XLOOKUP(Table9[[#This Row],[orderID]],orders[orderID],orders[orderDate],,0)</f>
        <v>41899</v>
      </c>
      <c r="C1116">
        <f>_xlfn.XLOOKUP(A1116,order_details[orderID],order_details[productID],,0)</f>
        <v>16</v>
      </c>
      <c r="D1116" t="str">
        <f>_xlfn.XLOOKUP(C1116,products[productID],products[productName],,0)</f>
        <v>Pavlova</v>
      </c>
      <c r="E1116" t="str">
        <f>_xlfn.XLOOKUP(_xlfn.XLOOKUP(Table9[[#This Row],[ProductName ]],products[productName],products[categoryID],,0),categories[categoryID],categories[categoryName],,0)</f>
        <v>Confections</v>
      </c>
      <c r="F1116">
        <v>12</v>
      </c>
      <c r="G1116">
        <v>2105</v>
      </c>
      <c r="H1116">
        <v>0</v>
      </c>
      <c r="I1116">
        <f>Table9[[#This Row],[quantity]]*Table9[[#This Row],[unitPrice]]*(1-Table9[[#This Row],[discount]]/100)</f>
        <v>25260</v>
      </c>
      <c r="J1116" t="str">
        <f>_xlfn.XLOOKUP(_xlfn.XLOOKUP(A1116,orders[orderID],orders[customerID],,0),customers__2[customerID],customers__2[companyName],,0)</f>
        <v>France restauration</v>
      </c>
      <c r="K1116" t="str">
        <f>_xlfn.XLOOKUP(Table9[[#This Row],[Company Name]],customers__2[companyName],customers__2[country],,0)</f>
        <v>France</v>
      </c>
      <c r="L1116">
        <f>MONTH(Table9[[#This Row],[OrderDate ]])</f>
        <v>9</v>
      </c>
      <c r="M1116" t="str">
        <f>TEXT(Table9[[#This Row],[OrderDate ]],"mmm")</f>
        <v>Sep</v>
      </c>
      <c r="N1116">
        <f>YEAR(Table9[[#This Row],[OrderDate ]])</f>
        <v>2014</v>
      </c>
    </row>
    <row r="1117" spans="1:14" x14ac:dyDescent="0.3">
      <c r="A1117">
        <v>10672</v>
      </c>
      <c r="B1117" s="2">
        <f>_xlfn.XLOOKUP(Table9[[#This Row],[orderID]],orders[orderID],orders[orderDate],,0)</f>
        <v>41899</v>
      </c>
      <c r="C1117">
        <f>_xlfn.XLOOKUP(A1117,order_details[orderID],order_details[productID],,0)</f>
        <v>38</v>
      </c>
      <c r="D1117" t="str">
        <f>_xlfn.XLOOKUP(C1117,products[productID],products[productName],,0)</f>
        <v>Côte de Blaye</v>
      </c>
      <c r="E1117" t="str">
        <f>_xlfn.XLOOKUP(_xlfn.XLOOKUP(Table9[[#This Row],[ProductName ]],products[productName],products[categoryID],,0),categories[categoryID],categories[categoryName],,0)</f>
        <v>Beverages</v>
      </c>
      <c r="F1117">
        <v>15</v>
      </c>
      <c r="G1117">
        <v>2635</v>
      </c>
      <c r="H1117">
        <v>1</v>
      </c>
      <c r="I1117">
        <f>Table9[[#This Row],[quantity]]*Table9[[#This Row],[unitPrice]]*(1-Table9[[#This Row],[discount]]/100)</f>
        <v>39129.75</v>
      </c>
      <c r="J1117" t="str">
        <f>_xlfn.XLOOKUP(_xlfn.XLOOKUP(A1117,orders[orderID],orders[customerID],,0),customers__2[customerID],customers__2[companyName],,0)</f>
        <v>Berglunds snabbköp</v>
      </c>
      <c r="K1117" t="str">
        <f>_xlfn.XLOOKUP(Table9[[#This Row],[Company Name]],customers__2[companyName],customers__2[country],,0)</f>
        <v>Sweden</v>
      </c>
      <c r="L1117">
        <f>MONTH(Table9[[#This Row],[OrderDate ]])</f>
        <v>9</v>
      </c>
      <c r="M1117" t="str">
        <f>TEXT(Table9[[#This Row],[OrderDate ]],"mmm")</f>
        <v>Sep</v>
      </c>
      <c r="N1117">
        <f>YEAR(Table9[[#This Row],[OrderDate ]])</f>
        <v>2014</v>
      </c>
    </row>
    <row r="1118" spans="1:14" x14ac:dyDescent="0.3">
      <c r="A1118">
        <v>10672</v>
      </c>
      <c r="B1118" s="2">
        <f>_xlfn.XLOOKUP(Table9[[#This Row],[orderID]],orders[orderID],orders[orderDate],,0)</f>
        <v>41899</v>
      </c>
      <c r="C1118">
        <f>_xlfn.XLOOKUP(A1118,order_details[orderID],order_details[productID],,0)</f>
        <v>38</v>
      </c>
      <c r="D1118" t="str">
        <f>_xlfn.XLOOKUP(C1118,products[productID],products[productName],,0)</f>
        <v>Côte de Blaye</v>
      </c>
      <c r="E1118" t="str">
        <f>_xlfn.XLOOKUP(_xlfn.XLOOKUP(Table9[[#This Row],[ProductName ]],products[productName],products[categoryID],,0),categories[categoryID],categories[categoryName],,0)</f>
        <v>Beverages</v>
      </c>
      <c r="F1118">
        <v>12</v>
      </c>
      <c r="G1118">
        <v>215</v>
      </c>
      <c r="H1118">
        <v>0</v>
      </c>
      <c r="I1118">
        <f>Table9[[#This Row],[quantity]]*Table9[[#This Row],[unitPrice]]*(1-Table9[[#This Row],[discount]]/100)</f>
        <v>2580</v>
      </c>
      <c r="J1118" t="str">
        <f>_xlfn.XLOOKUP(_xlfn.XLOOKUP(A1118,orders[orderID],orders[customerID],,0),customers__2[customerID],customers__2[companyName],,0)</f>
        <v>Berglunds snabbköp</v>
      </c>
      <c r="K1118" t="str">
        <f>_xlfn.XLOOKUP(Table9[[#This Row],[Company Name]],customers__2[companyName],customers__2[country],,0)</f>
        <v>Sweden</v>
      </c>
      <c r="L1118">
        <f>MONTH(Table9[[#This Row],[OrderDate ]])</f>
        <v>9</v>
      </c>
      <c r="M1118" t="str">
        <f>TEXT(Table9[[#This Row],[OrderDate ]],"mmm")</f>
        <v>Sep</v>
      </c>
      <c r="N1118">
        <f>YEAR(Table9[[#This Row],[OrderDate ]])</f>
        <v>2014</v>
      </c>
    </row>
    <row r="1119" spans="1:14" x14ac:dyDescent="0.3">
      <c r="A1119">
        <v>10673</v>
      </c>
      <c r="B1119" s="2">
        <f>_xlfn.XLOOKUP(Table9[[#This Row],[orderID]],orders[orderID],orders[orderDate],,0)</f>
        <v>41900</v>
      </c>
      <c r="C1119">
        <f>_xlfn.XLOOKUP(A1119,order_details[orderID],order_details[productID],,0)</f>
        <v>16</v>
      </c>
      <c r="D1119" t="str">
        <f>_xlfn.XLOOKUP(C1119,products[productID],products[productName],,0)</f>
        <v>Pavlova</v>
      </c>
      <c r="E1119" t="str">
        <f>_xlfn.XLOOKUP(_xlfn.XLOOKUP(Table9[[#This Row],[ProductName ]],products[productName],products[categoryID],,0),categories[categoryID],categories[categoryName],,0)</f>
        <v>Confections</v>
      </c>
      <c r="F1119">
        <v>3</v>
      </c>
      <c r="G1119">
        <v>1745</v>
      </c>
      <c r="H1119">
        <v>0</v>
      </c>
      <c r="I1119">
        <f>Table9[[#This Row],[quantity]]*Table9[[#This Row],[unitPrice]]*(1-Table9[[#This Row],[discount]]/100)</f>
        <v>5235</v>
      </c>
      <c r="J1119" t="str">
        <f>_xlfn.XLOOKUP(_xlfn.XLOOKUP(A1119,orders[orderID],orders[customerID],,0),customers__2[customerID],customers__2[companyName],,0)</f>
        <v>Wilman Kala</v>
      </c>
      <c r="K1119" t="str">
        <f>_xlfn.XLOOKUP(Table9[[#This Row],[Company Name]],customers__2[companyName],customers__2[country],,0)</f>
        <v>Finland</v>
      </c>
      <c r="L1119">
        <f>MONTH(Table9[[#This Row],[OrderDate ]])</f>
        <v>9</v>
      </c>
      <c r="M1119" t="str">
        <f>TEXT(Table9[[#This Row],[OrderDate ]],"mmm")</f>
        <v>Sep</v>
      </c>
      <c r="N1119">
        <f>YEAR(Table9[[#This Row],[OrderDate ]])</f>
        <v>2014</v>
      </c>
    </row>
    <row r="1120" spans="1:14" x14ac:dyDescent="0.3">
      <c r="A1120">
        <v>10673</v>
      </c>
      <c r="B1120" s="2">
        <f>_xlfn.XLOOKUP(Table9[[#This Row],[orderID]],orders[orderID],orders[orderDate],,0)</f>
        <v>41900</v>
      </c>
      <c r="C1120">
        <f>_xlfn.XLOOKUP(A1120,order_details[orderID],order_details[productID],,0)</f>
        <v>16</v>
      </c>
      <c r="D1120" t="str">
        <f>_xlfn.XLOOKUP(C1120,products[productID],products[productName],,0)</f>
        <v>Pavlova</v>
      </c>
      <c r="E1120" t="str">
        <f>_xlfn.XLOOKUP(_xlfn.XLOOKUP(Table9[[#This Row],[ProductName ]],products[productName],products[categoryID],,0),categories[categoryID],categories[categoryName],,0)</f>
        <v>Confections</v>
      </c>
      <c r="F1120">
        <v>6</v>
      </c>
      <c r="G1120">
        <v>14</v>
      </c>
      <c r="H1120">
        <v>0</v>
      </c>
      <c r="I1120">
        <f>Table9[[#This Row],[quantity]]*Table9[[#This Row],[unitPrice]]*(1-Table9[[#This Row],[discount]]/100)</f>
        <v>84</v>
      </c>
      <c r="J1120" t="str">
        <f>_xlfn.XLOOKUP(_xlfn.XLOOKUP(A1120,orders[orderID],orders[customerID],,0),customers__2[customerID],customers__2[companyName],,0)</f>
        <v>Wilman Kala</v>
      </c>
      <c r="K1120" t="str">
        <f>_xlfn.XLOOKUP(Table9[[#This Row],[Company Name]],customers__2[companyName],customers__2[country],,0)</f>
        <v>Finland</v>
      </c>
      <c r="L1120">
        <f>MONTH(Table9[[#This Row],[OrderDate ]])</f>
        <v>9</v>
      </c>
      <c r="M1120" t="str">
        <f>TEXT(Table9[[#This Row],[OrderDate ]],"mmm")</f>
        <v>Sep</v>
      </c>
      <c r="N1120">
        <f>YEAR(Table9[[#This Row],[OrderDate ]])</f>
        <v>2014</v>
      </c>
    </row>
    <row r="1121" spans="1:14" x14ac:dyDescent="0.3">
      <c r="A1121">
        <v>10673</v>
      </c>
      <c r="B1121" s="2">
        <f>_xlfn.XLOOKUP(Table9[[#This Row],[orderID]],orders[orderID],orders[orderDate],,0)</f>
        <v>41900</v>
      </c>
      <c r="C1121">
        <f>_xlfn.XLOOKUP(A1121,order_details[orderID],order_details[productID],,0)</f>
        <v>16</v>
      </c>
      <c r="D1121" t="str">
        <f>_xlfn.XLOOKUP(C1121,products[productID],products[productName],,0)</f>
        <v>Pavlova</v>
      </c>
      <c r="E1121" t="str">
        <f>_xlfn.XLOOKUP(_xlfn.XLOOKUP(Table9[[#This Row],[ProductName ]],products[productName],products[categoryID],,0),categories[categoryID],categories[categoryName],,0)</f>
        <v>Confections</v>
      </c>
      <c r="F1121">
        <v>6</v>
      </c>
      <c r="G1121">
        <v>46</v>
      </c>
      <c r="H1121">
        <v>0</v>
      </c>
      <c r="I1121">
        <f>Table9[[#This Row],[quantity]]*Table9[[#This Row],[unitPrice]]*(1-Table9[[#This Row],[discount]]/100)</f>
        <v>276</v>
      </c>
      <c r="J1121" t="str">
        <f>_xlfn.XLOOKUP(_xlfn.XLOOKUP(A1121,orders[orderID],orders[customerID],,0),customers__2[customerID],customers__2[companyName],,0)</f>
        <v>Wilman Kala</v>
      </c>
      <c r="K1121" t="str">
        <f>_xlfn.XLOOKUP(Table9[[#This Row],[Company Name]],customers__2[companyName],customers__2[country],,0)</f>
        <v>Finland</v>
      </c>
      <c r="L1121">
        <f>MONTH(Table9[[#This Row],[OrderDate ]])</f>
        <v>9</v>
      </c>
      <c r="M1121" t="str">
        <f>TEXT(Table9[[#This Row],[OrderDate ]],"mmm")</f>
        <v>Sep</v>
      </c>
      <c r="N1121">
        <f>YEAR(Table9[[#This Row],[OrderDate ]])</f>
        <v>2014</v>
      </c>
    </row>
    <row r="1122" spans="1:14" x14ac:dyDescent="0.3">
      <c r="A1122">
        <v>10674</v>
      </c>
      <c r="B1122" s="2">
        <f>_xlfn.XLOOKUP(Table9[[#This Row],[orderID]],orders[orderID],orders[orderDate],,0)</f>
        <v>41900</v>
      </c>
      <c r="C1122">
        <f>_xlfn.XLOOKUP(A1122,order_details[orderID],order_details[productID],,0)</f>
        <v>23</v>
      </c>
      <c r="D1122" t="str">
        <f>_xlfn.XLOOKUP(C1122,products[productID],products[productName],,0)</f>
        <v>Tunnbröd</v>
      </c>
      <c r="E1122" t="str">
        <f>_xlfn.XLOOKUP(_xlfn.XLOOKUP(Table9[[#This Row],[ProductName ]],products[productName],products[categoryID],,0),categories[categoryID],categories[categoryName],,0)</f>
        <v>Grains &amp; Cereals</v>
      </c>
      <c r="F1122">
        <v>5</v>
      </c>
      <c r="G1122">
        <v>9</v>
      </c>
      <c r="H1122">
        <v>0</v>
      </c>
      <c r="I1122">
        <f>Table9[[#This Row],[quantity]]*Table9[[#This Row],[unitPrice]]*(1-Table9[[#This Row],[discount]]/100)</f>
        <v>45</v>
      </c>
      <c r="J1122" t="str">
        <f>_xlfn.XLOOKUP(_xlfn.XLOOKUP(A1122,orders[orderID],orders[customerID],,0),customers__2[customerID],customers__2[companyName],,0)</f>
        <v>Island Trading</v>
      </c>
      <c r="K1122" t="str">
        <f>_xlfn.XLOOKUP(Table9[[#This Row],[Company Name]],customers__2[companyName],customers__2[country],,0)</f>
        <v>UK</v>
      </c>
      <c r="L1122">
        <f>MONTH(Table9[[#This Row],[OrderDate ]])</f>
        <v>9</v>
      </c>
      <c r="M1122" t="str">
        <f>TEXT(Table9[[#This Row],[OrderDate ]],"mmm")</f>
        <v>Sep</v>
      </c>
      <c r="N1122">
        <f>YEAR(Table9[[#This Row],[OrderDate ]])</f>
        <v>2014</v>
      </c>
    </row>
    <row r="1123" spans="1:14" x14ac:dyDescent="0.3">
      <c r="A1123">
        <v>10675</v>
      </c>
      <c r="B1123" s="2">
        <f>_xlfn.XLOOKUP(Table9[[#This Row],[orderID]],orders[orderID],orders[orderDate],,0)</f>
        <v>41901</v>
      </c>
      <c r="C1123">
        <f>_xlfn.XLOOKUP(A1123,order_details[orderID],order_details[productID],,0)</f>
        <v>14</v>
      </c>
      <c r="D1123" t="str">
        <f>_xlfn.XLOOKUP(C1123,products[productID],products[productName],,0)</f>
        <v>Tofu</v>
      </c>
      <c r="E1123" t="str">
        <f>_xlfn.XLOOKUP(_xlfn.XLOOKUP(Table9[[#This Row],[ProductName ]],products[productName],products[categoryID],,0),categories[categoryID],categories[categoryName],,0)</f>
        <v>Produce</v>
      </c>
      <c r="F1123">
        <v>30</v>
      </c>
      <c r="G1123">
        <v>2325</v>
      </c>
      <c r="H1123">
        <v>0</v>
      </c>
      <c r="I1123">
        <f>Table9[[#This Row],[quantity]]*Table9[[#This Row],[unitPrice]]*(1-Table9[[#This Row],[discount]]/100)</f>
        <v>69750</v>
      </c>
      <c r="J1123" t="str">
        <f>_xlfn.XLOOKUP(_xlfn.XLOOKUP(A1123,orders[orderID],orders[customerID],,0),customers__2[customerID],customers__2[companyName],,0)</f>
        <v>Frankenversand</v>
      </c>
      <c r="K1123" t="str">
        <f>_xlfn.XLOOKUP(Table9[[#This Row],[Company Name]],customers__2[companyName],customers__2[country],,0)</f>
        <v>Germany</v>
      </c>
      <c r="L1123">
        <f>MONTH(Table9[[#This Row],[OrderDate ]])</f>
        <v>9</v>
      </c>
      <c r="M1123" t="str">
        <f>TEXT(Table9[[#This Row],[OrderDate ]],"mmm")</f>
        <v>Sep</v>
      </c>
      <c r="N1123">
        <f>YEAR(Table9[[#This Row],[OrderDate ]])</f>
        <v>2014</v>
      </c>
    </row>
    <row r="1124" spans="1:14" x14ac:dyDescent="0.3">
      <c r="A1124">
        <v>10675</v>
      </c>
      <c r="B1124" s="2">
        <f>_xlfn.XLOOKUP(Table9[[#This Row],[orderID]],orders[orderID],orders[orderDate],,0)</f>
        <v>41901</v>
      </c>
      <c r="C1124">
        <f>_xlfn.XLOOKUP(A1124,order_details[orderID],order_details[productID],,0)</f>
        <v>14</v>
      </c>
      <c r="D1124" t="str">
        <f>_xlfn.XLOOKUP(C1124,products[productID],products[productName],,0)</f>
        <v>Tofu</v>
      </c>
      <c r="E1124" t="str">
        <f>_xlfn.XLOOKUP(_xlfn.XLOOKUP(Table9[[#This Row],[ProductName ]],products[productName],products[categoryID],,0),categories[categoryID],categories[categoryName],,0)</f>
        <v>Produce</v>
      </c>
      <c r="F1124">
        <v>10</v>
      </c>
      <c r="G1124">
        <v>328</v>
      </c>
      <c r="H1124">
        <v>0</v>
      </c>
      <c r="I1124">
        <f>Table9[[#This Row],[quantity]]*Table9[[#This Row],[unitPrice]]*(1-Table9[[#This Row],[discount]]/100)</f>
        <v>3280</v>
      </c>
      <c r="J1124" t="str">
        <f>_xlfn.XLOOKUP(_xlfn.XLOOKUP(A1124,orders[orderID],orders[customerID],,0),customers__2[customerID],customers__2[companyName],,0)</f>
        <v>Frankenversand</v>
      </c>
      <c r="K1124" t="str">
        <f>_xlfn.XLOOKUP(Table9[[#This Row],[Company Name]],customers__2[companyName],customers__2[country],,0)</f>
        <v>Germany</v>
      </c>
      <c r="L1124">
        <f>MONTH(Table9[[#This Row],[OrderDate ]])</f>
        <v>9</v>
      </c>
      <c r="M1124" t="str">
        <f>TEXT(Table9[[#This Row],[OrderDate ]],"mmm")</f>
        <v>Sep</v>
      </c>
      <c r="N1124">
        <f>YEAR(Table9[[#This Row],[OrderDate ]])</f>
        <v>2014</v>
      </c>
    </row>
    <row r="1125" spans="1:14" x14ac:dyDescent="0.3">
      <c r="A1125">
        <v>10675</v>
      </c>
      <c r="B1125" s="2">
        <f>_xlfn.XLOOKUP(Table9[[#This Row],[orderID]],orders[orderID],orders[orderDate],,0)</f>
        <v>41901</v>
      </c>
      <c r="C1125">
        <f>_xlfn.XLOOKUP(A1125,order_details[orderID],order_details[productID],,0)</f>
        <v>14</v>
      </c>
      <c r="D1125" t="str">
        <f>_xlfn.XLOOKUP(C1125,products[productID],products[productName],,0)</f>
        <v>Tofu</v>
      </c>
      <c r="E1125" t="str">
        <f>_xlfn.XLOOKUP(_xlfn.XLOOKUP(Table9[[#This Row],[ProductName ]],products[productName],products[categoryID],,0),categories[categoryID],categories[categoryName],,0)</f>
        <v>Produce</v>
      </c>
      <c r="F1125">
        <v>30</v>
      </c>
      <c r="G1125">
        <v>1325</v>
      </c>
      <c r="H1125">
        <v>0</v>
      </c>
      <c r="I1125">
        <f>Table9[[#This Row],[quantity]]*Table9[[#This Row],[unitPrice]]*(1-Table9[[#This Row],[discount]]/100)</f>
        <v>39750</v>
      </c>
      <c r="J1125" t="str">
        <f>_xlfn.XLOOKUP(_xlfn.XLOOKUP(A1125,orders[orderID],orders[customerID],,0),customers__2[customerID],customers__2[companyName],,0)</f>
        <v>Frankenversand</v>
      </c>
      <c r="K1125" t="str">
        <f>_xlfn.XLOOKUP(Table9[[#This Row],[Company Name]],customers__2[companyName],customers__2[country],,0)</f>
        <v>Germany</v>
      </c>
      <c r="L1125">
        <f>MONTH(Table9[[#This Row],[OrderDate ]])</f>
        <v>9</v>
      </c>
      <c r="M1125" t="str">
        <f>TEXT(Table9[[#This Row],[OrderDate ]],"mmm")</f>
        <v>Sep</v>
      </c>
      <c r="N1125">
        <f>YEAR(Table9[[#This Row],[OrderDate ]])</f>
        <v>2014</v>
      </c>
    </row>
    <row r="1126" spans="1:14" x14ac:dyDescent="0.3">
      <c r="A1126">
        <v>10676</v>
      </c>
      <c r="B1126" s="2">
        <f>_xlfn.XLOOKUP(Table9[[#This Row],[orderID]],orders[orderID],orders[orderDate],,0)</f>
        <v>41904</v>
      </c>
      <c r="C1126">
        <f>_xlfn.XLOOKUP(A1126,order_details[orderID],order_details[productID],,0)</f>
        <v>10</v>
      </c>
      <c r="D1126" t="str">
        <f>_xlfn.XLOOKUP(C1126,products[productID],products[productName],,0)</f>
        <v>Ikura</v>
      </c>
      <c r="E1126" t="str">
        <f>_xlfn.XLOOKUP(_xlfn.XLOOKUP(Table9[[#This Row],[ProductName ]],products[productName],products[categoryID],,0),categories[categoryID],categories[categoryName],,0)</f>
        <v>Seafood</v>
      </c>
      <c r="F1126">
        <v>2</v>
      </c>
      <c r="G1126">
        <v>31</v>
      </c>
      <c r="H1126">
        <v>0</v>
      </c>
      <c r="I1126">
        <f>Table9[[#This Row],[quantity]]*Table9[[#This Row],[unitPrice]]*(1-Table9[[#This Row],[discount]]/100)</f>
        <v>62</v>
      </c>
      <c r="J1126" t="str">
        <f>_xlfn.XLOOKUP(_xlfn.XLOOKUP(A1126,orders[orderID],orders[customerID],,0),customers__2[customerID],customers__2[companyName],,0)</f>
        <v>Tortuga Restaurante</v>
      </c>
      <c r="K1126" t="str">
        <f>_xlfn.XLOOKUP(Table9[[#This Row],[Company Name]],customers__2[companyName],customers__2[country],,0)</f>
        <v>Mexico</v>
      </c>
      <c r="L1126">
        <f>MONTH(Table9[[#This Row],[OrderDate ]])</f>
        <v>9</v>
      </c>
      <c r="M1126" t="str">
        <f>TEXT(Table9[[#This Row],[OrderDate ]],"mmm")</f>
        <v>Sep</v>
      </c>
      <c r="N1126">
        <f>YEAR(Table9[[#This Row],[OrderDate ]])</f>
        <v>2014</v>
      </c>
    </row>
    <row r="1127" spans="1:14" x14ac:dyDescent="0.3">
      <c r="A1127">
        <v>10676</v>
      </c>
      <c r="B1127" s="2">
        <f>_xlfn.XLOOKUP(Table9[[#This Row],[orderID]],orders[orderID],orders[orderDate],,0)</f>
        <v>41904</v>
      </c>
      <c r="C1127">
        <f>_xlfn.XLOOKUP(A1127,order_details[orderID],order_details[productID],,0)</f>
        <v>10</v>
      </c>
      <c r="D1127" t="str">
        <f>_xlfn.XLOOKUP(C1127,products[productID],products[productName],,0)</f>
        <v>Ikura</v>
      </c>
      <c r="E1127" t="str">
        <f>_xlfn.XLOOKUP(_xlfn.XLOOKUP(Table9[[#This Row],[ProductName ]],products[productName],products[categoryID],,0),categories[categoryID],categories[categoryName],,0)</f>
        <v>Seafood</v>
      </c>
      <c r="F1127">
        <v>7</v>
      </c>
      <c r="G1127">
        <v>92</v>
      </c>
      <c r="H1127">
        <v>0</v>
      </c>
      <c r="I1127">
        <f>Table9[[#This Row],[quantity]]*Table9[[#This Row],[unitPrice]]*(1-Table9[[#This Row],[discount]]/100)</f>
        <v>644</v>
      </c>
      <c r="J1127" t="str">
        <f>_xlfn.XLOOKUP(_xlfn.XLOOKUP(A1127,orders[orderID],orders[customerID],,0),customers__2[customerID],customers__2[companyName],,0)</f>
        <v>Tortuga Restaurante</v>
      </c>
      <c r="K1127" t="str">
        <f>_xlfn.XLOOKUP(Table9[[#This Row],[Company Name]],customers__2[companyName],customers__2[country],,0)</f>
        <v>Mexico</v>
      </c>
      <c r="L1127">
        <f>MONTH(Table9[[#This Row],[OrderDate ]])</f>
        <v>9</v>
      </c>
      <c r="M1127" t="str">
        <f>TEXT(Table9[[#This Row],[OrderDate ]],"mmm")</f>
        <v>Sep</v>
      </c>
      <c r="N1127">
        <f>YEAR(Table9[[#This Row],[OrderDate ]])</f>
        <v>2014</v>
      </c>
    </row>
    <row r="1128" spans="1:14" x14ac:dyDescent="0.3">
      <c r="A1128">
        <v>10676</v>
      </c>
      <c r="B1128" s="2">
        <f>_xlfn.XLOOKUP(Table9[[#This Row],[orderID]],orders[orderID],orders[orderDate],,0)</f>
        <v>41904</v>
      </c>
      <c r="C1128">
        <f>_xlfn.XLOOKUP(A1128,order_details[orderID],order_details[productID],,0)</f>
        <v>10</v>
      </c>
      <c r="D1128" t="str">
        <f>_xlfn.XLOOKUP(C1128,products[productID],products[productName],,0)</f>
        <v>Ikura</v>
      </c>
      <c r="E1128" t="str">
        <f>_xlfn.XLOOKUP(_xlfn.XLOOKUP(Table9[[#This Row],[ProductName ]],products[productName],products[categoryID],,0),categories[categoryID],categories[categoryName],,0)</f>
        <v>Seafood</v>
      </c>
      <c r="F1128">
        <v>21</v>
      </c>
      <c r="G1128">
        <v>1945</v>
      </c>
      <c r="H1128">
        <v>0</v>
      </c>
      <c r="I1128">
        <f>Table9[[#This Row],[quantity]]*Table9[[#This Row],[unitPrice]]*(1-Table9[[#This Row],[discount]]/100)</f>
        <v>40845</v>
      </c>
      <c r="J1128" t="str">
        <f>_xlfn.XLOOKUP(_xlfn.XLOOKUP(A1128,orders[orderID],orders[customerID],,0),customers__2[customerID],customers__2[companyName],,0)</f>
        <v>Tortuga Restaurante</v>
      </c>
      <c r="K1128" t="str">
        <f>_xlfn.XLOOKUP(Table9[[#This Row],[Company Name]],customers__2[companyName],customers__2[country],,0)</f>
        <v>Mexico</v>
      </c>
      <c r="L1128">
        <f>MONTH(Table9[[#This Row],[OrderDate ]])</f>
        <v>9</v>
      </c>
      <c r="M1128" t="str">
        <f>TEXT(Table9[[#This Row],[OrderDate ]],"mmm")</f>
        <v>Sep</v>
      </c>
      <c r="N1128">
        <f>YEAR(Table9[[#This Row],[OrderDate ]])</f>
        <v>2014</v>
      </c>
    </row>
    <row r="1129" spans="1:14" x14ac:dyDescent="0.3">
      <c r="A1129">
        <v>10677</v>
      </c>
      <c r="B1129" s="2">
        <f>_xlfn.XLOOKUP(Table9[[#This Row],[orderID]],orders[orderID],orders[orderDate],,0)</f>
        <v>41904</v>
      </c>
      <c r="C1129">
        <f>_xlfn.XLOOKUP(A1129,order_details[orderID],order_details[productID],,0)</f>
        <v>26</v>
      </c>
      <c r="D1129" t="str">
        <f>_xlfn.XLOOKUP(C1129,products[productID],products[productName],,0)</f>
        <v>Gumbär Gummibärchen</v>
      </c>
      <c r="E1129" t="str">
        <f>_xlfn.XLOOKUP(_xlfn.XLOOKUP(Table9[[#This Row],[ProductName ]],products[productName],products[categoryID],,0),categories[categoryID],categories[categoryName],,0)</f>
        <v>Confections</v>
      </c>
      <c r="F1129">
        <v>30</v>
      </c>
      <c r="G1129">
        <v>3123</v>
      </c>
      <c r="H1129">
        <v>15</v>
      </c>
      <c r="I1129">
        <f>Table9[[#This Row],[quantity]]*Table9[[#This Row],[unitPrice]]*(1-Table9[[#This Row],[discount]]/100)</f>
        <v>79636.5</v>
      </c>
      <c r="J1129" t="str">
        <f>_xlfn.XLOOKUP(_xlfn.XLOOKUP(A1129,orders[orderID],orders[customerID],,0),customers__2[customerID],customers__2[companyName],,0)</f>
        <v>Antonio Moreno Taquería</v>
      </c>
      <c r="K1129" t="str">
        <f>_xlfn.XLOOKUP(Table9[[#This Row],[Company Name]],customers__2[companyName],customers__2[country],,0)</f>
        <v>Mexico</v>
      </c>
      <c r="L1129">
        <f>MONTH(Table9[[#This Row],[OrderDate ]])</f>
        <v>9</v>
      </c>
      <c r="M1129" t="str">
        <f>TEXT(Table9[[#This Row],[OrderDate ]],"mmm")</f>
        <v>Sep</v>
      </c>
      <c r="N1129">
        <f>YEAR(Table9[[#This Row],[OrderDate ]])</f>
        <v>2014</v>
      </c>
    </row>
    <row r="1130" spans="1:14" x14ac:dyDescent="0.3">
      <c r="A1130">
        <v>10677</v>
      </c>
      <c r="B1130" s="2">
        <f>_xlfn.XLOOKUP(Table9[[#This Row],[orderID]],orders[orderID],orders[orderDate],,0)</f>
        <v>41904</v>
      </c>
      <c r="C1130">
        <f>_xlfn.XLOOKUP(A1130,order_details[orderID],order_details[productID],,0)</f>
        <v>26</v>
      </c>
      <c r="D1130" t="str">
        <f>_xlfn.XLOOKUP(C1130,products[productID],products[productName],,0)</f>
        <v>Gumbär Gummibärchen</v>
      </c>
      <c r="E1130" t="str">
        <f>_xlfn.XLOOKUP(_xlfn.XLOOKUP(Table9[[#This Row],[ProductName ]],products[productName],products[categoryID],,0),categories[categoryID],categories[categoryName],,0)</f>
        <v>Confections</v>
      </c>
      <c r="F1130">
        <v>8</v>
      </c>
      <c r="G1130">
        <v>25</v>
      </c>
      <c r="H1130">
        <v>15</v>
      </c>
      <c r="I1130">
        <f>Table9[[#This Row],[quantity]]*Table9[[#This Row],[unitPrice]]*(1-Table9[[#This Row],[discount]]/100)</f>
        <v>170</v>
      </c>
      <c r="J1130" t="str">
        <f>_xlfn.XLOOKUP(_xlfn.XLOOKUP(A1130,orders[orderID],orders[customerID],,0),customers__2[customerID],customers__2[companyName],,0)</f>
        <v>Antonio Moreno Taquería</v>
      </c>
      <c r="K1130" t="str">
        <f>_xlfn.XLOOKUP(Table9[[#This Row],[Company Name]],customers__2[companyName],customers__2[country],,0)</f>
        <v>Mexico</v>
      </c>
      <c r="L1130">
        <f>MONTH(Table9[[#This Row],[OrderDate ]])</f>
        <v>9</v>
      </c>
      <c r="M1130" t="str">
        <f>TEXT(Table9[[#This Row],[OrderDate ]],"mmm")</f>
        <v>Sep</v>
      </c>
      <c r="N1130">
        <f>YEAR(Table9[[#This Row],[OrderDate ]])</f>
        <v>2014</v>
      </c>
    </row>
    <row r="1131" spans="1:14" x14ac:dyDescent="0.3">
      <c r="A1131">
        <v>10678</v>
      </c>
      <c r="B1131" s="2">
        <f>_xlfn.XLOOKUP(Table9[[#This Row],[orderID]],orders[orderID],orders[orderDate],,0)</f>
        <v>41905</v>
      </c>
      <c r="C1131">
        <f>_xlfn.XLOOKUP(A1131,order_details[orderID],order_details[productID],,0)</f>
        <v>12</v>
      </c>
      <c r="D1131" t="str">
        <f>_xlfn.XLOOKUP(C1131,products[productID],products[productName],,0)</f>
        <v>Queso Manchego La Pastora</v>
      </c>
      <c r="E1131" t="str">
        <f>_xlfn.XLOOKUP(_xlfn.XLOOKUP(Table9[[#This Row],[ProductName ]],products[productName],products[categoryID],,0),categories[categoryID],categories[categoryName],,0)</f>
        <v>Dairy Products</v>
      </c>
      <c r="F1131">
        <v>100</v>
      </c>
      <c r="G1131">
        <v>38</v>
      </c>
      <c r="H1131">
        <v>0</v>
      </c>
      <c r="I1131">
        <f>Table9[[#This Row],[quantity]]*Table9[[#This Row],[unitPrice]]*(1-Table9[[#This Row],[discount]]/100)</f>
        <v>3800</v>
      </c>
      <c r="J1131" t="str">
        <f>_xlfn.XLOOKUP(_xlfn.XLOOKUP(A1131,orders[orderID],orders[customerID],,0),customers__2[customerID],customers__2[companyName],,0)</f>
        <v>Save-a-lot Markets</v>
      </c>
      <c r="K1131" t="str">
        <f>_xlfn.XLOOKUP(Table9[[#This Row],[Company Name]],customers__2[companyName],customers__2[country],,0)</f>
        <v>USA</v>
      </c>
      <c r="L1131">
        <f>MONTH(Table9[[#This Row],[OrderDate ]])</f>
        <v>9</v>
      </c>
      <c r="M1131" t="str">
        <f>TEXT(Table9[[#This Row],[OrderDate ]],"mmm")</f>
        <v>Sep</v>
      </c>
      <c r="N1131">
        <f>YEAR(Table9[[#This Row],[OrderDate ]])</f>
        <v>2014</v>
      </c>
    </row>
    <row r="1132" spans="1:14" x14ac:dyDescent="0.3">
      <c r="A1132">
        <v>10678</v>
      </c>
      <c r="B1132" s="2">
        <f>_xlfn.XLOOKUP(Table9[[#This Row],[orderID]],orders[orderID],orders[orderDate],,0)</f>
        <v>41905</v>
      </c>
      <c r="C1132">
        <f>_xlfn.XLOOKUP(A1132,order_details[orderID],order_details[productID],,0)</f>
        <v>12</v>
      </c>
      <c r="D1132" t="str">
        <f>_xlfn.XLOOKUP(C1132,products[productID],products[productName],,0)</f>
        <v>Queso Manchego La Pastora</v>
      </c>
      <c r="E1132" t="str">
        <f>_xlfn.XLOOKUP(_xlfn.XLOOKUP(Table9[[#This Row],[ProductName ]],products[productName],products[categoryID],,0),categories[categoryID],categories[categoryName],,0)</f>
        <v>Dairy Products</v>
      </c>
      <c r="F1132">
        <v>30</v>
      </c>
      <c r="G1132">
        <v>25</v>
      </c>
      <c r="H1132">
        <v>0</v>
      </c>
      <c r="I1132">
        <f>Table9[[#This Row],[quantity]]*Table9[[#This Row],[unitPrice]]*(1-Table9[[#This Row],[discount]]/100)</f>
        <v>750</v>
      </c>
      <c r="J1132" t="str">
        <f>_xlfn.XLOOKUP(_xlfn.XLOOKUP(A1132,orders[orderID],orders[customerID],,0),customers__2[customerID],customers__2[companyName],,0)</f>
        <v>Save-a-lot Markets</v>
      </c>
      <c r="K1132" t="str">
        <f>_xlfn.XLOOKUP(Table9[[#This Row],[Company Name]],customers__2[companyName],customers__2[country],,0)</f>
        <v>USA</v>
      </c>
      <c r="L1132">
        <f>MONTH(Table9[[#This Row],[OrderDate ]])</f>
        <v>9</v>
      </c>
      <c r="M1132" t="str">
        <f>TEXT(Table9[[#This Row],[OrderDate ]],"mmm")</f>
        <v>Sep</v>
      </c>
      <c r="N1132">
        <f>YEAR(Table9[[#This Row],[OrderDate ]])</f>
        <v>2014</v>
      </c>
    </row>
    <row r="1133" spans="1:14" x14ac:dyDescent="0.3">
      <c r="A1133">
        <v>10678</v>
      </c>
      <c r="B1133" s="2">
        <f>_xlfn.XLOOKUP(Table9[[#This Row],[orderID]],orders[orderID],orders[orderDate],,0)</f>
        <v>41905</v>
      </c>
      <c r="C1133">
        <f>_xlfn.XLOOKUP(A1133,order_details[orderID],order_details[productID],,0)</f>
        <v>12</v>
      </c>
      <c r="D1133" t="str">
        <f>_xlfn.XLOOKUP(C1133,products[productID],products[productName],,0)</f>
        <v>Queso Manchego La Pastora</v>
      </c>
      <c r="E1133" t="str">
        <f>_xlfn.XLOOKUP(_xlfn.XLOOKUP(Table9[[#This Row],[ProductName ]],products[productName],products[categoryID],,0),categories[categoryID],categories[categoryName],,0)</f>
        <v>Dairy Products</v>
      </c>
      <c r="F1133">
        <v>120</v>
      </c>
      <c r="G1133">
        <v>965</v>
      </c>
      <c r="H1133">
        <v>0</v>
      </c>
      <c r="I1133">
        <f>Table9[[#This Row],[quantity]]*Table9[[#This Row],[unitPrice]]*(1-Table9[[#This Row],[discount]]/100)</f>
        <v>115800</v>
      </c>
      <c r="J1133" t="str">
        <f>_xlfn.XLOOKUP(_xlfn.XLOOKUP(A1133,orders[orderID],orders[customerID],,0),customers__2[customerID],customers__2[companyName],,0)</f>
        <v>Save-a-lot Markets</v>
      </c>
      <c r="K1133" t="str">
        <f>_xlfn.XLOOKUP(Table9[[#This Row],[Company Name]],customers__2[companyName],customers__2[country],,0)</f>
        <v>USA</v>
      </c>
      <c r="L1133">
        <f>MONTH(Table9[[#This Row],[OrderDate ]])</f>
        <v>9</v>
      </c>
      <c r="M1133" t="str">
        <f>TEXT(Table9[[#This Row],[OrderDate ]],"mmm")</f>
        <v>Sep</v>
      </c>
      <c r="N1133">
        <f>YEAR(Table9[[#This Row],[OrderDate ]])</f>
        <v>2014</v>
      </c>
    </row>
    <row r="1134" spans="1:14" x14ac:dyDescent="0.3">
      <c r="A1134">
        <v>10678</v>
      </c>
      <c r="B1134" s="2">
        <f>_xlfn.XLOOKUP(Table9[[#This Row],[orderID]],orders[orderID],orders[orderDate],,0)</f>
        <v>41905</v>
      </c>
      <c r="C1134">
        <f>_xlfn.XLOOKUP(A1134,order_details[orderID],order_details[productID],,0)</f>
        <v>12</v>
      </c>
      <c r="D1134" t="str">
        <f>_xlfn.XLOOKUP(C1134,products[productID],products[productName],,0)</f>
        <v>Queso Manchego La Pastora</v>
      </c>
      <c r="E1134" t="str">
        <f>_xlfn.XLOOKUP(_xlfn.XLOOKUP(Table9[[#This Row],[ProductName ]],products[productName],products[categoryID],,0),categories[categoryID],categories[categoryName],,0)</f>
        <v>Dairy Products</v>
      </c>
      <c r="F1134">
        <v>30</v>
      </c>
      <c r="G1134">
        <v>745</v>
      </c>
      <c r="H1134">
        <v>0</v>
      </c>
      <c r="I1134">
        <f>Table9[[#This Row],[quantity]]*Table9[[#This Row],[unitPrice]]*(1-Table9[[#This Row],[discount]]/100)</f>
        <v>22350</v>
      </c>
      <c r="J1134" t="str">
        <f>_xlfn.XLOOKUP(_xlfn.XLOOKUP(A1134,orders[orderID],orders[customerID],,0),customers__2[customerID],customers__2[companyName],,0)</f>
        <v>Save-a-lot Markets</v>
      </c>
      <c r="K1134" t="str">
        <f>_xlfn.XLOOKUP(Table9[[#This Row],[Company Name]],customers__2[companyName],customers__2[country],,0)</f>
        <v>USA</v>
      </c>
      <c r="L1134">
        <f>MONTH(Table9[[#This Row],[OrderDate ]])</f>
        <v>9</v>
      </c>
      <c r="M1134" t="str">
        <f>TEXT(Table9[[#This Row],[OrderDate ]],"mmm")</f>
        <v>Sep</v>
      </c>
      <c r="N1134">
        <f>YEAR(Table9[[#This Row],[OrderDate ]])</f>
        <v>2014</v>
      </c>
    </row>
    <row r="1135" spans="1:14" x14ac:dyDescent="0.3">
      <c r="A1135">
        <v>10679</v>
      </c>
      <c r="B1135" s="2">
        <f>_xlfn.XLOOKUP(Table9[[#This Row],[orderID]],orders[orderID],orders[orderDate],,0)</f>
        <v>41905</v>
      </c>
      <c r="C1135">
        <f>_xlfn.XLOOKUP(A1135,order_details[orderID],order_details[productID],,0)</f>
        <v>59</v>
      </c>
      <c r="D1135" t="str">
        <f>_xlfn.XLOOKUP(C1135,products[productID],products[productName],,0)</f>
        <v>Raclette Courdavault</v>
      </c>
      <c r="E1135" t="str">
        <f>_xlfn.XLOOKUP(_xlfn.XLOOKUP(Table9[[#This Row],[ProductName ]],products[productName],products[categoryID],,0),categories[categoryID],categories[categoryName],,0)</f>
        <v>Dairy Products</v>
      </c>
      <c r="F1135">
        <v>12</v>
      </c>
      <c r="G1135">
        <v>55</v>
      </c>
      <c r="H1135">
        <v>0</v>
      </c>
      <c r="I1135">
        <f>Table9[[#This Row],[quantity]]*Table9[[#This Row],[unitPrice]]*(1-Table9[[#This Row],[discount]]/100)</f>
        <v>660</v>
      </c>
      <c r="J1135" t="str">
        <f>_xlfn.XLOOKUP(_xlfn.XLOOKUP(A1135,orders[orderID],orders[customerID],,0),customers__2[customerID],customers__2[companyName],,0)</f>
        <v>Blondesddsl père et fils</v>
      </c>
      <c r="K1135" t="str">
        <f>_xlfn.XLOOKUP(Table9[[#This Row],[Company Name]],customers__2[companyName],customers__2[country],,0)</f>
        <v>France</v>
      </c>
      <c r="L1135">
        <f>MONTH(Table9[[#This Row],[OrderDate ]])</f>
        <v>9</v>
      </c>
      <c r="M1135" t="str">
        <f>TEXT(Table9[[#This Row],[OrderDate ]],"mmm")</f>
        <v>Sep</v>
      </c>
      <c r="N1135">
        <f>YEAR(Table9[[#This Row],[OrderDate ]])</f>
        <v>2014</v>
      </c>
    </row>
    <row r="1136" spans="1:14" x14ac:dyDescent="0.3">
      <c r="A1136">
        <v>10680</v>
      </c>
      <c r="B1136" s="2">
        <f>_xlfn.XLOOKUP(Table9[[#This Row],[orderID]],orders[orderID],orders[orderDate],,0)</f>
        <v>41906</v>
      </c>
      <c r="C1136">
        <f>_xlfn.XLOOKUP(A1136,order_details[orderID],order_details[productID],,0)</f>
        <v>16</v>
      </c>
      <c r="D1136" t="str">
        <f>_xlfn.XLOOKUP(C1136,products[productID],products[productName],,0)</f>
        <v>Pavlova</v>
      </c>
      <c r="E1136" t="str">
        <f>_xlfn.XLOOKUP(_xlfn.XLOOKUP(Table9[[#This Row],[ProductName ]],products[productName],products[categoryID],,0),categories[categoryID],categories[categoryName],,0)</f>
        <v>Confections</v>
      </c>
      <c r="F1136">
        <v>50</v>
      </c>
      <c r="G1136">
        <v>1745</v>
      </c>
      <c r="H1136">
        <v>25</v>
      </c>
      <c r="I1136">
        <f>Table9[[#This Row],[quantity]]*Table9[[#This Row],[unitPrice]]*(1-Table9[[#This Row],[discount]]/100)</f>
        <v>65437.5</v>
      </c>
      <c r="J1136" t="str">
        <f>_xlfn.XLOOKUP(_xlfn.XLOOKUP(A1136,orders[orderID],orders[customerID],,0),customers__2[customerID],customers__2[companyName],,0)</f>
        <v>Old World Delicatessen</v>
      </c>
      <c r="K1136" t="str">
        <f>_xlfn.XLOOKUP(Table9[[#This Row],[Company Name]],customers__2[companyName],customers__2[country],,0)</f>
        <v>USA</v>
      </c>
      <c r="L1136">
        <f>MONTH(Table9[[#This Row],[OrderDate ]])</f>
        <v>9</v>
      </c>
      <c r="M1136" t="str">
        <f>TEXT(Table9[[#This Row],[OrderDate ]],"mmm")</f>
        <v>Sep</v>
      </c>
      <c r="N1136">
        <f>YEAR(Table9[[#This Row],[OrderDate ]])</f>
        <v>2014</v>
      </c>
    </row>
    <row r="1137" spans="1:14" x14ac:dyDescent="0.3">
      <c r="A1137">
        <v>10680</v>
      </c>
      <c r="B1137" s="2">
        <f>_xlfn.XLOOKUP(Table9[[#This Row],[orderID]],orders[orderID],orders[orderDate],,0)</f>
        <v>41906</v>
      </c>
      <c r="C1137">
        <f>_xlfn.XLOOKUP(A1137,order_details[orderID],order_details[productID],,0)</f>
        <v>16</v>
      </c>
      <c r="D1137" t="str">
        <f>_xlfn.XLOOKUP(C1137,products[productID],products[productName],,0)</f>
        <v>Pavlova</v>
      </c>
      <c r="E1137" t="str">
        <f>_xlfn.XLOOKUP(_xlfn.XLOOKUP(Table9[[#This Row],[ProductName ]],products[productName],products[categoryID],,0),categories[categoryID],categories[categoryName],,0)</f>
        <v>Confections</v>
      </c>
      <c r="F1137">
        <v>20</v>
      </c>
      <c r="G1137">
        <v>125</v>
      </c>
      <c r="H1137">
        <v>25</v>
      </c>
      <c r="I1137">
        <f>Table9[[#This Row],[quantity]]*Table9[[#This Row],[unitPrice]]*(1-Table9[[#This Row],[discount]]/100)</f>
        <v>1875</v>
      </c>
      <c r="J1137" t="str">
        <f>_xlfn.XLOOKUP(_xlfn.XLOOKUP(A1137,orders[orderID],orders[customerID],,0),customers__2[customerID],customers__2[companyName],,0)</f>
        <v>Old World Delicatessen</v>
      </c>
      <c r="K1137" t="str">
        <f>_xlfn.XLOOKUP(Table9[[#This Row],[Company Name]],customers__2[companyName],customers__2[country],,0)</f>
        <v>USA</v>
      </c>
      <c r="L1137">
        <f>MONTH(Table9[[#This Row],[OrderDate ]])</f>
        <v>9</v>
      </c>
      <c r="M1137" t="str">
        <f>TEXT(Table9[[#This Row],[OrderDate ]],"mmm")</f>
        <v>Sep</v>
      </c>
      <c r="N1137">
        <f>YEAR(Table9[[#This Row],[OrderDate ]])</f>
        <v>2014</v>
      </c>
    </row>
    <row r="1138" spans="1:14" x14ac:dyDescent="0.3">
      <c r="A1138">
        <v>10680</v>
      </c>
      <c r="B1138" s="2">
        <f>_xlfn.XLOOKUP(Table9[[#This Row],[orderID]],orders[orderID],orders[orderDate],,0)</f>
        <v>41906</v>
      </c>
      <c r="C1138">
        <f>_xlfn.XLOOKUP(A1138,order_details[orderID],order_details[productID],,0)</f>
        <v>16</v>
      </c>
      <c r="D1138" t="str">
        <f>_xlfn.XLOOKUP(C1138,products[productID],products[productName],,0)</f>
        <v>Pavlova</v>
      </c>
      <c r="E1138" t="str">
        <f>_xlfn.XLOOKUP(_xlfn.XLOOKUP(Table9[[#This Row],[ProductName ]],products[productName],products[categoryID],,0),categories[categoryID],categories[categoryName],,0)</f>
        <v>Confections</v>
      </c>
      <c r="F1138">
        <v>40</v>
      </c>
      <c r="G1138">
        <v>14</v>
      </c>
      <c r="H1138">
        <v>25</v>
      </c>
      <c r="I1138">
        <f>Table9[[#This Row],[quantity]]*Table9[[#This Row],[unitPrice]]*(1-Table9[[#This Row],[discount]]/100)</f>
        <v>420</v>
      </c>
      <c r="J1138" t="str">
        <f>_xlfn.XLOOKUP(_xlfn.XLOOKUP(A1138,orders[orderID],orders[customerID],,0),customers__2[customerID],customers__2[companyName],,0)</f>
        <v>Old World Delicatessen</v>
      </c>
      <c r="K1138" t="str">
        <f>_xlfn.XLOOKUP(Table9[[#This Row],[Company Name]],customers__2[companyName],customers__2[country],,0)</f>
        <v>USA</v>
      </c>
      <c r="L1138">
        <f>MONTH(Table9[[#This Row],[OrderDate ]])</f>
        <v>9</v>
      </c>
      <c r="M1138" t="str">
        <f>TEXT(Table9[[#This Row],[OrderDate ]],"mmm")</f>
        <v>Sep</v>
      </c>
      <c r="N1138">
        <f>YEAR(Table9[[#This Row],[OrderDate ]])</f>
        <v>2014</v>
      </c>
    </row>
    <row r="1139" spans="1:14" x14ac:dyDescent="0.3">
      <c r="A1139">
        <v>10681</v>
      </c>
      <c r="B1139" s="2">
        <f>_xlfn.XLOOKUP(Table9[[#This Row],[orderID]],orders[orderID],orders[orderDate],,0)</f>
        <v>41907</v>
      </c>
      <c r="C1139">
        <f>_xlfn.XLOOKUP(A1139,order_details[orderID],order_details[productID],,0)</f>
        <v>19</v>
      </c>
      <c r="D1139" t="str">
        <f>_xlfn.XLOOKUP(C1139,products[productID],products[productName],,0)</f>
        <v>Teatime Chocolate Biscuits</v>
      </c>
      <c r="E1139" t="str">
        <f>_xlfn.XLOOKUP(_xlfn.XLOOKUP(Table9[[#This Row],[ProductName ]],products[productName],products[categoryID],,0),categories[categoryID],categories[categoryName],,0)</f>
        <v>Confections</v>
      </c>
      <c r="F1139">
        <v>30</v>
      </c>
      <c r="G1139">
        <v>92</v>
      </c>
      <c r="H1139">
        <v>1</v>
      </c>
      <c r="I1139">
        <f>Table9[[#This Row],[quantity]]*Table9[[#This Row],[unitPrice]]*(1-Table9[[#This Row],[discount]]/100)</f>
        <v>2732.4</v>
      </c>
      <c r="J1139" t="str">
        <f>_xlfn.XLOOKUP(_xlfn.XLOOKUP(A1139,orders[orderID],orders[customerID],,0),customers__2[customerID],customers__2[companyName],,0)</f>
        <v>Great Lakes Food Market</v>
      </c>
      <c r="K1139" t="str">
        <f>_xlfn.XLOOKUP(Table9[[#This Row],[Company Name]],customers__2[companyName],customers__2[country],,0)</f>
        <v>USA</v>
      </c>
      <c r="L1139">
        <f>MONTH(Table9[[#This Row],[OrderDate ]])</f>
        <v>9</v>
      </c>
      <c r="M1139" t="str">
        <f>TEXT(Table9[[#This Row],[OrderDate ]],"mmm")</f>
        <v>Sep</v>
      </c>
      <c r="N1139">
        <f>YEAR(Table9[[#This Row],[OrderDate ]])</f>
        <v>2014</v>
      </c>
    </row>
    <row r="1140" spans="1:14" x14ac:dyDescent="0.3">
      <c r="A1140">
        <v>10681</v>
      </c>
      <c r="B1140" s="2">
        <f>_xlfn.XLOOKUP(Table9[[#This Row],[orderID]],orders[orderID],orders[orderDate],,0)</f>
        <v>41907</v>
      </c>
      <c r="C1140">
        <f>_xlfn.XLOOKUP(A1140,order_details[orderID],order_details[productID],,0)</f>
        <v>19</v>
      </c>
      <c r="D1140" t="str">
        <f>_xlfn.XLOOKUP(C1140,products[productID],products[productName],,0)</f>
        <v>Teatime Chocolate Biscuits</v>
      </c>
      <c r="E1140" t="str">
        <f>_xlfn.XLOOKUP(_xlfn.XLOOKUP(Table9[[#This Row],[ProductName ]],products[productName],products[categoryID],,0),categories[categoryID],categories[categoryName],,0)</f>
        <v>Confections</v>
      </c>
      <c r="F1140">
        <v>12</v>
      </c>
      <c r="G1140">
        <v>10</v>
      </c>
      <c r="H1140">
        <v>1</v>
      </c>
      <c r="I1140">
        <f>Table9[[#This Row],[quantity]]*Table9[[#This Row],[unitPrice]]*(1-Table9[[#This Row],[discount]]/100)</f>
        <v>118.8</v>
      </c>
      <c r="J1140" t="str">
        <f>_xlfn.XLOOKUP(_xlfn.XLOOKUP(A1140,orders[orderID],orders[customerID],,0),customers__2[customerID],customers__2[companyName],,0)</f>
        <v>Great Lakes Food Market</v>
      </c>
      <c r="K1140" t="str">
        <f>_xlfn.XLOOKUP(Table9[[#This Row],[Company Name]],customers__2[companyName],customers__2[country],,0)</f>
        <v>USA</v>
      </c>
      <c r="L1140">
        <f>MONTH(Table9[[#This Row],[OrderDate ]])</f>
        <v>9</v>
      </c>
      <c r="M1140" t="str">
        <f>TEXT(Table9[[#This Row],[OrderDate ]],"mmm")</f>
        <v>Sep</v>
      </c>
      <c r="N1140">
        <f>YEAR(Table9[[#This Row],[OrderDate ]])</f>
        <v>2014</v>
      </c>
    </row>
    <row r="1141" spans="1:14" x14ac:dyDescent="0.3">
      <c r="A1141">
        <v>10681</v>
      </c>
      <c r="B1141" s="2">
        <f>_xlfn.XLOOKUP(Table9[[#This Row],[orderID]],orders[orderID],orders[orderDate],,0)</f>
        <v>41907</v>
      </c>
      <c r="C1141">
        <f>_xlfn.XLOOKUP(A1141,order_details[orderID],order_details[productID],,0)</f>
        <v>19</v>
      </c>
      <c r="D1141" t="str">
        <f>_xlfn.XLOOKUP(C1141,products[productID],products[productName],,0)</f>
        <v>Teatime Chocolate Biscuits</v>
      </c>
      <c r="E1141" t="str">
        <f>_xlfn.XLOOKUP(_xlfn.XLOOKUP(Table9[[#This Row],[ProductName ]],products[productName],products[categoryID],,0),categories[categoryID],categories[categoryName],,0)</f>
        <v>Confections</v>
      </c>
      <c r="F1141">
        <v>28</v>
      </c>
      <c r="G1141">
        <v>3325</v>
      </c>
      <c r="H1141">
        <v>0</v>
      </c>
      <c r="I1141">
        <f>Table9[[#This Row],[quantity]]*Table9[[#This Row],[unitPrice]]*(1-Table9[[#This Row],[discount]]/100)</f>
        <v>93100</v>
      </c>
      <c r="J1141" t="str">
        <f>_xlfn.XLOOKUP(_xlfn.XLOOKUP(A1141,orders[orderID],orders[customerID],,0),customers__2[customerID],customers__2[companyName],,0)</f>
        <v>Great Lakes Food Market</v>
      </c>
      <c r="K1141" t="str">
        <f>_xlfn.XLOOKUP(Table9[[#This Row],[Company Name]],customers__2[companyName],customers__2[country],,0)</f>
        <v>USA</v>
      </c>
      <c r="L1141">
        <f>MONTH(Table9[[#This Row],[OrderDate ]])</f>
        <v>9</v>
      </c>
      <c r="M1141" t="str">
        <f>TEXT(Table9[[#This Row],[OrderDate ]],"mmm")</f>
        <v>Sep</v>
      </c>
      <c r="N1141">
        <f>YEAR(Table9[[#This Row],[OrderDate ]])</f>
        <v>2014</v>
      </c>
    </row>
    <row r="1142" spans="1:14" x14ac:dyDescent="0.3">
      <c r="A1142">
        <v>10682</v>
      </c>
      <c r="B1142" s="2">
        <f>_xlfn.XLOOKUP(Table9[[#This Row],[orderID]],orders[orderID],orders[orderDate],,0)</f>
        <v>41907</v>
      </c>
      <c r="C1142">
        <f>_xlfn.XLOOKUP(A1142,order_details[orderID],order_details[productID],,0)</f>
        <v>33</v>
      </c>
      <c r="D1142" t="str">
        <f>_xlfn.XLOOKUP(C1142,products[productID],products[productName],,0)</f>
        <v>Geitost</v>
      </c>
      <c r="E1142" t="str">
        <f>_xlfn.XLOOKUP(_xlfn.XLOOKUP(Table9[[#This Row],[ProductName ]],products[productName],products[categoryID],,0),categories[categoryID],categories[categoryName],,0)</f>
        <v>Dairy Products</v>
      </c>
      <c r="F1142">
        <v>30</v>
      </c>
      <c r="G1142">
        <v>25</v>
      </c>
      <c r="H1142">
        <v>0</v>
      </c>
      <c r="I1142">
        <f>Table9[[#This Row],[quantity]]*Table9[[#This Row],[unitPrice]]*(1-Table9[[#This Row],[discount]]/100)</f>
        <v>750</v>
      </c>
      <c r="J1142" t="str">
        <f>_xlfn.XLOOKUP(_xlfn.XLOOKUP(A1142,orders[orderID],orders[customerID],,0),customers__2[customerID],customers__2[companyName],,0)</f>
        <v>Antonio Moreno Taquería</v>
      </c>
      <c r="K1142" t="str">
        <f>_xlfn.XLOOKUP(Table9[[#This Row],[Company Name]],customers__2[companyName],customers__2[country],,0)</f>
        <v>Mexico</v>
      </c>
      <c r="L1142">
        <f>MONTH(Table9[[#This Row],[OrderDate ]])</f>
        <v>9</v>
      </c>
      <c r="M1142" t="str">
        <f>TEXT(Table9[[#This Row],[OrderDate ]],"mmm")</f>
        <v>Sep</v>
      </c>
      <c r="N1142">
        <f>YEAR(Table9[[#This Row],[OrderDate ]])</f>
        <v>2014</v>
      </c>
    </row>
    <row r="1143" spans="1:14" x14ac:dyDescent="0.3">
      <c r="A1143">
        <v>10682</v>
      </c>
      <c r="B1143" s="2">
        <f>_xlfn.XLOOKUP(Table9[[#This Row],[orderID]],orders[orderID],orders[orderDate],,0)</f>
        <v>41907</v>
      </c>
      <c r="C1143">
        <f>_xlfn.XLOOKUP(A1143,order_details[orderID],order_details[productID],,0)</f>
        <v>33</v>
      </c>
      <c r="D1143" t="str">
        <f>_xlfn.XLOOKUP(C1143,products[productID],products[productName],,0)</f>
        <v>Geitost</v>
      </c>
      <c r="E1143" t="str">
        <f>_xlfn.XLOOKUP(_xlfn.XLOOKUP(Table9[[#This Row],[ProductName ]],products[productName],products[categoryID],,0),categories[categoryID],categories[categoryName],,0)</f>
        <v>Dairy Products</v>
      </c>
      <c r="F1143">
        <v>4</v>
      </c>
      <c r="G1143">
        <v>17</v>
      </c>
      <c r="H1143">
        <v>0</v>
      </c>
      <c r="I1143">
        <f>Table9[[#This Row],[quantity]]*Table9[[#This Row],[unitPrice]]*(1-Table9[[#This Row],[discount]]/100)</f>
        <v>68</v>
      </c>
      <c r="J1143" t="str">
        <f>_xlfn.XLOOKUP(_xlfn.XLOOKUP(A1143,orders[orderID],orders[customerID],,0),customers__2[customerID],customers__2[companyName],,0)</f>
        <v>Antonio Moreno Taquería</v>
      </c>
      <c r="K1143" t="str">
        <f>_xlfn.XLOOKUP(Table9[[#This Row],[Company Name]],customers__2[companyName],customers__2[country],,0)</f>
        <v>Mexico</v>
      </c>
      <c r="L1143">
        <f>MONTH(Table9[[#This Row],[OrderDate ]])</f>
        <v>9</v>
      </c>
      <c r="M1143" t="str">
        <f>TEXT(Table9[[#This Row],[OrderDate ]],"mmm")</f>
        <v>Sep</v>
      </c>
      <c r="N1143">
        <f>YEAR(Table9[[#This Row],[OrderDate ]])</f>
        <v>2014</v>
      </c>
    </row>
    <row r="1144" spans="1:14" x14ac:dyDescent="0.3">
      <c r="A1144">
        <v>10682</v>
      </c>
      <c r="B1144" s="2">
        <f>_xlfn.XLOOKUP(Table9[[#This Row],[orderID]],orders[orderID],orders[orderDate],,0)</f>
        <v>41907</v>
      </c>
      <c r="C1144">
        <f>_xlfn.XLOOKUP(A1144,order_details[orderID],order_details[productID],,0)</f>
        <v>33</v>
      </c>
      <c r="D1144" t="str">
        <f>_xlfn.XLOOKUP(C1144,products[productID],products[productName],,0)</f>
        <v>Geitost</v>
      </c>
      <c r="E1144" t="str">
        <f>_xlfn.XLOOKUP(_xlfn.XLOOKUP(Table9[[#This Row],[ProductName ]],products[productName],products[categoryID],,0),categories[categoryID],categories[categoryName],,0)</f>
        <v>Dairy Products</v>
      </c>
      <c r="F1144">
        <v>30</v>
      </c>
      <c r="G1144">
        <v>775</v>
      </c>
      <c r="H1144">
        <v>0</v>
      </c>
      <c r="I1144">
        <f>Table9[[#This Row],[quantity]]*Table9[[#This Row],[unitPrice]]*(1-Table9[[#This Row],[discount]]/100)</f>
        <v>23250</v>
      </c>
      <c r="J1144" t="str">
        <f>_xlfn.XLOOKUP(_xlfn.XLOOKUP(A1144,orders[orderID],orders[customerID],,0),customers__2[customerID],customers__2[companyName],,0)</f>
        <v>Antonio Moreno Taquería</v>
      </c>
      <c r="K1144" t="str">
        <f>_xlfn.XLOOKUP(Table9[[#This Row],[Company Name]],customers__2[companyName],customers__2[country],,0)</f>
        <v>Mexico</v>
      </c>
      <c r="L1144">
        <f>MONTH(Table9[[#This Row],[OrderDate ]])</f>
        <v>9</v>
      </c>
      <c r="M1144" t="str">
        <f>TEXT(Table9[[#This Row],[OrderDate ]],"mmm")</f>
        <v>Sep</v>
      </c>
      <c r="N1144">
        <f>YEAR(Table9[[#This Row],[OrderDate ]])</f>
        <v>2014</v>
      </c>
    </row>
    <row r="1145" spans="1:14" x14ac:dyDescent="0.3">
      <c r="A1145">
        <v>10683</v>
      </c>
      <c r="B1145" s="2">
        <f>_xlfn.XLOOKUP(Table9[[#This Row],[orderID]],orders[orderID],orders[orderDate],,0)</f>
        <v>41908</v>
      </c>
      <c r="C1145">
        <f>_xlfn.XLOOKUP(A1145,order_details[orderID],order_details[productID],,0)</f>
        <v>52</v>
      </c>
      <c r="D1145" t="str">
        <f>_xlfn.XLOOKUP(C1145,products[productID],products[productName],,0)</f>
        <v>Filo Mix</v>
      </c>
      <c r="E1145" t="str">
        <f>_xlfn.XLOOKUP(_xlfn.XLOOKUP(Table9[[#This Row],[ProductName ]],products[productName],products[categoryID],,0),categories[categoryID],categories[categoryName],,0)</f>
        <v>Grains &amp; Cereals</v>
      </c>
      <c r="F1145">
        <v>9</v>
      </c>
      <c r="G1145">
        <v>7</v>
      </c>
      <c r="H1145">
        <v>0</v>
      </c>
      <c r="I1145">
        <f>Table9[[#This Row],[quantity]]*Table9[[#This Row],[unitPrice]]*(1-Table9[[#This Row],[discount]]/100)</f>
        <v>63</v>
      </c>
      <c r="J1145" t="str">
        <f>_xlfn.XLOOKUP(_xlfn.XLOOKUP(A1145,orders[orderID],orders[customerID],,0),customers__2[customerID],customers__2[companyName],,0)</f>
        <v>Du monde entier</v>
      </c>
      <c r="K1145" t="str">
        <f>_xlfn.XLOOKUP(Table9[[#This Row],[Company Name]],customers__2[companyName],customers__2[country],,0)</f>
        <v>France</v>
      </c>
      <c r="L1145">
        <f>MONTH(Table9[[#This Row],[OrderDate ]])</f>
        <v>9</v>
      </c>
      <c r="M1145" t="str">
        <f>TEXT(Table9[[#This Row],[OrderDate ]],"mmm")</f>
        <v>Sep</v>
      </c>
      <c r="N1145">
        <f>YEAR(Table9[[#This Row],[OrderDate ]])</f>
        <v>2014</v>
      </c>
    </row>
    <row r="1146" spans="1:14" x14ac:dyDescent="0.3">
      <c r="A1146">
        <v>10684</v>
      </c>
      <c r="B1146" s="2">
        <f>_xlfn.XLOOKUP(Table9[[#This Row],[orderID]],orders[orderID],orders[orderDate],,0)</f>
        <v>41908</v>
      </c>
      <c r="C1146">
        <f>_xlfn.XLOOKUP(A1146,order_details[orderID],order_details[productID],,0)</f>
        <v>40</v>
      </c>
      <c r="D1146" t="str">
        <f>_xlfn.XLOOKUP(C1146,products[productID],products[productName],,0)</f>
        <v>Boston Crab Meat</v>
      </c>
      <c r="E1146" t="str">
        <f>_xlfn.XLOOKUP(_xlfn.XLOOKUP(Table9[[#This Row],[ProductName ]],products[productName],products[categoryID],,0),categories[categoryID],categories[categoryName],,0)</f>
        <v>Seafood</v>
      </c>
      <c r="F1146">
        <v>20</v>
      </c>
      <c r="G1146">
        <v>184</v>
      </c>
      <c r="H1146">
        <v>0</v>
      </c>
      <c r="I1146">
        <f>Table9[[#This Row],[quantity]]*Table9[[#This Row],[unitPrice]]*(1-Table9[[#This Row],[discount]]/100)</f>
        <v>3680</v>
      </c>
      <c r="J1146" t="str">
        <f>_xlfn.XLOOKUP(_xlfn.XLOOKUP(A1146,orders[orderID],orders[customerID],,0),customers__2[customerID],customers__2[companyName],,0)</f>
        <v>Ottilies Käseladen</v>
      </c>
      <c r="K1146" t="str">
        <f>_xlfn.XLOOKUP(Table9[[#This Row],[Company Name]],customers__2[companyName],customers__2[country],,0)</f>
        <v>Germany</v>
      </c>
      <c r="L1146">
        <f>MONTH(Table9[[#This Row],[OrderDate ]])</f>
        <v>9</v>
      </c>
      <c r="M1146" t="str">
        <f>TEXT(Table9[[#This Row],[OrderDate ]],"mmm")</f>
        <v>Sep</v>
      </c>
      <c r="N1146">
        <f>YEAR(Table9[[#This Row],[OrderDate ]])</f>
        <v>2014</v>
      </c>
    </row>
    <row r="1147" spans="1:14" x14ac:dyDescent="0.3">
      <c r="A1147">
        <v>10684</v>
      </c>
      <c r="B1147" s="2">
        <f>_xlfn.XLOOKUP(Table9[[#This Row],[orderID]],orders[orderID],orders[orderDate],,0)</f>
        <v>41908</v>
      </c>
      <c r="C1147">
        <f>_xlfn.XLOOKUP(A1147,order_details[orderID],order_details[productID],,0)</f>
        <v>40</v>
      </c>
      <c r="D1147" t="str">
        <f>_xlfn.XLOOKUP(C1147,products[productID],products[productName],,0)</f>
        <v>Boston Crab Meat</v>
      </c>
      <c r="E1147" t="str">
        <f>_xlfn.XLOOKUP(_xlfn.XLOOKUP(Table9[[#This Row],[ProductName ]],products[productName],products[categoryID],,0),categories[categoryID],categories[categoryName],,0)</f>
        <v>Seafood</v>
      </c>
      <c r="F1147">
        <v>40</v>
      </c>
      <c r="G1147">
        <v>95</v>
      </c>
      <c r="H1147">
        <v>0</v>
      </c>
      <c r="I1147">
        <f>Table9[[#This Row],[quantity]]*Table9[[#This Row],[unitPrice]]*(1-Table9[[#This Row],[discount]]/100)</f>
        <v>3800</v>
      </c>
      <c r="J1147" t="str">
        <f>_xlfn.XLOOKUP(_xlfn.XLOOKUP(A1147,orders[orderID],orders[customerID],,0),customers__2[customerID],customers__2[companyName],,0)</f>
        <v>Ottilies Käseladen</v>
      </c>
      <c r="K1147" t="str">
        <f>_xlfn.XLOOKUP(Table9[[#This Row],[Company Name]],customers__2[companyName],customers__2[country],,0)</f>
        <v>Germany</v>
      </c>
      <c r="L1147">
        <f>MONTH(Table9[[#This Row],[OrderDate ]])</f>
        <v>9</v>
      </c>
      <c r="M1147" t="str">
        <f>TEXT(Table9[[#This Row],[OrderDate ]],"mmm")</f>
        <v>Sep</v>
      </c>
      <c r="N1147">
        <f>YEAR(Table9[[#This Row],[OrderDate ]])</f>
        <v>2014</v>
      </c>
    </row>
    <row r="1148" spans="1:14" x14ac:dyDescent="0.3">
      <c r="A1148">
        <v>10684</v>
      </c>
      <c r="B1148" s="2">
        <f>_xlfn.XLOOKUP(Table9[[#This Row],[orderID]],orders[orderID],orders[orderDate],,0)</f>
        <v>41908</v>
      </c>
      <c r="C1148">
        <f>_xlfn.XLOOKUP(A1148,order_details[orderID],order_details[productID],,0)</f>
        <v>40</v>
      </c>
      <c r="D1148" t="str">
        <f>_xlfn.XLOOKUP(C1148,products[productID],products[productName],,0)</f>
        <v>Boston Crab Meat</v>
      </c>
      <c r="E1148" t="str">
        <f>_xlfn.XLOOKUP(_xlfn.XLOOKUP(Table9[[#This Row],[ProductName ]],products[productName],products[categoryID],,0),categories[categoryID],categories[categoryName],,0)</f>
        <v>Seafood</v>
      </c>
      <c r="F1148">
        <v>30</v>
      </c>
      <c r="G1148">
        <v>34</v>
      </c>
      <c r="H1148">
        <v>0</v>
      </c>
      <c r="I1148">
        <f>Table9[[#This Row],[quantity]]*Table9[[#This Row],[unitPrice]]*(1-Table9[[#This Row],[discount]]/100)</f>
        <v>1020</v>
      </c>
      <c r="J1148" t="str">
        <f>_xlfn.XLOOKUP(_xlfn.XLOOKUP(A1148,orders[orderID],orders[customerID],,0),customers__2[customerID],customers__2[companyName],,0)</f>
        <v>Ottilies Käseladen</v>
      </c>
      <c r="K1148" t="str">
        <f>_xlfn.XLOOKUP(Table9[[#This Row],[Company Name]],customers__2[companyName],customers__2[country],,0)</f>
        <v>Germany</v>
      </c>
      <c r="L1148">
        <f>MONTH(Table9[[#This Row],[OrderDate ]])</f>
        <v>9</v>
      </c>
      <c r="M1148" t="str">
        <f>TEXT(Table9[[#This Row],[OrderDate ]],"mmm")</f>
        <v>Sep</v>
      </c>
      <c r="N1148">
        <f>YEAR(Table9[[#This Row],[OrderDate ]])</f>
        <v>2014</v>
      </c>
    </row>
    <row r="1149" spans="1:14" x14ac:dyDescent="0.3">
      <c r="A1149">
        <v>10685</v>
      </c>
      <c r="B1149" s="2">
        <f>_xlfn.XLOOKUP(Table9[[#This Row],[orderID]],orders[orderID],orders[orderDate],,0)</f>
        <v>41911</v>
      </c>
      <c r="C1149">
        <f>_xlfn.XLOOKUP(A1149,order_details[orderID],order_details[productID],,0)</f>
        <v>10</v>
      </c>
      <c r="D1149" t="str">
        <f>_xlfn.XLOOKUP(C1149,products[productID],products[productName],,0)</f>
        <v>Ikura</v>
      </c>
      <c r="E1149" t="str">
        <f>_xlfn.XLOOKUP(_xlfn.XLOOKUP(Table9[[#This Row],[ProductName ]],products[productName],products[categoryID],,0),categories[categoryID],categories[categoryName],,0)</f>
        <v>Seafood</v>
      </c>
      <c r="F1149">
        <v>20</v>
      </c>
      <c r="G1149">
        <v>31</v>
      </c>
      <c r="H1149">
        <v>0</v>
      </c>
      <c r="I1149">
        <f>Table9[[#This Row],[quantity]]*Table9[[#This Row],[unitPrice]]*(1-Table9[[#This Row],[discount]]/100)</f>
        <v>620</v>
      </c>
      <c r="J1149" t="str">
        <f>_xlfn.XLOOKUP(_xlfn.XLOOKUP(A1149,orders[orderID],orders[customerID],,0),customers__2[customerID],customers__2[companyName],,0)</f>
        <v>Gourmet Lanchonetes</v>
      </c>
      <c r="K1149" t="str">
        <f>_xlfn.XLOOKUP(Table9[[#This Row],[Company Name]],customers__2[companyName],customers__2[country],,0)</f>
        <v>Brazil</v>
      </c>
      <c r="L1149">
        <f>MONTH(Table9[[#This Row],[OrderDate ]])</f>
        <v>9</v>
      </c>
      <c r="M1149" t="str">
        <f>TEXT(Table9[[#This Row],[OrderDate ]],"mmm")</f>
        <v>Sep</v>
      </c>
      <c r="N1149">
        <f>YEAR(Table9[[#This Row],[OrderDate ]])</f>
        <v>2014</v>
      </c>
    </row>
    <row r="1150" spans="1:14" x14ac:dyDescent="0.3">
      <c r="A1150">
        <v>10685</v>
      </c>
      <c r="B1150" s="2">
        <f>_xlfn.XLOOKUP(Table9[[#This Row],[orderID]],orders[orderID],orders[orderDate],,0)</f>
        <v>41911</v>
      </c>
      <c r="C1150">
        <f>_xlfn.XLOOKUP(A1150,order_details[orderID],order_details[productID],,0)</f>
        <v>10</v>
      </c>
      <c r="D1150" t="str">
        <f>_xlfn.XLOOKUP(C1150,products[productID],products[productName],,0)</f>
        <v>Ikura</v>
      </c>
      <c r="E1150" t="str">
        <f>_xlfn.XLOOKUP(_xlfn.XLOOKUP(Table9[[#This Row],[ProductName ]],products[productName],products[categoryID],,0),categories[categoryID],categories[categoryName],,0)</f>
        <v>Seafood</v>
      </c>
      <c r="F1150">
        <v>4</v>
      </c>
      <c r="G1150">
        <v>965</v>
      </c>
      <c r="H1150">
        <v>0</v>
      </c>
      <c r="I1150">
        <f>Table9[[#This Row],[quantity]]*Table9[[#This Row],[unitPrice]]*(1-Table9[[#This Row],[discount]]/100)</f>
        <v>3860</v>
      </c>
      <c r="J1150" t="str">
        <f>_xlfn.XLOOKUP(_xlfn.XLOOKUP(A1150,orders[orderID],orders[customerID],,0),customers__2[customerID],customers__2[companyName],,0)</f>
        <v>Gourmet Lanchonetes</v>
      </c>
      <c r="K1150" t="str">
        <f>_xlfn.XLOOKUP(Table9[[#This Row],[Company Name]],customers__2[companyName],customers__2[country],,0)</f>
        <v>Brazil</v>
      </c>
      <c r="L1150">
        <f>MONTH(Table9[[#This Row],[OrderDate ]])</f>
        <v>9</v>
      </c>
      <c r="M1150" t="str">
        <f>TEXT(Table9[[#This Row],[OrderDate ]],"mmm")</f>
        <v>Sep</v>
      </c>
      <c r="N1150">
        <f>YEAR(Table9[[#This Row],[OrderDate ]])</f>
        <v>2014</v>
      </c>
    </row>
    <row r="1151" spans="1:14" x14ac:dyDescent="0.3">
      <c r="A1151">
        <v>10685</v>
      </c>
      <c r="B1151" s="2">
        <f>_xlfn.XLOOKUP(Table9[[#This Row],[orderID]],orders[orderID],orders[orderDate],,0)</f>
        <v>41911</v>
      </c>
      <c r="C1151">
        <f>_xlfn.XLOOKUP(A1151,order_details[orderID],order_details[productID],,0)</f>
        <v>10</v>
      </c>
      <c r="D1151" t="str">
        <f>_xlfn.XLOOKUP(C1151,products[productID],products[productName],,0)</f>
        <v>Ikura</v>
      </c>
      <c r="E1151" t="str">
        <f>_xlfn.XLOOKUP(_xlfn.XLOOKUP(Table9[[#This Row],[ProductName ]],products[productName],products[categoryID],,0),categories[categoryID],categories[categoryName],,0)</f>
        <v>Seafood</v>
      </c>
      <c r="F1151">
        <v>15</v>
      </c>
      <c r="G1151">
        <v>95</v>
      </c>
      <c r="H1151">
        <v>0</v>
      </c>
      <c r="I1151">
        <f>Table9[[#This Row],[quantity]]*Table9[[#This Row],[unitPrice]]*(1-Table9[[#This Row],[discount]]/100)</f>
        <v>1425</v>
      </c>
      <c r="J1151" t="str">
        <f>_xlfn.XLOOKUP(_xlfn.XLOOKUP(A1151,orders[orderID],orders[customerID],,0),customers__2[customerID],customers__2[companyName],,0)</f>
        <v>Gourmet Lanchonetes</v>
      </c>
      <c r="K1151" t="str">
        <f>_xlfn.XLOOKUP(Table9[[#This Row],[Company Name]],customers__2[companyName],customers__2[country],,0)</f>
        <v>Brazil</v>
      </c>
      <c r="L1151">
        <f>MONTH(Table9[[#This Row],[OrderDate ]])</f>
        <v>9</v>
      </c>
      <c r="M1151" t="str">
        <f>TEXT(Table9[[#This Row],[OrderDate ]],"mmm")</f>
        <v>Sep</v>
      </c>
      <c r="N1151">
        <f>YEAR(Table9[[#This Row],[OrderDate ]])</f>
        <v>2014</v>
      </c>
    </row>
    <row r="1152" spans="1:14" x14ac:dyDescent="0.3">
      <c r="A1152">
        <v>10686</v>
      </c>
      <c r="B1152" s="2">
        <f>_xlfn.XLOOKUP(Table9[[#This Row],[orderID]],orders[orderID],orders[orderDate],,0)</f>
        <v>41912</v>
      </c>
      <c r="C1152">
        <f>_xlfn.XLOOKUP(A1152,order_details[orderID],order_details[productID],,0)</f>
        <v>17</v>
      </c>
      <c r="D1152" t="str">
        <f>_xlfn.XLOOKUP(C1152,products[productID],products[productName],,0)</f>
        <v>Alice Mutton</v>
      </c>
      <c r="E1152" t="str">
        <f>_xlfn.XLOOKUP(_xlfn.XLOOKUP(Table9[[#This Row],[ProductName ]],products[productName],products[categoryID],,0),categories[categoryID],categories[categoryName],,0)</f>
        <v>Meat &amp; Poultry</v>
      </c>
      <c r="F1152">
        <v>30</v>
      </c>
      <c r="G1152">
        <v>39</v>
      </c>
      <c r="H1152">
        <v>2</v>
      </c>
      <c r="I1152">
        <f>Table9[[#This Row],[quantity]]*Table9[[#This Row],[unitPrice]]*(1-Table9[[#This Row],[discount]]/100)</f>
        <v>1146.5999999999999</v>
      </c>
      <c r="J1152" t="str">
        <f>_xlfn.XLOOKUP(_xlfn.XLOOKUP(A1152,orders[orderID],orders[customerID],,0),customers__2[customerID],customers__2[companyName],,0)</f>
        <v>Piccolo und mehr</v>
      </c>
      <c r="K1152" t="str">
        <f>_xlfn.XLOOKUP(Table9[[#This Row],[Company Name]],customers__2[companyName],customers__2[country],,0)</f>
        <v>Austria</v>
      </c>
      <c r="L1152">
        <f>MONTH(Table9[[#This Row],[OrderDate ]])</f>
        <v>9</v>
      </c>
      <c r="M1152" t="str">
        <f>TEXT(Table9[[#This Row],[OrderDate ]],"mmm")</f>
        <v>Sep</v>
      </c>
      <c r="N1152">
        <f>YEAR(Table9[[#This Row],[OrderDate ]])</f>
        <v>2014</v>
      </c>
    </row>
    <row r="1153" spans="1:14" x14ac:dyDescent="0.3">
      <c r="A1153">
        <v>10686</v>
      </c>
      <c r="B1153" s="2">
        <f>_xlfn.XLOOKUP(Table9[[#This Row],[orderID]],orders[orderID],orders[orderDate],,0)</f>
        <v>41912</v>
      </c>
      <c r="C1153">
        <f>_xlfn.XLOOKUP(A1153,order_details[orderID],order_details[productID],,0)</f>
        <v>17</v>
      </c>
      <c r="D1153" t="str">
        <f>_xlfn.XLOOKUP(C1153,products[productID],products[productName],,0)</f>
        <v>Alice Mutton</v>
      </c>
      <c r="E1153" t="str">
        <f>_xlfn.XLOOKUP(_xlfn.XLOOKUP(Table9[[#This Row],[ProductName ]],products[productName],products[categoryID],,0),categories[categoryID],categories[categoryName],,0)</f>
        <v>Meat &amp; Poultry</v>
      </c>
      <c r="F1153">
        <v>15</v>
      </c>
      <c r="G1153">
        <v>3123</v>
      </c>
      <c r="H1153">
        <v>0</v>
      </c>
      <c r="I1153">
        <f>Table9[[#This Row],[quantity]]*Table9[[#This Row],[unitPrice]]*(1-Table9[[#This Row],[discount]]/100)</f>
        <v>46845</v>
      </c>
      <c r="J1153" t="str">
        <f>_xlfn.XLOOKUP(_xlfn.XLOOKUP(A1153,orders[orderID],orders[customerID],,0),customers__2[customerID],customers__2[companyName],,0)</f>
        <v>Piccolo und mehr</v>
      </c>
      <c r="K1153" t="str">
        <f>_xlfn.XLOOKUP(Table9[[#This Row],[Company Name]],customers__2[companyName],customers__2[country],,0)</f>
        <v>Austria</v>
      </c>
      <c r="L1153">
        <f>MONTH(Table9[[#This Row],[OrderDate ]])</f>
        <v>9</v>
      </c>
      <c r="M1153" t="str">
        <f>TEXT(Table9[[#This Row],[OrderDate ]],"mmm")</f>
        <v>Sep</v>
      </c>
      <c r="N1153">
        <f>YEAR(Table9[[#This Row],[OrderDate ]])</f>
        <v>2014</v>
      </c>
    </row>
    <row r="1154" spans="1:14" x14ac:dyDescent="0.3">
      <c r="A1154">
        <v>10687</v>
      </c>
      <c r="B1154" s="2">
        <f>_xlfn.XLOOKUP(Table9[[#This Row],[orderID]],orders[orderID],orders[orderDate],,0)</f>
        <v>41912</v>
      </c>
      <c r="C1154">
        <f>_xlfn.XLOOKUP(A1154,order_details[orderID],order_details[productID],,0)</f>
        <v>9</v>
      </c>
      <c r="D1154" t="str">
        <f>_xlfn.XLOOKUP(C1154,products[productID],products[productName],,0)</f>
        <v>Mishi Kobe Niku</v>
      </c>
      <c r="E1154" t="str">
        <f>_xlfn.XLOOKUP(_xlfn.XLOOKUP(Table9[[#This Row],[ProductName ]],products[productName],products[categoryID],,0),categories[categoryID],categories[categoryName],,0)</f>
        <v>Meat &amp; Poultry</v>
      </c>
      <c r="F1154">
        <v>50</v>
      </c>
      <c r="G1154">
        <v>97</v>
      </c>
      <c r="H1154">
        <v>25</v>
      </c>
      <c r="I1154">
        <f>Table9[[#This Row],[quantity]]*Table9[[#This Row],[unitPrice]]*(1-Table9[[#This Row],[discount]]/100)</f>
        <v>3637.5</v>
      </c>
      <c r="J1154" t="str">
        <f>_xlfn.XLOOKUP(_xlfn.XLOOKUP(A1154,orders[orderID],orders[customerID],,0),customers__2[customerID],customers__2[companyName],,0)</f>
        <v>Hungry Owl All-Night Grocers</v>
      </c>
      <c r="K1154" t="str">
        <f>_xlfn.XLOOKUP(Table9[[#This Row],[Company Name]],customers__2[companyName],customers__2[country],,0)</f>
        <v>Ireland</v>
      </c>
      <c r="L1154">
        <f>MONTH(Table9[[#This Row],[OrderDate ]])</f>
        <v>9</v>
      </c>
      <c r="M1154" t="str">
        <f>TEXT(Table9[[#This Row],[OrderDate ]],"mmm")</f>
        <v>Sep</v>
      </c>
      <c r="N1154">
        <f>YEAR(Table9[[#This Row],[OrderDate ]])</f>
        <v>2014</v>
      </c>
    </row>
    <row r="1155" spans="1:14" x14ac:dyDescent="0.3">
      <c r="A1155">
        <v>10687</v>
      </c>
      <c r="B1155" s="2">
        <f>_xlfn.XLOOKUP(Table9[[#This Row],[orderID]],orders[orderID],orders[orderDate],,0)</f>
        <v>41912</v>
      </c>
      <c r="C1155">
        <f>_xlfn.XLOOKUP(A1155,order_details[orderID],order_details[productID],,0)</f>
        <v>9</v>
      </c>
      <c r="D1155" t="str">
        <f>_xlfn.XLOOKUP(C1155,products[productID],products[productName],,0)</f>
        <v>Mishi Kobe Niku</v>
      </c>
      <c r="E1155" t="str">
        <f>_xlfn.XLOOKUP(_xlfn.XLOOKUP(Table9[[#This Row],[ProductName ]],products[productName],products[categoryID],,0),categories[categoryID],categories[categoryName],,0)</f>
        <v>Meat &amp; Poultry</v>
      </c>
      <c r="F1155">
        <v>10</v>
      </c>
      <c r="G1155">
        <v>12379</v>
      </c>
      <c r="H1155">
        <v>0</v>
      </c>
      <c r="I1155">
        <f>Table9[[#This Row],[quantity]]*Table9[[#This Row],[unitPrice]]*(1-Table9[[#This Row],[discount]]/100)</f>
        <v>123790</v>
      </c>
      <c r="J1155" t="str">
        <f>_xlfn.XLOOKUP(_xlfn.XLOOKUP(A1155,orders[orderID],orders[customerID],,0),customers__2[customerID],customers__2[companyName],,0)</f>
        <v>Hungry Owl All-Night Grocers</v>
      </c>
      <c r="K1155" t="str">
        <f>_xlfn.XLOOKUP(Table9[[#This Row],[Company Name]],customers__2[companyName],customers__2[country],,0)</f>
        <v>Ireland</v>
      </c>
      <c r="L1155">
        <f>MONTH(Table9[[#This Row],[OrderDate ]])</f>
        <v>9</v>
      </c>
      <c r="M1155" t="str">
        <f>TEXT(Table9[[#This Row],[OrderDate ]],"mmm")</f>
        <v>Sep</v>
      </c>
      <c r="N1155">
        <f>YEAR(Table9[[#This Row],[OrderDate ]])</f>
        <v>2014</v>
      </c>
    </row>
    <row r="1156" spans="1:14" x14ac:dyDescent="0.3">
      <c r="A1156">
        <v>10687</v>
      </c>
      <c r="B1156" s="2">
        <f>_xlfn.XLOOKUP(Table9[[#This Row],[orderID]],orders[orderID],orders[orderDate],,0)</f>
        <v>41912</v>
      </c>
      <c r="C1156">
        <f>_xlfn.XLOOKUP(A1156,order_details[orderID],order_details[productID],,0)</f>
        <v>9</v>
      </c>
      <c r="D1156" t="str">
        <f>_xlfn.XLOOKUP(C1156,products[productID],products[productName],,0)</f>
        <v>Mishi Kobe Niku</v>
      </c>
      <c r="E1156" t="str">
        <f>_xlfn.XLOOKUP(_xlfn.XLOOKUP(Table9[[#This Row],[ProductName ]],products[productName],products[categoryID],,0),categories[categoryID],categories[categoryName],,0)</f>
        <v>Meat &amp; Poultry</v>
      </c>
      <c r="F1156">
        <v>6</v>
      </c>
      <c r="G1156">
        <v>19</v>
      </c>
      <c r="H1156">
        <v>25</v>
      </c>
      <c r="I1156">
        <f>Table9[[#This Row],[quantity]]*Table9[[#This Row],[unitPrice]]*(1-Table9[[#This Row],[discount]]/100)</f>
        <v>85.5</v>
      </c>
      <c r="J1156" t="str">
        <f>_xlfn.XLOOKUP(_xlfn.XLOOKUP(A1156,orders[orderID],orders[customerID],,0),customers__2[customerID],customers__2[companyName],,0)</f>
        <v>Hungry Owl All-Night Grocers</v>
      </c>
      <c r="K1156" t="str">
        <f>_xlfn.XLOOKUP(Table9[[#This Row],[Company Name]],customers__2[companyName],customers__2[country],,0)</f>
        <v>Ireland</v>
      </c>
      <c r="L1156">
        <f>MONTH(Table9[[#This Row],[OrderDate ]])</f>
        <v>9</v>
      </c>
      <c r="M1156" t="str">
        <f>TEXT(Table9[[#This Row],[OrderDate ]],"mmm")</f>
        <v>Sep</v>
      </c>
      <c r="N1156">
        <f>YEAR(Table9[[#This Row],[OrderDate ]])</f>
        <v>2014</v>
      </c>
    </row>
    <row r="1157" spans="1:14" x14ac:dyDescent="0.3">
      <c r="A1157">
        <v>10688</v>
      </c>
      <c r="B1157" s="2">
        <f>_xlfn.XLOOKUP(Table9[[#This Row],[orderID]],orders[orderID],orders[orderDate],,0)</f>
        <v>41913</v>
      </c>
      <c r="C1157">
        <f>_xlfn.XLOOKUP(A1157,order_details[orderID],order_details[productID],,0)</f>
        <v>10</v>
      </c>
      <c r="D1157" t="str">
        <f>_xlfn.XLOOKUP(C1157,products[productID],products[productName],,0)</f>
        <v>Ikura</v>
      </c>
      <c r="E1157" t="str">
        <f>_xlfn.XLOOKUP(_xlfn.XLOOKUP(Table9[[#This Row],[ProductName ]],products[productName],products[categoryID],,0),categories[categoryID],categories[categoryName],,0)</f>
        <v>Seafood</v>
      </c>
      <c r="F1157">
        <v>18</v>
      </c>
      <c r="G1157">
        <v>31</v>
      </c>
      <c r="H1157">
        <v>1</v>
      </c>
      <c r="I1157">
        <f>Table9[[#This Row],[quantity]]*Table9[[#This Row],[unitPrice]]*(1-Table9[[#This Row],[discount]]/100)</f>
        <v>552.41999999999996</v>
      </c>
      <c r="J1157" t="str">
        <f>_xlfn.XLOOKUP(_xlfn.XLOOKUP(A1157,orders[orderID],orders[customerID],,0),customers__2[customerID],customers__2[companyName],,0)</f>
        <v>Vaffeljernet</v>
      </c>
      <c r="K1157" t="str">
        <f>_xlfn.XLOOKUP(Table9[[#This Row],[Company Name]],customers__2[companyName],customers__2[country],,0)</f>
        <v>Denmark</v>
      </c>
      <c r="L1157">
        <f>MONTH(Table9[[#This Row],[OrderDate ]])</f>
        <v>10</v>
      </c>
      <c r="M1157" t="str">
        <f>TEXT(Table9[[#This Row],[OrderDate ]],"mmm")</f>
        <v>Oct</v>
      </c>
      <c r="N1157">
        <f>YEAR(Table9[[#This Row],[OrderDate ]])</f>
        <v>2014</v>
      </c>
    </row>
    <row r="1158" spans="1:14" x14ac:dyDescent="0.3">
      <c r="A1158">
        <v>10688</v>
      </c>
      <c r="B1158" s="2">
        <f>_xlfn.XLOOKUP(Table9[[#This Row],[orderID]],orders[orderID],orders[orderDate],,0)</f>
        <v>41913</v>
      </c>
      <c r="C1158">
        <f>_xlfn.XLOOKUP(A1158,order_details[orderID],order_details[productID],,0)</f>
        <v>10</v>
      </c>
      <c r="D1158" t="str">
        <f>_xlfn.XLOOKUP(C1158,products[productID],products[productName],,0)</f>
        <v>Ikura</v>
      </c>
      <c r="E1158" t="str">
        <f>_xlfn.XLOOKUP(_xlfn.XLOOKUP(Table9[[#This Row],[ProductName ]],products[productName],products[categoryID],,0),categories[categoryID],categories[categoryName],,0)</f>
        <v>Seafood</v>
      </c>
      <c r="F1158">
        <v>60</v>
      </c>
      <c r="G1158">
        <v>456</v>
      </c>
      <c r="H1158">
        <v>1</v>
      </c>
      <c r="I1158">
        <f>Table9[[#This Row],[quantity]]*Table9[[#This Row],[unitPrice]]*(1-Table9[[#This Row],[discount]]/100)</f>
        <v>27086.400000000001</v>
      </c>
      <c r="J1158" t="str">
        <f>_xlfn.XLOOKUP(_xlfn.XLOOKUP(A1158,orders[orderID],orders[customerID],,0),customers__2[customerID],customers__2[companyName],,0)</f>
        <v>Vaffeljernet</v>
      </c>
      <c r="K1158" t="str">
        <f>_xlfn.XLOOKUP(Table9[[#This Row],[Company Name]],customers__2[companyName],customers__2[country],,0)</f>
        <v>Denmark</v>
      </c>
      <c r="L1158">
        <f>MONTH(Table9[[#This Row],[OrderDate ]])</f>
        <v>10</v>
      </c>
      <c r="M1158" t="str">
        <f>TEXT(Table9[[#This Row],[OrderDate ]],"mmm")</f>
        <v>Oct</v>
      </c>
      <c r="N1158">
        <f>YEAR(Table9[[#This Row],[OrderDate ]])</f>
        <v>2014</v>
      </c>
    </row>
    <row r="1159" spans="1:14" x14ac:dyDescent="0.3">
      <c r="A1159">
        <v>10688</v>
      </c>
      <c r="B1159" s="2">
        <f>_xlfn.XLOOKUP(Table9[[#This Row],[orderID]],orders[orderID],orders[orderDate],,0)</f>
        <v>41913</v>
      </c>
      <c r="C1159">
        <f>_xlfn.XLOOKUP(A1159,order_details[orderID],order_details[productID],,0)</f>
        <v>10</v>
      </c>
      <c r="D1159" t="str">
        <f>_xlfn.XLOOKUP(C1159,products[productID],products[productName],,0)</f>
        <v>Ikura</v>
      </c>
      <c r="E1159" t="str">
        <f>_xlfn.XLOOKUP(_xlfn.XLOOKUP(Table9[[#This Row],[ProductName ]],products[productName],products[categoryID],,0),categories[categoryID],categories[categoryName],,0)</f>
        <v>Seafood</v>
      </c>
      <c r="F1159">
        <v>14</v>
      </c>
      <c r="G1159">
        <v>14</v>
      </c>
      <c r="H1159">
        <v>0</v>
      </c>
      <c r="I1159">
        <f>Table9[[#This Row],[quantity]]*Table9[[#This Row],[unitPrice]]*(1-Table9[[#This Row],[discount]]/100)</f>
        <v>196</v>
      </c>
      <c r="J1159" t="str">
        <f>_xlfn.XLOOKUP(_xlfn.XLOOKUP(A1159,orders[orderID],orders[customerID],,0),customers__2[customerID],customers__2[companyName],,0)</f>
        <v>Vaffeljernet</v>
      </c>
      <c r="K1159" t="str">
        <f>_xlfn.XLOOKUP(Table9[[#This Row],[Company Name]],customers__2[companyName],customers__2[country],,0)</f>
        <v>Denmark</v>
      </c>
      <c r="L1159">
        <f>MONTH(Table9[[#This Row],[OrderDate ]])</f>
        <v>10</v>
      </c>
      <c r="M1159" t="str">
        <f>TEXT(Table9[[#This Row],[OrderDate ]],"mmm")</f>
        <v>Oct</v>
      </c>
      <c r="N1159">
        <f>YEAR(Table9[[#This Row],[OrderDate ]])</f>
        <v>2014</v>
      </c>
    </row>
    <row r="1160" spans="1:14" x14ac:dyDescent="0.3">
      <c r="A1160">
        <v>10689</v>
      </c>
      <c r="B1160" s="2">
        <f>_xlfn.XLOOKUP(Table9[[#This Row],[orderID]],orders[orderID],orders[orderDate],,0)</f>
        <v>41913</v>
      </c>
      <c r="C1160">
        <f>_xlfn.XLOOKUP(A1160,order_details[orderID],order_details[productID],,0)</f>
        <v>1</v>
      </c>
      <c r="D1160" t="str">
        <f>_xlfn.XLOOKUP(C1160,products[productID],products[productName],,0)</f>
        <v>Chai</v>
      </c>
      <c r="E1160" t="str">
        <f>_xlfn.XLOOKUP(_xlfn.XLOOKUP(Table9[[#This Row],[ProductName ]],products[productName],products[categoryID],,0),categories[categoryID],categories[categoryName],,0)</f>
        <v>Beverages</v>
      </c>
      <c r="F1160">
        <v>35</v>
      </c>
      <c r="G1160">
        <v>18</v>
      </c>
      <c r="H1160">
        <v>25</v>
      </c>
      <c r="I1160">
        <f>Table9[[#This Row],[quantity]]*Table9[[#This Row],[unitPrice]]*(1-Table9[[#This Row],[discount]]/100)</f>
        <v>472.5</v>
      </c>
      <c r="J1160" t="str">
        <f>_xlfn.XLOOKUP(_xlfn.XLOOKUP(A1160,orders[orderID],orders[customerID],,0),customers__2[customerID],customers__2[companyName],,0)</f>
        <v>Berglunds snabbköp</v>
      </c>
      <c r="K1160" t="str">
        <f>_xlfn.XLOOKUP(Table9[[#This Row],[Company Name]],customers__2[companyName],customers__2[country],,0)</f>
        <v>Sweden</v>
      </c>
      <c r="L1160">
        <f>MONTH(Table9[[#This Row],[OrderDate ]])</f>
        <v>10</v>
      </c>
      <c r="M1160" t="str">
        <f>TEXT(Table9[[#This Row],[OrderDate ]],"mmm")</f>
        <v>Oct</v>
      </c>
      <c r="N1160">
        <f>YEAR(Table9[[#This Row],[OrderDate ]])</f>
        <v>2014</v>
      </c>
    </row>
    <row r="1161" spans="1:14" x14ac:dyDescent="0.3">
      <c r="A1161">
        <v>10690</v>
      </c>
      <c r="B1161" s="2">
        <f>_xlfn.XLOOKUP(Table9[[#This Row],[orderID]],orders[orderID],orders[orderDate],,0)</f>
        <v>41914</v>
      </c>
      <c r="C1161">
        <f>_xlfn.XLOOKUP(A1161,order_details[orderID],order_details[productID],,0)</f>
        <v>56</v>
      </c>
      <c r="D1161" t="str">
        <f>_xlfn.XLOOKUP(C1161,products[productID],products[productName],,0)</f>
        <v>Gnocchi di nonna Alice</v>
      </c>
      <c r="E1161" t="str">
        <f>_xlfn.XLOOKUP(_xlfn.XLOOKUP(Table9[[#This Row],[ProductName ]],products[productName],products[categoryID],,0),categories[categoryID],categories[categoryName],,0)</f>
        <v>Grains &amp; Cereals</v>
      </c>
      <c r="F1161">
        <v>20</v>
      </c>
      <c r="G1161">
        <v>38</v>
      </c>
      <c r="H1161">
        <v>25</v>
      </c>
      <c r="I1161">
        <f>Table9[[#This Row],[quantity]]*Table9[[#This Row],[unitPrice]]*(1-Table9[[#This Row],[discount]]/100)</f>
        <v>570</v>
      </c>
      <c r="J1161" t="str">
        <f>_xlfn.XLOOKUP(_xlfn.XLOOKUP(A1161,orders[orderID],orders[customerID],,0),customers__2[customerID],customers__2[companyName],,0)</f>
        <v>Hanari Carnes</v>
      </c>
      <c r="K1161" t="str">
        <f>_xlfn.XLOOKUP(Table9[[#This Row],[Company Name]],customers__2[companyName],customers__2[country],,0)</f>
        <v>Brazil</v>
      </c>
      <c r="L1161">
        <f>MONTH(Table9[[#This Row],[OrderDate ]])</f>
        <v>10</v>
      </c>
      <c r="M1161" t="str">
        <f>TEXT(Table9[[#This Row],[OrderDate ]],"mmm")</f>
        <v>Oct</v>
      </c>
      <c r="N1161">
        <f>YEAR(Table9[[#This Row],[OrderDate ]])</f>
        <v>2014</v>
      </c>
    </row>
    <row r="1162" spans="1:14" x14ac:dyDescent="0.3">
      <c r="A1162">
        <v>10690</v>
      </c>
      <c r="B1162" s="2">
        <f>_xlfn.XLOOKUP(Table9[[#This Row],[orderID]],orders[orderID],orders[orderDate],,0)</f>
        <v>41914</v>
      </c>
      <c r="C1162">
        <f>_xlfn.XLOOKUP(A1162,order_details[orderID],order_details[productID],,0)</f>
        <v>56</v>
      </c>
      <c r="D1162" t="str">
        <f>_xlfn.XLOOKUP(C1162,products[productID],products[productName],,0)</f>
        <v>Gnocchi di nonna Alice</v>
      </c>
      <c r="E1162" t="str">
        <f>_xlfn.XLOOKUP(_xlfn.XLOOKUP(Table9[[#This Row],[ProductName ]],products[productName],products[categoryID],,0),categories[categoryID],categories[categoryName],,0)</f>
        <v>Grains &amp; Cereals</v>
      </c>
      <c r="F1162">
        <v>30</v>
      </c>
      <c r="G1162">
        <v>13</v>
      </c>
      <c r="H1162">
        <v>25</v>
      </c>
      <c r="I1162">
        <f>Table9[[#This Row],[quantity]]*Table9[[#This Row],[unitPrice]]*(1-Table9[[#This Row],[discount]]/100)</f>
        <v>292.5</v>
      </c>
      <c r="J1162" t="str">
        <f>_xlfn.XLOOKUP(_xlfn.XLOOKUP(A1162,orders[orderID],orders[customerID],,0),customers__2[customerID],customers__2[companyName],,0)</f>
        <v>Hanari Carnes</v>
      </c>
      <c r="K1162" t="str">
        <f>_xlfn.XLOOKUP(Table9[[#This Row],[Company Name]],customers__2[companyName],customers__2[country],,0)</f>
        <v>Brazil</v>
      </c>
      <c r="L1162">
        <f>MONTH(Table9[[#This Row],[OrderDate ]])</f>
        <v>10</v>
      </c>
      <c r="M1162" t="str">
        <f>TEXT(Table9[[#This Row],[OrderDate ]],"mmm")</f>
        <v>Oct</v>
      </c>
      <c r="N1162">
        <f>YEAR(Table9[[#This Row],[OrderDate ]])</f>
        <v>2014</v>
      </c>
    </row>
    <row r="1163" spans="1:14" x14ac:dyDescent="0.3">
      <c r="A1163">
        <v>10691</v>
      </c>
      <c r="B1163" s="2">
        <f>_xlfn.XLOOKUP(Table9[[#This Row],[orderID]],orders[orderID],orders[orderDate],,0)</f>
        <v>41915</v>
      </c>
      <c r="C1163">
        <f>_xlfn.XLOOKUP(A1163,order_details[orderID],order_details[productID],,0)</f>
        <v>1</v>
      </c>
      <c r="D1163" t="str">
        <f>_xlfn.XLOOKUP(C1163,products[productID],products[productName],,0)</f>
        <v>Chai</v>
      </c>
      <c r="E1163" t="str">
        <f>_xlfn.XLOOKUP(_xlfn.XLOOKUP(Table9[[#This Row],[ProductName ]],products[productName],products[categoryID],,0),categories[categoryID],categories[categoryName],,0)</f>
        <v>Beverages</v>
      </c>
      <c r="F1163">
        <v>30</v>
      </c>
      <c r="G1163">
        <v>18</v>
      </c>
      <c r="H1163">
        <v>0</v>
      </c>
      <c r="I1163">
        <f>Table9[[#This Row],[quantity]]*Table9[[#This Row],[unitPrice]]*(1-Table9[[#This Row],[discount]]/100)</f>
        <v>540</v>
      </c>
      <c r="J1163" t="str">
        <f>_xlfn.XLOOKUP(_xlfn.XLOOKUP(A1163,orders[orderID],orders[customerID],,0),customers__2[customerID],customers__2[companyName],,0)</f>
        <v>QUICK-Stop</v>
      </c>
      <c r="K1163" t="str">
        <f>_xlfn.XLOOKUP(Table9[[#This Row],[Company Name]],customers__2[companyName],customers__2[country],,0)</f>
        <v>Germany</v>
      </c>
      <c r="L1163">
        <f>MONTH(Table9[[#This Row],[OrderDate ]])</f>
        <v>10</v>
      </c>
      <c r="M1163" t="str">
        <f>TEXT(Table9[[#This Row],[OrderDate ]],"mmm")</f>
        <v>Oct</v>
      </c>
      <c r="N1163">
        <f>YEAR(Table9[[#This Row],[OrderDate ]])</f>
        <v>2014</v>
      </c>
    </row>
    <row r="1164" spans="1:14" x14ac:dyDescent="0.3">
      <c r="A1164">
        <v>10691</v>
      </c>
      <c r="B1164" s="2">
        <f>_xlfn.XLOOKUP(Table9[[#This Row],[orderID]],orders[orderID],orders[orderDate],,0)</f>
        <v>41915</v>
      </c>
      <c r="C1164">
        <f>_xlfn.XLOOKUP(A1164,order_details[orderID],order_details[productID],,0)</f>
        <v>1</v>
      </c>
      <c r="D1164" t="str">
        <f>_xlfn.XLOOKUP(C1164,products[productID],products[productName],,0)</f>
        <v>Chai</v>
      </c>
      <c r="E1164" t="str">
        <f>_xlfn.XLOOKUP(_xlfn.XLOOKUP(Table9[[#This Row],[ProductName ]],products[productName],products[categoryID],,0),categories[categoryID],categories[categoryName],,0)</f>
        <v>Beverages</v>
      </c>
      <c r="F1164">
        <v>40</v>
      </c>
      <c r="G1164">
        <v>12379</v>
      </c>
      <c r="H1164">
        <v>0</v>
      </c>
      <c r="I1164">
        <f>Table9[[#This Row],[quantity]]*Table9[[#This Row],[unitPrice]]*(1-Table9[[#This Row],[discount]]/100)</f>
        <v>495160</v>
      </c>
      <c r="J1164" t="str">
        <f>_xlfn.XLOOKUP(_xlfn.XLOOKUP(A1164,orders[orderID],orders[customerID],,0),customers__2[customerID],customers__2[companyName],,0)</f>
        <v>QUICK-Stop</v>
      </c>
      <c r="K1164" t="str">
        <f>_xlfn.XLOOKUP(Table9[[#This Row],[Company Name]],customers__2[companyName],customers__2[country],,0)</f>
        <v>Germany</v>
      </c>
      <c r="L1164">
        <f>MONTH(Table9[[#This Row],[OrderDate ]])</f>
        <v>10</v>
      </c>
      <c r="M1164" t="str">
        <f>TEXT(Table9[[#This Row],[OrderDate ]],"mmm")</f>
        <v>Oct</v>
      </c>
      <c r="N1164">
        <f>YEAR(Table9[[#This Row],[OrderDate ]])</f>
        <v>2014</v>
      </c>
    </row>
    <row r="1165" spans="1:14" x14ac:dyDescent="0.3">
      <c r="A1165">
        <v>10691</v>
      </c>
      <c r="B1165" s="2">
        <f>_xlfn.XLOOKUP(Table9[[#This Row],[orderID]],orders[orderID],orders[orderDate],,0)</f>
        <v>41915</v>
      </c>
      <c r="C1165">
        <f>_xlfn.XLOOKUP(A1165,order_details[orderID],order_details[productID],,0)</f>
        <v>1</v>
      </c>
      <c r="D1165" t="str">
        <f>_xlfn.XLOOKUP(C1165,products[productID],products[productName],,0)</f>
        <v>Chai</v>
      </c>
      <c r="E1165" t="str">
        <f>_xlfn.XLOOKUP(_xlfn.XLOOKUP(Table9[[#This Row],[ProductName ]],products[productName],products[categoryID],,0),categories[categoryID],categories[categoryName],,0)</f>
        <v>Beverages</v>
      </c>
      <c r="F1165">
        <v>40</v>
      </c>
      <c r="G1165">
        <v>46</v>
      </c>
      <c r="H1165">
        <v>0</v>
      </c>
      <c r="I1165">
        <f>Table9[[#This Row],[quantity]]*Table9[[#This Row],[unitPrice]]*(1-Table9[[#This Row],[discount]]/100)</f>
        <v>1840</v>
      </c>
      <c r="J1165" t="str">
        <f>_xlfn.XLOOKUP(_xlfn.XLOOKUP(A1165,orders[orderID],orders[customerID],,0),customers__2[customerID],customers__2[companyName],,0)</f>
        <v>QUICK-Stop</v>
      </c>
      <c r="K1165" t="str">
        <f>_xlfn.XLOOKUP(Table9[[#This Row],[Company Name]],customers__2[companyName],customers__2[country],,0)</f>
        <v>Germany</v>
      </c>
      <c r="L1165">
        <f>MONTH(Table9[[#This Row],[OrderDate ]])</f>
        <v>10</v>
      </c>
      <c r="M1165" t="str">
        <f>TEXT(Table9[[#This Row],[OrderDate ]],"mmm")</f>
        <v>Oct</v>
      </c>
      <c r="N1165">
        <f>YEAR(Table9[[#This Row],[OrderDate ]])</f>
        <v>2014</v>
      </c>
    </row>
    <row r="1166" spans="1:14" x14ac:dyDescent="0.3">
      <c r="A1166">
        <v>10691</v>
      </c>
      <c r="B1166" s="2">
        <f>_xlfn.XLOOKUP(Table9[[#This Row],[orderID]],orders[orderID],orders[orderDate],,0)</f>
        <v>41915</v>
      </c>
      <c r="C1166">
        <f>_xlfn.XLOOKUP(A1166,order_details[orderID],order_details[productID],,0)</f>
        <v>1</v>
      </c>
      <c r="D1166" t="str">
        <f>_xlfn.XLOOKUP(C1166,products[productID],products[productName],,0)</f>
        <v>Chai</v>
      </c>
      <c r="E1166" t="str">
        <f>_xlfn.XLOOKUP(_xlfn.XLOOKUP(Table9[[#This Row],[ProductName ]],products[productName],products[categoryID],,0),categories[categoryID],categories[categoryName],,0)</f>
        <v>Beverages</v>
      </c>
      <c r="F1166">
        <v>24</v>
      </c>
      <c r="G1166">
        <v>1945</v>
      </c>
      <c r="H1166">
        <v>0</v>
      </c>
      <c r="I1166">
        <f>Table9[[#This Row],[quantity]]*Table9[[#This Row],[unitPrice]]*(1-Table9[[#This Row],[discount]]/100)</f>
        <v>46680</v>
      </c>
      <c r="J1166" t="str">
        <f>_xlfn.XLOOKUP(_xlfn.XLOOKUP(A1166,orders[orderID],orders[customerID],,0),customers__2[customerID],customers__2[companyName],,0)</f>
        <v>QUICK-Stop</v>
      </c>
      <c r="K1166" t="str">
        <f>_xlfn.XLOOKUP(Table9[[#This Row],[Company Name]],customers__2[companyName],customers__2[country],,0)</f>
        <v>Germany</v>
      </c>
      <c r="L1166">
        <f>MONTH(Table9[[#This Row],[OrderDate ]])</f>
        <v>10</v>
      </c>
      <c r="M1166" t="str">
        <f>TEXT(Table9[[#This Row],[OrderDate ]],"mmm")</f>
        <v>Oct</v>
      </c>
      <c r="N1166">
        <f>YEAR(Table9[[#This Row],[OrderDate ]])</f>
        <v>2014</v>
      </c>
    </row>
    <row r="1167" spans="1:14" x14ac:dyDescent="0.3">
      <c r="A1167">
        <v>10691</v>
      </c>
      <c r="B1167" s="2">
        <f>_xlfn.XLOOKUP(Table9[[#This Row],[orderID]],orders[orderID],orders[orderDate],,0)</f>
        <v>41915</v>
      </c>
      <c r="C1167">
        <f>_xlfn.XLOOKUP(A1167,order_details[orderID],order_details[productID],,0)</f>
        <v>1</v>
      </c>
      <c r="D1167" t="str">
        <f>_xlfn.XLOOKUP(C1167,products[productID],products[productName],,0)</f>
        <v>Chai</v>
      </c>
      <c r="E1167" t="str">
        <f>_xlfn.XLOOKUP(_xlfn.XLOOKUP(Table9[[#This Row],[ProductName ]],products[productName],products[categoryID],,0),categories[categoryID],categories[categoryName],,0)</f>
        <v>Beverages</v>
      </c>
      <c r="F1167">
        <v>48</v>
      </c>
      <c r="G1167">
        <v>493</v>
      </c>
      <c r="H1167">
        <v>0</v>
      </c>
      <c r="I1167">
        <f>Table9[[#This Row],[quantity]]*Table9[[#This Row],[unitPrice]]*(1-Table9[[#This Row],[discount]]/100)</f>
        <v>23664</v>
      </c>
      <c r="J1167" t="str">
        <f>_xlfn.XLOOKUP(_xlfn.XLOOKUP(A1167,orders[orderID],orders[customerID],,0),customers__2[customerID],customers__2[companyName],,0)</f>
        <v>QUICK-Stop</v>
      </c>
      <c r="K1167" t="str">
        <f>_xlfn.XLOOKUP(Table9[[#This Row],[Company Name]],customers__2[companyName],customers__2[country],,0)</f>
        <v>Germany</v>
      </c>
      <c r="L1167">
        <f>MONTH(Table9[[#This Row],[OrderDate ]])</f>
        <v>10</v>
      </c>
      <c r="M1167" t="str">
        <f>TEXT(Table9[[#This Row],[OrderDate ]],"mmm")</f>
        <v>Oct</v>
      </c>
      <c r="N1167">
        <f>YEAR(Table9[[#This Row],[OrderDate ]])</f>
        <v>2014</v>
      </c>
    </row>
    <row r="1168" spans="1:14" x14ac:dyDescent="0.3">
      <c r="A1168">
        <v>10692</v>
      </c>
      <c r="B1168" s="2">
        <f>_xlfn.XLOOKUP(Table9[[#This Row],[orderID]],orders[orderID],orders[orderDate],,0)</f>
        <v>41915</v>
      </c>
      <c r="C1168">
        <f>_xlfn.XLOOKUP(A1168,order_details[orderID],order_details[productID],,0)</f>
        <v>63</v>
      </c>
      <c r="D1168" t="str">
        <f>_xlfn.XLOOKUP(C1168,products[productID],products[productName],,0)</f>
        <v>Vegie-spread</v>
      </c>
      <c r="E1168" t="str">
        <f>_xlfn.XLOOKUP(_xlfn.XLOOKUP(Table9[[#This Row],[ProductName ]],products[productName],products[categoryID],,0),categories[categoryID],categories[categoryName],,0)</f>
        <v>Condiments</v>
      </c>
      <c r="F1168">
        <v>20</v>
      </c>
      <c r="G1168">
        <v>439</v>
      </c>
      <c r="H1168">
        <v>0</v>
      </c>
      <c r="I1168">
        <f>Table9[[#This Row],[quantity]]*Table9[[#This Row],[unitPrice]]*(1-Table9[[#This Row],[discount]]/100)</f>
        <v>8780</v>
      </c>
      <c r="J1168" t="str">
        <f>_xlfn.XLOOKUP(_xlfn.XLOOKUP(A1168,orders[orderID],orders[customerID],,0),customers__2[customerID],customers__2[companyName],,0)</f>
        <v>Alfreds Futterkiste</v>
      </c>
      <c r="K1168" t="str">
        <f>_xlfn.XLOOKUP(Table9[[#This Row],[Company Name]],customers__2[companyName],customers__2[country],,0)</f>
        <v>Germany</v>
      </c>
      <c r="L1168">
        <f>MONTH(Table9[[#This Row],[OrderDate ]])</f>
        <v>10</v>
      </c>
      <c r="M1168" t="str">
        <f>TEXT(Table9[[#This Row],[OrderDate ]],"mmm")</f>
        <v>Oct</v>
      </c>
      <c r="N1168">
        <f>YEAR(Table9[[#This Row],[OrderDate ]])</f>
        <v>2014</v>
      </c>
    </row>
    <row r="1169" spans="1:14" x14ac:dyDescent="0.3">
      <c r="A1169">
        <v>10693</v>
      </c>
      <c r="B1169" s="2">
        <f>_xlfn.XLOOKUP(Table9[[#This Row],[orderID]],orders[orderID],orders[orderDate],,0)</f>
        <v>41918</v>
      </c>
      <c r="C1169">
        <f>_xlfn.XLOOKUP(A1169,order_details[orderID],order_details[productID],,0)</f>
        <v>9</v>
      </c>
      <c r="D1169" t="str">
        <f>_xlfn.XLOOKUP(C1169,products[productID],products[productName],,0)</f>
        <v>Mishi Kobe Niku</v>
      </c>
      <c r="E1169" t="str">
        <f>_xlfn.XLOOKUP(_xlfn.XLOOKUP(Table9[[#This Row],[ProductName ]],products[productName],products[categoryID],,0),categories[categoryID],categories[categoryName],,0)</f>
        <v>Meat &amp; Poultry</v>
      </c>
      <c r="F1169">
        <v>6</v>
      </c>
      <c r="G1169">
        <v>97</v>
      </c>
      <c r="H1169">
        <v>0</v>
      </c>
      <c r="I1169">
        <f>Table9[[#This Row],[quantity]]*Table9[[#This Row],[unitPrice]]*(1-Table9[[#This Row],[discount]]/100)</f>
        <v>582</v>
      </c>
      <c r="J1169" t="str">
        <f>_xlfn.XLOOKUP(_xlfn.XLOOKUP(A1169,orders[orderID],orders[customerID],,0),customers__2[customerID],customers__2[companyName],,0)</f>
        <v>White Clover Markets</v>
      </c>
      <c r="K1169" t="str">
        <f>_xlfn.XLOOKUP(Table9[[#This Row],[Company Name]],customers__2[companyName],customers__2[country],,0)</f>
        <v>USA</v>
      </c>
      <c r="L1169">
        <f>MONTH(Table9[[#This Row],[OrderDate ]])</f>
        <v>10</v>
      </c>
      <c r="M1169" t="str">
        <f>TEXT(Table9[[#This Row],[OrderDate ]],"mmm")</f>
        <v>Oct</v>
      </c>
      <c r="N1169">
        <f>YEAR(Table9[[#This Row],[OrderDate ]])</f>
        <v>2014</v>
      </c>
    </row>
    <row r="1170" spans="1:14" x14ac:dyDescent="0.3">
      <c r="A1170">
        <v>10693</v>
      </c>
      <c r="B1170" s="2">
        <f>_xlfn.XLOOKUP(Table9[[#This Row],[orderID]],orders[orderID],orders[orderDate],,0)</f>
        <v>41918</v>
      </c>
      <c r="C1170">
        <f>_xlfn.XLOOKUP(A1170,order_details[orderID],order_details[productID],,0)</f>
        <v>9</v>
      </c>
      <c r="D1170" t="str">
        <f>_xlfn.XLOOKUP(C1170,products[productID],products[productName],,0)</f>
        <v>Mishi Kobe Niku</v>
      </c>
      <c r="E1170" t="str">
        <f>_xlfn.XLOOKUP(_xlfn.XLOOKUP(Table9[[#This Row],[ProductName ]],products[productName],products[categoryID],,0),categories[categoryID],categories[categoryName],,0)</f>
        <v>Meat &amp; Poultry</v>
      </c>
      <c r="F1170">
        <v>60</v>
      </c>
      <c r="G1170">
        <v>745</v>
      </c>
      <c r="H1170">
        <v>15</v>
      </c>
      <c r="I1170">
        <f>Table9[[#This Row],[quantity]]*Table9[[#This Row],[unitPrice]]*(1-Table9[[#This Row],[discount]]/100)</f>
        <v>37995</v>
      </c>
      <c r="J1170" t="str">
        <f>_xlfn.XLOOKUP(_xlfn.XLOOKUP(A1170,orders[orderID],orders[customerID],,0),customers__2[customerID],customers__2[companyName],,0)</f>
        <v>White Clover Markets</v>
      </c>
      <c r="K1170" t="str">
        <f>_xlfn.XLOOKUP(Table9[[#This Row],[Company Name]],customers__2[companyName],customers__2[country],,0)</f>
        <v>USA</v>
      </c>
      <c r="L1170">
        <f>MONTH(Table9[[#This Row],[OrderDate ]])</f>
        <v>10</v>
      </c>
      <c r="M1170" t="str">
        <f>TEXT(Table9[[#This Row],[OrderDate ]],"mmm")</f>
        <v>Oct</v>
      </c>
      <c r="N1170">
        <f>YEAR(Table9[[#This Row],[OrderDate ]])</f>
        <v>2014</v>
      </c>
    </row>
    <row r="1171" spans="1:14" x14ac:dyDescent="0.3">
      <c r="A1171">
        <v>10693</v>
      </c>
      <c r="B1171" s="2">
        <f>_xlfn.XLOOKUP(Table9[[#This Row],[orderID]],orders[orderID],orders[orderDate],,0)</f>
        <v>41918</v>
      </c>
      <c r="C1171">
        <f>_xlfn.XLOOKUP(A1171,order_details[orderID],order_details[productID],,0)</f>
        <v>9</v>
      </c>
      <c r="D1171" t="str">
        <f>_xlfn.XLOOKUP(C1171,products[productID],products[productName],,0)</f>
        <v>Mishi Kobe Niku</v>
      </c>
      <c r="E1171" t="str">
        <f>_xlfn.XLOOKUP(_xlfn.XLOOKUP(Table9[[#This Row],[ProductName ]],products[productName],products[categoryID],,0),categories[categoryID],categories[categoryName],,0)</f>
        <v>Meat &amp; Poultry</v>
      </c>
      <c r="F1171">
        <v>30</v>
      </c>
      <c r="G1171">
        <v>36</v>
      </c>
      <c r="H1171">
        <v>15</v>
      </c>
      <c r="I1171">
        <f>Table9[[#This Row],[quantity]]*Table9[[#This Row],[unitPrice]]*(1-Table9[[#This Row],[discount]]/100)</f>
        <v>918</v>
      </c>
      <c r="J1171" t="str">
        <f>_xlfn.XLOOKUP(_xlfn.XLOOKUP(A1171,orders[orderID],orders[customerID],,0),customers__2[customerID],customers__2[companyName],,0)</f>
        <v>White Clover Markets</v>
      </c>
      <c r="K1171" t="str">
        <f>_xlfn.XLOOKUP(Table9[[#This Row],[Company Name]],customers__2[companyName],customers__2[country],,0)</f>
        <v>USA</v>
      </c>
      <c r="L1171">
        <f>MONTH(Table9[[#This Row],[OrderDate ]])</f>
        <v>10</v>
      </c>
      <c r="M1171" t="str">
        <f>TEXT(Table9[[#This Row],[OrderDate ]],"mmm")</f>
        <v>Oct</v>
      </c>
      <c r="N1171">
        <f>YEAR(Table9[[#This Row],[OrderDate ]])</f>
        <v>2014</v>
      </c>
    </row>
    <row r="1172" spans="1:14" x14ac:dyDescent="0.3">
      <c r="A1172">
        <v>10693</v>
      </c>
      <c r="B1172" s="2">
        <f>_xlfn.XLOOKUP(Table9[[#This Row],[orderID]],orders[orderID],orders[orderDate],,0)</f>
        <v>41918</v>
      </c>
      <c r="C1172">
        <f>_xlfn.XLOOKUP(A1172,order_details[orderID],order_details[productID],,0)</f>
        <v>9</v>
      </c>
      <c r="D1172" t="str">
        <f>_xlfn.XLOOKUP(C1172,products[productID],products[productName],,0)</f>
        <v>Mishi Kobe Niku</v>
      </c>
      <c r="E1172" t="str">
        <f>_xlfn.XLOOKUP(_xlfn.XLOOKUP(Table9[[#This Row],[ProductName ]],products[productName],products[categoryID],,0),categories[categoryID],categories[categoryName],,0)</f>
        <v>Meat &amp; Poultry</v>
      </c>
      <c r="F1172">
        <v>15</v>
      </c>
      <c r="G1172">
        <v>15</v>
      </c>
      <c r="H1172">
        <v>15</v>
      </c>
      <c r="I1172">
        <f>Table9[[#This Row],[quantity]]*Table9[[#This Row],[unitPrice]]*(1-Table9[[#This Row],[discount]]/100)</f>
        <v>191.25</v>
      </c>
      <c r="J1172" t="str">
        <f>_xlfn.XLOOKUP(_xlfn.XLOOKUP(A1172,orders[orderID],orders[customerID],,0),customers__2[customerID],customers__2[companyName],,0)</f>
        <v>White Clover Markets</v>
      </c>
      <c r="K1172" t="str">
        <f>_xlfn.XLOOKUP(Table9[[#This Row],[Company Name]],customers__2[companyName],customers__2[country],,0)</f>
        <v>USA</v>
      </c>
      <c r="L1172">
        <f>MONTH(Table9[[#This Row],[OrderDate ]])</f>
        <v>10</v>
      </c>
      <c r="M1172" t="str">
        <f>TEXT(Table9[[#This Row],[OrderDate ]],"mmm")</f>
        <v>Oct</v>
      </c>
      <c r="N1172">
        <f>YEAR(Table9[[#This Row],[OrderDate ]])</f>
        <v>2014</v>
      </c>
    </row>
    <row r="1173" spans="1:14" x14ac:dyDescent="0.3">
      <c r="A1173">
        <v>10694</v>
      </c>
      <c r="B1173" s="2">
        <f>_xlfn.XLOOKUP(Table9[[#This Row],[orderID]],orders[orderID],orders[orderDate],,0)</f>
        <v>41918</v>
      </c>
      <c r="C1173">
        <f>_xlfn.XLOOKUP(A1173,order_details[orderID],order_details[productID],,0)</f>
        <v>7</v>
      </c>
      <c r="D1173" t="str">
        <f>_xlfn.XLOOKUP(C1173,products[productID],products[productName],,0)</f>
        <v>Uncle Bob's Organic Dried Pears</v>
      </c>
      <c r="E1173" t="str">
        <f>_xlfn.XLOOKUP(_xlfn.XLOOKUP(Table9[[#This Row],[ProductName ]],products[productName],products[categoryID],,0),categories[categoryID],categories[categoryName],,0)</f>
        <v>Produce</v>
      </c>
      <c r="F1173">
        <v>90</v>
      </c>
      <c r="G1173">
        <v>30</v>
      </c>
      <c r="H1173">
        <v>0</v>
      </c>
      <c r="I1173">
        <f>Table9[[#This Row],[quantity]]*Table9[[#This Row],[unitPrice]]*(1-Table9[[#This Row],[discount]]/100)</f>
        <v>2700</v>
      </c>
      <c r="J1173" t="str">
        <f>_xlfn.XLOOKUP(_xlfn.XLOOKUP(A1173,orders[orderID],orders[customerID],,0),customers__2[customerID],customers__2[companyName],,0)</f>
        <v>QUICK-Stop</v>
      </c>
      <c r="K1173" t="str">
        <f>_xlfn.XLOOKUP(Table9[[#This Row],[Company Name]],customers__2[companyName],customers__2[country],,0)</f>
        <v>Germany</v>
      </c>
      <c r="L1173">
        <f>MONTH(Table9[[#This Row],[OrderDate ]])</f>
        <v>10</v>
      </c>
      <c r="M1173" t="str">
        <f>TEXT(Table9[[#This Row],[OrderDate ]],"mmm")</f>
        <v>Oct</v>
      </c>
      <c r="N1173">
        <f>YEAR(Table9[[#This Row],[OrderDate ]])</f>
        <v>2014</v>
      </c>
    </row>
    <row r="1174" spans="1:14" x14ac:dyDescent="0.3">
      <c r="A1174">
        <v>10694</v>
      </c>
      <c r="B1174" s="2">
        <f>_xlfn.XLOOKUP(Table9[[#This Row],[orderID]],orders[orderID],orders[orderDate],,0)</f>
        <v>41918</v>
      </c>
      <c r="C1174">
        <f>_xlfn.XLOOKUP(A1174,order_details[orderID],order_details[productID],,0)</f>
        <v>7</v>
      </c>
      <c r="D1174" t="str">
        <f>_xlfn.XLOOKUP(C1174,products[productID],products[productName],,0)</f>
        <v>Uncle Bob's Organic Dried Pears</v>
      </c>
      <c r="E1174" t="str">
        <f>_xlfn.XLOOKUP(_xlfn.XLOOKUP(Table9[[#This Row],[ProductName ]],products[productName],products[categoryID],,0),categories[categoryID],categories[categoryName],,0)</f>
        <v>Produce</v>
      </c>
      <c r="F1174">
        <v>25</v>
      </c>
      <c r="G1174">
        <v>55</v>
      </c>
      <c r="H1174">
        <v>0</v>
      </c>
      <c r="I1174">
        <f>Table9[[#This Row],[quantity]]*Table9[[#This Row],[unitPrice]]*(1-Table9[[#This Row],[discount]]/100)</f>
        <v>1375</v>
      </c>
      <c r="J1174" t="str">
        <f>_xlfn.XLOOKUP(_xlfn.XLOOKUP(A1174,orders[orderID],orders[customerID],,0),customers__2[customerID],customers__2[companyName],,0)</f>
        <v>QUICK-Stop</v>
      </c>
      <c r="K1174" t="str">
        <f>_xlfn.XLOOKUP(Table9[[#This Row],[Company Name]],customers__2[companyName],customers__2[country],,0)</f>
        <v>Germany</v>
      </c>
      <c r="L1174">
        <f>MONTH(Table9[[#This Row],[OrderDate ]])</f>
        <v>10</v>
      </c>
      <c r="M1174" t="str">
        <f>TEXT(Table9[[#This Row],[OrderDate ]],"mmm")</f>
        <v>Oct</v>
      </c>
      <c r="N1174">
        <f>YEAR(Table9[[#This Row],[OrderDate ]])</f>
        <v>2014</v>
      </c>
    </row>
    <row r="1175" spans="1:14" x14ac:dyDescent="0.3">
      <c r="A1175">
        <v>10694</v>
      </c>
      <c r="B1175" s="2">
        <f>_xlfn.XLOOKUP(Table9[[#This Row],[orderID]],orders[orderID],orders[orderDate],,0)</f>
        <v>41918</v>
      </c>
      <c r="C1175">
        <f>_xlfn.XLOOKUP(A1175,order_details[orderID],order_details[productID],,0)</f>
        <v>7</v>
      </c>
      <c r="D1175" t="str">
        <f>_xlfn.XLOOKUP(C1175,products[productID],products[productName],,0)</f>
        <v>Uncle Bob's Organic Dried Pears</v>
      </c>
      <c r="E1175" t="str">
        <f>_xlfn.XLOOKUP(_xlfn.XLOOKUP(Table9[[#This Row],[ProductName ]],products[productName],products[categoryID],,0),categories[categoryID],categories[categoryName],,0)</f>
        <v>Produce</v>
      </c>
      <c r="F1175">
        <v>50</v>
      </c>
      <c r="G1175">
        <v>15</v>
      </c>
      <c r="H1175">
        <v>0</v>
      </c>
      <c r="I1175">
        <f>Table9[[#This Row],[quantity]]*Table9[[#This Row],[unitPrice]]*(1-Table9[[#This Row],[discount]]/100)</f>
        <v>750</v>
      </c>
      <c r="J1175" t="str">
        <f>_xlfn.XLOOKUP(_xlfn.XLOOKUP(A1175,orders[orderID],orders[customerID],,0),customers__2[customerID],customers__2[companyName],,0)</f>
        <v>QUICK-Stop</v>
      </c>
      <c r="K1175" t="str">
        <f>_xlfn.XLOOKUP(Table9[[#This Row],[Company Name]],customers__2[companyName],customers__2[country],,0)</f>
        <v>Germany</v>
      </c>
      <c r="L1175">
        <f>MONTH(Table9[[#This Row],[OrderDate ]])</f>
        <v>10</v>
      </c>
      <c r="M1175" t="str">
        <f>TEXT(Table9[[#This Row],[OrderDate ]],"mmm")</f>
        <v>Oct</v>
      </c>
      <c r="N1175">
        <f>YEAR(Table9[[#This Row],[OrderDate ]])</f>
        <v>2014</v>
      </c>
    </row>
    <row r="1176" spans="1:14" x14ac:dyDescent="0.3">
      <c r="A1176">
        <v>10695</v>
      </c>
      <c r="B1176" s="2">
        <f>_xlfn.XLOOKUP(Table9[[#This Row],[orderID]],orders[orderID],orders[orderDate],,0)</f>
        <v>41919</v>
      </c>
      <c r="C1176">
        <f>_xlfn.XLOOKUP(A1176,order_details[orderID],order_details[productID],,0)</f>
        <v>8</v>
      </c>
      <c r="D1176" t="str">
        <f>_xlfn.XLOOKUP(C1176,products[productID],products[productName],,0)</f>
        <v>Northwoods Cranberry Sauce</v>
      </c>
      <c r="E1176" t="str">
        <f>_xlfn.XLOOKUP(_xlfn.XLOOKUP(Table9[[#This Row],[ProductName ]],products[productName],products[categoryID],,0),categories[categoryID],categories[categoryName],,0)</f>
        <v>Condiments</v>
      </c>
      <c r="F1176">
        <v>10</v>
      </c>
      <c r="G1176">
        <v>40</v>
      </c>
      <c r="H1176">
        <v>0</v>
      </c>
      <c r="I1176">
        <f>Table9[[#This Row],[quantity]]*Table9[[#This Row],[unitPrice]]*(1-Table9[[#This Row],[discount]]/100)</f>
        <v>400</v>
      </c>
      <c r="J1176" t="str">
        <f>_xlfn.XLOOKUP(_xlfn.XLOOKUP(A1176,orders[orderID],orders[customerID],,0),customers__2[customerID],customers__2[companyName],,0)</f>
        <v>Wilman Kala</v>
      </c>
      <c r="K1176" t="str">
        <f>_xlfn.XLOOKUP(Table9[[#This Row],[Company Name]],customers__2[companyName],customers__2[country],,0)</f>
        <v>Finland</v>
      </c>
      <c r="L1176">
        <f>MONTH(Table9[[#This Row],[OrderDate ]])</f>
        <v>10</v>
      </c>
      <c r="M1176" t="str">
        <f>TEXT(Table9[[#This Row],[OrderDate ]],"mmm")</f>
        <v>Oct</v>
      </c>
      <c r="N1176">
        <f>YEAR(Table9[[#This Row],[OrderDate ]])</f>
        <v>2014</v>
      </c>
    </row>
    <row r="1177" spans="1:14" x14ac:dyDescent="0.3">
      <c r="A1177">
        <v>10695</v>
      </c>
      <c r="B1177" s="2">
        <f>_xlfn.XLOOKUP(Table9[[#This Row],[orderID]],orders[orderID],orders[orderDate],,0)</f>
        <v>41919</v>
      </c>
      <c r="C1177">
        <f>_xlfn.XLOOKUP(A1177,order_details[orderID],order_details[productID],,0)</f>
        <v>8</v>
      </c>
      <c r="D1177" t="str">
        <f>_xlfn.XLOOKUP(C1177,products[productID],products[productName],,0)</f>
        <v>Northwoods Cranberry Sauce</v>
      </c>
      <c r="E1177" t="str">
        <f>_xlfn.XLOOKUP(_xlfn.XLOOKUP(Table9[[#This Row],[ProductName ]],products[productName],products[categoryID],,0),categories[categoryID],categories[categoryName],,0)</f>
        <v>Condiments</v>
      </c>
      <c r="F1177">
        <v>4</v>
      </c>
      <c r="G1177">
        <v>38</v>
      </c>
      <c r="H1177">
        <v>0</v>
      </c>
      <c r="I1177">
        <f>Table9[[#This Row],[quantity]]*Table9[[#This Row],[unitPrice]]*(1-Table9[[#This Row],[discount]]/100)</f>
        <v>152</v>
      </c>
      <c r="J1177" t="str">
        <f>_xlfn.XLOOKUP(_xlfn.XLOOKUP(A1177,orders[orderID],orders[customerID],,0),customers__2[customerID],customers__2[companyName],,0)</f>
        <v>Wilman Kala</v>
      </c>
      <c r="K1177" t="str">
        <f>_xlfn.XLOOKUP(Table9[[#This Row],[Company Name]],customers__2[companyName],customers__2[country],,0)</f>
        <v>Finland</v>
      </c>
      <c r="L1177">
        <f>MONTH(Table9[[#This Row],[OrderDate ]])</f>
        <v>10</v>
      </c>
      <c r="M1177" t="str">
        <f>TEXT(Table9[[#This Row],[OrderDate ]],"mmm")</f>
        <v>Oct</v>
      </c>
      <c r="N1177">
        <f>YEAR(Table9[[#This Row],[OrderDate ]])</f>
        <v>2014</v>
      </c>
    </row>
    <row r="1178" spans="1:14" x14ac:dyDescent="0.3">
      <c r="A1178">
        <v>10695</v>
      </c>
      <c r="B1178" s="2">
        <f>_xlfn.XLOOKUP(Table9[[#This Row],[orderID]],orders[orderID],orders[orderDate],,0)</f>
        <v>41919</v>
      </c>
      <c r="C1178">
        <f>_xlfn.XLOOKUP(A1178,order_details[orderID],order_details[productID],,0)</f>
        <v>8</v>
      </c>
      <c r="D1178" t="str">
        <f>_xlfn.XLOOKUP(C1178,products[productID],products[productName],,0)</f>
        <v>Northwoods Cranberry Sauce</v>
      </c>
      <c r="E1178" t="str">
        <f>_xlfn.XLOOKUP(_xlfn.XLOOKUP(Table9[[#This Row],[ProductName ]],products[productName],products[categoryID],,0),categories[categoryID],categories[categoryName],,0)</f>
        <v>Condiments</v>
      </c>
      <c r="F1178">
        <v>20</v>
      </c>
      <c r="G1178">
        <v>45</v>
      </c>
      <c r="H1178">
        <v>0</v>
      </c>
      <c r="I1178">
        <f>Table9[[#This Row],[quantity]]*Table9[[#This Row],[unitPrice]]*(1-Table9[[#This Row],[discount]]/100)</f>
        <v>900</v>
      </c>
      <c r="J1178" t="str">
        <f>_xlfn.XLOOKUP(_xlfn.XLOOKUP(A1178,orders[orderID],orders[customerID],,0),customers__2[customerID],customers__2[companyName],,0)</f>
        <v>Wilman Kala</v>
      </c>
      <c r="K1178" t="str">
        <f>_xlfn.XLOOKUP(Table9[[#This Row],[Company Name]],customers__2[companyName],customers__2[country],,0)</f>
        <v>Finland</v>
      </c>
      <c r="L1178">
        <f>MONTH(Table9[[#This Row],[OrderDate ]])</f>
        <v>10</v>
      </c>
      <c r="M1178" t="str">
        <f>TEXT(Table9[[#This Row],[OrderDate ]],"mmm")</f>
        <v>Oct</v>
      </c>
      <c r="N1178">
        <f>YEAR(Table9[[#This Row],[OrderDate ]])</f>
        <v>2014</v>
      </c>
    </row>
    <row r="1179" spans="1:14" x14ac:dyDescent="0.3">
      <c r="A1179">
        <v>10696</v>
      </c>
      <c r="B1179" s="2">
        <f>_xlfn.XLOOKUP(Table9[[#This Row],[orderID]],orders[orderID],orders[orderDate],,0)</f>
        <v>41920</v>
      </c>
      <c r="C1179">
        <f>_xlfn.XLOOKUP(A1179,order_details[orderID],order_details[productID],,0)</f>
        <v>17</v>
      </c>
      <c r="D1179" t="str">
        <f>_xlfn.XLOOKUP(C1179,products[productID],products[productName],,0)</f>
        <v>Alice Mutton</v>
      </c>
      <c r="E1179" t="str">
        <f>_xlfn.XLOOKUP(_xlfn.XLOOKUP(Table9[[#This Row],[ProductName ]],products[productName],products[categoryID],,0),categories[categoryID],categories[categoryName],,0)</f>
        <v>Meat &amp; Poultry</v>
      </c>
      <c r="F1179">
        <v>20</v>
      </c>
      <c r="G1179">
        <v>39</v>
      </c>
      <c r="H1179">
        <v>0</v>
      </c>
      <c r="I1179">
        <f>Table9[[#This Row],[quantity]]*Table9[[#This Row],[unitPrice]]*(1-Table9[[#This Row],[discount]]/100)</f>
        <v>780</v>
      </c>
      <c r="J1179" t="str">
        <f>_xlfn.XLOOKUP(_xlfn.XLOOKUP(A1179,orders[orderID],orders[customerID],,0),customers__2[customerID],customers__2[companyName],,0)</f>
        <v>White Clover Markets</v>
      </c>
      <c r="K1179" t="str">
        <f>_xlfn.XLOOKUP(Table9[[#This Row],[Company Name]],customers__2[companyName],customers__2[country],,0)</f>
        <v>USA</v>
      </c>
      <c r="L1179">
        <f>MONTH(Table9[[#This Row],[OrderDate ]])</f>
        <v>10</v>
      </c>
      <c r="M1179" t="str">
        <f>TEXT(Table9[[#This Row],[OrderDate ]],"mmm")</f>
        <v>Oct</v>
      </c>
      <c r="N1179">
        <f>YEAR(Table9[[#This Row],[OrderDate ]])</f>
        <v>2014</v>
      </c>
    </row>
    <row r="1180" spans="1:14" x14ac:dyDescent="0.3">
      <c r="A1180">
        <v>10696</v>
      </c>
      <c r="B1180" s="2">
        <f>_xlfn.XLOOKUP(Table9[[#This Row],[orderID]],orders[orderID],orders[orderDate],,0)</f>
        <v>41920</v>
      </c>
      <c r="C1180">
        <f>_xlfn.XLOOKUP(A1180,order_details[orderID],order_details[productID],,0)</f>
        <v>17</v>
      </c>
      <c r="D1180" t="str">
        <f>_xlfn.XLOOKUP(C1180,products[productID],products[productName],,0)</f>
        <v>Alice Mutton</v>
      </c>
      <c r="E1180" t="str">
        <f>_xlfn.XLOOKUP(_xlfn.XLOOKUP(Table9[[#This Row],[ProductName ]],products[productName],products[categoryID],,0),categories[categoryID],categories[categoryName],,0)</f>
        <v>Meat &amp; Poultry</v>
      </c>
      <c r="F1180">
        <v>18</v>
      </c>
      <c r="G1180">
        <v>12</v>
      </c>
      <c r="H1180">
        <v>0</v>
      </c>
      <c r="I1180">
        <f>Table9[[#This Row],[quantity]]*Table9[[#This Row],[unitPrice]]*(1-Table9[[#This Row],[discount]]/100)</f>
        <v>216</v>
      </c>
      <c r="J1180" t="str">
        <f>_xlfn.XLOOKUP(_xlfn.XLOOKUP(A1180,orders[orderID],orders[customerID],,0),customers__2[customerID],customers__2[companyName],,0)</f>
        <v>White Clover Markets</v>
      </c>
      <c r="K1180" t="str">
        <f>_xlfn.XLOOKUP(Table9[[#This Row],[Company Name]],customers__2[companyName],customers__2[country],,0)</f>
        <v>USA</v>
      </c>
      <c r="L1180">
        <f>MONTH(Table9[[#This Row],[OrderDate ]])</f>
        <v>10</v>
      </c>
      <c r="M1180" t="str">
        <f>TEXT(Table9[[#This Row],[OrderDate ]],"mmm")</f>
        <v>Oct</v>
      </c>
      <c r="N1180">
        <f>YEAR(Table9[[#This Row],[OrderDate ]])</f>
        <v>2014</v>
      </c>
    </row>
    <row r="1181" spans="1:14" x14ac:dyDescent="0.3">
      <c r="A1181">
        <v>10697</v>
      </c>
      <c r="B1181" s="2">
        <f>_xlfn.XLOOKUP(Table9[[#This Row],[orderID]],orders[orderID],orders[orderDate],,0)</f>
        <v>41920</v>
      </c>
      <c r="C1181">
        <f>_xlfn.XLOOKUP(A1181,order_details[orderID],order_details[productID],,0)</f>
        <v>19</v>
      </c>
      <c r="D1181" t="str">
        <f>_xlfn.XLOOKUP(C1181,products[productID],products[productName],,0)</f>
        <v>Teatime Chocolate Biscuits</v>
      </c>
      <c r="E1181" t="str">
        <f>_xlfn.XLOOKUP(_xlfn.XLOOKUP(Table9[[#This Row],[ProductName ]],products[productName],products[categoryID],,0),categories[categoryID],categories[categoryName],,0)</f>
        <v>Confections</v>
      </c>
      <c r="F1181">
        <v>7</v>
      </c>
      <c r="G1181">
        <v>92</v>
      </c>
      <c r="H1181">
        <v>25</v>
      </c>
      <c r="I1181">
        <f>Table9[[#This Row],[quantity]]*Table9[[#This Row],[unitPrice]]*(1-Table9[[#This Row],[discount]]/100)</f>
        <v>483</v>
      </c>
      <c r="J1181" t="str">
        <f>_xlfn.XLOOKUP(_xlfn.XLOOKUP(A1181,orders[orderID],orders[customerID],,0),customers__2[customerID],customers__2[companyName],,0)</f>
        <v>LINO-Delicateses</v>
      </c>
      <c r="K1181" t="str">
        <f>_xlfn.XLOOKUP(Table9[[#This Row],[Company Name]],customers__2[companyName],customers__2[country],,0)</f>
        <v>Venezuela</v>
      </c>
      <c r="L1181">
        <f>MONTH(Table9[[#This Row],[OrderDate ]])</f>
        <v>10</v>
      </c>
      <c r="M1181" t="str">
        <f>TEXT(Table9[[#This Row],[OrderDate ]],"mmm")</f>
        <v>Oct</v>
      </c>
      <c r="N1181">
        <f>YEAR(Table9[[#This Row],[OrderDate ]])</f>
        <v>2014</v>
      </c>
    </row>
    <row r="1182" spans="1:14" x14ac:dyDescent="0.3">
      <c r="A1182">
        <v>10697</v>
      </c>
      <c r="B1182" s="2">
        <f>_xlfn.XLOOKUP(Table9[[#This Row],[orderID]],orders[orderID],orders[orderDate],,0)</f>
        <v>41920</v>
      </c>
      <c r="C1182">
        <f>_xlfn.XLOOKUP(A1182,order_details[orderID],order_details[productID],,0)</f>
        <v>19</v>
      </c>
      <c r="D1182" t="str">
        <f>_xlfn.XLOOKUP(C1182,products[productID],products[productName],,0)</f>
        <v>Teatime Chocolate Biscuits</v>
      </c>
      <c r="E1182" t="str">
        <f>_xlfn.XLOOKUP(_xlfn.XLOOKUP(Table9[[#This Row],[ProductName ]],products[productName],products[categoryID],,0),categories[categoryID],categories[categoryName],,0)</f>
        <v>Confections</v>
      </c>
      <c r="F1182">
        <v>9</v>
      </c>
      <c r="G1182">
        <v>18</v>
      </c>
      <c r="H1182">
        <v>25</v>
      </c>
      <c r="I1182">
        <f>Table9[[#This Row],[quantity]]*Table9[[#This Row],[unitPrice]]*(1-Table9[[#This Row],[discount]]/100)</f>
        <v>121.5</v>
      </c>
      <c r="J1182" t="str">
        <f>_xlfn.XLOOKUP(_xlfn.XLOOKUP(A1182,orders[orderID],orders[customerID],,0),customers__2[customerID],customers__2[companyName],,0)</f>
        <v>LINO-Delicateses</v>
      </c>
      <c r="K1182" t="str">
        <f>_xlfn.XLOOKUP(Table9[[#This Row],[Company Name]],customers__2[companyName],customers__2[country],,0)</f>
        <v>Venezuela</v>
      </c>
      <c r="L1182">
        <f>MONTH(Table9[[#This Row],[OrderDate ]])</f>
        <v>10</v>
      </c>
      <c r="M1182" t="str">
        <f>TEXT(Table9[[#This Row],[OrderDate ]],"mmm")</f>
        <v>Oct</v>
      </c>
      <c r="N1182">
        <f>YEAR(Table9[[#This Row],[OrderDate ]])</f>
        <v>2014</v>
      </c>
    </row>
    <row r="1183" spans="1:14" x14ac:dyDescent="0.3">
      <c r="A1183">
        <v>10697</v>
      </c>
      <c r="B1183" s="2">
        <f>_xlfn.XLOOKUP(Table9[[#This Row],[orderID]],orders[orderID],orders[orderDate],,0)</f>
        <v>41920</v>
      </c>
      <c r="C1183">
        <f>_xlfn.XLOOKUP(A1183,order_details[orderID],order_details[productID],,0)</f>
        <v>19</v>
      </c>
      <c r="D1183" t="str">
        <f>_xlfn.XLOOKUP(C1183,products[productID],products[productName],,0)</f>
        <v>Teatime Chocolate Biscuits</v>
      </c>
      <c r="E1183" t="str">
        <f>_xlfn.XLOOKUP(_xlfn.XLOOKUP(Table9[[#This Row],[ProductName ]],products[productName],products[categoryID],,0),categories[categoryID],categories[categoryName],,0)</f>
        <v>Confections</v>
      </c>
      <c r="F1183">
        <v>30</v>
      </c>
      <c r="G1183">
        <v>1325</v>
      </c>
      <c r="H1183">
        <v>25</v>
      </c>
      <c r="I1183">
        <f>Table9[[#This Row],[quantity]]*Table9[[#This Row],[unitPrice]]*(1-Table9[[#This Row],[discount]]/100)</f>
        <v>29812.5</v>
      </c>
      <c r="J1183" t="str">
        <f>_xlfn.XLOOKUP(_xlfn.XLOOKUP(A1183,orders[orderID],orders[customerID],,0),customers__2[customerID],customers__2[companyName],,0)</f>
        <v>LINO-Delicateses</v>
      </c>
      <c r="K1183" t="str">
        <f>_xlfn.XLOOKUP(Table9[[#This Row],[Company Name]],customers__2[companyName],customers__2[country],,0)</f>
        <v>Venezuela</v>
      </c>
      <c r="L1183">
        <f>MONTH(Table9[[#This Row],[OrderDate ]])</f>
        <v>10</v>
      </c>
      <c r="M1183" t="str">
        <f>TEXT(Table9[[#This Row],[OrderDate ]],"mmm")</f>
        <v>Oct</v>
      </c>
      <c r="N1183">
        <f>YEAR(Table9[[#This Row],[OrderDate ]])</f>
        <v>2014</v>
      </c>
    </row>
    <row r="1184" spans="1:14" x14ac:dyDescent="0.3">
      <c r="A1184">
        <v>10697</v>
      </c>
      <c r="B1184" s="2">
        <f>_xlfn.XLOOKUP(Table9[[#This Row],[orderID]],orders[orderID],orders[orderDate],,0)</f>
        <v>41920</v>
      </c>
      <c r="C1184">
        <f>_xlfn.XLOOKUP(A1184,order_details[orderID],order_details[productID],,0)</f>
        <v>19</v>
      </c>
      <c r="D1184" t="str">
        <f>_xlfn.XLOOKUP(C1184,products[productID],products[productName],,0)</f>
        <v>Teatime Chocolate Biscuits</v>
      </c>
      <c r="E1184" t="str">
        <f>_xlfn.XLOOKUP(_xlfn.XLOOKUP(Table9[[#This Row],[ProductName ]],products[productName],products[categoryID],,0),categories[categoryID],categories[categoryName],,0)</f>
        <v>Confections</v>
      </c>
      <c r="F1184">
        <v>30</v>
      </c>
      <c r="G1184">
        <v>15</v>
      </c>
      <c r="H1184">
        <v>25</v>
      </c>
      <c r="I1184">
        <f>Table9[[#This Row],[quantity]]*Table9[[#This Row],[unitPrice]]*(1-Table9[[#This Row],[discount]]/100)</f>
        <v>337.5</v>
      </c>
      <c r="J1184" t="str">
        <f>_xlfn.XLOOKUP(_xlfn.XLOOKUP(A1184,orders[orderID],orders[customerID],,0),customers__2[customerID],customers__2[companyName],,0)</f>
        <v>LINO-Delicateses</v>
      </c>
      <c r="K1184" t="str">
        <f>_xlfn.XLOOKUP(Table9[[#This Row],[Company Name]],customers__2[companyName],customers__2[country],,0)</f>
        <v>Venezuela</v>
      </c>
      <c r="L1184">
        <f>MONTH(Table9[[#This Row],[OrderDate ]])</f>
        <v>10</v>
      </c>
      <c r="M1184" t="str">
        <f>TEXT(Table9[[#This Row],[OrderDate ]],"mmm")</f>
        <v>Oct</v>
      </c>
      <c r="N1184">
        <f>YEAR(Table9[[#This Row],[OrderDate ]])</f>
        <v>2014</v>
      </c>
    </row>
    <row r="1185" spans="1:14" x14ac:dyDescent="0.3">
      <c r="A1185">
        <v>10698</v>
      </c>
      <c r="B1185" s="2">
        <f>_xlfn.XLOOKUP(Table9[[#This Row],[orderID]],orders[orderID],orders[orderDate],,0)</f>
        <v>41921</v>
      </c>
      <c r="C1185">
        <f>_xlfn.XLOOKUP(A1185,order_details[orderID],order_details[productID],,0)</f>
        <v>11</v>
      </c>
      <c r="D1185" t="str">
        <f>_xlfn.XLOOKUP(C1185,products[productID],products[productName],,0)</f>
        <v>Queso Cabrales</v>
      </c>
      <c r="E1185" t="str">
        <f>_xlfn.XLOOKUP(_xlfn.XLOOKUP(Table9[[#This Row],[ProductName ]],products[productName],products[categoryID],,0),categories[categoryID],categories[categoryName],,0)</f>
        <v>Dairy Products</v>
      </c>
      <c r="F1185">
        <v>15</v>
      </c>
      <c r="G1185">
        <v>21</v>
      </c>
      <c r="H1185">
        <v>0</v>
      </c>
      <c r="I1185">
        <f>Table9[[#This Row],[quantity]]*Table9[[#This Row],[unitPrice]]*(1-Table9[[#This Row],[discount]]/100)</f>
        <v>315</v>
      </c>
      <c r="J1185" t="str">
        <f>_xlfn.XLOOKUP(_xlfn.XLOOKUP(A1185,orders[orderID],orders[customerID],,0),customers__2[customerID],customers__2[companyName],,0)</f>
        <v>Ernst Handel</v>
      </c>
      <c r="K1185" t="str">
        <f>_xlfn.XLOOKUP(Table9[[#This Row],[Company Name]],customers__2[companyName],customers__2[country],,0)</f>
        <v>Austria</v>
      </c>
      <c r="L1185">
        <f>MONTH(Table9[[#This Row],[OrderDate ]])</f>
        <v>10</v>
      </c>
      <c r="M1185" t="str">
        <f>TEXT(Table9[[#This Row],[OrderDate ]],"mmm")</f>
        <v>Oct</v>
      </c>
      <c r="N1185">
        <f>YEAR(Table9[[#This Row],[OrderDate ]])</f>
        <v>2014</v>
      </c>
    </row>
    <row r="1186" spans="1:14" x14ac:dyDescent="0.3">
      <c r="A1186">
        <v>10698</v>
      </c>
      <c r="B1186" s="2">
        <f>_xlfn.XLOOKUP(Table9[[#This Row],[orderID]],orders[orderID],orders[orderDate],,0)</f>
        <v>41921</v>
      </c>
      <c r="C1186">
        <f>_xlfn.XLOOKUP(A1186,order_details[orderID],order_details[productID],,0)</f>
        <v>11</v>
      </c>
      <c r="D1186" t="str">
        <f>_xlfn.XLOOKUP(C1186,products[productID],products[productName],,0)</f>
        <v>Queso Cabrales</v>
      </c>
      <c r="E1186" t="str">
        <f>_xlfn.XLOOKUP(_xlfn.XLOOKUP(Table9[[#This Row],[ProductName ]],products[productName],products[categoryID],,0),categories[categoryID],categories[categoryName],,0)</f>
        <v>Dairy Products</v>
      </c>
      <c r="F1186">
        <v>8</v>
      </c>
      <c r="G1186">
        <v>39</v>
      </c>
      <c r="H1186">
        <v>5</v>
      </c>
      <c r="I1186">
        <f>Table9[[#This Row],[quantity]]*Table9[[#This Row],[unitPrice]]*(1-Table9[[#This Row],[discount]]/100)</f>
        <v>296.39999999999998</v>
      </c>
      <c r="J1186" t="str">
        <f>_xlfn.XLOOKUP(_xlfn.XLOOKUP(A1186,orders[orderID],orders[customerID],,0),customers__2[customerID],customers__2[companyName],,0)</f>
        <v>Ernst Handel</v>
      </c>
      <c r="K1186" t="str">
        <f>_xlfn.XLOOKUP(Table9[[#This Row],[Company Name]],customers__2[companyName],customers__2[country],,0)</f>
        <v>Austria</v>
      </c>
      <c r="L1186">
        <f>MONTH(Table9[[#This Row],[OrderDate ]])</f>
        <v>10</v>
      </c>
      <c r="M1186" t="str">
        <f>TEXT(Table9[[#This Row],[OrderDate ]],"mmm")</f>
        <v>Oct</v>
      </c>
      <c r="N1186">
        <f>YEAR(Table9[[#This Row],[OrderDate ]])</f>
        <v>2014</v>
      </c>
    </row>
    <row r="1187" spans="1:14" x14ac:dyDescent="0.3">
      <c r="A1187">
        <v>10698</v>
      </c>
      <c r="B1187" s="2">
        <f>_xlfn.XLOOKUP(Table9[[#This Row],[orderID]],orders[orderID],orders[orderDate],,0)</f>
        <v>41921</v>
      </c>
      <c r="C1187">
        <f>_xlfn.XLOOKUP(A1187,order_details[orderID],order_details[productID],,0)</f>
        <v>11</v>
      </c>
      <c r="D1187" t="str">
        <f>_xlfn.XLOOKUP(C1187,products[productID],products[productName],,0)</f>
        <v>Queso Cabrales</v>
      </c>
      <c r="E1187" t="str">
        <f>_xlfn.XLOOKUP(_xlfn.XLOOKUP(Table9[[#This Row],[ProductName ]],products[productName],products[categoryID],,0),categories[categoryID],categories[categoryName],,0)</f>
        <v>Dairy Products</v>
      </c>
      <c r="F1187">
        <v>12</v>
      </c>
      <c r="G1187">
        <v>12379</v>
      </c>
      <c r="H1187">
        <v>5</v>
      </c>
      <c r="I1187">
        <f>Table9[[#This Row],[quantity]]*Table9[[#This Row],[unitPrice]]*(1-Table9[[#This Row],[discount]]/100)</f>
        <v>141120.6</v>
      </c>
      <c r="J1187" t="str">
        <f>_xlfn.XLOOKUP(_xlfn.XLOOKUP(A1187,orders[orderID],orders[customerID],,0),customers__2[customerID],customers__2[companyName],,0)</f>
        <v>Ernst Handel</v>
      </c>
      <c r="K1187" t="str">
        <f>_xlfn.XLOOKUP(Table9[[#This Row],[Company Name]],customers__2[companyName],customers__2[country],,0)</f>
        <v>Austria</v>
      </c>
      <c r="L1187">
        <f>MONTH(Table9[[#This Row],[OrderDate ]])</f>
        <v>10</v>
      </c>
      <c r="M1187" t="str">
        <f>TEXT(Table9[[#This Row],[OrderDate ]],"mmm")</f>
        <v>Oct</v>
      </c>
      <c r="N1187">
        <f>YEAR(Table9[[#This Row],[OrderDate ]])</f>
        <v>2014</v>
      </c>
    </row>
    <row r="1188" spans="1:14" x14ac:dyDescent="0.3">
      <c r="A1188">
        <v>10698</v>
      </c>
      <c r="B1188" s="2">
        <f>_xlfn.XLOOKUP(Table9[[#This Row],[orderID]],orders[orderID],orders[orderDate],,0)</f>
        <v>41921</v>
      </c>
      <c r="C1188">
        <f>_xlfn.XLOOKUP(A1188,order_details[orderID],order_details[productID],,0)</f>
        <v>11</v>
      </c>
      <c r="D1188" t="str">
        <f>_xlfn.XLOOKUP(C1188,products[productID],products[productName],,0)</f>
        <v>Queso Cabrales</v>
      </c>
      <c r="E1188" t="str">
        <f>_xlfn.XLOOKUP(_xlfn.XLOOKUP(Table9[[#This Row],[ProductName ]],products[productName],products[categoryID],,0),categories[categoryID],categories[categoryName],,0)</f>
        <v>Dairy Products</v>
      </c>
      <c r="F1188">
        <v>65</v>
      </c>
      <c r="G1188">
        <v>2105</v>
      </c>
      <c r="H1188">
        <v>5</v>
      </c>
      <c r="I1188">
        <f>Table9[[#This Row],[quantity]]*Table9[[#This Row],[unitPrice]]*(1-Table9[[#This Row],[discount]]/100)</f>
        <v>129983.75</v>
      </c>
      <c r="J1188" t="str">
        <f>_xlfn.XLOOKUP(_xlfn.XLOOKUP(A1188,orders[orderID],orders[customerID],,0),customers__2[customerID],customers__2[companyName],,0)</f>
        <v>Ernst Handel</v>
      </c>
      <c r="K1188" t="str">
        <f>_xlfn.XLOOKUP(Table9[[#This Row],[Company Name]],customers__2[companyName],customers__2[country],,0)</f>
        <v>Austria</v>
      </c>
      <c r="L1188">
        <f>MONTH(Table9[[#This Row],[OrderDate ]])</f>
        <v>10</v>
      </c>
      <c r="M1188" t="str">
        <f>TEXT(Table9[[#This Row],[OrderDate ]],"mmm")</f>
        <v>Oct</v>
      </c>
      <c r="N1188">
        <f>YEAR(Table9[[#This Row],[OrderDate ]])</f>
        <v>2014</v>
      </c>
    </row>
    <row r="1189" spans="1:14" x14ac:dyDescent="0.3">
      <c r="A1189">
        <v>10698</v>
      </c>
      <c r="B1189" s="2">
        <f>_xlfn.XLOOKUP(Table9[[#This Row],[orderID]],orders[orderID],orders[orderDate],,0)</f>
        <v>41921</v>
      </c>
      <c r="C1189">
        <f>_xlfn.XLOOKUP(A1189,order_details[orderID],order_details[productID],,0)</f>
        <v>11</v>
      </c>
      <c r="D1189" t="str">
        <f>_xlfn.XLOOKUP(C1189,products[productID],products[productName],,0)</f>
        <v>Queso Cabrales</v>
      </c>
      <c r="E1189" t="str">
        <f>_xlfn.XLOOKUP(_xlfn.XLOOKUP(Table9[[#This Row],[ProductName ]],products[productName],products[categoryID],,0),categories[categoryID],categories[categoryName],,0)</f>
        <v>Dairy Products</v>
      </c>
      <c r="F1189">
        <v>8</v>
      </c>
      <c r="G1189">
        <v>15</v>
      </c>
      <c r="H1189">
        <v>5</v>
      </c>
      <c r="I1189">
        <f>Table9[[#This Row],[quantity]]*Table9[[#This Row],[unitPrice]]*(1-Table9[[#This Row],[discount]]/100)</f>
        <v>114</v>
      </c>
      <c r="J1189" t="str">
        <f>_xlfn.XLOOKUP(_xlfn.XLOOKUP(A1189,orders[orderID],orders[customerID],,0),customers__2[customerID],customers__2[companyName],,0)</f>
        <v>Ernst Handel</v>
      </c>
      <c r="K1189" t="str">
        <f>_xlfn.XLOOKUP(Table9[[#This Row],[Company Name]],customers__2[companyName],customers__2[country],,0)</f>
        <v>Austria</v>
      </c>
      <c r="L1189">
        <f>MONTH(Table9[[#This Row],[OrderDate ]])</f>
        <v>10</v>
      </c>
      <c r="M1189" t="str">
        <f>TEXT(Table9[[#This Row],[OrderDate ]],"mmm")</f>
        <v>Oct</v>
      </c>
      <c r="N1189">
        <f>YEAR(Table9[[#This Row],[OrderDate ]])</f>
        <v>2014</v>
      </c>
    </row>
    <row r="1190" spans="1:14" x14ac:dyDescent="0.3">
      <c r="A1190">
        <v>10699</v>
      </c>
      <c r="B1190" s="2">
        <f>_xlfn.XLOOKUP(Table9[[#This Row],[orderID]],orders[orderID],orders[orderDate],,0)</f>
        <v>41921</v>
      </c>
      <c r="C1190">
        <f>_xlfn.XLOOKUP(A1190,order_details[orderID],order_details[productID],,0)</f>
        <v>47</v>
      </c>
      <c r="D1190" t="str">
        <f>_xlfn.XLOOKUP(C1190,products[productID],products[productName],,0)</f>
        <v>Zaanse koeken</v>
      </c>
      <c r="E1190" t="str">
        <f>_xlfn.XLOOKUP(_xlfn.XLOOKUP(Table9[[#This Row],[ProductName ]],products[productName],products[categoryID],,0),categories[categoryID],categories[categoryName],,0)</f>
        <v>Confections</v>
      </c>
      <c r="F1190">
        <v>12</v>
      </c>
      <c r="G1190">
        <v>95</v>
      </c>
      <c r="H1190">
        <v>0</v>
      </c>
      <c r="I1190">
        <f>Table9[[#This Row],[quantity]]*Table9[[#This Row],[unitPrice]]*(1-Table9[[#This Row],[discount]]/100)</f>
        <v>1140</v>
      </c>
      <c r="J1190" t="str">
        <f>_xlfn.XLOOKUP(_xlfn.XLOOKUP(A1190,orders[orderID],orders[customerID],,0),customers__2[customerID],customers__2[companyName],,0)</f>
        <v>Morgenstern Gesundkost</v>
      </c>
      <c r="K1190" t="str">
        <f>_xlfn.XLOOKUP(Table9[[#This Row],[Company Name]],customers__2[companyName],customers__2[country],,0)</f>
        <v>Germany</v>
      </c>
      <c r="L1190">
        <f>MONTH(Table9[[#This Row],[OrderDate ]])</f>
        <v>10</v>
      </c>
      <c r="M1190" t="str">
        <f>TEXT(Table9[[#This Row],[OrderDate ]],"mmm")</f>
        <v>Oct</v>
      </c>
      <c r="N1190">
        <f>YEAR(Table9[[#This Row],[OrderDate ]])</f>
        <v>2014</v>
      </c>
    </row>
    <row r="1191" spans="1:14" x14ac:dyDescent="0.3">
      <c r="A1191">
        <v>10700</v>
      </c>
      <c r="B1191" s="2">
        <f>_xlfn.XLOOKUP(Table9[[#This Row],[orderID]],orders[orderID],orders[orderDate],,0)</f>
        <v>41922</v>
      </c>
      <c r="C1191">
        <f>_xlfn.XLOOKUP(A1191,order_details[orderID],order_details[productID],,0)</f>
        <v>1</v>
      </c>
      <c r="D1191" t="str">
        <f>_xlfn.XLOOKUP(C1191,products[productID],products[productName],,0)</f>
        <v>Chai</v>
      </c>
      <c r="E1191" t="str">
        <f>_xlfn.XLOOKUP(_xlfn.XLOOKUP(Table9[[#This Row],[ProductName ]],products[productName],products[categoryID],,0),categories[categoryID],categories[categoryName],,0)</f>
        <v>Beverages</v>
      </c>
      <c r="F1191">
        <v>5</v>
      </c>
      <c r="G1191">
        <v>18</v>
      </c>
      <c r="H1191">
        <v>2</v>
      </c>
      <c r="I1191">
        <f>Table9[[#This Row],[quantity]]*Table9[[#This Row],[unitPrice]]*(1-Table9[[#This Row],[discount]]/100)</f>
        <v>88.2</v>
      </c>
      <c r="J1191" t="str">
        <f>_xlfn.XLOOKUP(_xlfn.XLOOKUP(A1191,orders[orderID],orders[customerID],,0),customers__2[customerID],customers__2[companyName],,0)</f>
        <v>Save-a-lot Markets</v>
      </c>
      <c r="K1191" t="str">
        <f>_xlfn.XLOOKUP(Table9[[#This Row],[Company Name]],customers__2[companyName],customers__2[country],,0)</f>
        <v>USA</v>
      </c>
      <c r="L1191">
        <f>MONTH(Table9[[#This Row],[OrderDate ]])</f>
        <v>10</v>
      </c>
      <c r="M1191" t="str">
        <f>TEXT(Table9[[#This Row],[OrderDate ]],"mmm")</f>
        <v>Oct</v>
      </c>
      <c r="N1191">
        <f>YEAR(Table9[[#This Row],[OrderDate ]])</f>
        <v>2014</v>
      </c>
    </row>
    <row r="1192" spans="1:14" x14ac:dyDescent="0.3">
      <c r="A1192">
        <v>10700</v>
      </c>
      <c r="B1192" s="2">
        <f>_xlfn.XLOOKUP(Table9[[#This Row],[orderID]],orders[orderID],orders[orderDate],,0)</f>
        <v>41922</v>
      </c>
      <c r="C1192">
        <f>_xlfn.XLOOKUP(A1192,order_details[orderID],order_details[productID],,0)</f>
        <v>1</v>
      </c>
      <c r="D1192" t="str">
        <f>_xlfn.XLOOKUP(C1192,products[productID],products[productName],,0)</f>
        <v>Chai</v>
      </c>
      <c r="E1192" t="str">
        <f>_xlfn.XLOOKUP(_xlfn.XLOOKUP(Table9[[#This Row],[ProductName ]],products[productName],products[categoryID],,0),categories[categoryID],categories[categoryName],,0)</f>
        <v>Beverages</v>
      </c>
      <c r="F1192">
        <v>12</v>
      </c>
      <c r="G1192">
        <v>14</v>
      </c>
      <c r="H1192">
        <v>2</v>
      </c>
      <c r="I1192">
        <f>Table9[[#This Row],[quantity]]*Table9[[#This Row],[unitPrice]]*(1-Table9[[#This Row],[discount]]/100)</f>
        <v>164.64</v>
      </c>
      <c r="J1192" t="str">
        <f>_xlfn.XLOOKUP(_xlfn.XLOOKUP(A1192,orders[orderID],orders[customerID],,0),customers__2[customerID],customers__2[companyName],,0)</f>
        <v>Save-a-lot Markets</v>
      </c>
      <c r="K1192" t="str">
        <f>_xlfn.XLOOKUP(Table9[[#This Row],[Company Name]],customers__2[companyName],customers__2[country],,0)</f>
        <v>USA</v>
      </c>
      <c r="L1192">
        <f>MONTH(Table9[[#This Row],[OrderDate ]])</f>
        <v>10</v>
      </c>
      <c r="M1192" t="str">
        <f>TEXT(Table9[[#This Row],[OrderDate ]],"mmm")</f>
        <v>Oct</v>
      </c>
      <c r="N1192">
        <f>YEAR(Table9[[#This Row],[OrderDate ]])</f>
        <v>2014</v>
      </c>
    </row>
    <row r="1193" spans="1:14" x14ac:dyDescent="0.3">
      <c r="A1193">
        <v>10700</v>
      </c>
      <c r="B1193" s="2">
        <f>_xlfn.XLOOKUP(Table9[[#This Row],[orderID]],orders[orderID],orders[orderDate],,0)</f>
        <v>41922</v>
      </c>
      <c r="C1193">
        <f>_xlfn.XLOOKUP(A1193,order_details[orderID],order_details[productID],,0)</f>
        <v>1</v>
      </c>
      <c r="D1193" t="str">
        <f>_xlfn.XLOOKUP(C1193,products[productID],products[productName],,0)</f>
        <v>Chai</v>
      </c>
      <c r="E1193" t="str">
        <f>_xlfn.XLOOKUP(_xlfn.XLOOKUP(Table9[[#This Row],[ProductName ]],products[productName],products[categoryID],,0),categories[categoryID],categories[categoryName],,0)</f>
        <v>Beverages</v>
      </c>
      <c r="F1193">
        <v>40</v>
      </c>
      <c r="G1193">
        <v>125</v>
      </c>
      <c r="H1193">
        <v>2</v>
      </c>
      <c r="I1193">
        <f>Table9[[#This Row],[quantity]]*Table9[[#This Row],[unitPrice]]*(1-Table9[[#This Row],[discount]]/100)</f>
        <v>4900</v>
      </c>
      <c r="J1193" t="str">
        <f>_xlfn.XLOOKUP(_xlfn.XLOOKUP(A1193,orders[orderID],orders[customerID],,0),customers__2[customerID],customers__2[companyName],,0)</f>
        <v>Save-a-lot Markets</v>
      </c>
      <c r="K1193" t="str">
        <f>_xlfn.XLOOKUP(Table9[[#This Row],[Company Name]],customers__2[companyName],customers__2[country],,0)</f>
        <v>USA</v>
      </c>
      <c r="L1193">
        <f>MONTH(Table9[[#This Row],[OrderDate ]])</f>
        <v>10</v>
      </c>
      <c r="M1193" t="str">
        <f>TEXT(Table9[[#This Row],[OrderDate ]],"mmm")</f>
        <v>Oct</v>
      </c>
      <c r="N1193">
        <f>YEAR(Table9[[#This Row],[OrderDate ]])</f>
        <v>2014</v>
      </c>
    </row>
    <row r="1194" spans="1:14" x14ac:dyDescent="0.3">
      <c r="A1194">
        <v>10700</v>
      </c>
      <c r="B1194" s="2">
        <f>_xlfn.XLOOKUP(Table9[[#This Row],[orderID]],orders[orderID],orders[orderDate],,0)</f>
        <v>41922</v>
      </c>
      <c r="C1194">
        <f>_xlfn.XLOOKUP(A1194,order_details[orderID],order_details[productID],,0)</f>
        <v>1</v>
      </c>
      <c r="D1194" t="str">
        <f>_xlfn.XLOOKUP(C1194,products[productID],products[productName],,0)</f>
        <v>Chai</v>
      </c>
      <c r="E1194" t="str">
        <f>_xlfn.XLOOKUP(_xlfn.XLOOKUP(Table9[[#This Row],[ProductName ]],products[productName],products[categoryID],,0),categories[categoryID],categories[categoryName],,0)</f>
        <v>Beverages</v>
      </c>
      <c r="F1194">
        <v>60</v>
      </c>
      <c r="G1194">
        <v>215</v>
      </c>
      <c r="H1194">
        <v>2</v>
      </c>
      <c r="I1194">
        <f>Table9[[#This Row],[quantity]]*Table9[[#This Row],[unitPrice]]*(1-Table9[[#This Row],[discount]]/100)</f>
        <v>12642</v>
      </c>
      <c r="J1194" t="str">
        <f>_xlfn.XLOOKUP(_xlfn.XLOOKUP(A1194,orders[orderID],orders[customerID],,0),customers__2[customerID],customers__2[companyName],,0)</f>
        <v>Save-a-lot Markets</v>
      </c>
      <c r="K1194" t="str">
        <f>_xlfn.XLOOKUP(Table9[[#This Row],[Company Name]],customers__2[companyName],customers__2[country],,0)</f>
        <v>USA</v>
      </c>
      <c r="L1194">
        <f>MONTH(Table9[[#This Row],[OrderDate ]])</f>
        <v>10</v>
      </c>
      <c r="M1194" t="str">
        <f>TEXT(Table9[[#This Row],[OrderDate ]],"mmm")</f>
        <v>Oct</v>
      </c>
      <c r="N1194">
        <f>YEAR(Table9[[#This Row],[OrderDate ]])</f>
        <v>2014</v>
      </c>
    </row>
    <row r="1195" spans="1:14" x14ac:dyDescent="0.3">
      <c r="A1195">
        <v>10701</v>
      </c>
      <c r="B1195" s="2">
        <f>_xlfn.XLOOKUP(Table9[[#This Row],[orderID]],orders[orderID],orders[orderDate],,0)</f>
        <v>41925</v>
      </c>
      <c r="C1195">
        <f>_xlfn.XLOOKUP(A1195,order_details[orderID],order_details[productID],,0)</f>
        <v>59</v>
      </c>
      <c r="D1195" t="str">
        <f>_xlfn.XLOOKUP(C1195,products[productID],products[productName],,0)</f>
        <v>Raclette Courdavault</v>
      </c>
      <c r="E1195" t="str">
        <f>_xlfn.XLOOKUP(_xlfn.XLOOKUP(Table9[[#This Row],[ProductName ]],products[productName],products[categoryID],,0),categories[categoryID],categories[categoryName],,0)</f>
        <v>Dairy Products</v>
      </c>
      <c r="F1195">
        <v>42</v>
      </c>
      <c r="G1195">
        <v>55</v>
      </c>
      <c r="H1195">
        <v>15</v>
      </c>
      <c r="I1195">
        <f>Table9[[#This Row],[quantity]]*Table9[[#This Row],[unitPrice]]*(1-Table9[[#This Row],[discount]]/100)</f>
        <v>1963.5</v>
      </c>
      <c r="J1195" t="str">
        <f>_xlfn.XLOOKUP(_xlfn.XLOOKUP(A1195,orders[orderID],orders[customerID],,0),customers__2[customerID],customers__2[companyName],,0)</f>
        <v>Hungry Owl All-Night Grocers</v>
      </c>
      <c r="K1195" t="str">
        <f>_xlfn.XLOOKUP(Table9[[#This Row],[Company Name]],customers__2[companyName],customers__2[country],,0)</f>
        <v>Ireland</v>
      </c>
      <c r="L1195">
        <f>MONTH(Table9[[#This Row],[OrderDate ]])</f>
        <v>10</v>
      </c>
      <c r="M1195" t="str">
        <f>TEXT(Table9[[#This Row],[OrderDate ]],"mmm")</f>
        <v>Oct</v>
      </c>
      <c r="N1195">
        <f>YEAR(Table9[[#This Row],[OrderDate ]])</f>
        <v>2014</v>
      </c>
    </row>
    <row r="1196" spans="1:14" x14ac:dyDescent="0.3">
      <c r="A1196">
        <v>10701</v>
      </c>
      <c r="B1196" s="2">
        <f>_xlfn.XLOOKUP(Table9[[#This Row],[orderID]],orders[orderID],orders[orderDate],,0)</f>
        <v>41925</v>
      </c>
      <c r="C1196">
        <f>_xlfn.XLOOKUP(A1196,order_details[orderID],order_details[productID],,0)</f>
        <v>59</v>
      </c>
      <c r="D1196" t="str">
        <f>_xlfn.XLOOKUP(C1196,products[productID],products[productName],,0)</f>
        <v>Raclette Courdavault</v>
      </c>
      <c r="E1196" t="str">
        <f>_xlfn.XLOOKUP(_xlfn.XLOOKUP(Table9[[#This Row],[ProductName ]],products[productName],products[categoryID],,0),categories[categoryID],categories[categoryName],,0)</f>
        <v>Dairy Products</v>
      </c>
      <c r="F1196">
        <v>20</v>
      </c>
      <c r="G1196">
        <v>215</v>
      </c>
      <c r="H1196">
        <v>15</v>
      </c>
      <c r="I1196">
        <f>Table9[[#This Row],[quantity]]*Table9[[#This Row],[unitPrice]]*(1-Table9[[#This Row],[discount]]/100)</f>
        <v>3655</v>
      </c>
      <c r="J1196" t="str">
        <f>_xlfn.XLOOKUP(_xlfn.XLOOKUP(A1196,orders[orderID],orders[customerID],,0),customers__2[customerID],customers__2[companyName],,0)</f>
        <v>Hungry Owl All-Night Grocers</v>
      </c>
      <c r="K1196" t="str">
        <f>_xlfn.XLOOKUP(Table9[[#This Row],[Company Name]],customers__2[companyName],customers__2[country],,0)</f>
        <v>Ireland</v>
      </c>
      <c r="L1196">
        <f>MONTH(Table9[[#This Row],[OrderDate ]])</f>
        <v>10</v>
      </c>
      <c r="M1196" t="str">
        <f>TEXT(Table9[[#This Row],[OrderDate ]],"mmm")</f>
        <v>Oct</v>
      </c>
      <c r="N1196">
        <f>YEAR(Table9[[#This Row],[OrderDate ]])</f>
        <v>2014</v>
      </c>
    </row>
    <row r="1197" spans="1:14" x14ac:dyDescent="0.3">
      <c r="A1197">
        <v>10701</v>
      </c>
      <c r="B1197" s="2">
        <f>_xlfn.XLOOKUP(Table9[[#This Row],[orderID]],orders[orderID],orders[orderDate],,0)</f>
        <v>41925</v>
      </c>
      <c r="C1197">
        <f>_xlfn.XLOOKUP(A1197,order_details[orderID],order_details[productID],,0)</f>
        <v>59</v>
      </c>
      <c r="D1197" t="str">
        <f>_xlfn.XLOOKUP(C1197,products[productID],products[productName],,0)</f>
        <v>Raclette Courdavault</v>
      </c>
      <c r="E1197" t="str">
        <f>_xlfn.XLOOKUP(_xlfn.XLOOKUP(Table9[[#This Row],[ProductName ]],products[productName],products[categoryID],,0),categories[categoryID],categories[categoryName],,0)</f>
        <v>Dairy Products</v>
      </c>
      <c r="F1197">
        <v>35</v>
      </c>
      <c r="G1197">
        <v>18</v>
      </c>
      <c r="H1197">
        <v>15</v>
      </c>
      <c r="I1197">
        <f>Table9[[#This Row],[quantity]]*Table9[[#This Row],[unitPrice]]*(1-Table9[[#This Row],[discount]]/100)</f>
        <v>535.5</v>
      </c>
      <c r="J1197" t="str">
        <f>_xlfn.XLOOKUP(_xlfn.XLOOKUP(A1197,orders[orderID],orders[customerID],,0),customers__2[customerID],customers__2[companyName],,0)</f>
        <v>Hungry Owl All-Night Grocers</v>
      </c>
      <c r="K1197" t="str">
        <f>_xlfn.XLOOKUP(Table9[[#This Row],[Company Name]],customers__2[companyName],customers__2[country],,0)</f>
        <v>Ireland</v>
      </c>
      <c r="L1197">
        <f>MONTH(Table9[[#This Row],[OrderDate ]])</f>
        <v>10</v>
      </c>
      <c r="M1197" t="str">
        <f>TEXT(Table9[[#This Row],[OrderDate ]],"mmm")</f>
        <v>Oct</v>
      </c>
      <c r="N1197">
        <f>YEAR(Table9[[#This Row],[OrderDate ]])</f>
        <v>2014</v>
      </c>
    </row>
    <row r="1198" spans="1:14" x14ac:dyDescent="0.3">
      <c r="A1198">
        <v>10702</v>
      </c>
      <c r="B1198" s="2">
        <f>_xlfn.XLOOKUP(Table9[[#This Row],[orderID]],orders[orderID],orders[orderDate],,0)</f>
        <v>41925</v>
      </c>
      <c r="C1198">
        <f>_xlfn.XLOOKUP(A1198,order_details[orderID],order_details[productID],,0)</f>
        <v>3</v>
      </c>
      <c r="D1198" t="str">
        <f>_xlfn.XLOOKUP(C1198,products[productID],products[productName],,0)</f>
        <v>Aniseed Syrup</v>
      </c>
      <c r="E1198" t="str">
        <f>_xlfn.XLOOKUP(_xlfn.XLOOKUP(Table9[[#This Row],[ProductName ]],products[productName],products[categoryID],,0),categories[categoryID],categories[categoryName],,0)</f>
        <v>Condiments</v>
      </c>
      <c r="F1198">
        <v>6</v>
      </c>
      <c r="G1198">
        <v>10</v>
      </c>
      <c r="H1198">
        <v>0</v>
      </c>
      <c r="I1198">
        <f>Table9[[#This Row],[quantity]]*Table9[[#This Row],[unitPrice]]*(1-Table9[[#This Row],[discount]]/100)</f>
        <v>60</v>
      </c>
      <c r="J1198" t="str">
        <f>_xlfn.XLOOKUP(_xlfn.XLOOKUP(A1198,orders[orderID],orders[customerID],,0),customers__2[customerID],customers__2[companyName],,0)</f>
        <v>Alfreds Futterkiste</v>
      </c>
      <c r="K1198" t="str">
        <f>_xlfn.XLOOKUP(Table9[[#This Row],[Company Name]],customers__2[companyName],customers__2[country],,0)</f>
        <v>Germany</v>
      </c>
      <c r="L1198">
        <f>MONTH(Table9[[#This Row],[OrderDate ]])</f>
        <v>10</v>
      </c>
      <c r="M1198" t="str">
        <f>TEXT(Table9[[#This Row],[OrderDate ]],"mmm")</f>
        <v>Oct</v>
      </c>
      <c r="N1198">
        <f>YEAR(Table9[[#This Row],[OrderDate ]])</f>
        <v>2014</v>
      </c>
    </row>
    <row r="1199" spans="1:14" x14ac:dyDescent="0.3">
      <c r="A1199">
        <v>10702</v>
      </c>
      <c r="B1199" s="2">
        <f>_xlfn.XLOOKUP(Table9[[#This Row],[orderID]],orders[orderID],orders[orderDate],,0)</f>
        <v>41925</v>
      </c>
      <c r="C1199">
        <f>_xlfn.XLOOKUP(A1199,order_details[orderID],order_details[productID],,0)</f>
        <v>3</v>
      </c>
      <c r="D1199" t="str">
        <f>_xlfn.XLOOKUP(C1199,products[productID],products[productName],,0)</f>
        <v>Aniseed Syrup</v>
      </c>
      <c r="E1199" t="str">
        <f>_xlfn.XLOOKUP(_xlfn.XLOOKUP(Table9[[#This Row],[ProductName ]],products[productName],products[categoryID],,0),categories[categoryID],categories[categoryName],,0)</f>
        <v>Condiments</v>
      </c>
      <c r="F1199">
        <v>15</v>
      </c>
      <c r="G1199">
        <v>18</v>
      </c>
      <c r="H1199">
        <v>0</v>
      </c>
      <c r="I1199">
        <f>Table9[[#This Row],[quantity]]*Table9[[#This Row],[unitPrice]]*(1-Table9[[#This Row],[discount]]/100)</f>
        <v>270</v>
      </c>
      <c r="J1199" t="str">
        <f>_xlfn.XLOOKUP(_xlfn.XLOOKUP(A1199,orders[orderID],orders[customerID],,0),customers__2[customerID],customers__2[companyName],,0)</f>
        <v>Alfreds Futterkiste</v>
      </c>
      <c r="K1199" t="str">
        <f>_xlfn.XLOOKUP(Table9[[#This Row],[Company Name]],customers__2[companyName],customers__2[country],,0)</f>
        <v>Germany</v>
      </c>
      <c r="L1199">
        <f>MONTH(Table9[[#This Row],[OrderDate ]])</f>
        <v>10</v>
      </c>
      <c r="M1199" t="str">
        <f>TEXT(Table9[[#This Row],[OrderDate ]],"mmm")</f>
        <v>Oct</v>
      </c>
      <c r="N1199">
        <f>YEAR(Table9[[#This Row],[OrderDate ]])</f>
        <v>2014</v>
      </c>
    </row>
    <row r="1200" spans="1:14" x14ac:dyDescent="0.3">
      <c r="A1200">
        <v>10703</v>
      </c>
      <c r="B1200" s="2">
        <f>_xlfn.XLOOKUP(Table9[[#This Row],[orderID]],orders[orderID],orders[orderDate],,0)</f>
        <v>41926</v>
      </c>
      <c r="C1200">
        <f>_xlfn.XLOOKUP(A1200,order_details[orderID],order_details[productID],,0)</f>
        <v>2</v>
      </c>
      <c r="D1200" t="str">
        <f>_xlfn.XLOOKUP(C1200,products[productID],products[productName],,0)</f>
        <v>Chang</v>
      </c>
      <c r="E1200" t="str">
        <f>_xlfn.XLOOKUP(_xlfn.XLOOKUP(Table9[[#This Row],[ProductName ]],products[productName],products[categoryID],,0),categories[categoryID],categories[categoryName],,0)</f>
        <v>Beverages</v>
      </c>
      <c r="F1200">
        <v>5</v>
      </c>
      <c r="G1200">
        <v>19</v>
      </c>
      <c r="H1200">
        <v>0</v>
      </c>
      <c r="I1200">
        <f>Table9[[#This Row],[quantity]]*Table9[[#This Row],[unitPrice]]*(1-Table9[[#This Row],[discount]]/100)</f>
        <v>95</v>
      </c>
      <c r="J1200" t="str">
        <f>_xlfn.XLOOKUP(_xlfn.XLOOKUP(A1200,orders[orderID],orders[customerID],,0),customers__2[customerID],customers__2[companyName],,0)</f>
        <v>Folk och fä HB</v>
      </c>
      <c r="K1200" t="str">
        <f>_xlfn.XLOOKUP(Table9[[#This Row],[Company Name]],customers__2[companyName],customers__2[country],,0)</f>
        <v>Sweden</v>
      </c>
      <c r="L1200">
        <f>MONTH(Table9[[#This Row],[OrderDate ]])</f>
        <v>10</v>
      </c>
      <c r="M1200" t="str">
        <f>TEXT(Table9[[#This Row],[OrderDate ]],"mmm")</f>
        <v>Oct</v>
      </c>
      <c r="N1200">
        <f>YEAR(Table9[[#This Row],[OrderDate ]])</f>
        <v>2014</v>
      </c>
    </row>
    <row r="1201" spans="1:14" x14ac:dyDescent="0.3">
      <c r="A1201">
        <v>10703</v>
      </c>
      <c r="B1201" s="2">
        <f>_xlfn.XLOOKUP(Table9[[#This Row],[orderID]],orders[orderID],orders[orderDate],,0)</f>
        <v>41926</v>
      </c>
      <c r="C1201">
        <f>_xlfn.XLOOKUP(A1201,order_details[orderID],order_details[productID],,0)</f>
        <v>2</v>
      </c>
      <c r="D1201" t="str">
        <f>_xlfn.XLOOKUP(C1201,products[productID],products[productName],,0)</f>
        <v>Chang</v>
      </c>
      <c r="E1201" t="str">
        <f>_xlfn.XLOOKUP(_xlfn.XLOOKUP(Table9[[#This Row],[ProductName ]],products[productName],products[categoryID],,0),categories[categoryID],categories[categoryName],,0)</f>
        <v>Beverages</v>
      </c>
      <c r="F1201">
        <v>35</v>
      </c>
      <c r="G1201">
        <v>55</v>
      </c>
      <c r="H1201">
        <v>0</v>
      </c>
      <c r="I1201">
        <f>Table9[[#This Row],[quantity]]*Table9[[#This Row],[unitPrice]]*(1-Table9[[#This Row],[discount]]/100)</f>
        <v>1925</v>
      </c>
      <c r="J1201" t="str">
        <f>_xlfn.XLOOKUP(_xlfn.XLOOKUP(A1201,orders[orderID],orders[customerID],,0),customers__2[customerID],customers__2[companyName],,0)</f>
        <v>Folk och fä HB</v>
      </c>
      <c r="K1201" t="str">
        <f>_xlfn.XLOOKUP(Table9[[#This Row],[Company Name]],customers__2[companyName],customers__2[country],,0)</f>
        <v>Sweden</v>
      </c>
      <c r="L1201">
        <f>MONTH(Table9[[#This Row],[OrderDate ]])</f>
        <v>10</v>
      </c>
      <c r="M1201" t="str">
        <f>TEXT(Table9[[#This Row],[OrderDate ]],"mmm")</f>
        <v>Oct</v>
      </c>
      <c r="N1201">
        <f>YEAR(Table9[[#This Row],[OrderDate ]])</f>
        <v>2014</v>
      </c>
    </row>
    <row r="1202" spans="1:14" x14ac:dyDescent="0.3">
      <c r="A1202">
        <v>10703</v>
      </c>
      <c r="B1202" s="2">
        <f>_xlfn.XLOOKUP(Table9[[#This Row],[orderID]],orders[orderID],orders[orderDate],,0)</f>
        <v>41926</v>
      </c>
      <c r="C1202">
        <f>_xlfn.XLOOKUP(A1202,order_details[orderID],order_details[productID],,0)</f>
        <v>2</v>
      </c>
      <c r="D1202" t="str">
        <f>_xlfn.XLOOKUP(C1202,products[productID],products[productName],,0)</f>
        <v>Chang</v>
      </c>
      <c r="E1202" t="str">
        <f>_xlfn.XLOOKUP(_xlfn.XLOOKUP(Table9[[#This Row],[ProductName ]],products[productName],products[categoryID],,0),categories[categoryID],categories[categoryName],,0)</f>
        <v>Beverages</v>
      </c>
      <c r="F1202">
        <v>35</v>
      </c>
      <c r="G1202">
        <v>15</v>
      </c>
      <c r="H1202">
        <v>0</v>
      </c>
      <c r="I1202">
        <f>Table9[[#This Row],[quantity]]*Table9[[#This Row],[unitPrice]]*(1-Table9[[#This Row],[discount]]/100)</f>
        <v>525</v>
      </c>
      <c r="J1202" t="str">
        <f>_xlfn.XLOOKUP(_xlfn.XLOOKUP(A1202,orders[orderID],orders[customerID],,0),customers__2[customerID],customers__2[companyName],,0)</f>
        <v>Folk och fä HB</v>
      </c>
      <c r="K1202" t="str">
        <f>_xlfn.XLOOKUP(Table9[[#This Row],[Company Name]],customers__2[companyName],customers__2[country],,0)</f>
        <v>Sweden</v>
      </c>
      <c r="L1202">
        <f>MONTH(Table9[[#This Row],[OrderDate ]])</f>
        <v>10</v>
      </c>
      <c r="M1202" t="str">
        <f>TEXT(Table9[[#This Row],[OrderDate ]],"mmm")</f>
        <v>Oct</v>
      </c>
      <c r="N1202">
        <f>YEAR(Table9[[#This Row],[OrderDate ]])</f>
        <v>2014</v>
      </c>
    </row>
    <row r="1203" spans="1:14" x14ac:dyDescent="0.3">
      <c r="A1203">
        <v>10704</v>
      </c>
      <c r="B1203" s="2">
        <f>_xlfn.XLOOKUP(Table9[[#This Row],[orderID]],orders[orderID],orders[orderDate],,0)</f>
        <v>41926</v>
      </c>
      <c r="C1203">
        <f>_xlfn.XLOOKUP(A1203,order_details[orderID],order_details[productID],,0)</f>
        <v>4</v>
      </c>
      <c r="D1203" t="str">
        <f>_xlfn.XLOOKUP(C1203,products[productID],products[productName],,0)</f>
        <v>Chef Anton's Cajun Seasoning</v>
      </c>
      <c r="E1203" t="str">
        <f>_xlfn.XLOOKUP(_xlfn.XLOOKUP(Table9[[#This Row],[ProductName ]],products[productName],products[categoryID],,0),categories[categoryID],categories[categoryName],,0)</f>
        <v>Condiments</v>
      </c>
      <c r="F1203">
        <v>6</v>
      </c>
      <c r="G1203">
        <v>22</v>
      </c>
      <c r="H1203">
        <v>0</v>
      </c>
      <c r="I1203">
        <f>Table9[[#This Row],[quantity]]*Table9[[#This Row],[unitPrice]]*(1-Table9[[#This Row],[discount]]/100)</f>
        <v>132</v>
      </c>
      <c r="J1203" t="str">
        <f>_xlfn.XLOOKUP(_xlfn.XLOOKUP(A1203,orders[orderID],orders[customerID],,0),customers__2[customerID],customers__2[companyName],,0)</f>
        <v>Queen Cozinha</v>
      </c>
      <c r="K1203" t="str">
        <f>_xlfn.XLOOKUP(Table9[[#This Row],[Company Name]],customers__2[companyName],customers__2[country],,0)</f>
        <v>Brazil</v>
      </c>
      <c r="L1203">
        <f>MONTH(Table9[[#This Row],[OrderDate ]])</f>
        <v>10</v>
      </c>
      <c r="M1203" t="str">
        <f>TEXT(Table9[[#This Row],[OrderDate ]],"mmm")</f>
        <v>Oct</v>
      </c>
      <c r="N1203">
        <f>YEAR(Table9[[#This Row],[OrderDate ]])</f>
        <v>2014</v>
      </c>
    </row>
    <row r="1204" spans="1:14" x14ac:dyDescent="0.3">
      <c r="A1204">
        <v>10704</v>
      </c>
      <c r="B1204" s="2">
        <f>_xlfn.XLOOKUP(Table9[[#This Row],[orderID]],orders[orderID],orders[orderDate],,0)</f>
        <v>41926</v>
      </c>
      <c r="C1204">
        <f>_xlfn.XLOOKUP(A1204,order_details[orderID],order_details[productID],,0)</f>
        <v>4</v>
      </c>
      <c r="D1204" t="str">
        <f>_xlfn.XLOOKUP(C1204,products[productID],products[productName],,0)</f>
        <v>Chef Anton's Cajun Seasoning</v>
      </c>
      <c r="E1204" t="str">
        <f>_xlfn.XLOOKUP(_xlfn.XLOOKUP(Table9[[#This Row],[ProductName ]],products[productName],products[categoryID],,0),categories[categoryID],categories[categoryName],,0)</f>
        <v>Condiments</v>
      </c>
      <c r="F1204">
        <v>35</v>
      </c>
      <c r="G1204">
        <v>45</v>
      </c>
      <c r="H1204">
        <v>0</v>
      </c>
      <c r="I1204">
        <f>Table9[[#This Row],[quantity]]*Table9[[#This Row],[unitPrice]]*(1-Table9[[#This Row],[discount]]/100)</f>
        <v>1575</v>
      </c>
      <c r="J1204" t="str">
        <f>_xlfn.XLOOKUP(_xlfn.XLOOKUP(A1204,orders[orderID],orders[customerID],,0),customers__2[customerID],customers__2[companyName],,0)</f>
        <v>Queen Cozinha</v>
      </c>
      <c r="K1204" t="str">
        <f>_xlfn.XLOOKUP(Table9[[#This Row],[Company Name]],customers__2[companyName],customers__2[country],,0)</f>
        <v>Brazil</v>
      </c>
      <c r="L1204">
        <f>MONTH(Table9[[#This Row],[OrderDate ]])</f>
        <v>10</v>
      </c>
      <c r="M1204" t="str">
        <f>TEXT(Table9[[#This Row],[OrderDate ]],"mmm")</f>
        <v>Oct</v>
      </c>
      <c r="N1204">
        <f>YEAR(Table9[[#This Row],[OrderDate ]])</f>
        <v>2014</v>
      </c>
    </row>
    <row r="1205" spans="1:14" x14ac:dyDescent="0.3">
      <c r="A1205">
        <v>10704</v>
      </c>
      <c r="B1205" s="2">
        <f>_xlfn.XLOOKUP(Table9[[#This Row],[orderID]],orders[orderID],orders[orderDate],,0)</f>
        <v>41926</v>
      </c>
      <c r="C1205">
        <f>_xlfn.XLOOKUP(A1205,order_details[orderID],order_details[productID],,0)</f>
        <v>4</v>
      </c>
      <c r="D1205" t="str">
        <f>_xlfn.XLOOKUP(C1205,products[productID],products[productName],,0)</f>
        <v>Chef Anton's Cajun Seasoning</v>
      </c>
      <c r="E1205" t="str">
        <f>_xlfn.XLOOKUP(_xlfn.XLOOKUP(Table9[[#This Row],[ProductName ]],products[productName],products[categoryID],,0),categories[categoryID],categories[categoryName],,0)</f>
        <v>Condiments</v>
      </c>
      <c r="F1205">
        <v>24</v>
      </c>
      <c r="G1205">
        <v>1275</v>
      </c>
      <c r="H1205">
        <v>0</v>
      </c>
      <c r="I1205">
        <f>Table9[[#This Row],[quantity]]*Table9[[#This Row],[unitPrice]]*(1-Table9[[#This Row],[discount]]/100)</f>
        <v>30600</v>
      </c>
      <c r="J1205" t="str">
        <f>_xlfn.XLOOKUP(_xlfn.XLOOKUP(A1205,orders[orderID],orders[customerID],,0),customers__2[customerID],customers__2[companyName],,0)</f>
        <v>Queen Cozinha</v>
      </c>
      <c r="K1205" t="str">
        <f>_xlfn.XLOOKUP(Table9[[#This Row],[Company Name]],customers__2[companyName],customers__2[country],,0)</f>
        <v>Brazil</v>
      </c>
      <c r="L1205">
        <f>MONTH(Table9[[#This Row],[OrderDate ]])</f>
        <v>10</v>
      </c>
      <c r="M1205" t="str">
        <f>TEXT(Table9[[#This Row],[OrderDate ]],"mmm")</f>
        <v>Oct</v>
      </c>
      <c r="N1205">
        <f>YEAR(Table9[[#This Row],[OrderDate ]])</f>
        <v>2014</v>
      </c>
    </row>
    <row r="1206" spans="1:14" x14ac:dyDescent="0.3">
      <c r="A1206">
        <v>10705</v>
      </c>
      <c r="B1206" s="2">
        <f>_xlfn.XLOOKUP(Table9[[#This Row],[orderID]],orders[orderID],orders[orderDate],,0)</f>
        <v>41927</v>
      </c>
      <c r="C1206">
        <f>_xlfn.XLOOKUP(A1206,order_details[orderID],order_details[productID],,0)</f>
        <v>31</v>
      </c>
      <c r="D1206" t="str">
        <f>_xlfn.XLOOKUP(C1206,products[productID],products[productName],,0)</f>
        <v>Gorgonzola Telino</v>
      </c>
      <c r="E1206" t="str">
        <f>_xlfn.XLOOKUP(_xlfn.XLOOKUP(Table9[[#This Row],[ProductName ]],products[productName],products[categoryID],,0),categories[categoryID],categories[categoryName],,0)</f>
        <v>Dairy Products</v>
      </c>
      <c r="F1206">
        <v>20</v>
      </c>
      <c r="G1206">
        <v>125</v>
      </c>
      <c r="H1206">
        <v>0</v>
      </c>
      <c r="I1206">
        <f>Table9[[#This Row],[quantity]]*Table9[[#This Row],[unitPrice]]*(1-Table9[[#This Row],[discount]]/100)</f>
        <v>2500</v>
      </c>
      <c r="J1206" t="str">
        <f>_xlfn.XLOOKUP(_xlfn.XLOOKUP(A1206,orders[orderID],orders[customerID],,0),customers__2[customerID],customers__2[companyName],,0)</f>
        <v>HILARION-Abastos</v>
      </c>
      <c r="K1206" t="str">
        <f>_xlfn.XLOOKUP(Table9[[#This Row],[Company Name]],customers__2[companyName],customers__2[country],,0)</f>
        <v>Venezuela</v>
      </c>
      <c r="L1206">
        <f>MONTH(Table9[[#This Row],[OrderDate ]])</f>
        <v>10</v>
      </c>
      <c r="M1206" t="str">
        <f>TEXT(Table9[[#This Row],[OrderDate ]],"mmm")</f>
        <v>Oct</v>
      </c>
      <c r="N1206">
        <f>YEAR(Table9[[#This Row],[OrderDate ]])</f>
        <v>2014</v>
      </c>
    </row>
    <row r="1207" spans="1:14" x14ac:dyDescent="0.3">
      <c r="A1207">
        <v>10705</v>
      </c>
      <c r="B1207" s="2">
        <f>_xlfn.XLOOKUP(Table9[[#This Row],[orderID]],orders[orderID],orders[orderDate],,0)</f>
        <v>41927</v>
      </c>
      <c r="C1207">
        <f>_xlfn.XLOOKUP(A1207,order_details[orderID],order_details[productID],,0)</f>
        <v>31</v>
      </c>
      <c r="D1207" t="str">
        <f>_xlfn.XLOOKUP(C1207,products[productID],products[productName],,0)</f>
        <v>Gorgonzola Telino</v>
      </c>
      <c r="E1207" t="str">
        <f>_xlfn.XLOOKUP(_xlfn.XLOOKUP(Table9[[#This Row],[ProductName ]],products[productName],products[categoryID],,0),categories[categoryID],categories[categoryName],,0)</f>
        <v>Dairy Products</v>
      </c>
      <c r="F1207">
        <v>4</v>
      </c>
      <c r="G1207">
        <v>32</v>
      </c>
      <c r="H1207">
        <v>0</v>
      </c>
      <c r="I1207">
        <f>Table9[[#This Row],[quantity]]*Table9[[#This Row],[unitPrice]]*(1-Table9[[#This Row],[discount]]/100)</f>
        <v>128</v>
      </c>
      <c r="J1207" t="str">
        <f>_xlfn.XLOOKUP(_xlfn.XLOOKUP(A1207,orders[orderID],orders[customerID],,0),customers__2[customerID],customers__2[companyName],,0)</f>
        <v>HILARION-Abastos</v>
      </c>
      <c r="K1207" t="str">
        <f>_xlfn.XLOOKUP(Table9[[#This Row],[Company Name]],customers__2[companyName],customers__2[country],,0)</f>
        <v>Venezuela</v>
      </c>
      <c r="L1207">
        <f>MONTH(Table9[[#This Row],[OrderDate ]])</f>
        <v>10</v>
      </c>
      <c r="M1207" t="str">
        <f>TEXT(Table9[[#This Row],[OrderDate ]],"mmm")</f>
        <v>Oct</v>
      </c>
      <c r="N1207">
        <f>YEAR(Table9[[#This Row],[OrderDate ]])</f>
        <v>2014</v>
      </c>
    </row>
    <row r="1208" spans="1:14" x14ac:dyDescent="0.3">
      <c r="A1208">
        <v>10706</v>
      </c>
      <c r="B1208" s="2">
        <f>_xlfn.XLOOKUP(Table9[[#This Row],[orderID]],orders[orderID],orders[orderDate],,0)</f>
        <v>41928</v>
      </c>
      <c r="C1208">
        <f>_xlfn.XLOOKUP(A1208,order_details[orderID],order_details[productID],,0)</f>
        <v>16</v>
      </c>
      <c r="D1208" t="str">
        <f>_xlfn.XLOOKUP(C1208,products[productID],products[productName],,0)</f>
        <v>Pavlova</v>
      </c>
      <c r="E1208" t="str">
        <f>_xlfn.XLOOKUP(_xlfn.XLOOKUP(Table9[[#This Row],[ProductName ]],products[productName],products[categoryID],,0),categories[categoryID],categories[categoryName],,0)</f>
        <v>Confections</v>
      </c>
      <c r="F1208">
        <v>20</v>
      </c>
      <c r="G1208">
        <v>1745</v>
      </c>
      <c r="H1208">
        <v>0</v>
      </c>
      <c r="I1208">
        <f>Table9[[#This Row],[quantity]]*Table9[[#This Row],[unitPrice]]*(1-Table9[[#This Row],[discount]]/100)</f>
        <v>34900</v>
      </c>
      <c r="J1208" t="str">
        <f>_xlfn.XLOOKUP(_xlfn.XLOOKUP(A1208,orders[orderID],orders[customerID],,0),customers__2[customerID],customers__2[companyName],,0)</f>
        <v>Old World Delicatessen</v>
      </c>
      <c r="K1208" t="str">
        <f>_xlfn.XLOOKUP(Table9[[#This Row],[Company Name]],customers__2[companyName],customers__2[country],,0)</f>
        <v>USA</v>
      </c>
      <c r="L1208">
        <f>MONTH(Table9[[#This Row],[OrderDate ]])</f>
        <v>10</v>
      </c>
      <c r="M1208" t="str">
        <f>TEXT(Table9[[#This Row],[OrderDate ]],"mmm")</f>
        <v>Oct</v>
      </c>
      <c r="N1208">
        <f>YEAR(Table9[[#This Row],[OrderDate ]])</f>
        <v>2014</v>
      </c>
    </row>
    <row r="1209" spans="1:14" x14ac:dyDescent="0.3">
      <c r="A1209">
        <v>10706</v>
      </c>
      <c r="B1209" s="2">
        <f>_xlfn.XLOOKUP(Table9[[#This Row],[orderID]],orders[orderID],orders[orderDate],,0)</f>
        <v>41928</v>
      </c>
      <c r="C1209">
        <f>_xlfn.XLOOKUP(A1209,order_details[orderID],order_details[productID],,0)</f>
        <v>16</v>
      </c>
      <c r="D1209" t="str">
        <f>_xlfn.XLOOKUP(C1209,products[productID],products[productName],,0)</f>
        <v>Pavlova</v>
      </c>
      <c r="E1209" t="str">
        <f>_xlfn.XLOOKUP(_xlfn.XLOOKUP(Table9[[#This Row],[ProductName ]],products[productName],products[categoryID],,0),categories[categoryID],categories[categoryName],,0)</f>
        <v>Confections</v>
      </c>
      <c r="F1209">
        <v>24</v>
      </c>
      <c r="G1209">
        <v>46</v>
      </c>
      <c r="H1209">
        <v>0</v>
      </c>
      <c r="I1209">
        <f>Table9[[#This Row],[quantity]]*Table9[[#This Row],[unitPrice]]*(1-Table9[[#This Row],[discount]]/100)</f>
        <v>1104</v>
      </c>
      <c r="J1209" t="str">
        <f>_xlfn.XLOOKUP(_xlfn.XLOOKUP(A1209,orders[orderID],orders[customerID],,0),customers__2[customerID],customers__2[companyName],,0)</f>
        <v>Old World Delicatessen</v>
      </c>
      <c r="K1209" t="str">
        <f>_xlfn.XLOOKUP(Table9[[#This Row],[Company Name]],customers__2[companyName],customers__2[country],,0)</f>
        <v>USA</v>
      </c>
      <c r="L1209">
        <f>MONTH(Table9[[#This Row],[OrderDate ]])</f>
        <v>10</v>
      </c>
      <c r="M1209" t="str">
        <f>TEXT(Table9[[#This Row],[OrderDate ]],"mmm")</f>
        <v>Oct</v>
      </c>
      <c r="N1209">
        <f>YEAR(Table9[[#This Row],[OrderDate ]])</f>
        <v>2014</v>
      </c>
    </row>
    <row r="1210" spans="1:14" x14ac:dyDescent="0.3">
      <c r="A1210">
        <v>10706</v>
      </c>
      <c r="B1210" s="2">
        <f>_xlfn.XLOOKUP(Table9[[#This Row],[orderID]],orders[orderID],orders[orderDate],,0)</f>
        <v>41928</v>
      </c>
      <c r="C1210">
        <f>_xlfn.XLOOKUP(A1210,order_details[orderID],order_details[productID],,0)</f>
        <v>16</v>
      </c>
      <c r="D1210" t="str">
        <f>_xlfn.XLOOKUP(C1210,products[productID],products[productName],,0)</f>
        <v>Pavlova</v>
      </c>
      <c r="E1210" t="str">
        <f>_xlfn.XLOOKUP(_xlfn.XLOOKUP(Table9[[#This Row],[ProductName ]],products[productName],products[categoryID],,0),categories[categoryID],categories[categoryName],,0)</f>
        <v>Confections</v>
      </c>
      <c r="F1210">
        <v>8</v>
      </c>
      <c r="G1210">
        <v>55</v>
      </c>
      <c r="H1210">
        <v>0</v>
      </c>
      <c r="I1210">
        <f>Table9[[#This Row],[quantity]]*Table9[[#This Row],[unitPrice]]*(1-Table9[[#This Row],[discount]]/100)</f>
        <v>440</v>
      </c>
      <c r="J1210" t="str">
        <f>_xlfn.XLOOKUP(_xlfn.XLOOKUP(A1210,orders[orderID],orders[customerID],,0),customers__2[customerID],customers__2[companyName],,0)</f>
        <v>Old World Delicatessen</v>
      </c>
      <c r="K1210" t="str">
        <f>_xlfn.XLOOKUP(Table9[[#This Row],[Company Name]],customers__2[companyName],customers__2[country],,0)</f>
        <v>USA</v>
      </c>
      <c r="L1210">
        <f>MONTH(Table9[[#This Row],[OrderDate ]])</f>
        <v>10</v>
      </c>
      <c r="M1210" t="str">
        <f>TEXT(Table9[[#This Row],[OrderDate ]],"mmm")</f>
        <v>Oct</v>
      </c>
      <c r="N1210">
        <f>YEAR(Table9[[#This Row],[OrderDate ]])</f>
        <v>2014</v>
      </c>
    </row>
    <row r="1211" spans="1:14" x14ac:dyDescent="0.3">
      <c r="A1211">
        <v>10707</v>
      </c>
      <c r="B1211" s="2">
        <f>_xlfn.XLOOKUP(Table9[[#This Row],[orderID]],orders[orderID],orders[orderDate],,0)</f>
        <v>41928</v>
      </c>
      <c r="C1211">
        <f>_xlfn.XLOOKUP(A1211,order_details[orderID],order_details[productID],,0)</f>
        <v>55</v>
      </c>
      <c r="D1211" t="str">
        <f>_xlfn.XLOOKUP(C1211,products[productID],products[productName],,0)</f>
        <v>Pâté chinois</v>
      </c>
      <c r="E1211" t="str">
        <f>_xlfn.XLOOKUP(_xlfn.XLOOKUP(Table9[[#This Row],[ProductName ]],products[productName],products[categoryID],,0),categories[categoryID],categories[categoryName],,0)</f>
        <v>Meat &amp; Poultry</v>
      </c>
      <c r="F1211">
        <v>21</v>
      </c>
      <c r="G1211">
        <v>24</v>
      </c>
      <c r="H1211">
        <v>0</v>
      </c>
      <c r="I1211">
        <f>Table9[[#This Row],[quantity]]*Table9[[#This Row],[unitPrice]]*(1-Table9[[#This Row],[discount]]/100)</f>
        <v>504</v>
      </c>
      <c r="J1211" t="str">
        <f>_xlfn.XLOOKUP(_xlfn.XLOOKUP(A1211,orders[orderID],orders[customerID],,0),customers__2[customerID],customers__2[companyName],,0)</f>
        <v>Around the Horn</v>
      </c>
      <c r="K1211" t="str">
        <f>_xlfn.XLOOKUP(Table9[[#This Row],[Company Name]],customers__2[companyName],customers__2[country],,0)</f>
        <v>UK</v>
      </c>
      <c r="L1211">
        <f>MONTH(Table9[[#This Row],[OrderDate ]])</f>
        <v>10</v>
      </c>
      <c r="M1211" t="str">
        <f>TEXT(Table9[[#This Row],[OrderDate ]],"mmm")</f>
        <v>Oct</v>
      </c>
      <c r="N1211">
        <f>YEAR(Table9[[#This Row],[OrderDate ]])</f>
        <v>2014</v>
      </c>
    </row>
    <row r="1212" spans="1:14" x14ac:dyDescent="0.3">
      <c r="A1212">
        <v>10707</v>
      </c>
      <c r="B1212" s="2">
        <f>_xlfn.XLOOKUP(Table9[[#This Row],[orderID]],orders[orderID],orders[orderDate],,0)</f>
        <v>41928</v>
      </c>
      <c r="C1212">
        <f>_xlfn.XLOOKUP(A1212,order_details[orderID],order_details[productID],,0)</f>
        <v>55</v>
      </c>
      <c r="D1212" t="str">
        <f>_xlfn.XLOOKUP(C1212,products[productID],products[productName],,0)</f>
        <v>Pâté chinois</v>
      </c>
      <c r="E1212" t="str">
        <f>_xlfn.XLOOKUP(_xlfn.XLOOKUP(Table9[[#This Row],[ProductName ]],products[productName],products[categoryID],,0),categories[categoryID],categories[categoryName],,0)</f>
        <v>Meat &amp; Poultry</v>
      </c>
      <c r="F1212">
        <v>40</v>
      </c>
      <c r="G1212">
        <v>195</v>
      </c>
      <c r="H1212">
        <v>0</v>
      </c>
      <c r="I1212">
        <f>Table9[[#This Row],[quantity]]*Table9[[#This Row],[unitPrice]]*(1-Table9[[#This Row],[discount]]/100)</f>
        <v>7800</v>
      </c>
      <c r="J1212" t="str">
        <f>_xlfn.XLOOKUP(_xlfn.XLOOKUP(A1212,orders[orderID],orders[customerID],,0),customers__2[customerID],customers__2[companyName],,0)</f>
        <v>Around the Horn</v>
      </c>
      <c r="K1212" t="str">
        <f>_xlfn.XLOOKUP(Table9[[#This Row],[Company Name]],customers__2[companyName],customers__2[country],,0)</f>
        <v>UK</v>
      </c>
      <c r="L1212">
        <f>MONTH(Table9[[#This Row],[OrderDate ]])</f>
        <v>10</v>
      </c>
      <c r="M1212" t="str">
        <f>TEXT(Table9[[#This Row],[OrderDate ]],"mmm")</f>
        <v>Oct</v>
      </c>
      <c r="N1212">
        <f>YEAR(Table9[[#This Row],[OrderDate ]])</f>
        <v>2014</v>
      </c>
    </row>
    <row r="1213" spans="1:14" x14ac:dyDescent="0.3">
      <c r="A1213">
        <v>10707</v>
      </c>
      <c r="B1213" s="2">
        <f>_xlfn.XLOOKUP(Table9[[#This Row],[orderID]],orders[orderID],orders[orderDate],,0)</f>
        <v>41928</v>
      </c>
      <c r="C1213">
        <f>_xlfn.XLOOKUP(A1213,order_details[orderID],order_details[productID],,0)</f>
        <v>55</v>
      </c>
      <c r="D1213" t="str">
        <f>_xlfn.XLOOKUP(C1213,products[productID],products[productName],,0)</f>
        <v>Pâté chinois</v>
      </c>
      <c r="E1213" t="str">
        <f>_xlfn.XLOOKUP(_xlfn.XLOOKUP(Table9[[#This Row],[ProductName ]],products[productName],products[categoryID],,0),categories[categoryID],categories[categoryName],,0)</f>
        <v>Meat &amp; Poultry</v>
      </c>
      <c r="F1213">
        <v>28</v>
      </c>
      <c r="G1213">
        <v>15</v>
      </c>
      <c r="H1213">
        <v>15</v>
      </c>
      <c r="I1213">
        <f>Table9[[#This Row],[quantity]]*Table9[[#This Row],[unitPrice]]*(1-Table9[[#This Row],[discount]]/100)</f>
        <v>357</v>
      </c>
      <c r="J1213" t="str">
        <f>_xlfn.XLOOKUP(_xlfn.XLOOKUP(A1213,orders[orderID],orders[customerID],,0),customers__2[customerID],customers__2[companyName],,0)</f>
        <v>Around the Horn</v>
      </c>
      <c r="K1213" t="str">
        <f>_xlfn.XLOOKUP(Table9[[#This Row],[Company Name]],customers__2[companyName],customers__2[country],,0)</f>
        <v>UK</v>
      </c>
      <c r="L1213">
        <f>MONTH(Table9[[#This Row],[OrderDate ]])</f>
        <v>10</v>
      </c>
      <c r="M1213" t="str">
        <f>TEXT(Table9[[#This Row],[OrderDate ]],"mmm")</f>
        <v>Oct</v>
      </c>
      <c r="N1213">
        <f>YEAR(Table9[[#This Row],[OrderDate ]])</f>
        <v>2014</v>
      </c>
    </row>
    <row r="1214" spans="1:14" x14ac:dyDescent="0.3">
      <c r="A1214">
        <v>10708</v>
      </c>
      <c r="B1214" s="2">
        <f>_xlfn.XLOOKUP(Table9[[#This Row],[orderID]],orders[orderID],orders[orderDate],,0)</f>
        <v>41929</v>
      </c>
      <c r="C1214">
        <f>_xlfn.XLOOKUP(A1214,order_details[orderID],order_details[productID],,0)</f>
        <v>5</v>
      </c>
      <c r="D1214" t="str">
        <f>_xlfn.XLOOKUP(C1214,products[productID],products[productName],,0)</f>
        <v>Chef Anton's Gumbo Mix</v>
      </c>
      <c r="E1214" t="str">
        <f>_xlfn.XLOOKUP(_xlfn.XLOOKUP(Table9[[#This Row],[ProductName ]],products[productName],products[categoryID],,0),categories[categoryID],categories[categoryName],,0)</f>
        <v>Condiments</v>
      </c>
      <c r="F1214">
        <v>4</v>
      </c>
      <c r="G1214">
        <v>2135</v>
      </c>
      <c r="H1214">
        <v>0</v>
      </c>
      <c r="I1214">
        <f>Table9[[#This Row],[quantity]]*Table9[[#This Row],[unitPrice]]*(1-Table9[[#This Row],[discount]]/100)</f>
        <v>8540</v>
      </c>
      <c r="J1214" t="str">
        <f>_xlfn.XLOOKUP(_xlfn.XLOOKUP(A1214,orders[orderID],orders[customerID],,0),customers__2[customerID],customers__2[companyName],,0)</f>
        <v>The Big Cheese</v>
      </c>
      <c r="K1214" t="str">
        <f>_xlfn.XLOOKUP(Table9[[#This Row],[Company Name]],customers__2[companyName],customers__2[country],,0)</f>
        <v>USA</v>
      </c>
      <c r="L1214">
        <f>MONTH(Table9[[#This Row],[OrderDate ]])</f>
        <v>10</v>
      </c>
      <c r="M1214" t="str">
        <f>TEXT(Table9[[#This Row],[OrderDate ]],"mmm")</f>
        <v>Oct</v>
      </c>
      <c r="N1214">
        <f>YEAR(Table9[[#This Row],[OrderDate ]])</f>
        <v>2014</v>
      </c>
    </row>
    <row r="1215" spans="1:14" x14ac:dyDescent="0.3">
      <c r="A1215">
        <v>10708</v>
      </c>
      <c r="B1215" s="2">
        <f>_xlfn.XLOOKUP(Table9[[#This Row],[orderID]],orders[orderID],orders[orderDate],,0)</f>
        <v>41929</v>
      </c>
      <c r="C1215">
        <f>_xlfn.XLOOKUP(A1215,order_details[orderID],order_details[productID],,0)</f>
        <v>5</v>
      </c>
      <c r="D1215" t="str">
        <f>_xlfn.XLOOKUP(C1215,products[productID],products[productName],,0)</f>
        <v>Chef Anton's Gumbo Mix</v>
      </c>
      <c r="E1215" t="str">
        <f>_xlfn.XLOOKUP(_xlfn.XLOOKUP(Table9[[#This Row],[ProductName ]],products[productName],products[categoryID],,0),categories[categoryID],categories[categoryName],,0)</f>
        <v>Condiments</v>
      </c>
      <c r="F1215">
        <v>5</v>
      </c>
      <c r="G1215">
        <v>19</v>
      </c>
      <c r="H1215">
        <v>0</v>
      </c>
      <c r="I1215">
        <f>Table9[[#This Row],[quantity]]*Table9[[#This Row],[unitPrice]]*(1-Table9[[#This Row],[discount]]/100)</f>
        <v>95</v>
      </c>
      <c r="J1215" t="str">
        <f>_xlfn.XLOOKUP(_xlfn.XLOOKUP(A1215,orders[orderID],orders[customerID],,0),customers__2[customerID],customers__2[companyName],,0)</f>
        <v>The Big Cheese</v>
      </c>
      <c r="K1215" t="str">
        <f>_xlfn.XLOOKUP(Table9[[#This Row],[Company Name]],customers__2[companyName],customers__2[country],,0)</f>
        <v>USA</v>
      </c>
      <c r="L1215">
        <f>MONTH(Table9[[#This Row],[OrderDate ]])</f>
        <v>10</v>
      </c>
      <c r="M1215" t="str">
        <f>TEXT(Table9[[#This Row],[OrderDate ]],"mmm")</f>
        <v>Oct</v>
      </c>
      <c r="N1215">
        <f>YEAR(Table9[[#This Row],[OrderDate ]])</f>
        <v>2014</v>
      </c>
    </row>
    <row r="1216" spans="1:14" x14ac:dyDescent="0.3">
      <c r="A1216">
        <v>10709</v>
      </c>
      <c r="B1216" s="2">
        <f>_xlfn.XLOOKUP(Table9[[#This Row],[orderID]],orders[orderID],orders[orderDate],,0)</f>
        <v>41929</v>
      </c>
      <c r="C1216">
        <f>_xlfn.XLOOKUP(A1216,order_details[orderID],order_details[productID],,0)</f>
        <v>8</v>
      </c>
      <c r="D1216" t="str">
        <f>_xlfn.XLOOKUP(C1216,products[productID],products[productName],,0)</f>
        <v>Northwoods Cranberry Sauce</v>
      </c>
      <c r="E1216" t="str">
        <f>_xlfn.XLOOKUP(_xlfn.XLOOKUP(Table9[[#This Row],[ProductName ]],products[productName],products[categoryID],,0),categories[categoryID],categories[categoryName],,0)</f>
        <v>Condiments</v>
      </c>
      <c r="F1216">
        <v>40</v>
      </c>
      <c r="G1216">
        <v>40</v>
      </c>
      <c r="H1216">
        <v>0</v>
      </c>
      <c r="I1216">
        <f>Table9[[#This Row],[quantity]]*Table9[[#This Row],[unitPrice]]*(1-Table9[[#This Row],[discount]]/100)</f>
        <v>1600</v>
      </c>
      <c r="J1216" t="str">
        <f>_xlfn.XLOOKUP(_xlfn.XLOOKUP(A1216,orders[orderID],orders[customerID],,0),customers__2[customerID],customers__2[companyName],,0)</f>
        <v>Gourmet Lanchonetes</v>
      </c>
      <c r="K1216" t="str">
        <f>_xlfn.XLOOKUP(Table9[[#This Row],[Company Name]],customers__2[companyName],customers__2[country],,0)</f>
        <v>Brazil</v>
      </c>
      <c r="L1216">
        <f>MONTH(Table9[[#This Row],[OrderDate ]])</f>
        <v>10</v>
      </c>
      <c r="M1216" t="str">
        <f>TEXT(Table9[[#This Row],[OrderDate ]],"mmm")</f>
        <v>Oct</v>
      </c>
      <c r="N1216">
        <f>YEAR(Table9[[#This Row],[OrderDate ]])</f>
        <v>2014</v>
      </c>
    </row>
    <row r="1217" spans="1:14" x14ac:dyDescent="0.3">
      <c r="A1217">
        <v>10709</v>
      </c>
      <c r="B1217" s="2">
        <f>_xlfn.XLOOKUP(Table9[[#This Row],[orderID]],orders[orderID],orders[orderDate],,0)</f>
        <v>41929</v>
      </c>
      <c r="C1217">
        <f>_xlfn.XLOOKUP(A1217,order_details[orderID],order_details[productID],,0)</f>
        <v>8</v>
      </c>
      <c r="D1217" t="str">
        <f>_xlfn.XLOOKUP(C1217,products[productID],products[productName],,0)</f>
        <v>Northwoods Cranberry Sauce</v>
      </c>
      <c r="E1217" t="str">
        <f>_xlfn.XLOOKUP(_xlfn.XLOOKUP(Table9[[#This Row],[ProductName ]],products[productName],products[categoryID],,0),categories[categoryID],categories[categoryName],,0)</f>
        <v>Condiments</v>
      </c>
      <c r="F1217">
        <v>28</v>
      </c>
      <c r="G1217">
        <v>53</v>
      </c>
      <c r="H1217">
        <v>0</v>
      </c>
      <c r="I1217">
        <f>Table9[[#This Row],[quantity]]*Table9[[#This Row],[unitPrice]]*(1-Table9[[#This Row],[discount]]/100)</f>
        <v>1484</v>
      </c>
      <c r="J1217" t="str">
        <f>_xlfn.XLOOKUP(_xlfn.XLOOKUP(A1217,orders[orderID],orders[customerID],,0),customers__2[customerID],customers__2[companyName],,0)</f>
        <v>Gourmet Lanchonetes</v>
      </c>
      <c r="K1217" t="str">
        <f>_xlfn.XLOOKUP(Table9[[#This Row],[Company Name]],customers__2[companyName],customers__2[country],,0)</f>
        <v>Brazil</v>
      </c>
      <c r="L1217">
        <f>MONTH(Table9[[#This Row],[OrderDate ]])</f>
        <v>10</v>
      </c>
      <c r="M1217" t="str">
        <f>TEXT(Table9[[#This Row],[OrderDate ]],"mmm")</f>
        <v>Oct</v>
      </c>
      <c r="N1217">
        <f>YEAR(Table9[[#This Row],[OrderDate ]])</f>
        <v>2014</v>
      </c>
    </row>
    <row r="1218" spans="1:14" x14ac:dyDescent="0.3">
      <c r="A1218">
        <v>10709</v>
      </c>
      <c r="B1218" s="2">
        <f>_xlfn.XLOOKUP(Table9[[#This Row],[orderID]],orders[orderID],orders[orderDate],,0)</f>
        <v>41929</v>
      </c>
      <c r="C1218">
        <f>_xlfn.XLOOKUP(A1218,order_details[orderID],order_details[productID],,0)</f>
        <v>8</v>
      </c>
      <c r="D1218" t="str">
        <f>_xlfn.XLOOKUP(C1218,products[productID],products[productName],,0)</f>
        <v>Northwoods Cranberry Sauce</v>
      </c>
      <c r="E1218" t="str">
        <f>_xlfn.XLOOKUP(_xlfn.XLOOKUP(Table9[[#This Row],[ProductName ]],products[productName],products[categoryID],,0),categories[categoryID],categories[categoryName],,0)</f>
        <v>Condiments</v>
      </c>
      <c r="F1218">
        <v>10</v>
      </c>
      <c r="G1218">
        <v>34</v>
      </c>
      <c r="H1218">
        <v>0</v>
      </c>
      <c r="I1218">
        <f>Table9[[#This Row],[quantity]]*Table9[[#This Row],[unitPrice]]*(1-Table9[[#This Row],[discount]]/100)</f>
        <v>340</v>
      </c>
      <c r="J1218" t="str">
        <f>_xlfn.XLOOKUP(_xlfn.XLOOKUP(A1218,orders[orderID],orders[customerID],,0),customers__2[customerID],customers__2[companyName],,0)</f>
        <v>Gourmet Lanchonetes</v>
      </c>
      <c r="K1218" t="str">
        <f>_xlfn.XLOOKUP(Table9[[#This Row],[Company Name]],customers__2[companyName],customers__2[country],,0)</f>
        <v>Brazil</v>
      </c>
      <c r="L1218">
        <f>MONTH(Table9[[#This Row],[OrderDate ]])</f>
        <v>10</v>
      </c>
      <c r="M1218" t="str">
        <f>TEXT(Table9[[#This Row],[OrderDate ]],"mmm")</f>
        <v>Oct</v>
      </c>
      <c r="N1218">
        <f>YEAR(Table9[[#This Row],[OrderDate ]])</f>
        <v>2014</v>
      </c>
    </row>
    <row r="1219" spans="1:14" x14ac:dyDescent="0.3">
      <c r="A1219">
        <v>10710</v>
      </c>
      <c r="B1219" s="2">
        <f>_xlfn.XLOOKUP(Table9[[#This Row],[orderID]],orders[orderID],orders[orderDate],,0)</f>
        <v>41932</v>
      </c>
      <c r="C1219">
        <f>_xlfn.XLOOKUP(A1219,order_details[orderID],order_details[productID],,0)</f>
        <v>19</v>
      </c>
      <c r="D1219" t="str">
        <f>_xlfn.XLOOKUP(C1219,products[productID],products[productName],,0)</f>
        <v>Teatime Chocolate Biscuits</v>
      </c>
      <c r="E1219" t="str">
        <f>_xlfn.XLOOKUP(_xlfn.XLOOKUP(Table9[[#This Row],[ProductName ]],products[productName],products[categoryID],,0),categories[categoryID],categories[categoryName],,0)</f>
        <v>Confections</v>
      </c>
      <c r="F1219">
        <v>5</v>
      </c>
      <c r="G1219">
        <v>92</v>
      </c>
      <c r="H1219">
        <v>0</v>
      </c>
      <c r="I1219">
        <f>Table9[[#This Row],[quantity]]*Table9[[#This Row],[unitPrice]]*(1-Table9[[#This Row],[discount]]/100)</f>
        <v>460</v>
      </c>
      <c r="J1219" t="str">
        <f>_xlfn.XLOOKUP(_xlfn.XLOOKUP(A1219,orders[orderID],orders[customerID],,0),customers__2[customerID],customers__2[companyName],,0)</f>
        <v>Franchi S.p.A.</v>
      </c>
      <c r="K1219" t="str">
        <f>_xlfn.XLOOKUP(Table9[[#This Row],[Company Name]],customers__2[companyName],customers__2[country],,0)</f>
        <v>Italy</v>
      </c>
      <c r="L1219">
        <f>MONTH(Table9[[#This Row],[OrderDate ]])</f>
        <v>10</v>
      </c>
      <c r="M1219" t="str">
        <f>TEXT(Table9[[#This Row],[OrderDate ]],"mmm")</f>
        <v>Oct</v>
      </c>
      <c r="N1219">
        <f>YEAR(Table9[[#This Row],[OrderDate ]])</f>
        <v>2014</v>
      </c>
    </row>
    <row r="1220" spans="1:14" x14ac:dyDescent="0.3">
      <c r="A1220">
        <v>10710</v>
      </c>
      <c r="B1220" s="2">
        <f>_xlfn.XLOOKUP(Table9[[#This Row],[orderID]],orders[orderID],orders[orderDate],,0)</f>
        <v>41932</v>
      </c>
      <c r="C1220">
        <f>_xlfn.XLOOKUP(A1220,order_details[orderID],order_details[productID],,0)</f>
        <v>19</v>
      </c>
      <c r="D1220" t="str">
        <f>_xlfn.XLOOKUP(C1220,products[productID],products[productName],,0)</f>
        <v>Teatime Chocolate Biscuits</v>
      </c>
      <c r="E1220" t="str">
        <f>_xlfn.XLOOKUP(_xlfn.XLOOKUP(Table9[[#This Row],[ProductName ]],products[productName],products[categoryID],,0),categories[categoryID],categories[categoryName],,0)</f>
        <v>Confections</v>
      </c>
      <c r="F1220">
        <v>5</v>
      </c>
      <c r="G1220">
        <v>95</v>
      </c>
      <c r="H1220">
        <v>0</v>
      </c>
      <c r="I1220">
        <f>Table9[[#This Row],[quantity]]*Table9[[#This Row],[unitPrice]]*(1-Table9[[#This Row],[discount]]/100)</f>
        <v>475</v>
      </c>
      <c r="J1220" t="str">
        <f>_xlfn.XLOOKUP(_xlfn.XLOOKUP(A1220,orders[orderID],orders[customerID],,0),customers__2[customerID],customers__2[companyName],,0)</f>
        <v>Franchi S.p.A.</v>
      </c>
      <c r="K1220" t="str">
        <f>_xlfn.XLOOKUP(Table9[[#This Row],[Company Name]],customers__2[companyName],customers__2[country],,0)</f>
        <v>Italy</v>
      </c>
      <c r="L1220">
        <f>MONTH(Table9[[#This Row],[OrderDate ]])</f>
        <v>10</v>
      </c>
      <c r="M1220" t="str">
        <f>TEXT(Table9[[#This Row],[OrderDate ]],"mmm")</f>
        <v>Oct</v>
      </c>
      <c r="N1220">
        <f>YEAR(Table9[[#This Row],[OrderDate ]])</f>
        <v>2014</v>
      </c>
    </row>
    <row r="1221" spans="1:14" x14ac:dyDescent="0.3">
      <c r="A1221">
        <v>10711</v>
      </c>
      <c r="B1221" s="2">
        <f>_xlfn.XLOOKUP(Table9[[#This Row],[orderID]],orders[orderID],orders[orderDate],,0)</f>
        <v>41933</v>
      </c>
      <c r="C1221">
        <f>_xlfn.XLOOKUP(A1221,order_details[orderID],order_details[productID],,0)</f>
        <v>19</v>
      </c>
      <c r="D1221" t="str">
        <f>_xlfn.XLOOKUP(C1221,products[productID],products[productName],,0)</f>
        <v>Teatime Chocolate Biscuits</v>
      </c>
      <c r="E1221" t="str">
        <f>_xlfn.XLOOKUP(_xlfn.XLOOKUP(Table9[[#This Row],[ProductName ]],products[productName],products[categoryID],,0),categories[categoryID],categories[categoryName],,0)</f>
        <v>Confections</v>
      </c>
      <c r="F1221">
        <v>12</v>
      </c>
      <c r="G1221">
        <v>92</v>
      </c>
      <c r="H1221">
        <v>0</v>
      </c>
      <c r="I1221">
        <f>Table9[[#This Row],[quantity]]*Table9[[#This Row],[unitPrice]]*(1-Table9[[#This Row],[discount]]/100)</f>
        <v>1104</v>
      </c>
      <c r="J1221" t="str">
        <f>_xlfn.XLOOKUP(_xlfn.XLOOKUP(A1221,orders[orderID],orders[customerID],,0),customers__2[customerID],customers__2[companyName],,0)</f>
        <v>Save-a-lot Markets</v>
      </c>
      <c r="K1221" t="str">
        <f>_xlfn.XLOOKUP(Table9[[#This Row],[Company Name]],customers__2[companyName],customers__2[country],,0)</f>
        <v>USA</v>
      </c>
      <c r="L1221">
        <f>MONTH(Table9[[#This Row],[OrderDate ]])</f>
        <v>10</v>
      </c>
      <c r="M1221" t="str">
        <f>TEXT(Table9[[#This Row],[OrderDate ]],"mmm")</f>
        <v>Oct</v>
      </c>
      <c r="N1221">
        <f>YEAR(Table9[[#This Row],[OrderDate ]])</f>
        <v>2014</v>
      </c>
    </row>
    <row r="1222" spans="1:14" x14ac:dyDescent="0.3">
      <c r="A1222">
        <v>10711</v>
      </c>
      <c r="B1222" s="2">
        <f>_xlfn.XLOOKUP(Table9[[#This Row],[orderID]],orders[orderID],orders[orderDate],,0)</f>
        <v>41933</v>
      </c>
      <c r="C1222">
        <f>_xlfn.XLOOKUP(A1222,order_details[orderID],order_details[productID],,0)</f>
        <v>19</v>
      </c>
      <c r="D1222" t="str">
        <f>_xlfn.XLOOKUP(C1222,products[productID],products[productName],,0)</f>
        <v>Teatime Chocolate Biscuits</v>
      </c>
      <c r="E1222" t="str">
        <f>_xlfn.XLOOKUP(_xlfn.XLOOKUP(Table9[[#This Row],[ProductName ]],products[productName],products[categoryID],,0),categories[categoryID],categories[categoryName],,0)</f>
        <v>Confections</v>
      </c>
      <c r="F1222">
        <v>42</v>
      </c>
      <c r="G1222">
        <v>965</v>
      </c>
      <c r="H1222">
        <v>0</v>
      </c>
      <c r="I1222">
        <f>Table9[[#This Row],[quantity]]*Table9[[#This Row],[unitPrice]]*(1-Table9[[#This Row],[discount]]/100)</f>
        <v>40530</v>
      </c>
      <c r="J1222" t="str">
        <f>_xlfn.XLOOKUP(_xlfn.XLOOKUP(A1222,orders[orderID],orders[customerID],,0),customers__2[customerID],customers__2[companyName],,0)</f>
        <v>Save-a-lot Markets</v>
      </c>
      <c r="K1222" t="str">
        <f>_xlfn.XLOOKUP(Table9[[#This Row],[Company Name]],customers__2[companyName],customers__2[country],,0)</f>
        <v>USA</v>
      </c>
      <c r="L1222">
        <f>MONTH(Table9[[#This Row],[OrderDate ]])</f>
        <v>10</v>
      </c>
      <c r="M1222" t="str">
        <f>TEXT(Table9[[#This Row],[OrderDate ]],"mmm")</f>
        <v>Oct</v>
      </c>
      <c r="N1222">
        <f>YEAR(Table9[[#This Row],[OrderDate ]])</f>
        <v>2014</v>
      </c>
    </row>
    <row r="1223" spans="1:14" x14ac:dyDescent="0.3">
      <c r="A1223">
        <v>10711</v>
      </c>
      <c r="B1223" s="2">
        <f>_xlfn.XLOOKUP(Table9[[#This Row],[orderID]],orders[orderID],orders[orderDate],,0)</f>
        <v>41933</v>
      </c>
      <c r="C1223">
        <f>_xlfn.XLOOKUP(A1223,order_details[orderID],order_details[productID],,0)</f>
        <v>19</v>
      </c>
      <c r="D1223" t="str">
        <f>_xlfn.XLOOKUP(C1223,products[productID],products[productName],,0)</f>
        <v>Teatime Chocolate Biscuits</v>
      </c>
      <c r="E1223" t="str">
        <f>_xlfn.XLOOKUP(_xlfn.XLOOKUP(Table9[[#This Row],[ProductName ]],products[productName],products[categoryID],,0),categories[categoryID],categories[categoryName],,0)</f>
        <v>Confections</v>
      </c>
      <c r="F1223">
        <v>120</v>
      </c>
      <c r="G1223">
        <v>328</v>
      </c>
      <c r="H1223">
        <v>0</v>
      </c>
      <c r="I1223">
        <f>Table9[[#This Row],[quantity]]*Table9[[#This Row],[unitPrice]]*(1-Table9[[#This Row],[discount]]/100)</f>
        <v>39360</v>
      </c>
      <c r="J1223" t="str">
        <f>_xlfn.XLOOKUP(_xlfn.XLOOKUP(A1223,orders[orderID],orders[customerID],,0),customers__2[customerID],customers__2[companyName],,0)</f>
        <v>Save-a-lot Markets</v>
      </c>
      <c r="K1223" t="str">
        <f>_xlfn.XLOOKUP(Table9[[#This Row],[Company Name]],customers__2[companyName],customers__2[country],,0)</f>
        <v>USA</v>
      </c>
      <c r="L1223">
        <f>MONTH(Table9[[#This Row],[OrderDate ]])</f>
        <v>10</v>
      </c>
      <c r="M1223" t="str">
        <f>TEXT(Table9[[#This Row],[OrderDate ]],"mmm")</f>
        <v>Oct</v>
      </c>
      <c r="N1223">
        <f>YEAR(Table9[[#This Row],[OrderDate ]])</f>
        <v>2014</v>
      </c>
    </row>
    <row r="1224" spans="1:14" x14ac:dyDescent="0.3">
      <c r="A1224">
        <v>10712</v>
      </c>
      <c r="B1224" s="2">
        <f>_xlfn.XLOOKUP(Table9[[#This Row],[orderID]],orders[orderID],orders[orderDate],,0)</f>
        <v>41933</v>
      </c>
      <c r="C1224">
        <f>_xlfn.XLOOKUP(A1224,order_details[orderID],order_details[productID],,0)</f>
        <v>53</v>
      </c>
      <c r="D1224" t="str">
        <f>_xlfn.XLOOKUP(C1224,products[productID],products[productName],,0)</f>
        <v>Perth Pasties</v>
      </c>
      <c r="E1224" t="str">
        <f>_xlfn.XLOOKUP(_xlfn.XLOOKUP(Table9[[#This Row],[ProductName ]],products[productName],products[categoryID],,0),categories[categoryID],categories[categoryName],,0)</f>
        <v>Meat &amp; Poultry</v>
      </c>
      <c r="F1224">
        <v>3</v>
      </c>
      <c r="G1224">
        <v>328</v>
      </c>
      <c r="H1224">
        <v>5</v>
      </c>
      <c r="I1224">
        <f>Table9[[#This Row],[quantity]]*Table9[[#This Row],[unitPrice]]*(1-Table9[[#This Row],[discount]]/100)</f>
        <v>934.8</v>
      </c>
      <c r="J1224" t="str">
        <f>_xlfn.XLOOKUP(_xlfn.XLOOKUP(A1224,orders[orderID],orders[customerID],,0),customers__2[customerID],customers__2[companyName],,0)</f>
        <v>Hungry Owl All-Night Grocers</v>
      </c>
      <c r="K1224" t="str">
        <f>_xlfn.XLOOKUP(Table9[[#This Row],[Company Name]],customers__2[companyName],customers__2[country],,0)</f>
        <v>Ireland</v>
      </c>
      <c r="L1224">
        <f>MONTH(Table9[[#This Row],[OrderDate ]])</f>
        <v>10</v>
      </c>
      <c r="M1224" t="str">
        <f>TEXT(Table9[[#This Row],[OrderDate ]],"mmm")</f>
        <v>Oct</v>
      </c>
      <c r="N1224">
        <f>YEAR(Table9[[#This Row],[OrderDate ]])</f>
        <v>2014</v>
      </c>
    </row>
    <row r="1225" spans="1:14" x14ac:dyDescent="0.3">
      <c r="A1225">
        <v>10712</v>
      </c>
      <c r="B1225" s="2">
        <f>_xlfn.XLOOKUP(Table9[[#This Row],[orderID]],orders[orderID],orders[orderDate],,0)</f>
        <v>41933</v>
      </c>
      <c r="C1225">
        <f>_xlfn.XLOOKUP(A1225,order_details[orderID],order_details[productID],,0)</f>
        <v>53</v>
      </c>
      <c r="D1225" t="str">
        <f>_xlfn.XLOOKUP(C1225,products[productID],products[productName],,0)</f>
        <v>Perth Pasties</v>
      </c>
      <c r="E1225" t="str">
        <f>_xlfn.XLOOKUP(_xlfn.XLOOKUP(Table9[[#This Row],[ProductName ]],products[productName],products[categoryID],,0),categories[categoryID],categories[categoryName],,0)</f>
        <v>Meat &amp; Poultry</v>
      </c>
      <c r="F1225">
        <v>30</v>
      </c>
      <c r="G1225">
        <v>38</v>
      </c>
      <c r="H1225">
        <v>0</v>
      </c>
      <c r="I1225">
        <f>Table9[[#This Row],[quantity]]*Table9[[#This Row],[unitPrice]]*(1-Table9[[#This Row],[discount]]/100)</f>
        <v>1140</v>
      </c>
      <c r="J1225" t="str">
        <f>_xlfn.XLOOKUP(_xlfn.XLOOKUP(A1225,orders[orderID],orders[customerID],,0),customers__2[customerID],customers__2[companyName],,0)</f>
        <v>Hungry Owl All-Night Grocers</v>
      </c>
      <c r="K1225" t="str">
        <f>_xlfn.XLOOKUP(Table9[[#This Row],[Company Name]],customers__2[companyName],customers__2[country],,0)</f>
        <v>Ireland</v>
      </c>
      <c r="L1225">
        <f>MONTH(Table9[[#This Row],[OrderDate ]])</f>
        <v>10</v>
      </c>
      <c r="M1225" t="str">
        <f>TEXT(Table9[[#This Row],[OrderDate ]],"mmm")</f>
        <v>Oct</v>
      </c>
      <c r="N1225">
        <f>YEAR(Table9[[#This Row],[OrderDate ]])</f>
        <v>2014</v>
      </c>
    </row>
    <row r="1226" spans="1:14" x14ac:dyDescent="0.3">
      <c r="A1226">
        <v>10713</v>
      </c>
      <c r="B1226" s="2">
        <f>_xlfn.XLOOKUP(Table9[[#This Row],[orderID]],orders[orderID],orders[orderDate],,0)</f>
        <v>41934</v>
      </c>
      <c r="C1226">
        <f>_xlfn.XLOOKUP(A1226,order_details[orderID],order_details[productID],,0)</f>
        <v>10</v>
      </c>
      <c r="D1226" t="str">
        <f>_xlfn.XLOOKUP(C1226,products[productID],products[productName],,0)</f>
        <v>Ikura</v>
      </c>
      <c r="E1226" t="str">
        <f>_xlfn.XLOOKUP(_xlfn.XLOOKUP(Table9[[#This Row],[ProductName ]],products[productName],products[categoryID],,0),categories[categoryID],categories[categoryName],,0)</f>
        <v>Seafood</v>
      </c>
      <c r="F1226">
        <v>18</v>
      </c>
      <c r="G1226">
        <v>31</v>
      </c>
      <c r="H1226">
        <v>0</v>
      </c>
      <c r="I1226">
        <f>Table9[[#This Row],[quantity]]*Table9[[#This Row],[unitPrice]]*(1-Table9[[#This Row],[discount]]/100)</f>
        <v>558</v>
      </c>
      <c r="J1226" t="str">
        <f>_xlfn.XLOOKUP(_xlfn.XLOOKUP(A1226,orders[orderID],orders[customerID],,0),customers__2[customerID],customers__2[companyName],,0)</f>
        <v>Save-a-lot Markets</v>
      </c>
      <c r="K1226" t="str">
        <f>_xlfn.XLOOKUP(Table9[[#This Row],[Company Name]],customers__2[companyName],customers__2[country],,0)</f>
        <v>USA</v>
      </c>
      <c r="L1226">
        <f>MONTH(Table9[[#This Row],[OrderDate ]])</f>
        <v>10</v>
      </c>
      <c r="M1226" t="str">
        <f>TEXT(Table9[[#This Row],[OrderDate ]],"mmm")</f>
        <v>Oct</v>
      </c>
      <c r="N1226">
        <f>YEAR(Table9[[#This Row],[OrderDate ]])</f>
        <v>2014</v>
      </c>
    </row>
    <row r="1227" spans="1:14" x14ac:dyDescent="0.3">
      <c r="A1227">
        <v>10713</v>
      </c>
      <c r="B1227" s="2">
        <f>_xlfn.XLOOKUP(Table9[[#This Row],[orderID]],orders[orderID],orders[orderDate],,0)</f>
        <v>41934</v>
      </c>
      <c r="C1227">
        <f>_xlfn.XLOOKUP(A1227,order_details[orderID],order_details[productID],,0)</f>
        <v>10</v>
      </c>
      <c r="D1227" t="str">
        <f>_xlfn.XLOOKUP(C1227,products[productID],products[productName],,0)</f>
        <v>Ikura</v>
      </c>
      <c r="E1227" t="str">
        <f>_xlfn.XLOOKUP(_xlfn.XLOOKUP(Table9[[#This Row],[ProductName ]],products[productName],products[categoryID],,0),categories[categoryID],categories[categoryName],,0)</f>
        <v>Seafood</v>
      </c>
      <c r="F1227">
        <v>30</v>
      </c>
      <c r="G1227">
        <v>3123</v>
      </c>
      <c r="H1227">
        <v>0</v>
      </c>
      <c r="I1227">
        <f>Table9[[#This Row],[quantity]]*Table9[[#This Row],[unitPrice]]*(1-Table9[[#This Row],[discount]]/100)</f>
        <v>93690</v>
      </c>
      <c r="J1227" t="str">
        <f>_xlfn.XLOOKUP(_xlfn.XLOOKUP(A1227,orders[orderID],orders[customerID],,0),customers__2[customerID],customers__2[companyName],,0)</f>
        <v>Save-a-lot Markets</v>
      </c>
      <c r="K1227" t="str">
        <f>_xlfn.XLOOKUP(Table9[[#This Row],[Company Name]],customers__2[companyName],customers__2[country],,0)</f>
        <v>USA</v>
      </c>
      <c r="L1227">
        <f>MONTH(Table9[[#This Row],[OrderDate ]])</f>
        <v>10</v>
      </c>
      <c r="M1227" t="str">
        <f>TEXT(Table9[[#This Row],[OrderDate ]],"mmm")</f>
        <v>Oct</v>
      </c>
      <c r="N1227">
        <f>YEAR(Table9[[#This Row],[OrderDate ]])</f>
        <v>2014</v>
      </c>
    </row>
    <row r="1228" spans="1:14" x14ac:dyDescent="0.3">
      <c r="A1228">
        <v>10713</v>
      </c>
      <c r="B1228" s="2">
        <f>_xlfn.XLOOKUP(Table9[[#This Row],[orderID]],orders[orderID],orders[orderDate],,0)</f>
        <v>41934</v>
      </c>
      <c r="C1228">
        <f>_xlfn.XLOOKUP(A1228,order_details[orderID],order_details[productID],,0)</f>
        <v>10</v>
      </c>
      <c r="D1228" t="str">
        <f>_xlfn.XLOOKUP(C1228,products[productID],products[productName],,0)</f>
        <v>Ikura</v>
      </c>
      <c r="E1228" t="str">
        <f>_xlfn.XLOOKUP(_xlfn.XLOOKUP(Table9[[#This Row],[ProductName ]],products[productName],products[categoryID],,0),categories[categoryID],categories[categoryName],,0)</f>
        <v>Seafood</v>
      </c>
      <c r="F1228">
        <v>110</v>
      </c>
      <c r="G1228">
        <v>95</v>
      </c>
      <c r="H1228">
        <v>0</v>
      </c>
      <c r="I1228">
        <f>Table9[[#This Row],[quantity]]*Table9[[#This Row],[unitPrice]]*(1-Table9[[#This Row],[discount]]/100)</f>
        <v>10450</v>
      </c>
      <c r="J1228" t="str">
        <f>_xlfn.XLOOKUP(_xlfn.XLOOKUP(A1228,orders[orderID],orders[customerID],,0),customers__2[customerID],customers__2[companyName],,0)</f>
        <v>Save-a-lot Markets</v>
      </c>
      <c r="K1228" t="str">
        <f>_xlfn.XLOOKUP(Table9[[#This Row],[Company Name]],customers__2[companyName],customers__2[country],,0)</f>
        <v>USA</v>
      </c>
      <c r="L1228">
        <f>MONTH(Table9[[#This Row],[OrderDate ]])</f>
        <v>10</v>
      </c>
      <c r="M1228" t="str">
        <f>TEXT(Table9[[#This Row],[OrderDate ]],"mmm")</f>
        <v>Oct</v>
      </c>
      <c r="N1228">
        <f>YEAR(Table9[[#This Row],[OrderDate ]])</f>
        <v>2014</v>
      </c>
    </row>
    <row r="1229" spans="1:14" x14ac:dyDescent="0.3">
      <c r="A1229">
        <v>10713</v>
      </c>
      <c r="B1229" s="2">
        <f>_xlfn.XLOOKUP(Table9[[#This Row],[orderID]],orders[orderID],orders[orderDate],,0)</f>
        <v>41934</v>
      </c>
      <c r="C1229">
        <f>_xlfn.XLOOKUP(A1229,order_details[orderID],order_details[productID],,0)</f>
        <v>10</v>
      </c>
      <c r="D1229" t="str">
        <f>_xlfn.XLOOKUP(C1229,products[productID],products[productName],,0)</f>
        <v>Ikura</v>
      </c>
      <c r="E1229" t="str">
        <f>_xlfn.XLOOKUP(_xlfn.XLOOKUP(Table9[[#This Row],[ProductName ]],products[productName],products[categoryID],,0),categories[categoryID],categories[categoryName],,0)</f>
        <v>Seafood</v>
      </c>
      <c r="F1229">
        <v>24</v>
      </c>
      <c r="G1229">
        <v>12</v>
      </c>
      <c r="H1229">
        <v>0</v>
      </c>
      <c r="I1229">
        <f>Table9[[#This Row],[quantity]]*Table9[[#This Row],[unitPrice]]*(1-Table9[[#This Row],[discount]]/100)</f>
        <v>288</v>
      </c>
      <c r="J1229" t="str">
        <f>_xlfn.XLOOKUP(_xlfn.XLOOKUP(A1229,orders[orderID],orders[customerID],,0),customers__2[customerID],customers__2[companyName],,0)</f>
        <v>Save-a-lot Markets</v>
      </c>
      <c r="K1229" t="str">
        <f>_xlfn.XLOOKUP(Table9[[#This Row],[Company Name]],customers__2[companyName],customers__2[country],,0)</f>
        <v>USA</v>
      </c>
      <c r="L1229">
        <f>MONTH(Table9[[#This Row],[OrderDate ]])</f>
        <v>10</v>
      </c>
      <c r="M1229" t="str">
        <f>TEXT(Table9[[#This Row],[OrderDate ]],"mmm")</f>
        <v>Oct</v>
      </c>
      <c r="N1229">
        <f>YEAR(Table9[[#This Row],[OrderDate ]])</f>
        <v>2014</v>
      </c>
    </row>
    <row r="1230" spans="1:14" x14ac:dyDescent="0.3">
      <c r="A1230">
        <v>10714</v>
      </c>
      <c r="B1230" s="2">
        <f>_xlfn.XLOOKUP(Table9[[#This Row],[orderID]],orders[orderID],orders[orderDate],,0)</f>
        <v>41934</v>
      </c>
      <c r="C1230">
        <f>_xlfn.XLOOKUP(A1230,order_details[orderID],order_details[productID],,0)</f>
        <v>2</v>
      </c>
      <c r="D1230" t="str">
        <f>_xlfn.XLOOKUP(C1230,products[productID],products[productName],,0)</f>
        <v>Chang</v>
      </c>
      <c r="E1230" t="str">
        <f>_xlfn.XLOOKUP(_xlfn.XLOOKUP(Table9[[#This Row],[ProductName ]],products[productName],products[categoryID],,0),categories[categoryID],categories[categoryName],,0)</f>
        <v>Beverages</v>
      </c>
      <c r="F1230">
        <v>30</v>
      </c>
      <c r="G1230">
        <v>19</v>
      </c>
      <c r="H1230">
        <v>25</v>
      </c>
      <c r="I1230">
        <f>Table9[[#This Row],[quantity]]*Table9[[#This Row],[unitPrice]]*(1-Table9[[#This Row],[discount]]/100)</f>
        <v>427.5</v>
      </c>
      <c r="J1230" t="str">
        <f>_xlfn.XLOOKUP(_xlfn.XLOOKUP(A1230,orders[orderID],orders[customerID],,0),customers__2[customerID],customers__2[companyName],,0)</f>
        <v>Save-a-lot Markets</v>
      </c>
      <c r="K1230" t="str">
        <f>_xlfn.XLOOKUP(Table9[[#This Row],[Company Name]],customers__2[companyName],customers__2[country],,0)</f>
        <v>USA</v>
      </c>
      <c r="L1230">
        <f>MONTH(Table9[[#This Row],[OrderDate ]])</f>
        <v>10</v>
      </c>
      <c r="M1230" t="str">
        <f>TEXT(Table9[[#This Row],[OrderDate ]],"mmm")</f>
        <v>Oct</v>
      </c>
      <c r="N1230">
        <f>YEAR(Table9[[#This Row],[OrderDate ]])</f>
        <v>2014</v>
      </c>
    </row>
    <row r="1231" spans="1:14" x14ac:dyDescent="0.3">
      <c r="A1231">
        <v>10714</v>
      </c>
      <c r="B1231" s="2">
        <f>_xlfn.XLOOKUP(Table9[[#This Row],[orderID]],orders[orderID],orders[orderDate],,0)</f>
        <v>41934</v>
      </c>
      <c r="C1231">
        <f>_xlfn.XLOOKUP(A1231,order_details[orderID],order_details[productID],,0)</f>
        <v>2</v>
      </c>
      <c r="D1231" t="str">
        <f>_xlfn.XLOOKUP(C1231,products[productID],products[productName],,0)</f>
        <v>Chang</v>
      </c>
      <c r="E1231" t="str">
        <f>_xlfn.XLOOKUP(_xlfn.XLOOKUP(Table9[[#This Row],[ProductName ]],products[productName],products[categoryID],,0),categories[categoryID],categories[categoryName],,0)</f>
        <v>Beverages</v>
      </c>
      <c r="F1231">
        <v>27</v>
      </c>
      <c r="G1231">
        <v>39</v>
      </c>
      <c r="H1231">
        <v>25</v>
      </c>
      <c r="I1231">
        <f>Table9[[#This Row],[quantity]]*Table9[[#This Row],[unitPrice]]*(1-Table9[[#This Row],[discount]]/100)</f>
        <v>789.75</v>
      </c>
      <c r="J1231" t="str">
        <f>_xlfn.XLOOKUP(_xlfn.XLOOKUP(A1231,orders[orderID],orders[customerID],,0),customers__2[customerID],customers__2[companyName],,0)</f>
        <v>Save-a-lot Markets</v>
      </c>
      <c r="K1231" t="str">
        <f>_xlfn.XLOOKUP(Table9[[#This Row],[Company Name]],customers__2[companyName],customers__2[country],,0)</f>
        <v>USA</v>
      </c>
      <c r="L1231">
        <f>MONTH(Table9[[#This Row],[OrderDate ]])</f>
        <v>10</v>
      </c>
      <c r="M1231" t="str">
        <f>TEXT(Table9[[#This Row],[OrderDate ]],"mmm")</f>
        <v>Oct</v>
      </c>
      <c r="N1231">
        <f>YEAR(Table9[[#This Row],[OrderDate ]])</f>
        <v>2014</v>
      </c>
    </row>
    <row r="1232" spans="1:14" x14ac:dyDescent="0.3">
      <c r="A1232">
        <v>10714</v>
      </c>
      <c r="B1232" s="2">
        <f>_xlfn.XLOOKUP(Table9[[#This Row],[orderID]],orders[orderID],orders[orderDate],,0)</f>
        <v>41934</v>
      </c>
      <c r="C1232">
        <f>_xlfn.XLOOKUP(A1232,order_details[orderID],order_details[productID],,0)</f>
        <v>2</v>
      </c>
      <c r="D1232" t="str">
        <f>_xlfn.XLOOKUP(C1232,products[productID],products[productName],,0)</f>
        <v>Chang</v>
      </c>
      <c r="E1232" t="str">
        <f>_xlfn.XLOOKUP(_xlfn.XLOOKUP(Table9[[#This Row],[ProductName ]],products[productName],products[categoryID],,0),categories[categoryID],categories[categoryName],,0)</f>
        <v>Beverages</v>
      </c>
      <c r="F1232">
        <v>50</v>
      </c>
      <c r="G1232">
        <v>95</v>
      </c>
      <c r="H1232">
        <v>25</v>
      </c>
      <c r="I1232">
        <f>Table9[[#This Row],[quantity]]*Table9[[#This Row],[unitPrice]]*(1-Table9[[#This Row],[discount]]/100)</f>
        <v>3562.5</v>
      </c>
      <c r="J1232" t="str">
        <f>_xlfn.XLOOKUP(_xlfn.XLOOKUP(A1232,orders[orderID],orders[customerID],,0),customers__2[customerID],customers__2[companyName],,0)</f>
        <v>Save-a-lot Markets</v>
      </c>
      <c r="K1232" t="str">
        <f>_xlfn.XLOOKUP(Table9[[#This Row],[Company Name]],customers__2[companyName],customers__2[country],,0)</f>
        <v>USA</v>
      </c>
      <c r="L1232">
        <f>MONTH(Table9[[#This Row],[OrderDate ]])</f>
        <v>10</v>
      </c>
      <c r="M1232" t="str">
        <f>TEXT(Table9[[#This Row],[OrderDate ]],"mmm")</f>
        <v>Oct</v>
      </c>
      <c r="N1232">
        <f>YEAR(Table9[[#This Row],[OrderDate ]])</f>
        <v>2014</v>
      </c>
    </row>
    <row r="1233" spans="1:14" x14ac:dyDescent="0.3">
      <c r="A1233">
        <v>10714</v>
      </c>
      <c r="B1233" s="2">
        <f>_xlfn.XLOOKUP(Table9[[#This Row],[orderID]],orders[orderID],orders[orderDate],,0)</f>
        <v>41934</v>
      </c>
      <c r="C1233">
        <f>_xlfn.XLOOKUP(A1233,order_details[orderID],order_details[productID],,0)</f>
        <v>2</v>
      </c>
      <c r="D1233" t="str">
        <f>_xlfn.XLOOKUP(C1233,products[productID],products[productName],,0)</f>
        <v>Chang</v>
      </c>
      <c r="E1233" t="str">
        <f>_xlfn.XLOOKUP(_xlfn.XLOOKUP(Table9[[#This Row],[ProductName ]],products[productName],products[categoryID],,0),categories[categoryID],categories[categoryName],,0)</f>
        <v>Beverages</v>
      </c>
      <c r="F1233">
        <v>18</v>
      </c>
      <c r="G1233">
        <v>38</v>
      </c>
      <c r="H1233">
        <v>25</v>
      </c>
      <c r="I1233">
        <f>Table9[[#This Row],[quantity]]*Table9[[#This Row],[unitPrice]]*(1-Table9[[#This Row],[discount]]/100)</f>
        <v>513</v>
      </c>
      <c r="J1233" t="str">
        <f>_xlfn.XLOOKUP(_xlfn.XLOOKUP(A1233,orders[orderID],orders[customerID],,0),customers__2[customerID],customers__2[companyName],,0)</f>
        <v>Save-a-lot Markets</v>
      </c>
      <c r="K1233" t="str">
        <f>_xlfn.XLOOKUP(Table9[[#This Row],[Company Name]],customers__2[companyName],customers__2[country],,0)</f>
        <v>USA</v>
      </c>
      <c r="L1233">
        <f>MONTH(Table9[[#This Row],[OrderDate ]])</f>
        <v>10</v>
      </c>
      <c r="M1233" t="str">
        <f>TEXT(Table9[[#This Row],[OrderDate ]],"mmm")</f>
        <v>Oct</v>
      </c>
      <c r="N1233">
        <f>YEAR(Table9[[#This Row],[OrderDate ]])</f>
        <v>2014</v>
      </c>
    </row>
    <row r="1234" spans="1:14" x14ac:dyDescent="0.3">
      <c r="A1234">
        <v>10714</v>
      </c>
      <c r="B1234" s="2">
        <f>_xlfn.XLOOKUP(Table9[[#This Row],[orderID]],orders[orderID],orders[orderDate],,0)</f>
        <v>41934</v>
      </c>
      <c r="C1234">
        <f>_xlfn.XLOOKUP(A1234,order_details[orderID],order_details[productID],,0)</f>
        <v>2</v>
      </c>
      <c r="D1234" t="str">
        <f>_xlfn.XLOOKUP(C1234,products[productID],products[productName],,0)</f>
        <v>Chang</v>
      </c>
      <c r="E1234" t="str">
        <f>_xlfn.XLOOKUP(_xlfn.XLOOKUP(Table9[[#This Row],[ProductName ]],products[productName],products[categoryID],,0),categories[categoryID],categories[categoryName],,0)</f>
        <v>Beverages</v>
      </c>
      <c r="F1234">
        <v>12</v>
      </c>
      <c r="G1234">
        <v>1325</v>
      </c>
      <c r="H1234">
        <v>25</v>
      </c>
      <c r="I1234">
        <f>Table9[[#This Row],[quantity]]*Table9[[#This Row],[unitPrice]]*(1-Table9[[#This Row],[discount]]/100)</f>
        <v>11925</v>
      </c>
      <c r="J1234" t="str">
        <f>_xlfn.XLOOKUP(_xlfn.XLOOKUP(A1234,orders[orderID],orders[customerID],,0),customers__2[customerID],customers__2[companyName],,0)</f>
        <v>Save-a-lot Markets</v>
      </c>
      <c r="K1234" t="str">
        <f>_xlfn.XLOOKUP(Table9[[#This Row],[Company Name]],customers__2[companyName],customers__2[country],,0)</f>
        <v>USA</v>
      </c>
      <c r="L1234">
        <f>MONTH(Table9[[#This Row],[OrderDate ]])</f>
        <v>10</v>
      </c>
      <c r="M1234" t="str">
        <f>TEXT(Table9[[#This Row],[OrderDate ]],"mmm")</f>
        <v>Oct</v>
      </c>
      <c r="N1234">
        <f>YEAR(Table9[[#This Row],[OrderDate ]])</f>
        <v>2014</v>
      </c>
    </row>
    <row r="1235" spans="1:14" x14ac:dyDescent="0.3">
      <c r="A1235">
        <v>10715</v>
      </c>
      <c r="B1235" s="2">
        <f>_xlfn.XLOOKUP(Table9[[#This Row],[orderID]],orders[orderID],orders[orderDate],,0)</f>
        <v>41935</v>
      </c>
      <c r="C1235">
        <f>_xlfn.XLOOKUP(A1235,order_details[orderID],order_details[productID],,0)</f>
        <v>10</v>
      </c>
      <c r="D1235" t="str">
        <f>_xlfn.XLOOKUP(C1235,products[productID],products[productName],,0)</f>
        <v>Ikura</v>
      </c>
      <c r="E1235" t="str">
        <f>_xlfn.XLOOKUP(_xlfn.XLOOKUP(Table9[[#This Row],[ProductName ]],products[productName],products[categoryID],,0),categories[categoryID],categories[categoryName],,0)</f>
        <v>Seafood</v>
      </c>
      <c r="F1235">
        <v>21</v>
      </c>
      <c r="G1235">
        <v>31</v>
      </c>
      <c r="H1235">
        <v>0</v>
      </c>
      <c r="I1235">
        <f>Table9[[#This Row],[quantity]]*Table9[[#This Row],[unitPrice]]*(1-Table9[[#This Row],[discount]]/100)</f>
        <v>651</v>
      </c>
      <c r="J1235" t="str">
        <f>_xlfn.XLOOKUP(_xlfn.XLOOKUP(A1235,orders[orderID],orders[customerID],,0),customers__2[customerID],customers__2[companyName],,0)</f>
        <v>Bon app'</v>
      </c>
      <c r="K1235" t="str">
        <f>_xlfn.XLOOKUP(Table9[[#This Row],[Company Name]],customers__2[companyName],customers__2[country],,0)</f>
        <v>France</v>
      </c>
      <c r="L1235">
        <f>MONTH(Table9[[#This Row],[OrderDate ]])</f>
        <v>10</v>
      </c>
      <c r="M1235" t="str">
        <f>TEXT(Table9[[#This Row],[OrderDate ]],"mmm")</f>
        <v>Oct</v>
      </c>
      <c r="N1235">
        <f>YEAR(Table9[[#This Row],[OrderDate ]])</f>
        <v>2014</v>
      </c>
    </row>
    <row r="1236" spans="1:14" x14ac:dyDescent="0.3">
      <c r="A1236">
        <v>10715</v>
      </c>
      <c r="B1236" s="2">
        <f>_xlfn.XLOOKUP(Table9[[#This Row],[orderID]],orders[orderID],orders[orderDate],,0)</f>
        <v>41935</v>
      </c>
      <c r="C1236">
        <f>_xlfn.XLOOKUP(A1236,order_details[orderID],order_details[productID],,0)</f>
        <v>10</v>
      </c>
      <c r="D1236" t="str">
        <f>_xlfn.XLOOKUP(C1236,products[productID],products[productName],,0)</f>
        <v>Ikura</v>
      </c>
      <c r="E1236" t="str">
        <f>_xlfn.XLOOKUP(_xlfn.XLOOKUP(Table9[[#This Row],[ProductName ]],products[productName],products[categoryID],,0),categories[categoryID],categories[categoryName],,0)</f>
        <v>Seafood</v>
      </c>
      <c r="F1236">
        <v>30</v>
      </c>
      <c r="G1236">
        <v>215</v>
      </c>
      <c r="H1236">
        <v>0</v>
      </c>
      <c r="I1236">
        <f>Table9[[#This Row],[quantity]]*Table9[[#This Row],[unitPrice]]*(1-Table9[[#This Row],[discount]]/100)</f>
        <v>6450</v>
      </c>
      <c r="J1236" t="str">
        <f>_xlfn.XLOOKUP(_xlfn.XLOOKUP(A1236,orders[orderID],orders[customerID],,0),customers__2[customerID],customers__2[companyName],,0)</f>
        <v>Bon app'</v>
      </c>
      <c r="K1236" t="str">
        <f>_xlfn.XLOOKUP(Table9[[#This Row],[Company Name]],customers__2[companyName],customers__2[country],,0)</f>
        <v>France</v>
      </c>
      <c r="L1236">
        <f>MONTH(Table9[[#This Row],[OrderDate ]])</f>
        <v>10</v>
      </c>
      <c r="M1236" t="str">
        <f>TEXT(Table9[[#This Row],[OrderDate ]],"mmm")</f>
        <v>Oct</v>
      </c>
      <c r="N1236">
        <f>YEAR(Table9[[#This Row],[OrderDate ]])</f>
        <v>2014</v>
      </c>
    </row>
    <row r="1237" spans="1:14" x14ac:dyDescent="0.3">
      <c r="A1237">
        <v>10716</v>
      </c>
      <c r="B1237" s="2">
        <f>_xlfn.XLOOKUP(Table9[[#This Row],[orderID]],orders[orderID],orders[orderDate],,0)</f>
        <v>41936</v>
      </c>
      <c r="C1237">
        <f>_xlfn.XLOOKUP(A1237,order_details[orderID],order_details[productID],,0)</f>
        <v>21</v>
      </c>
      <c r="D1237" t="str">
        <f>_xlfn.XLOOKUP(C1237,products[productID],products[productName],,0)</f>
        <v>Sir Rodney's Scones</v>
      </c>
      <c r="E1237" t="str">
        <f>_xlfn.XLOOKUP(_xlfn.XLOOKUP(Table9[[#This Row],[ProductName ]],products[productName],products[categoryID],,0),categories[categoryID],categories[categoryName],,0)</f>
        <v>Confections</v>
      </c>
      <c r="F1237">
        <v>5</v>
      </c>
      <c r="G1237">
        <v>10</v>
      </c>
      <c r="H1237">
        <v>0</v>
      </c>
      <c r="I1237">
        <f>Table9[[#This Row],[quantity]]*Table9[[#This Row],[unitPrice]]*(1-Table9[[#This Row],[discount]]/100)</f>
        <v>50</v>
      </c>
      <c r="J1237" t="str">
        <f>_xlfn.XLOOKUP(_xlfn.XLOOKUP(A1237,orders[orderID],orders[customerID],,0),customers__2[customerID],customers__2[companyName],,0)</f>
        <v>Rancho grande</v>
      </c>
      <c r="K1237" t="str">
        <f>_xlfn.XLOOKUP(Table9[[#This Row],[Company Name]],customers__2[companyName],customers__2[country],,0)</f>
        <v>Argentina</v>
      </c>
      <c r="L1237">
        <f>MONTH(Table9[[#This Row],[OrderDate ]])</f>
        <v>10</v>
      </c>
      <c r="M1237" t="str">
        <f>TEXT(Table9[[#This Row],[OrderDate ]],"mmm")</f>
        <v>Oct</v>
      </c>
      <c r="N1237">
        <f>YEAR(Table9[[#This Row],[OrderDate ]])</f>
        <v>2014</v>
      </c>
    </row>
    <row r="1238" spans="1:14" x14ac:dyDescent="0.3">
      <c r="A1238">
        <v>10716</v>
      </c>
      <c r="B1238" s="2">
        <f>_xlfn.XLOOKUP(Table9[[#This Row],[orderID]],orders[orderID],orders[orderDate],,0)</f>
        <v>41936</v>
      </c>
      <c r="C1238">
        <f>_xlfn.XLOOKUP(A1238,order_details[orderID],order_details[productID],,0)</f>
        <v>21</v>
      </c>
      <c r="D1238" t="str">
        <f>_xlfn.XLOOKUP(C1238,products[productID],products[productName],,0)</f>
        <v>Sir Rodney's Scones</v>
      </c>
      <c r="E1238" t="str">
        <f>_xlfn.XLOOKUP(_xlfn.XLOOKUP(Table9[[#This Row],[ProductName ]],products[productName],products[categoryID],,0),categories[categoryID],categories[categoryName],,0)</f>
        <v>Confections</v>
      </c>
      <c r="F1238">
        <v>7</v>
      </c>
      <c r="G1238">
        <v>53</v>
      </c>
      <c r="H1238">
        <v>0</v>
      </c>
      <c r="I1238">
        <f>Table9[[#This Row],[quantity]]*Table9[[#This Row],[unitPrice]]*(1-Table9[[#This Row],[discount]]/100)</f>
        <v>371</v>
      </c>
      <c r="J1238" t="str">
        <f>_xlfn.XLOOKUP(_xlfn.XLOOKUP(A1238,orders[orderID],orders[customerID],,0),customers__2[customerID],customers__2[companyName],,0)</f>
        <v>Rancho grande</v>
      </c>
      <c r="K1238" t="str">
        <f>_xlfn.XLOOKUP(Table9[[#This Row],[Company Name]],customers__2[companyName],customers__2[country],,0)</f>
        <v>Argentina</v>
      </c>
      <c r="L1238">
        <f>MONTH(Table9[[#This Row],[OrderDate ]])</f>
        <v>10</v>
      </c>
      <c r="M1238" t="str">
        <f>TEXT(Table9[[#This Row],[OrderDate ]],"mmm")</f>
        <v>Oct</v>
      </c>
      <c r="N1238">
        <f>YEAR(Table9[[#This Row],[OrderDate ]])</f>
        <v>2014</v>
      </c>
    </row>
    <row r="1239" spans="1:14" x14ac:dyDescent="0.3">
      <c r="A1239">
        <v>10716</v>
      </c>
      <c r="B1239" s="2">
        <f>_xlfn.XLOOKUP(Table9[[#This Row],[orderID]],orders[orderID],orders[orderDate],,0)</f>
        <v>41936</v>
      </c>
      <c r="C1239">
        <f>_xlfn.XLOOKUP(A1239,order_details[orderID],order_details[productID],,0)</f>
        <v>21</v>
      </c>
      <c r="D1239" t="str">
        <f>_xlfn.XLOOKUP(C1239,products[productID],products[productName],,0)</f>
        <v>Sir Rodney's Scones</v>
      </c>
      <c r="E1239" t="str">
        <f>_xlfn.XLOOKUP(_xlfn.XLOOKUP(Table9[[#This Row],[ProductName ]],products[productName],products[categoryID],,0),categories[categoryID],categories[categoryName],,0)</f>
        <v>Confections</v>
      </c>
      <c r="F1239">
        <v>10</v>
      </c>
      <c r="G1239">
        <v>285</v>
      </c>
      <c r="H1239">
        <v>0</v>
      </c>
      <c r="I1239">
        <f>Table9[[#This Row],[quantity]]*Table9[[#This Row],[unitPrice]]*(1-Table9[[#This Row],[discount]]/100)</f>
        <v>2850</v>
      </c>
      <c r="J1239" t="str">
        <f>_xlfn.XLOOKUP(_xlfn.XLOOKUP(A1239,orders[orderID],orders[customerID],,0),customers__2[customerID],customers__2[companyName],,0)</f>
        <v>Rancho grande</v>
      </c>
      <c r="K1239" t="str">
        <f>_xlfn.XLOOKUP(Table9[[#This Row],[Company Name]],customers__2[companyName],customers__2[country],,0)</f>
        <v>Argentina</v>
      </c>
      <c r="L1239">
        <f>MONTH(Table9[[#This Row],[OrderDate ]])</f>
        <v>10</v>
      </c>
      <c r="M1239" t="str">
        <f>TEXT(Table9[[#This Row],[OrderDate ]],"mmm")</f>
        <v>Oct</v>
      </c>
      <c r="N1239">
        <f>YEAR(Table9[[#This Row],[OrderDate ]])</f>
        <v>2014</v>
      </c>
    </row>
    <row r="1240" spans="1:14" x14ac:dyDescent="0.3">
      <c r="A1240">
        <v>10717</v>
      </c>
      <c r="B1240" s="2">
        <f>_xlfn.XLOOKUP(Table9[[#This Row],[orderID]],orders[orderID],orders[orderDate],,0)</f>
        <v>41936</v>
      </c>
      <c r="C1240">
        <f>_xlfn.XLOOKUP(A1240,order_details[orderID],order_details[productID],,0)</f>
        <v>21</v>
      </c>
      <c r="D1240" t="str">
        <f>_xlfn.XLOOKUP(C1240,products[productID],products[productName],,0)</f>
        <v>Sir Rodney's Scones</v>
      </c>
      <c r="E1240" t="str">
        <f>_xlfn.XLOOKUP(_xlfn.XLOOKUP(Table9[[#This Row],[ProductName ]],products[productName],products[categoryID],,0),categories[categoryID],categories[categoryName],,0)</f>
        <v>Confections</v>
      </c>
      <c r="F1240">
        <v>32</v>
      </c>
      <c r="G1240">
        <v>10</v>
      </c>
      <c r="H1240">
        <v>5</v>
      </c>
      <c r="I1240">
        <f>Table9[[#This Row],[quantity]]*Table9[[#This Row],[unitPrice]]*(1-Table9[[#This Row],[discount]]/100)</f>
        <v>304</v>
      </c>
      <c r="J1240" t="str">
        <f>_xlfn.XLOOKUP(_xlfn.XLOOKUP(A1240,orders[orderID],orders[customerID],,0),customers__2[customerID],customers__2[companyName],,0)</f>
        <v>Frankenversand</v>
      </c>
      <c r="K1240" t="str">
        <f>_xlfn.XLOOKUP(Table9[[#This Row],[Company Name]],customers__2[companyName],customers__2[country],,0)</f>
        <v>Germany</v>
      </c>
      <c r="L1240">
        <f>MONTH(Table9[[#This Row],[OrderDate ]])</f>
        <v>10</v>
      </c>
      <c r="M1240" t="str">
        <f>TEXT(Table9[[#This Row],[OrderDate ]],"mmm")</f>
        <v>Oct</v>
      </c>
      <c r="N1240">
        <f>YEAR(Table9[[#This Row],[OrderDate ]])</f>
        <v>2014</v>
      </c>
    </row>
    <row r="1241" spans="1:14" x14ac:dyDescent="0.3">
      <c r="A1241">
        <v>10717</v>
      </c>
      <c r="B1241" s="2">
        <f>_xlfn.XLOOKUP(Table9[[#This Row],[orderID]],orders[orderID],orders[orderDate],,0)</f>
        <v>41936</v>
      </c>
      <c r="C1241">
        <f>_xlfn.XLOOKUP(A1241,order_details[orderID],order_details[productID],,0)</f>
        <v>21</v>
      </c>
      <c r="D1241" t="str">
        <f>_xlfn.XLOOKUP(C1241,products[productID],products[productName],,0)</f>
        <v>Sir Rodney's Scones</v>
      </c>
      <c r="E1241" t="str">
        <f>_xlfn.XLOOKUP(_xlfn.XLOOKUP(Table9[[#This Row],[ProductName ]],products[productName],products[categoryID],,0),categories[categoryID],categories[categoryName],,0)</f>
        <v>Confections</v>
      </c>
      <c r="F1241">
        <v>15</v>
      </c>
      <c r="G1241">
        <v>745</v>
      </c>
      <c r="H1241">
        <v>0</v>
      </c>
      <c r="I1241">
        <f>Table9[[#This Row],[quantity]]*Table9[[#This Row],[unitPrice]]*(1-Table9[[#This Row],[discount]]/100)</f>
        <v>11175</v>
      </c>
      <c r="J1241" t="str">
        <f>_xlfn.XLOOKUP(_xlfn.XLOOKUP(A1241,orders[orderID],orders[customerID],,0),customers__2[customerID],customers__2[companyName],,0)</f>
        <v>Frankenversand</v>
      </c>
      <c r="K1241" t="str">
        <f>_xlfn.XLOOKUP(Table9[[#This Row],[Company Name]],customers__2[companyName],customers__2[country],,0)</f>
        <v>Germany</v>
      </c>
      <c r="L1241">
        <f>MONTH(Table9[[#This Row],[OrderDate ]])</f>
        <v>10</v>
      </c>
      <c r="M1241" t="str">
        <f>TEXT(Table9[[#This Row],[OrderDate ]],"mmm")</f>
        <v>Oct</v>
      </c>
      <c r="N1241">
        <f>YEAR(Table9[[#This Row],[OrderDate ]])</f>
        <v>2014</v>
      </c>
    </row>
    <row r="1242" spans="1:14" x14ac:dyDescent="0.3">
      <c r="A1242">
        <v>10717</v>
      </c>
      <c r="B1242" s="2">
        <f>_xlfn.XLOOKUP(Table9[[#This Row],[orderID]],orders[orderID],orders[orderDate],,0)</f>
        <v>41936</v>
      </c>
      <c r="C1242">
        <f>_xlfn.XLOOKUP(A1242,order_details[orderID],order_details[productID],,0)</f>
        <v>21</v>
      </c>
      <c r="D1242" t="str">
        <f>_xlfn.XLOOKUP(C1242,products[productID],products[productName],,0)</f>
        <v>Sir Rodney's Scones</v>
      </c>
      <c r="E1242" t="str">
        <f>_xlfn.XLOOKUP(_xlfn.XLOOKUP(Table9[[#This Row],[ProductName ]],products[productName],products[categoryID],,0),categories[categoryID],categories[categoryName],,0)</f>
        <v>Confections</v>
      </c>
      <c r="F1242">
        <v>25</v>
      </c>
      <c r="G1242">
        <v>36</v>
      </c>
      <c r="H1242">
        <v>5</v>
      </c>
      <c r="I1242">
        <f>Table9[[#This Row],[quantity]]*Table9[[#This Row],[unitPrice]]*(1-Table9[[#This Row],[discount]]/100)</f>
        <v>855</v>
      </c>
      <c r="J1242" t="str">
        <f>_xlfn.XLOOKUP(_xlfn.XLOOKUP(A1242,orders[orderID],orders[customerID],,0),customers__2[customerID],customers__2[companyName],,0)</f>
        <v>Frankenversand</v>
      </c>
      <c r="K1242" t="str">
        <f>_xlfn.XLOOKUP(Table9[[#This Row],[Company Name]],customers__2[companyName],customers__2[country],,0)</f>
        <v>Germany</v>
      </c>
      <c r="L1242">
        <f>MONTH(Table9[[#This Row],[OrderDate ]])</f>
        <v>10</v>
      </c>
      <c r="M1242" t="str">
        <f>TEXT(Table9[[#This Row],[OrderDate ]],"mmm")</f>
        <v>Oct</v>
      </c>
      <c r="N1242">
        <f>YEAR(Table9[[#This Row],[OrderDate ]])</f>
        <v>2014</v>
      </c>
    </row>
    <row r="1243" spans="1:14" x14ac:dyDescent="0.3">
      <c r="A1243">
        <v>10718</v>
      </c>
      <c r="B1243" s="2">
        <f>_xlfn.XLOOKUP(Table9[[#This Row],[orderID]],orders[orderID],orders[orderDate],,0)</f>
        <v>41939</v>
      </c>
      <c r="C1243">
        <f>_xlfn.XLOOKUP(A1243,order_details[orderID],order_details[productID],,0)</f>
        <v>12</v>
      </c>
      <c r="D1243" t="str">
        <f>_xlfn.XLOOKUP(C1243,products[productID],products[productName],,0)</f>
        <v>Queso Manchego La Pastora</v>
      </c>
      <c r="E1243" t="str">
        <f>_xlfn.XLOOKUP(_xlfn.XLOOKUP(Table9[[#This Row],[ProductName ]],products[productName],products[categoryID],,0),categories[categoryID],categories[categoryName],,0)</f>
        <v>Dairy Products</v>
      </c>
      <c r="F1243">
        <v>36</v>
      </c>
      <c r="G1243">
        <v>38</v>
      </c>
      <c r="H1243">
        <v>0</v>
      </c>
      <c r="I1243">
        <f>Table9[[#This Row],[quantity]]*Table9[[#This Row],[unitPrice]]*(1-Table9[[#This Row],[discount]]/100)</f>
        <v>1368</v>
      </c>
      <c r="J1243" t="str">
        <f>_xlfn.XLOOKUP(_xlfn.XLOOKUP(A1243,orders[orderID],orders[customerID],,0),customers__2[customerID],customers__2[companyName],,0)</f>
        <v>Königlich Essen</v>
      </c>
      <c r="K1243" t="str">
        <f>_xlfn.XLOOKUP(Table9[[#This Row],[Company Name]],customers__2[companyName],customers__2[country],,0)</f>
        <v>Germany</v>
      </c>
      <c r="L1243">
        <f>MONTH(Table9[[#This Row],[OrderDate ]])</f>
        <v>10</v>
      </c>
      <c r="M1243" t="str">
        <f>TEXT(Table9[[#This Row],[OrderDate ]],"mmm")</f>
        <v>Oct</v>
      </c>
      <c r="N1243">
        <f>YEAR(Table9[[#This Row],[OrderDate ]])</f>
        <v>2014</v>
      </c>
    </row>
    <row r="1244" spans="1:14" x14ac:dyDescent="0.3">
      <c r="A1244">
        <v>10718</v>
      </c>
      <c r="B1244" s="2">
        <f>_xlfn.XLOOKUP(Table9[[#This Row],[orderID]],orders[orderID],orders[orderDate],,0)</f>
        <v>41939</v>
      </c>
      <c r="C1244">
        <f>_xlfn.XLOOKUP(A1244,order_details[orderID],order_details[productID],,0)</f>
        <v>12</v>
      </c>
      <c r="D1244" t="str">
        <f>_xlfn.XLOOKUP(C1244,products[productID],products[productName],,0)</f>
        <v>Queso Manchego La Pastora</v>
      </c>
      <c r="E1244" t="str">
        <f>_xlfn.XLOOKUP(_xlfn.XLOOKUP(Table9[[#This Row],[ProductName ]],products[productName],products[categoryID],,0),categories[categoryID],categories[categoryName],,0)</f>
        <v>Dairy Products</v>
      </c>
      <c r="F1244">
        <v>20</v>
      </c>
      <c r="G1244">
        <v>1745</v>
      </c>
      <c r="H1244">
        <v>0</v>
      </c>
      <c r="I1244">
        <f>Table9[[#This Row],[quantity]]*Table9[[#This Row],[unitPrice]]*(1-Table9[[#This Row],[discount]]/100)</f>
        <v>34900</v>
      </c>
      <c r="J1244" t="str">
        <f>_xlfn.XLOOKUP(_xlfn.XLOOKUP(A1244,orders[orderID],orders[customerID],,0),customers__2[customerID],customers__2[companyName],,0)</f>
        <v>Königlich Essen</v>
      </c>
      <c r="K1244" t="str">
        <f>_xlfn.XLOOKUP(Table9[[#This Row],[Company Name]],customers__2[companyName],customers__2[country],,0)</f>
        <v>Germany</v>
      </c>
      <c r="L1244">
        <f>MONTH(Table9[[#This Row],[OrderDate ]])</f>
        <v>10</v>
      </c>
      <c r="M1244" t="str">
        <f>TEXT(Table9[[#This Row],[OrderDate ]],"mmm")</f>
        <v>Oct</v>
      </c>
      <c r="N1244">
        <f>YEAR(Table9[[#This Row],[OrderDate ]])</f>
        <v>2014</v>
      </c>
    </row>
    <row r="1245" spans="1:14" x14ac:dyDescent="0.3">
      <c r="A1245">
        <v>10718</v>
      </c>
      <c r="B1245" s="2">
        <f>_xlfn.XLOOKUP(Table9[[#This Row],[orderID]],orders[orderID],orders[orderDate],,0)</f>
        <v>41939</v>
      </c>
      <c r="C1245">
        <f>_xlfn.XLOOKUP(A1245,order_details[orderID],order_details[productID],,0)</f>
        <v>12</v>
      </c>
      <c r="D1245" t="str">
        <f>_xlfn.XLOOKUP(C1245,products[productID],products[productName],,0)</f>
        <v>Queso Manchego La Pastora</v>
      </c>
      <c r="E1245" t="str">
        <f>_xlfn.XLOOKUP(_xlfn.XLOOKUP(Table9[[#This Row],[ProductName ]],products[productName],products[categoryID],,0),categories[categoryID],categories[categoryName],,0)</f>
        <v>Dairy Products</v>
      </c>
      <c r="F1245">
        <v>40</v>
      </c>
      <c r="G1245">
        <v>19</v>
      </c>
      <c r="H1245">
        <v>0</v>
      </c>
      <c r="I1245">
        <f>Table9[[#This Row],[quantity]]*Table9[[#This Row],[unitPrice]]*(1-Table9[[#This Row],[discount]]/100)</f>
        <v>760</v>
      </c>
      <c r="J1245" t="str">
        <f>_xlfn.XLOOKUP(_xlfn.XLOOKUP(A1245,orders[orderID],orders[customerID],,0),customers__2[customerID],customers__2[companyName],,0)</f>
        <v>Königlich Essen</v>
      </c>
      <c r="K1245" t="str">
        <f>_xlfn.XLOOKUP(Table9[[#This Row],[Company Name]],customers__2[companyName],customers__2[country],,0)</f>
        <v>Germany</v>
      </c>
      <c r="L1245">
        <f>MONTH(Table9[[#This Row],[OrderDate ]])</f>
        <v>10</v>
      </c>
      <c r="M1245" t="str">
        <f>TEXT(Table9[[#This Row],[OrderDate ]],"mmm")</f>
        <v>Oct</v>
      </c>
      <c r="N1245">
        <f>YEAR(Table9[[#This Row],[OrderDate ]])</f>
        <v>2014</v>
      </c>
    </row>
    <row r="1246" spans="1:14" x14ac:dyDescent="0.3">
      <c r="A1246">
        <v>10718</v>
      </c>
      <c r="B1246" s="2">
        <f>_xlfn.XLOOKUP(Table9[[#This Row],[orderID]],orders[orderID],orders[orderDate],,0)</f>
        <v>41939</v>
      </c>
      <c r="C1246">
        <f>_xlfn.XLOOKUP(A1246,order_details[orderID],order_details[productID],,0)</f>
        <v>12</v>
      </c>
      <c r="D1246" t="str">
        <f>_xlfn.XLOOKUP(C1246,products[productID],products[productName],,0)</f>
        <v>Queso Manchego La Pastora</v>
      </c>
      <c r="E1246" t="str">
        <f>_xlfn.XLOOKUP(_xlfn.XLOOKUP(Table9[[#This Row],[ProductName ]],products[productName],products[categoryID],,0),categories[categoryID],categories[categoryName],,0)</f>
        <v>Dairy Products</v>
      </c>
      <c r="F1246">
        <v>20</v>
      </c>
      <c r="G1246">
        <v>493</v>
      </c>
      <c r="H1246">
        <v>0</v>
      </c>
      <c r="I1246">
        <f>Table9[[#This Row],[quantity]]*Table9[[#This Row],[unitPrice]]*(1-Table9[[#This Row],[discount]]/100)</f>
        <v>9860</v>
      </c>
      <c r="J1246" t="str">
        <f>_xlfn.XLOOKUP(_xlfn.XLOOKUP(A1246,orders[orderID],orders[customerID],,0),customers__2[customerID],customers__2[companyName],,0)</f>
        <v>Königlich Essen</v>
      </c>
      <c r="K1246" t="str">
        <f>_xlfn.XLOOKUP(Table9[[#This Row],[Company Name]],customers__2[companyName],customers__2[country],,0)</f>
        <v>Germany</v>
      </c>
      <c r="L1246">
        <f>MONTH(Table9[[#This Row],[OrderDate ]])</f>
        <v>10</v>
      </c>
      <c r="M1246" t="str">
        <f>TEXT(Table9[[#This Row],[OrderDate ]],"mmm")</f>
        <v>Oct</v>
      </c>
      <c r="N1246">
        <f>YEAR(Table9[[#This Row],[OrderDate ]])</f>
        <v>2014</v>
      </c>
    </row>
    <row r="1247" spans="1:14" x14ac:dyDescent="0.3">
      <c r="A1247">
        <v>10719</v>
      </c>
      <c r="B1247" s="2">
        <f>_xlfn.XLOOKUP(Table9[[#This Row],[orderID]],orders[orderID],orders[orderDate],,0)</f>
        <v>41939</v>
      </c>
      <c r="C1247">
        <f>_xlfn.XLOOKUP(A1247,order_details[orderID],order_details[productID],,0)</f>
        <v>18</v>
      </c>
      <c r="D1247" t="str">
        <f>_xlfn.XLOOKUP(C1247,products[productID],products[productName],,0)</f>
        <v>Carnarvon Tigers</v>
      </c>
      <c r="E1247" t="str">
        <f>_xlfn.XLOOKUP(_xlfn.XLOOKUP(Table9[[#This Row],[ProductName ]],products[productName],products[categoryID],,0),categories[categoryID],categories[categoryName],,0)</f>
        <v>Seafood</v>
      </c>
      <c r="F1247">
        <v>12</v>
      </c>
      <c r="G1247">
        <v>625</v>
      </c>
      <c r="H1247">
        <v>25</v>
      </c>
      <c r="I1247">
        <f>Table9[[#This Row],[quantity]]*Table9[[#This Row],[unitPrice]]*(1-Table9[[#This Row],[discount]]/100)</f>
        <v>5625</v>
      </c>
      <c r="J1247" t="str">
        <f>_xlfn.XLOOKUP(_xlfn.XLOOKUP(A1247,orders[orderID],orders[customerID],,0),customers__2[customerID],customers__2[companyName],,0)</f>
        <v>Let's Stop N Shop</v>
      </c>
      <c r="K1247" t="str">
        <f>_xlfn.XLOOKUP(Table9[[#This Row],[Company Name]],customers__2[companyName],customers__2[country],,0)</f>
        <v>USA</v>
      </c>
      <c r="L1247">
        <f>MONTH(Table9[[#This Row],[OrderDate ]])</f>
        <v>10</v>
      </c>
      <c r="M1247" t="str">
        <f>TEXT(Table9[[#This Row],[OrderDate ]],"mmm")</f>
        <v>Oct</v>
      </c>
      <c r="N1247">
        <f>YEAR(Table9[[#This Row],[OrderDate ]])</f>
        <v>2014</v>
      </c>
    </row>
    <row r="1248" spans="1:14" x14ac:dyDescent="0.3">
      <c r="A1248">
        <v>10719</v>
      </c>
      <c r="B1248" s="2">
        <f>_xlfn.XLOOKUP(Table9[[#This Row],[orderID]],orders[orderID],orders[orderDate],,0)</f>
        <v>41939</v>
      </c>
      <c r="C1248">
        <f>_xlfn.XLOOKUP(A1248,order_details[orderID],order_details[productID],,0)</f>
        <v>18</v>
      </c>
      <c r="D1248" t="str">
        <f>_xlfn.XLOOKUP(C1248,products[productID],products[productName],,0)</f>
        <v>Carnarvon Tigers</v>
      </c>
      <c r="E1248" t="str">
        <f>_xlfn.XLOOKUP(_xlfn.XLOOKUP(Table9[[#This Row],[ProductName ]],products[productName],products[categoryID],,0),categories[categoryID],categories[categoryName],,0)</f>
        <v>Seafood</v>
      </c>
      <c r="F1248">
        <v>3</v>
      </c>
      <c r="G1248">
        <v>2589</v>
      </c>
      <c r="H1248">
        <v>25</v>
      </c>
      <c r="I1248">
        <f>Table9[[#This Row],[quantity]]*Table9[[#This Row],[unitPrice]]*(1-Table9[[#This Row],[discount]]/100)</f>
        <v>5825.25</v>
      </c>
      <c r="J1248" t="str">
        <f>_xlfn.XLOOKUP(_xlfn.XLOOKUP(A1248,orders[orderID],orders[customerID],,0),customers__2[customerID],customers__2[companyName],,0)</f>
        <v>Let's Stop N Shop</v>
      </c>
      <c r="K1248" t="str">
        <f>_xlfn.XLOOKUP(Table9[[#This Row],[Company Name]],customers__2[companyName],customers__2[country],,0)</f>
        <v>USA</v>
      </c>
      <c r="L1248">
        <f>MONTH(Table9[[#This Row],[OrderDate ]])</f>
        <v>10</v>
      </c>
      <c r="M1248" t="str">
        <f>TEXT(Table9[[#This Row],[OrderDate ]],"mmm")</f>
        <v>Oct</v>
      </c>
      <c r="N1248">
        <f>YEAR(Table9[[#This Row],[OrderDate ]])</f>
        <v>2014</v>
      </c>
    </row>
    <row r="1249" spans="1:14" x14ac:dyDescent="0.3">
      <c r="A1249">
        <v>10719</v>
      </c>
      <c r="B1249" s="2">
        <f>_xlfn.XLOOKUP(Table9[[#This Row],[orderID]],orders[orderID],orders[orderDate],,0)</f>
        <v>41939</v>
      </c>
      <c r="C1249">
        <f>_xlfn.XLOOKUP(A1249,order_details[orderID],order_details[productID],,0)</f>
        <v>18</v>
      </c>
      <c r="D1249" t="str">
        <f>_xlfn.XLOOKUP(C1249,products[productID],products[productName],,0)</f>
        <v>Carnarvon Tigers</v>
      </c>
      <c r="E1249" t="str">
        <f>_xlfn.XLOOKUP(_xlfn.XLOOKUP(Table9[[#This Row],[ProductName ]],products[productName],products[categoryID],,0),categories[categoryID],categories[categoryName],,0)</f>
        <v>Seafood</v>
      </c>
      <c r="F1249">
        <v>40</v>
      </c>
      <c r="G1249">
        <v>745</v>
      </c>
      <c r="H1249">
        <v>25</v>
      </c>
      <c r="I1249">
        <f>Table9[[#This Row],[quantity]]*Table9[[#This Row],[unitPrice]]*(1-Table9[[#This Row],[discount]]/100)</f>
        <v>22350</v>
      </c>
      <c r="J1249" t="str">
        <f>_xlfn.XLOOKUP(_xlfn.XLOOKUP(A1249,orders[orderID],orders[customerID],,0),customers__2[customerID],customers__2[companyName],,0)</f>
        <v>Let's Stop N Shop</v>
      </c>
      <c r="K1249" t="str">
        <f>_xlfn.XLOOKUP(Table9[[#This Row],[Company Name]],customers__2[companyName],customers__2[country],,0)</f>
        <v>USA</v>
      </c>
      <c r="L1249">
        <f>MONTH(Table9[[#This Row],[OrderDate ]])</f>
        <v>10</v>
      </c>
      <c r="M1249" t="str">
        <f>TEXT(Table9[[#This Row],[OrderDate ]],"mmm")</f>
        <v>Oct</v>
      </c>
      <c r="N1249">
        <f>YEAR(Table9[[#This Row],[OrderDate ]])</f>
        <v>2014</v>
      </c>
    </row>
    <row r="1250" spans="1:14" x14ac:dyDescent="0.3">
      <c r="A1250">
        <v>10720</v>
      </c>
      <c r="B1250" s="2">
        <f>_xlfn.XLOOKUP(Table9[[#This Row],[orderID]],orders[orderID],orders[orderDate],,0)</f>
        <v>41940</v>
      </c>
      <c r="C1250">
        <f>_xlfn.XLOOKUP(A1250,order_details[orderID],order_details[productID],,0)</f>
        <v>35</v>
      </c>
      <c r="D1250" t="str">
        <f>_xlfn.XLOOKUP(C1250,products[productID],products[productName],,0)</f>
        <v>Steeleye Stout</v>
      </c>
      <c r="E1250" t="str">
        <f>_xlfn.XLOOKUP(_xlfn.XLOOKUP(Table9[[#This Row],[ProductName ]],products[productName],products[categoryID],,0),categories[categoryID],categories[categoryName],,0)</f>
        <v>Beverages</v>
      </c>
      <c r="F1250">
        <v>21</v>
      </c>
      <c r="G1250">
        <v>18</v>
      </c>
      <c r="H1250">
        <v>0</v>
      </c>
      <c r="I1250">
        <f>Table9[[#This Row],[quantity]]*Table9[[#This Row],[unitPrice]]*(1-Table9[[#This Row],[discount]]/100)</f>
        <v>378</v>
      </c>
      <c r="J1250" t="str">
        <f>_xlfn.XLOOKUP(_xlfn.XLOOKUP(A1250,orders[orderID],orders[customerID],,0),customers__2[customerID],customers__2[companyName],,0)</f>
        <v>Que Delícia</v>
      </c>
      <c r="K1250" t="str">
        <f>_xlfn.XLOOKUP(Table9[[#This Row],[Company Name]],customers__2[companyName],customers__2[country],,0)</f>
        <v>Brazil</v>
      </c>
      <c r="L1250">
        <f>MONTH(Table9[[#This Row],[OrderDate ]])</f>
        <v>10</v>
      </c>
      <c r="M1250" t="str">
        <f>TEXT(Table9[[#This Row],[OrderDate ]],"mmm")</f>
        <v>Oct</v>
      </c>
      <c r="N1250">
        <f>YEAR(Table9[[#This Row],[OrderDate ]])</f>
        <v>2014</v>
      </c>
    </row>
    <row r="1251" spans="1:14" x14ac:dyDescent="0.3">
      <c r="A1251">
        <v>10720</v>
      </c>
      <c r="B1251" s="2">
        <f>_xlfn.XLOOKUP(Table9[[#This Row],[orderID]],orders[orderID],orders[orderDate],,0)</f>
        <v>41940</v>
      </c>
      <c r="C1251">
        <f>_xlfn.XLOOKUP(A1251,order_details[orderID],order_details[productID],,0)</f>
        <v>35</v>
      </c>
      <c r="D1251" t="str">
        <f>_xlfn.XLOOKUP(C1251,products[productID],products[productName],,0)</f>
        <v>Steeleye Stout</v>
      </c>
      <c r="E1251" t="str">
        <f>_xlfn.XLOOKUP(_xlfn.XLOOKUP(Table9[[#This Row],[ProductName ]],products[productName],products[categoryID],,0),categories[categoryID],categories[categoryName],,0)</f>
        <v>Beverages</v>
      </c>
      <c r="F1251">
        <v>8</v>
      </c>
      <c r="G1251">
        <v>215</v>
      </c>
      <c r="H1251">
        <v>0</v>
      </c>
      <c r="I1251">
        <f>Table9[[#This Row],[quantity]]*Table9[[#This Row],[unitPrice]]*(1-Table9[[#This Row],[discount]]/100)</f>
        <v>1720</v>
      </c>
      <c r="J1251" t="str">
        <f>_xlfn.XLOOKUP(_xlfn.XLOOKUP(A1251,orders[orderID],orders[customerID],,0),customers__2[customerID],customers__2[companyName],,0)</f>
        <v>Que Delícia</v>
      </c>
      <c r="K1251" t="str">
        <f>_xlfn.XLOOKUP(Table9[[#This Row],[Company Name]],customers__2[companyName],customers__2[country],,0)</f>
        <v>Brazil</v>
      </c>
      <c r="L1251">
        <f>MONTH(Table9[[#This Row],[OrderDate ]])</f>
        <v>10</v>
      </c>
      <c r="M1251" t="str">
        <f>TEXT(Table9[[#This Row],[OrderDate ]],"mmm")</f>
        <v>Oct</v>
      </c>
      <c r="N1251">
        <f>YEAR(Table9[[#This Row],[OrderDate ]])</f>
        <v>2014</v>
      </c>
    </row>
    <row r="1252" spans="1:14" x14ac:dyDescent="0.3">
      <c r="A1252">
        <v>10721</v>
      </c>
      <c r="B1252" s="2">
        <f>_xlfn.XLOOKUP(Table9[[#This Row],[orderID]],orders[orderID],orders[orderDate],,0)</f>
        <v>41941</v>
      </c>
      <c r="C1252">
        <f>_xlfn.XLOOKUP(A1252,order_details[orderID],order_details[productID],,0)</f>
        <v>44</v>
      </c>
      <c r="D1252" t="str">
        <f>_xlfn.XLOOKUP(C1252,products[productID],products[productName],,0)</f>
        <v>Gula Malacca</v>
      </c>
      <c r="E1252" t="str">
        <f>_xlfn.XLOOKUP(_xlfn.XLOOKUP(Table9[[#This Row],[ProductName ]],products[productName],products[categoryID],,0),categories[categoryID],categories[categoryName],,0)</f>
        <v>Condiments</v>
      </c>
      <c r="F1252">
        <v>50</v>
      </c>
      <c r="G1252">
        <v>1945</v>
      </c>
      <c r="H1252">
        <v>5</v>
      </c>
      <c r="I1252">
        <f>Table9[[#This Row],[quantity]]*Table9[[#This Row],[unitPrice]]*(1-Table9[[#This Row],[discount]]/100)</f>
        <v>92387.5</v>
      </c>
      <c r="J1252" t="str">
        <f>_xlfn.XLOOKUP(_xlfn.XLOOKUP(A1252,orders[orderID],orders[customerID],,0),customers__2[customerID],customers__2[companyName],,0)</f>
        <v>QUICK-Stop</v>
      </c>
      <c r="K1252" t="str">
        <f>_xlfn.XLOOKUP(Table9[[#This Row],[Company Name]],customers__2[companyName],customers__2[country],,0)</f>
        <v>Germany</v>
      </c>
      <c r="L1252">
        <f>MONTH(Table9[[#This Row],[OrderDate ]])</f>
        <v>10</v>
      </c>
      <c r="M1252" t="str">
        <f>TEXT(Table9[[#This Row],[OrderDate ]],"mmm")</f>
        <v>Oct</v>
      </c>
      <c r="N1252">
        <f>YEAR(Table9[[#This Row],[OrderDate ]])</f>
        <v>2014</v>
      </c>
    </row>
    <row r="1253" spans="1:14" x14ac:dyDescent="0.3">
      <c r="A1253">
        <v>10722</v>
      </c>
      <c r="B1253" s="2">
        <f>_xlfn.XLOOKUP(Table9[[#This Row],[orderID]],orders[orderID],orders[orderDate],,0)</f>
        <v>41941</v>
      </c>
      <c r="C1253">
        <f>_xlfn.XLOOKUP(A1253,order_details[orderID],order_details[productID],,0)</f>
        <v>2</v>
      </c>
      <c r="D1253" t="str">
        <f>_xlfn.XLOOKUP(C1253,products[productID],products[productName],,0)</f>
        <v>Chang</v>
      </c>
      <c r="E1253" t="str">
        <f>_xlfn.XLOOKUP(_xlfn.XLOOKUP(Table9[[#This Row],[ProductName ]],products[productName],products[categoryID],,0),categories[categoryID],categories[categoryName],,0)</f>
        <v>Beverages</v>
      </c>
      <c r="F1253">
        <v>3</v>
      </c>
      <c r="G1253">
        <v>19</v>
      </c>
      <c r="H1253">
        <v>0</v>
      </c>
      <c r="I1253">
        <f>Table9[[#This Row],[quantity]]*Table9[[#This Row],[unitPrice]]*(1-Table9[[#This Row],[discount]]/100)</f>
        <v>57</v>
      </c>
      <c r="J1253" t="str">
        <f>_xlfn.XLOOKUP(_xlfn.XLOOKUP(A1253,orders[orderID],orders[customerID],,0),customers__2[customerID],customers__2[companyName],,0)</f>
        <v>Save-a-lot Markets</v>
      </c>
      <c r="K1253" t="str">
        <f>_xlfn.XLOOKUP(Table9[[#This Row],[Company Name]],customers__2[companyName],customers__2[country],,0)</f>
        <v>USA</v>
      </c>
      <c r="L1253">
        <f>MONTH(Table9[[#This Row],[OrderDate ]])</f>
        <v>10</v>
      </c>
      <c r="M1253" t="str">
        <f>TEXT(Table9[[#This Row],[OrderDate ]],"mmm")</f>
        <v>Oct</v>
      </c>
      <c r="N1253">
        <f>YEAR(Table9[[#This Row],[OrderDate ]])</f>
        <v>2014</v>
      </c>
    </row>
    <row r="1254" spans="1:14" x14ac:dyDescent="0.3">
      <c r="A1254">
        <v>10722</v>
      </c>
      <c r="B1254" s="2">
        <f>_xlfn.XLOOKUP(Table9[[#This Row],[orderID]],orders[orderID],orders[orderDate],,0)</f>
        <v>41941</v>
      </c>
      <c r="C1254">
        <f>_xlfn.XLOOKUP(A1254,order_details[orderID],order_details[productID],,0)</f>
        <v>2</v>
      </c>
      <c r="D1254" t="str">
        <f>_xlfn.XLOOKUP(C1254,products[productID],products[productName],,0)</f>
        <v>Chang</v>
      </c>
      <c r="E1254" t="str">
        <f>_xlfn.XLOOKUP(_xlfn.XLOOKUP(Table9[[#This Row],[ProductName ]],products[productName],products[categoryID],,0),categories[categoryID],categories[categoryName],,0)</f>
        <v>Beverages</v>
      </c>
      <c r="F1254">
        <v>50</v>
      </c>
      <c r="G1254">
        <v>125</v>
      </c>
      <c r="H1254">
        <v>0</v>
      </c>
      <c r="I1254">
        <f>Table9[[#This Row],[quantity]]*Table9[[#This Row],[unitPrice]]*(1-Table9[[#This Row],[discount]]/100)</f>
        <v>6250</v>
      </c>
      <c r="J1254" t="str">
        <f>_xlfn.XLOOKUP(_xlfn.XLOOKUP(A1254,orders[orderID],orders[customerID],,0),customers__2[customerID],customers__2[companyName],,0)</f>
        <v>Save-a-lot Markets</v>
      </c>
      <c r="K1254" t="str">
        <f>_xlfn.XLOOKUP(Table9[[#This Row],[Company Name]],customers__2[companyName],customers__2[country],,0)</f>
        <v>USA</v>
      </c>
      <c r="L1254">
        <f>MONTH(Table9[[#This Row],[OrderDate ]])</f>
        <v>10</v>
      </c>
      <c r="M1254" t="str">
        <f>TEXT(Table9[[#This Row],[OrderDate ]],"mmm")</f>
        <v>Oct</v>
      </c>
      <c r="N1254">
        <f>YEAR(Table9[[#This Row],[OrderDate ]])</f>
        <v>2014</v>
      </c>
    </row>
    <row r="1255" spans="1:14" x14ac:dyDescent="0.3">
      <c r="A1255">
        <v>10722</v>
      </c>
      <c r="B1255" s="2">
        <f>_xlfn.XLOOKUP(Table9[[#This Row],[orderID]],orders[orderID],orders[orderDate],,0)</f>
        <v>41941</v>
      </c>
      <c r="C1255">
        <f>_xlfn.XLOOKUP(A1255,order_details[orderID],order_details[productID],,0)</f>
        <v>2</v>
      </c>
      <c r="D1255" t="str">
        <f>_xlfn.XLOOKUP(C1255,products[productID],products[productName],,0)</f>
        <v>Chang</v>
      </c>
      <c r="E1255" t="str">
        <f>_xlfn.XLOOKUP(_xlfn.XLOOKUP(Table9[[#This Row],[ProductName ]],products[productName],products[categoryID],,0),categories[categoryID],categories[categoryName],,0)</f>
        <v>Beverages</v>
      </c>
      <c r="F1255">
        <v>45</v>
      </c>
      <c r="G1255">
        <v>125</v>
      </c>
      <c r="H1255">
        <v>0</v>
      </c>
      <c r="I1255">
        <f>Table9[[#This Row],[quantity]]*Table9[[#This Row],[unitPrice]]*(1-Table9[[#This Row],[discount]]/100)</f>
        <v>5625</v>
      </c>
      <c r="J1255" t="str">
        <f>_xlfn.XLOOKUP(_xlfn.XLOOKUP(A1255,orders[orderID],orders[customerID],,0),customers__2[customerID],customers__2[companyName],,0)</f>
        <v>Save-a-lot Markets</v>
      </c>
      <c r="K1255" t="str">
        <f>_xlfn.XLOOKUP(Table9[[#This Row],[Company Name]],customers__2[companyName],customers__2[country],,0)</f>
        <v>USA</v>
      </c>
      <c r="L1255">
        <f>MONTH(Table9[[#This Row],[OrderDate ]])</f>
        <v>10</v>
      </c>
      <c r="M1255" t="str">
        <f>TEXT(Table9[[#This Row],[OrderDate ]],"mmm")</f>
        <v>Oct</v>
      </c>
      <c r="N1255">
        <f>YEAR(Table9[[#This Row],[OrderDate ]])</f>
        <v>2014</v>
      </c>
    </row>
    <row r="1256" spans="1:14" x14ac:dyDescent="0.3">
      <c r="A1256">
        <v>10722</v>
      </c>
      <c r="B1256" s="2">
        <f>_xlfn.XLOOKUP(Table9[[#This Row],[orderID]],orders[orderID],orders[orderDate],,0)</f>
        <v>41941</v>
      </c>
      <c r="C1256">
        <f>_xlfn.XLOOKUP(A1256,order_details[orderID],order_details[productID],,0)</f>
        <v>2</v>
      </c>
      <c r="D1256" t="str">
        <f>_xlfn.XLOOKUP(C1256,products[productID],products[productName],,0)</f>
        <v>Chang</v>
      </c>
      <c r="E1256" t="str">
        <f>_xlfn.XLOOKUP(_xlfn.XLOOKUP(Table9[[#This Row],[ProductName ]],products[productName],products[categoryID],,0),categories[categoryID],categories[categoryName],,0)</f>
        <v>Beverages</v>
      </c>
      <c r="F1256">
        <v>42</v>
      </c>
      <c r="G1256">
        <v>775</v>
      </c>
      <c r="H1256">
        <v>0</v>
      </c>
      <c r="I1256">
        <f>Table9[[#This Row],[quantity]]*Table9[[#This Row],[unitPrice]]*(1-Table9[[#This Row],[discount]]/100)</f>
        <v>32550</v>
      </c>
      <c r="J1256" t="str">
        <f>_xlfn.XLOOKUP(_xlfn.XLOOKUP(A1256,orders[orderID],orders[customerID],,0),customers__2[customerID],customers__2[companyName],,0)</f>
        <v>Save-a-lot Markets</v>
      </c>
      <c r="K1256" t="str">
        <f>_xlfn.XLOOKUP(Table9[[#This Row],[Company Name]],customers__2[companyName],customers__2[country],,0)</f>
        <v>USA</v>
      </c>
      <c r="L1256">
        <f>MONTH(Table9[[#This Row],[OrderDate ]])</f>
        <v>10</v>
      </c>
      <c r="M1256" t="str">
        <f>TEXT(Table9[[#This Row],[OrderDate ]],"mmm")</f>
        <v>Oct</v>
      </c>
      <c r="N1256">
        <f>YEAR(Table9[[#This Row],[OrderDate ]])</f>
        <v>2014</v>
      </c>
    </row>
    <row r="1257" spans="1:14" x14ac:dyDescent="0.3">
      <c r="A1257">
        <v>10723</v>
      </c>
      <c r="B1257" s="2">
        <f>_xlfn.XLOOKUP(Table9[[#This Row],[orderID]],orders[orderID],orders[orderDate],,0)</f>
        <v>41942</v>
      </c>
      <c r="C1257">
        <f>_xlfn.XLOOKUP(A1257,order_details[orderID],order_details[productID],,0)</f>
        <v>26</v>
      </c>
      <c r="D1257" t="str">
        <f>_xlfn.XLOOKUP(C1257,products[productID],products[productName],,0)</f>
        <v>Gumbär Gummibärchen</v>
      </c>
      <c r="E1257" t="str">
        <f>_xlfn.XLOOKUP(_xlfn.XLOOKUP(Table9[[#This Row],[ProductName ]],products[productName],products[categoryID],,0),categories[categoryID],categories[categoryName],,0)</f>
        <v>Confections</v>
      </c>
      <c r="F1257">
        <v>15</v>
      </c>
      <c r="G1257">
        <v>3123</v>
      </c>
      <c r="H1257">
        <v>0</v>
      </c>
      <c r="I1257">
        <f>Table9[[#This Row],[quantity]]*Table9[[#This Row],[unitPrice]]*(1-Table9[[#This Row],[discount]]/100)</f>
        <v>46845</v>
      </c>
      <c r="J1257" t="str">
        <f>_xlfn.XLOOKUP(_xlfn.XLOOKUP(A1257,orders[orderID],orders[customerID],,0),customers__2[customerID],customers__2[companyName],,0)</f>
        <v>White Clover Markets</v>
      </c>
      <c r="K1257" t="str">
        <f>_xlfn.XLOOKUP(Table9[[#This Row],[Company Name]],customers__2[companyName],customers__2[country],,0)</f>
        <v>USA</v>
      </c>
      <c r="L1257">
        <f>MONTH(Table9[[#This Row],[OrderDate ]])</f>
        <v>10</v>
      </c>
      <c r="M1257" t="str">
        <f>TEXT(Table9[[#This Row],[OrderDate ]],"mmm")</f>
        <v>Oct</v>
      </c>
      <c r="N1257">
        <f>YEAR(Table9[[#This Row],[OrderDate ]])</f>
        <v>2014</v>
      </c>
    </row>
    <row r="1258" spans="1:14" x14ac:dyDescent="0.3">
      <c r="A1258">
        <v>10724</v>
      </c>
      <c r="B1258" s="2">
        <f>_xlfn.XLOOKUP(Table9[[#This Row],[orderID]],orders[orderID],orders[orderDate],,0)</f>
        <v>41942</v>
      </c>
      <c r="C1258">
        <f>_xlfn.XLOOKUP(A1258,order_details[orderID],order_details[productID],,0)</f>
        <v>10</v>
      </c>
      <c r="D1258" t="str">
        <f>_xlfn.XLOOKUP(C1258,products[productID],products[productName],,0)</f>
        <v>Ikura</v>
      </c>
      <c r="E1258" t="str">
        <f>_xlfn.XLOOKUP(_xlfn.XLOOKUP(Table9[[#This Row],[ProductName ]],products[productName],products[categoryID],,0),categories[categoryID],categories[categoryName],,0)</f>
        <v>Seafood</v>
      </c>
      <c r="F1258">
        <v>16</v>
      </c>
      <c r="G1258">
        <v>31</v>
      </c>
      <c r="H1258">
        <v>0</v>
      </c>
      <c r="I1258">
        <f>Table9[[#This Row],[quantity]]*Table9[[#This Row],[unitPrice]]*(1-Table9[[#This Row],[discount]]/100)</f>
        <v>496</v>
      </c>
      <c r="J1258" t="str">
        <f>_xlfn.XLOOKUP(_xlfn.XLOOKUP(A1258,orders[orderID],orders[customerID],,0),customers__2[customerID],customers__2[companyName],,0)</f>
        <v>Mère Paillarde</v>
      </c>
      <c r="K1258" t="str">
        <f>_xlfn.XLOOKUP(Table9[[#This Row],[Company Name]],customers__2[companyName],customers__2[country],,0)</f>
        <v>Canada</v>
      </c>
      <c r="L1258">
        <f>MONTH(Table9[[#This Row],[OrderDate ]])</f>
        <v>10</v>
      </c>
      <c r="M1258" t="str">
        <f>TEXT(Table9[[#This Row],[OrderDate ]],"mmm")</f>
        <v>Oct</v>
      </c>
      <c r="N1258">
        <f>YEAR(Table9[[#This Row],[OrderDate ]])</f>
        <v>2014</v>
      </c>
    </row>
    <row r="1259" spans="1:14" x14ac:dyDescent="0.3">
      <c r="A1259">
        <v>10724</v>
      </c>
      <c r="B1259" s="2">
        <f>_xlfn.XLOOKUP(Table9[[#This Row],[orderID]],orders[orderID],orders[orderDate],,0)</f>
        <v>41942</v>
      </c>
      <c r="C1259">
        <f>_xlfn.XLOOKUP(A1259,order_details[orderID],order_details[productID],,0)</f>
        <v>10</v>
      </c>
      <c r="D1259" t="str">
        <f>_xlfn.XLOOKUP(C1259,products[productID],products[productName],,0)</f>
        <v>Ikura</v>
      </c>
      <c r="E1259" t="str">
        <f>_xlfn.XLOOKUP(_xlfn.XLOOKUP(Table9[[#This Row],[ProductName ]],products[productName],products[categoryID],,0),categories[categoryID],categories[categoryName],,0)</f>
        <v>Seafood</v>
      </c>
      <c r="F1259">
        <v>5</v>
      </c>
      <c r="G1259">
        <v>285</v>
      </c>
      <c r="H1259">
        <v>0</v>
      </c>
      <c r="I1259">
        <f>Table9[[#This Row],[quantity]]*Table9[[#This Row],[unitPrice]]*(1-Table9[[#This Row],[discount]]/100)</f>
        <v>1425</v>
      </c>
      <c r="J1259" t="str">
        <f>_xlfn.XLOOKUP(_xlfn.XLOOKUP(A1259,orders[orderID],orders[customerID],,0),customers__2[customerID],customers__2[companyName],,0)</f>
        <v>Mère Paillarde</v>
      </c>
      <c r="K1259" t="str">
        <f>_xlfn.XLOOKUP(Table9[[#This Row],[Company Name]],customers__2[companyName],customers__2[country],,0)</f>
        <v>Canada</v>
      </c>
      <c r="L1259">
        <f>MONTH(Table9[[#This Row],[OrderDate ]])</f>
        <v>10</v>
      </c>
      <c r="M1259" t="str">
        <f>TEXT(Table9[[#This Row],[OrderDate ]],"mmm")</f>
        <v>Oct</v>
      </c>
      <c r="N1259">
        <f>YEAR(Table9[[#This Row],[OrderDate ]])</f>
        <v>2014</v>
      </c>
    </row>
    <row r="1260" spans="1:14" x14ac:dyDescent="0.3">
      <c r="A1260">
        <v>10725</v>
      </c>
      <c r="B1260" s="2">
        <f>_xlfn.XLOOKUP(Table9[[#This Row],[orderID]],orders[orderID],orders[orderDate],,0)</f>
        <v>41943</v>
      </c>
      <c r="C1260">
        <f>_xlfn.XLOOKUP(A1260,order_details[orderID],order_details[productID],,0)</f>
        <v>41</v>
      </c>
      <c r="D1260" t="str">
        <f>_xlfn.XLOOKUP(C1260,products[productID],products[productName],,0)</f>
        <v>Jack's New England Clam Chowder</v>
      </c>
      <c r="E1260" t="str">
        <f>_xlfn.XLOOKUP(_xlfn.XLOOKUP(Table9[[#This Row],[ProductName ]],products[productName],products[categoryID],,0),categories[categoryID],categories[categoryName],,0)</f>
        <v>Seafood</v>
      </c>
      <c r="F1260">
        <v>12</v>
      </c>
      <c r="G1260">
        <v>965</v>
      </c>
      <c r="H1260">
        <v>0</v>
      </c>
      <c r="I1260">
        <f>Table9[[#This Row],[quantity]]*Table9[[#This Row],[unitPrice]]*(1-Table9[[#This Row],[discount]]/100)</f>
        <v>11580</v>
      </c>
      <c r="J1260" t="str">
        <f>_xlfn.XLOOKUP(_xlfn.XLOOKUP(A1260,orders[orderID],orders[customerID],,0),customers__2[customerID],customers__2[companyName],,0)</f>
        <v>Familia Arquibaldo</v>
      </c>
      <c r="K1260" t="str">
        <f>_xlfn.XLOOKUP(Table9[[#This Row],[Company Name]],customers__2[companyName],customers__2[country],,0)</f>
        <v>Brazil</v>
      </c>
      <c r="L1260">
        <f>MONTH(Table9[[#This Row],[OrderDate ]])</f>
        <v>10</v>
      </c>
      <c r="M1260" t="str">
        <f>TEXT(Table9[[#This Row],[OrderDate ]],"mmm")</f>
        <v>Oct</v>
      </c>
      <c r="N1260">
        <f>YEAR(Table9[[#This Row],[OrderDate ]])</f>
        <v>2014</v>
      </c>
    </row>
    <row r="1261" spans="1:14" x14ac:dyDescent="0.3">
      <c r="A1261">
        <v>10725</v>
      </c>
      <c r="B1261" s="2">
        <f>_xlfn.XLOOKUP(Table9[[#This Row],[orderID]],orders[orderID],orders[orderDate],,0)</f>
        <v>41943</v>
      </c>
      <c r="C1261">
        <f>_xlfn.XLOOKUP(A1261,order_details[orderID],order_details[productID],,0)</f>
        <v>41</v>
      </c>
      <c r="D1261" t="str">
        <f>_xlfn.XLOOKUP(C1261,products[productID],products[productName],,0)</f>
        <v>Jack's New England Clam Chowder</v>
      </c>
      <c r="E1261" t="str">
        <f>_xlfn.XLOOKUP(_xlfn.XLOOKUP(Table9[[#This Row],[ProductName ]],products[productName],products[categoryID],,0),categories[categoryID],categories[categoryName],,0)</f>
        <v>Seafood</v>
      </c>
      <c r="F1261">
        <v>4</v>
      </c>
      <c r="G1261">
        <v>7</v>
      </c>
      <c r="H1261">
        <v>0</v>
      </c>
      <c r="I1261">
        <f>Table9[[#This Row],[quantity]]*Table9[[#This Row],[unitPrice]]*(1-Table9[[#This Row],[discount]]/100)</f>
        <v>28</v>
      </c>
      <c r="J1261" t="str">
        <f>_xlfn.XLOOKUP(_xlfn.XLOOKUP(A1261,orders[orderID],orders[customerID],,0),customers__2[customerID],customers__2[companyName],,0)</f>
        <v>Familia Arquibaldo</v>
      </c>
      <c r="K1261" t="str">
        <f>_xlfn.XLOOKUP(Table9[[#This Row],[Company Name]],customers__2[companyName],customers__2[country],,0)</f>
        <v>Brazil</v>
      </c>
      <c r="L1261">
        <f>MONTH(Table9[[#This Row],[OrderDate ]])</f>
        <v>10</v>
      </c>
      <c r="M1261" t="str">
        <f>TEXT(Table9[[#This Row],[OrderDate ]],"mmm")</f>
        <v>Oct</v>
      </c>
      <c r="N1261">
        <f>YEAR(Table9[[#This Row],[OrderDate ]])</f>
        <v>2014</v>
      </c>
    </row>
    <row r="1262" spans="1:14" x14ac:dyDescent="0.3">
      <c r="A1262">
        <v>10725</v>
      </c>
      <c r="B1262" s="2">
        <f>_xlfn.XLOOKUP(Table9[[#This Row],[orderID]],orders[orderID],orders[orderDate],,0)</f>
        <v>41943</v>
      </c>
      <c r="C1262">
        <f>_xlfn.XLOOKUP(A1262,order_details[orderID],order_details[productID],,0)</f>
        <v>41</v>
      </c>
      <c r="D1262" t="str">
        <f>_xlfn.XLOOKUP(C1262,products[productID],products[productName],,0)</f>
        <v>Jack's New England Clam Chowder</v>
      </c>
      <c r="E1262" t="str">
        <f>_xlfn.XLOOKUP(_xlfn.XLOOKUP(Table9[[#This Row],[ProductName ]],products[productName],products[categoryID],,0),categories[categoryID],categories[categoryName],,0)</f>
        <v>Seafood</v>
      </c>
      <c r="F1262">
        <v>6</v>
      </c>
      <c r="G1262">
        <v>24</v>
      </c>
      <c r="H1262">
        <v>0</v>
      </c>
      <c r="I1262">
        <f>Table9[[#This Row],[quantity]]*Table9[[#This Row],[unitPrice]]*(1-Table9[[#This Row],[discount]]/100)</f>
        <v>144</v>
      </c>
      <c r="J1262" t="str">
        <f>_xlfn.XLOOKUP(_xlfn.XLOOKUP(A1262,orders[orderID],orders[customerID],,0),customers__2[customerID],customers__2[companyName],,0)</f>
        <v>Familia Arquibaldo</v>
      </c>
      <c r="K1262" t="str">
        <f>_xlfn.XLOOKUP(Table9[[#This Row],[Company Name]],customers__2[companyName],customers__2[country],,0)</f>
        <v>Brazil</v>
      </c>
      <c r="L1262">
        <f>MONTH(Table9[[#This Row],[OrderDate ]])</f>
        <v>10</v>
      </c>
      <c r="M1262" t="str">
        <f>TEXT(Table9[[#This Row],[OrderDate ]],"mmm")</f>
        <v>Oct</v>
      </c>
      <c r="N1262">
        <f>YEAR(Table9[[#This Row],[OrderDate ]])</f>
        <v>2014</v>
      </c>
    </row>
    <row r="1263" spans="1:14" x14ac:dyDescent="0.3">
      <c r="A1263">
        <v>10726</v>
      </c>
      <c r="B1263" s="2">
        <f>_xlfn.XLOOKUP(Table9[[#This Row],[orderID]],orders[orderID],orders[orderDate],,0)</f>
        <v>41946</v>
      </c>
      <c r="C1263">
        <f>_xlfn.XLOOKUP(A1263,order_details[orderID],order_details[productID],,0)</f>
        <v>4</v>
      </c>
      <c r="D1263" t="str">
        <f>_xlfn.XLOOKUP(C1263,products[productID],products[productName],,0)</f>
        <v>Chef Anton's Cajun Seasoning</v>
      </c>
      <c r="E1263" t="str">
        <f>_xlfn.XLOOKUP(_xlfn.XLOOKUP(Table9[[#This Row],[ProductName ]],products[productName],products[categoryID],,0),categories[categoryID],categories[categoryName],,0)</f>
        <v>Condiments</v>
      </c>
      <c r="F1263">
        <v>25</v>
      </c>
      <c r="G1263">
        <v>22</v>
      </c>
      <c r="H1263">
        <v>0</v>
      </c>
      <c r="I1263">
        <f>Table9[[#This Row],[quantity]]*Table9[[#This Row],[unitPrice]]*(1-Table9[[#This Row],[discount]]/100)</f>
        <v>550</v>
      </c>
      <c r="J1263" t="str">
        <f>_xlfn.XLOOKUP(_xlfn.XLOOKUP(A1263,orders[orderID],orders[customerID],,0),customers__2[customerID],customers__2[companyName],,0)</f>
        <v>Eastern Connection</v>
      </c>
      <c r="K1263" t="str">
        <f>_xlfn.XLOOKUP(Table9[[#This Row],[Company Name]],customers__2[companyName],customers__2[country],,0)</f>
        <v>UK</v>
      </c>
      <c r="L1263">
        <f>MONTH(Table9[[#This Row],[OrderDate ]])</f>
        <v>11</v>
      </c>
      <c r="M1263" t="str">
        <f>TEXT(Table9[[#This Row],[OrderDate ]],"mmm")</f>
        <v>Nov</v>
      </c>
      <c r="N1263">
        <f>YEAR(Table9[[#This Row],[OrderDate ]])</f>
        <v>2014</v>
      </c>
    </row>
    <row r="1264" spans="1:14" x14ac:dyDescent="0.3">
      <c r="A1264">
        <v>10726</v>
      </c>
      <c r="B1264" s="2">
        <f>_xlfn.XLOOKUP(Table9[[#This Row],[orderID]],orders[orderID],orders[orderDate],,0)</f>
        <v>41946</v>
      </c>
      <c r="C1264">
        <f>_xlfn.XLOOKUP(A1264,order_details[orderID],order_details[productID],,0)</f>
        <v>4</v>
      </c>
      <c r="D1264" t="str">
        <f>_xlfn.XLOOKUP(C1264,products[productID],products[productName],,0)</f>
        <v>Chef Anton's Cajun Seasoning</v>
      </c>
      <c r="E1264" t="str">
        <f>_xlfn.XLOOKUP(_xlfn.XLOOKUP(Table9[[#This Row],[ProductName ]],products[productName],products[categoryID],,0),categories[categoryID],categories[categoryName],,0)</f>
        <v>Condiments</v>
      </c>
      <c r="F1264">
        <v>5</v>
      </c>
      <c r="G1264">
        <v>21</v>
      </c>
      <c r="H1264">
        <v>0</v>
      </c>
      <c r="I1264">
        <f>Table9[[#This Row],[quantity]]*Table9[[#This Row],[unitPrice]]*(1-Table9[[#This Row],[discount]]/100)</f>
        <v>105</v>
      </c>
      <c r="J1264" t="str">
        <f>_xlfn.XLOOKUP(_xlfn.XLOOKUP(A1264,orders[orderID],orders[customerID],,0),customers__2[customerID],customers__2[companyName],,0)</f>
        <v>Eastern Connection</v>
      </c>
      <c r="K1264" t="str">
        <f>_xlfn.XLOOKUP(Table9[[#This Row],[Company Name]],customers__2[companyName],customers__2[country],,0)</f>
        <v>UK</v>
      </c>
      <c r="L1264">
        <f>MONTH(Table9[[#This Row],[OrderDate ]])</f>
        <v>11</v>
      </c>
      <c r="M1264" t="str">
        <f>TEXT(Table9[[#This Row],[OrderDate ]],"mmm")</f>
        <v>Nov</v>
      </c>
      <c r="N1264">
        <f>YEAR(Table9[[#This Row],[OrderDate ]])</f>
        <v>2014</v>
      </c>
    </row>
    <row r="1265" spans="1:14" x14ac:dyDescent="0.3">
      <c r="A1265">
        <v>10727</v>
      </c>
      <c r="B1265" s="2">
        <f>_xlfn.XLOOKUP(Table9[[#This Row],[orderID]],orders[orderID],orders[orderDate],,0)</f>
        <v>41946</v>
      </c>
      <c r="C1265">
        <f>_xlfn.XLOOKUP(A1265,order_details[orderID],order_details[productID],,0)</f>
        <v>17</v>
      </c>
      <c r="D1265" t="str">
        <f>_xlfn.XLOOKUP(C1265,products[productID],products[productName],,0)</f>
        <v>Alice Mutton</v>
      </c>
      <c r="E1265" t="str">
        <f>_xlfn.XLOOKUP(_xlfn.XLOOKUP(Table9[[#This Row],[ProductName ]],products[productName],products[categoryID],,0),categories[categoryID],categories[categoryName],,0)</f>
        <v>Meat &amp; Poultry</v>
      </c>
      <c r="F1265">
        <v>20</v>
      </c>
      <c r="G1265">
        <v>39</v>
      </c>
      <c r="H1265">
        <v>5</v>
      </c>
      <c r="I1265">
        <f>Table9[[#This Row],[quantity]]*Table9[[#This Row],[unitPrice]]*(1-Table9[[#This Row],[discount]]/100)</f>
        <v>741</v>
      </c>
      <c r="J1265" t="str">
        <f>_xlfn.XLOOKUP(_xlfn.XLOOKUP(A1265,orders[orderID],orders[customerID],,0),customers__2[customerID],customers__2[companyName],,0)</f>
        <v>Reggiani Caseifici</v>
      </c>
      <c r="K1265" t="str">
        <f>_xlfn.XLOOKUP(Table9[[#This Row],[Company Name]],customers__2[companyName],customers__2[country],,0)</f>
        <v>Italy</v>
      </c>
      <c r="L1265">
        <f>MONTH(Table9[[#This Row],[OrderDate ]])</f>
        <v>11</v>
      </c>
      <c r="M1265" t="str">
        <f>TEXT(Table9[[#This Row],[OrderDate ]],"mmm")</f>
        <v>Nov</v>
      </c>
      <c r="N1265">
        <f>YEAR(Table9[[#This Row],[OrderDate ]])</f>
        <v>2014</v>
      </c>
    </row>
    <row r="1266" spans="1:14" x14ac:dyDescent="0.3">
      <c r="A1266">
        <v>10727</v>
      </c>
      <c r="B1266" s="2">
        <f>_xlfn.XLOOKUP(Table9[[#This Row],[orderID]],orders[orderID],orders[orderDate],,0)</f>
        <v>41946</v>
      </c>
      <c r="C1266">
        <f>_xlfn.XLOOKUP(A1266,order_details[orderID],order_details[productID],,0)</f>
        <v>17</v>
      </c>
      <c r="D1266" t="str">
        <f>_xlfn.XLOOKUP(C1266,products[productID],products[productName],,0)</f>
        <v>Alice Mutton</v>
      </c>
      <c r="E1266" t="str">
        <f>_xlfn.XLOOKUP(_xlfn.XLOOKUP(Table9[[#This Row],[ProductName ]],products[productName],products[categoryID],,0),categories[categoryID],categories[categoryName],,0)</f>
        <v>Meat &amp; Poultry</v>
      </c>
      <c r="F1266">
        <v>10</v>
      </c>
      <c r="G1266">
        <v>38</v>
      </c>
      <c r="H1266">
        <v>5</v>
      </c>
      <c r="I1266">
        <f>Table9[[#This Row],[quantity]]*Table9[[#This Row],[unitPrice]]*(1-Table9[[#This Row],[discount]]/100)</f>
        <v>361</v>
      </c>
      <c r="J1266" t="str">
        <f>_xlfn.XLOOKUP(_xlfn.XLOOKUP(A1266,orders[orderID],orders[customerID],,0),customers__2[customerID],customers__2[companyName],,0)</f>
        <v>Reggiani Caseifici</v>
      </c>
      <c r="K1266" t="str">
        <f>_xlfn.XLOOKUP(Table9[[#This Row],[Company Name]],customers__2[companyName],customers__2[country],,0)</f>
        <v>Italy</v>
      </c>
      <c r="L1266">
        <f>MONTH(Table9[[#This Row],[OrderDate ]])</f>
        <v>11</v>
      </c>
      <c r="M1266" t="str">
        <f>TEXT(Table9[[#This Row],[OrderDate ]],"mmm")</f>
        <v>Nov</v>
      </c>
      <c r="N1266">
        <f>YEAR(Table9[[#This Row],[OrderDate ]])</f>
        <v>2014</v>
      </c>
    </row>
    <row r="1267" spans="1:14" x14ac:dyDescent="0.3">
      <c r="A1267">
        <v>10727</v>
      </c>
      <c r="B1267" s="2">
        <f>_xlfn.XLOOKUP(Table9[[#This Row],[orderID]],orders[orderID],orders[orderDate],,0)</f>
        <v>41946</v>
      </c>
      <c r="C1267">
        <f>_xlfn.XLOOKUP(A1267,order_details[orderID],order_details[productID],,0)</f>
        <v>17</v>
      </c>
      <c r="D1267" t="str">
        <f>_xlfn.XLOOKUP(C1267,products[productID],products[productName],,0)</f>
        <v>Alice Mutton</v>
      </c>
      <c r="E1267" t="str">
        <f>_xlfn.XLOOKUP(_xlfn.XLOOKUP(Table9[[#This Row],[ProductName ]],products[productName],products[categoryID],,0),categories[categoryID],categories[categoryName],,0)</f>
        <v>Meat &amp; Poultry</v>
      </c>
      <c r="F1267">
        <v>10</v>
      </c>
      <c r="G1267">
        <v>55</v>
      </c>
      <c r="H1267">
        <v>5</v>
      </c>
      <c r="I1267">
        <f>Table9[[#This Row],[quantity]]*Table9[[#This Row],[unitPrice]]*(1-Table9[[#This Row],[discount]]/100)</f>
        <v>522.5</v>
      </c>
      <c r="J1267" t="str">
        <f>_xlfn.XLOOKUP(_xlfn.XLOOKUP(A1267,orders[orderID],orders[customerID],,0),customers__2[customerID],customers__2[companyName],,0)</f>
        <v>Reggiani Caseifici</v>
      </c>
      <c r="K1267" t="str">
        <f>_xlfn.XLOOKUP(Table9[[#This Row],[Company Name]],customers__2[companyName],customers__2[country],,0)</f>
        <v>Italy</v>
      </c>
      <c r="L1267">
        <f>MONTH(Table9[[#This Row],[OrderDate ]])</f>
        <v>11</v>
      </c>
      <c r="M1267" t="str">
        <f>TEXT(Table9[[#This Row],[OrderDate ]],"mmm")</f>
        <v>Nov</v>
      </c>
      <c r="N1267">
        <f>YEAR(Table9[[#This Row],[OrderDate ]])</f>
        <v>2014</v>
      </c>
    </row>
    <row r="1268" spans="1:14" x14ac:dyDescent="0.3">
      <c r="A1268">
        <v>10728</v>
      </c>
      <c r="B1268" s="2">
        <f>_xlfn.XLOOKUP(Table9[[#This Row],[orderID]],orders[orderID],orders[orderDate],,0)</f>
        <v>41947</v>
      </c>
      <c r="C1268">
        <f>_xlfn.XLOOKUP(A1268,order_details[orderID],order_details[productID],,0)</f>
        <v>30</v>
      </c>
      <c r="D1268" t="str">
        <f>_xlfn.XLOOKUP(C1268,products[productID],products[productName],,0)</f>
        <v>Nord-Ost Matjeshering</v>
      </c>
      <c r="E1268" t="str">
        <f>_xlfn.XLOOKUP(_xlfn.XLOOKUP(Table9[[#This Row],[ProductName ]],products[productName],products[categoryID],,0),categories[categoryID],categories[categoryName],,0)</f>
        <v>Seafood</v>
      </c>
      <c r="F1268">
        <v>15</v>
      </c>
      <c r="G1268">
        <v>2589</v>
      </c>
      <c r="H1268">
        <v>0</v>
      </c>
      <c r="I1268">
        <f>Table9[[#This Row],[quantity]]*Table9[[#This Row],[unitPrice]]*(1-Table9[[#This Row],[discount]]/100)</f>
        <v>38835</v>
      </c>
      <c r="J1268" t="str">
        <f>_xlfn.XLOOKUP(_xlfn.XLOOKUP(A1268,orders[orderID],orders[customerID],,0),customers__2[customerID],customers__2[companyName],,0)</f>
        <v>Queen Cozinha</v>
      </c>
      <c r="K1268" t="str">
        <f>_xlfn.XLOOKUP(Table9[[#This Row],[Company Name]],customers__2[companyName],customers__2[country],,0)</f>
        <v>Brazil</v>
      </c>
      <c r="L1268">
        <f>MONTH(Table9[[#This Row],[OrderDate ]])</f>
        <v>11</v>
      </c>
      <c r="M1268" t="str">
        <f>TEXT(Table9[[#This Row],[OrderDate ]],"mmm")</f>
        <v>Nov</v>
      </c>
      <c r="N1268">
        <f>YEAR(Table9[[#This Row],[OrderDate ]])</f>
        <v>2014</v>
      </c>
    </row>
    <row r="1269" spans="1:14" x14ac:dyDescent="0.3">
      <c r="A1269">
        <v>10728</v>
      </c>
      <c r="B1269" s="2">
        <f>_xlfn.XLOOKUP(Table9[[#This Row],[orderID]],orders[orderID],orders[orderDate],,0)</f>
        <v>41947</v>
      </c>
      <c r="C1269">
        <f>_xlfn.XLOOKUP(A1269,order_details[orderID],order_details[productID],,0)</f>
        <v>30</v>
      </c>
      <c r="D1269" t="str">
        <f>_xlfn.XLOOKUP(C1269,products[productID],products[productName],,0)</f>
        <v>Nord-Ost Matjeshering</v>
      </c>
      <c r="E1269" t="str">
        <f>_xlfn.XLOOKUP(_xlfn.XLOOKUP(Table9[[#This Row],[ProductName ]],products[productName],products[categoryID],,0),categories[categoryID],categories[categoryName],,0)</f>
        <v>Seafood</v>
      </c>
      <c r="F1269">
        <v>6</v>
      </c>
      <c r="G1269">
        <v>184</v>
      </c>
      <c r="H1269">
        <v>0</v>
      </c>
      <c r="I1269">
        <f>Table9[[#This Row],[quantity]]*Table9[[#This Row],[unitPrice]]*(1-Table9[[#This Row],[discount]]/100)</f>
        <v>1104</v>
      </c>
      <c r="J1269" t="str">
        <f>_xlfn.XLOOKUP(_xlfn.XLOOKUP(A1269,orders[orderID],orders[customerID],,0),customers__2[customerID],customers__2[companyName],,0)</f>
        <v>Queen Cozinha</v>
      </c>
      <c r="K1269" t="str">
        <f>_xlfn.XLOOKUP(Table9[[#This Row],[Company Name]],customers__2[companyName],customers__2[country],,0)</f>
        <v>Brazil</v>
      </c>
      <c r="L1269">
        <f>MONTH(Table9[[#This Row],[OrderDate ]])</f>
        <v>11</v>
      </c>
      <c r="M1269" t="str">
        <f>TEXT(Table9[[#This Row],[OrderDate ]],"mmm")</f>
        <v>Nov</v>
      </c>
      <c r="N1269">
        <f>YEAR(Table9[[#This Row],[OrderDate ]])</f>
        <v>2014</v>
      </c>
    </row>
    <row r="1270" spans="1:14" x14ac:dyDescent="0.3">
      <c r="A1270">
        <v>10728</v>
      </c>
      <c r="B1270" s="2">
        <f>_xlfn.XLOOKUP(Table9[[#This Row],[orderID]],orders[orderID],orders[orderDate],,0)</f>
        <v>41947</v>
      </c>
      <c r="C1270">
        <f>_xlfn.XLOOKUP(A1270,order_details[orderID],order_details[productID],,0)</f>
        <v>30</v>
      </c>
      <c r="D1270" t="str">
        <f>_xlfn.XLOOKUP(C1270,products[productID],products[productName],,0)</f>
        <v>Nord-Ost Matjeshering</v>
      </c>
      <c r="E1270" t="str">
        <f>_xlfn.XLOOKUP(_xlfn.XLOOKUP(Table9[[#This Row],[ProductName ]],products[productName],products[categoryID],,0),categories[categoryID],categories[categoryName],,0)</f>
        <v>Seafood</v>
      </c>
      <c r="F1270">
        <v>12</v>
      </c>
      <c r="G1270">
        <v>24</v>
      </c>
      <c r="H1270">
        <v>0</v>
      </c>
      <c r="I1270">
        <f>Table9[[#This Row],[quantity]]*Table9[[#This Row],[unitPrice]]*(1-Table9[[#This Row],[discount]]/100)</f>
        <v>288</v>
      </c>
      <c r="J1270" t="str">
        <f>_xlfn.XLOOKUP(_xlfn.XLOOKUP(A1270,orders[orderID],orders[customerID],,0),customers__2[customerID],customers__2[companyName],,0)</f>
        <v>Queen Cozinha</v>
      </c>
      <c r="K1270" t="str">
        <f>_xlfn.XLOOKUP(Table9[[#This Row],[Company Name]],customers__2[companyName],customers__2[country],,0)</f>
        <v>Brazil</v>
      </c>
      <c r="L1270">
        <f>MONTH(Table9[[#This Row],[OrderDate ]])</f>
        <v>11</v>
      </c>
      <c r="M1270" t="str">
        <f>TEXT(Table9[[#This Row],[OrderDate ]],"mmm")</f>
        <v>Nov</v>
      </c>
      <c r="N1270">
        <f>YEAR(Table9[[#This Row],[OrderDate ]])</f>
        <v>2014</v>
      </c>
    </row>
    <row r="1271" spans="1:14" x14ac:dyDescent="0.3">
      <c r="A1271">
        <v>10728</v>
      </c>
      <c r="B1271" s="2">
        <f>_xlfn.XLOOKUP(Table9[[#This Row],[orderID]],orders[orderID],orders[orderDate],,0)</f>
        <v>41947</v>
      </c>
      <c r="C1271">
        <f>_xlfn.XLOOKUP(A1271,order_details[orderID],order_details[productID],,0)</f>
        <v>30</v>
      </c>
      <c r="D1271" t="str">
        <f>_xlfn.XLOOKUP(C1271,products[productID],products[productName],,0)</f>
        <v>Nord-Ost Matjeshering</v>
      </c>
      <c r="E1271" t="str">
        <f>_xlfn.XLOOKUP(_xlfn.XLOOKUP(Table9[[#This Row],[ProductName ]],products[productName],products[categoryID],,0),categories[categoryID],categories[categoryName],,0)</f>
        <v>Seafood</v>
      </c>
      <c r="F1271">
        <v>15</v>
      </c>
      <c r="G1271">
        <v>34</v>
      </c>
      <c r="H1271">
        <v>0</v>
      </c>
      <c r="I1271">
        <f>Table9[[#This Row],[quantity]]*Table9[[#This Row],[unitPrice]]*(1-Table9[[#This Row],[discount]]/100)</f>
        <v>510</v>
      </c>
      <c r="J1271" t="str">
        <f>_xlfn.XLOOKUP(_xlfn.XLOOKUP(A1271,orders[orderID],orders[customerID],,0),customers__2[customerID],customers__2[companyName],,0)</f>
        <v>Queen Cozinha</v>
      </c>
      <c r="K1271" t="str">
        <f>_xlfn.XLOOKUP(Table9[[#This Row],[Company Name]],customers__2[companyName],customers__2[country],,0)</f>
        <v>Brazil</v>
      </c>
      <c r="L1271">
        <f>MONTH(Table9[[#This Row],[OrderDate ]])</f>
        <v>11</v>
      </c>
      <c r="M1271" t="str">
        <f>TEXT(Table9[[#This Row],[OrderDate ]],"mmm")</f>
        <v>Nov</v>
      </c>
      <c r="N1271">
        <f>YEAR(Table9[[#This Row],[OrderDate ]])</f>
        <v>2014</v>
      </c>
    </row>
    <row r="1272" spans="1:14" x14ac:dyDescent="0.3">
      <c r="A1272">
        <v>10729</v>
      </c>
      <c r="B1272" s="2">
        <f>_xlfn.XLOOKUP(Table9[[#This Row],[orderID]],orders[orderID],orders[orderDate],,0)</f>
        <v>41947</v>
      </c>
      <c r="C1272">
        <f>_xlfn.XLOOKUP(A1272,order_details[orderID],order_details[productID],,0)</f>
        <v>1</v>
      </c>
      <c r="D1272" t="str">
        <f>_xlfn.XLOOKUP(C1272,products[productID],products[productName],,0)</f>
        <v>Chai</v>
      </c>
      <c r="E1272" t="str">
        <f>_xlfn.XLOOKUP(_xlfn.XLOOKUP(Table9[[#This Row],[ProductName ]],products[productName],products[categoryID],,0),categories[categoryID],categories[categoryName],,0)</f>
        <v>Beverages</v>
      </c>
      <c r="F1272">
        <v>50</v>
      </c>
      <c r="G1272">
        <v>18</v>
      </c>
      <c r="H1272">
        <v>0</v>
      </c>
      <c r="I1272">
        <f>Table9[[#This Row],[quantity]]*Table9[[#This Row],[unitPrice]]*(1-Table9[[#This Row],[discount]]/100)</f>
        <v>900</v>
      </c>
      <c r="J1272" t="str">
        <f>_xlfn.XLOOKUP(_xlfn.XLOOKUP(A1272,orders[orderID],orders[customerID],,0),customers__2[customerID],customers__2[companyName],,0)</f>
        <v>LINO-Delicateses</v>
      </c>
      <c r="K1272" t="str">
        <f>_xlfn.XLOOKUP(Table9[[#This Row],[Company Name]],customers__2[companyName],customers__2[country],,0)</f>
        <v>Venezuela</v>
      </c>
      <c r="L1272">
        <f>MONTH(Table9[[#This Row],[OrderDate ]])</f>
        <v>11</v>
      </c>
      <c r="M1272" t="str">
        <f>TEXT(Table9[[#This Row],[OrderDate ]],"mmm")</f>
        <v>Nov</v>
      </c>
      <c r="N1272">
        <f>YEAR(Table9[[#This Row],[OrderDate ]])</f>
        <v>2014</v>
      </c>
    </row>
    <row r="1273" spans="1:14" x14ac:dyDescent="0.3">
      <c r="A1273">
        <v>10729</v>
      </c>
      <c r="B1273" s="2">
        <f>_xlfn.XLOOKUP(Table9[[#This Row],[orderID]],orders[orderID],orders[orderDate],,0)</f>
        <v>41947</v>
      </c>
      <c r="C1273">
        <f>_xlfn.XLOOKUP(A1273,order_details[orderID],order_details[productID],,0)</f>
        <v>1</v>
      </c>
      <c r="D1273" t="str">
        <f>_xlfn.XLOOKUP(C1273,products[productID],products[productName],,0)</f>
        <v>Chai</v>
      </c>
      <c r="E1273" t="str">
        <f>_xlfn.XLOOKUP(_xlfn.XLOOKUP(Table9[[#This Row],[ProductName ]],products[productName],products[categoryID],,0),categories[categoryID],categories[categoryName],,0)</f>
        <v>Beverages</v>
      </c>
      <c r="F1273">
        <v>30</v>
      </c>
      <c r="G1273">
        <v>10</v>
      </c>
      <c r="H1273">
        <v>0</v>
      </c>
      <c r="I1273">
        <f>Table9[[#This Row],[quantity]]*Table9[[#This Row],[unitPrice]]*(1-Table9[[#This Row],[discount]]/100)</f>
        <v>300</v>
      </c>
      <c r="J1273" t="str">
        <f>_xlfn.XLOOKUP(_xlfn.XLOOKUP(A1273,orders[orderID],orders[customerID],,0),customers__2[customerID],customers__2[companyName],,0)</f>
        <v>LINO-Delicateses</v>
      </c>
      <c r="K1273" t="str">
        <f>_xlfn.XLOOKUP(Table9[[#This Row],[Company Name]],customers__2[companyName],customers__2[country],,0)</f>
        <v>Venezuela</v>
      </c>
      <c r="L1273">
        <f>MONTH(Table9[[#This Row],[OrderDate ]])</f>
        <v>11</v>
      </c>
      <c r="M1273" t="str">
        <f>TEXT(Table9[[#This Row],[OrderDate ]],"mmm")</f>
        <v>Nov</v>
      </c>
      <c r="N1273">
        <f>YEAR(Table9[[#This Row],[OrderDate ]])</f>
        <v>2014</v>
      </c>
    </row>
    <row r="1274" spans="1:14" x14ac:dyDescent="0.3">
      <c r="A1274">
        <v>10729</v>
      </c>
      <c r="B1274" s="2">
        <f>_xlfn.XLOOKUP(Table9[[#This Row],[orderID]],orders[orderID],orders[orderDate],,0)</f>
        <v>41947</v>
      </c>
      <c r="C1274">
        <f>_xlfn.XLOOKUP(A1274,order_details[orderID],order_details[productID],,0)</f>
        <v>1</v>
      </c>
      <c r="D1274" t="str">
        <f>_xlfn.XLOOKUP(C1274,products[productID],products[productName],,0)</f>
        <v>Chai</v>
      </c>
      <c r="E1274" t="str">
        <f>_xlfn.XLOOKUP(_xlfn.XLOOKUP(Table9[[#This Row],[ProductName ]],products[productName],products[categoryID],,0),categories[categoryID],categories[categoryName],,0)</f>
        <v>Beverages</v>
      </c>
      <c r="F1274">
        <v>40</v>
      </c>
      <c r="G1274">
        <v>1625</v>
      </c>
      <c r="H1274">
        <v>0</v>
      </c>
      <c r="I1274">
        <f>Table9[[#This Row],[quantity]]*Table9[[#This Row],[unitPrice]]*(1-Table9[[#This Row],[discount]]/100)</f>
        <v>65000</v>
      </c>
      <c r="J1274" t="str">
        <f>_xlfn.XLOOKUP(_xlfn.XLOOKUP(A1274,orders[orderID],orders[customerID],,0),customers__2[customerID],customers__2[companyName],,0)</f>
        <v>LINO-Delicateses</v>
      </c>
      <c r="K1274" t="str">
        <f>_xlfn.XLOOKUP(Table9[[#This Row],[Company Name]],customers__2[companyName],customers__2[country],,0)</f>
        <v>Venezuela</v>
      </c>
      <c r="L1274">
        <f>MONTH(Table9[[#This Row],[OrderDate ]])</f>
        <v>11</v>
      </c>
      <c r="M1274" t="str">
        <f>TEXT(Table9[[#This Row],[OrderDate ]],"mmm")</f>
        <v>Nov</v>
      </c>
      <c r="N1274">
        <f>YEAR(Table9[[#This Row],[OrderDate ]])</f>
        <v>2014</v>
      </c>
    </row>
    <row r="1275" spans="1:14" x14ac:dyDescent="0.3">
      <c r="A1275">
        <v>10730</v>
      </c>
      <c r="B1275" s="2">
        <f>_xlfn.XLOOKUP(Table9[[#This Row],[orderID]],orders[orderID],orders[orderDate],,0)</f>
        <v>41948</v>
      </c>
      <c r="C1275">
        <f>_xlfn.XLOOKUP(A1275,order_details[orderID],order_details[productID],,0)</f>
        <v>16</v>
      </c>
      <c r="D1275" t="str">
        <f>_xlfn.XLOOKUP(C1275,products[productID],products[productName],,0)</f>
        <v>Pavlova</v>
      </c>
      <c r="E1275" t="str">
        <f>_xlfn.XLOOKUP(_xlfn.XLOOKUP(Table9[[#This Row],[ProductName ]],products[productName],products[categoryID],,0),categories[categoryID],categories[categoryName],,0)</f>
        <v>Confections</v>
      </c>
      <c r="F1275">
        <v>15</v>
      </c>
      <c r="G1275">
        <v>1745</v>
      </c>
      <c r="H1275">
        <v>5</v>
      </c>
      <c r="I1275">
        <f>Table9[[#This Row],[quantity]]*Table9[[#This Row],[unitPrice]]*(1-Table9[[#This Row],[discount]]/100)</f>
        <v>24866.25</v>
      </c>
      <c r="J1275" t="str">
        <f>_xlfn.XLOOKUP(_xlfn.XLOOKUP(A1275,orders[orderID],orders[customerID],,0),customers__2[customerID],customers__2[companyName],,0)</f>
        <v>Bon app'</v>
      </c>
      <c r="K1275" t="str">
        <f>_xlfn.XLOOKUP(Table9[[#This Row],[Company Name]],customers__2[companyName],customers__2[country],,0)</f>
        <v>France</v>
      </c>
      <c r="L1275">
        <f>MONTH(Table9[[#This Row],[OrderDate ]])</f>
        <v>11</v>
      </c>
      <c r="M1275" t="str">
        <f>TEXT(Table9[[#This Row],[OrderDate ]],"mmm")</f>
        <v>Nov</v>
      </c>
      <c r="N1275">
        <f>YEAR(Table9[[#This Row],[OrderDate ]])</f>
        <v>2014</v>
      </c>
    </row>
    <row r="1276" spans="1:14" x14ac:dyDescent="0.3">
      <c r="A1276">
        <v>10730</v>
      </c>
      <c r="B1276" s="2">
        <f>_xlfn.XLOOKUP(Table9[[#This Row],[orderID]],orders[orderID],orders[orderDate],,0)</f>
        <v>41948</v>
      </c>
      <c r="C1276">
        <f>_xlfn.XLOOKUP(A1276,order_details[orderID],order_details[productID],,0)</f>
        <v>16</v>
      </c>
      <c r="D1276" t="str">
        <f>_xlfn.XLOOKUP(C1276,products[productID],products[productName],,0)</f>
        <v>Pavlova</v>
      </c>
      <c r="E1276" t="str">
        <f>_xlfn.XLOOKUP(_xlfn.XLOOKUP(Table9[[#This Row],[ProductName ]],products[productName],products[categoryID],,0),categories[categoryID],categories[categoryName],,0)</f>
        <v>Confections</v>
      </c>
      <c r="F1276">
        <v>3</v>
      </c>
      <c r="G1276">
        <v>125</v>
      </c>
      <c r="H1276">
        <v>5</v>
      </c>
      <c r="I1276">
        <f>Table9[[#This Row],[quantity]]*Table9[[#This Row],[unitPrice]]*(1-Table9[[#This Row],[discount]]/100)</f>
        <v>356.25</v>
      </c>
      <c r="J1276" t="str">
        <f>_xlfn.XLOOKUP(_xlfn.XLOOKUP(A1276,orders[orderID],orders[customerID],,0),customers__2[customerID],customers__2[companyName],,0)</f>
        <v>Bon app'</v>
      </c>
      <c r="K1276" t="str">
        <f>_xlfn.XLOOKUP(Table9[[#This Row],[Company Name]],customers__2[companyName],customers__2[country],,0)</f>
        <v>France</v>
      </c>
      <c r="L1276">
        <f>MONTH(Table9[[#This Row],[OrderDate ]])</f>
        <v>11</v>
      </c>
      <c r="M1276" t="str">
        <f>TEXT(Table9[[#This Row],[OrderDate ]],"mmm")</f>
        <v>Nov</v>
      </c>
      <c r="N1276">
        <f>YEAR(Table9[[#This Row],[OrderDate ]])</f>
        <v>2014</v>
      </c>
    </row>
    <row r="1277" spans="1:14" x14ac:dyDescent="0.3">
      <c r="A1277">
        <v>10730</v>
      </c>
      <c r="B1277" s="2">
        <f>_xlfn.XLOOKUP(Table9[[#This Row],[orderID]],orders[orderID],orders[orderDate],,0)</f>
        <v>41948</v>
      </c>
      <c r="C1277">
        <f>_xlfn.XLOOKUP(A1277,order_details[orderID],order_details[productID],,0)</f>
        <v>16</v>
      </c>
      <c r="D1277" t="str">
        <f>_xlfn.XLOOKUP(C1277,products[productID],products[productName],,0)</f>
        <v>Pavlova</v>
      </c>
      <c r="E1277" t="str">
        <f>_xlfn.XLOOKUP(_xlfn.XLOOKUP(Table9[[#This Row],[ProductName ]],products[productName],products[categoryID],,0),categories[categoryID],categories[categoryName],,0)</f>
        <v>Confections</v>
      </c>
      <c r="F1277">
        <v>10</v>
      </c>
      <c r="G1277">
        <v>2105</v>
      </c>
      <c r="H1277">
        <v>5</v>
      </c>
      <c r="I1277">
        <f>Table9[[#This Row],[quantity]]*Table9[[#This Row],[unitPrice]]*(1-Table9[[#This Row],[discount]]/100)</f>
        <v>19997.5</v>
      </c>
      <c r="J1277" t="str">
        <f>_xlfn.XLOOKUP(_xlfn.XLOOKUP(A1277,orders[orderID],orders[customerID],,0),customers__2[customerID],customers__2[companyName],,0)</f>
        <v>Bon app'</v>
      </c>
      <c r="K1277" t="str">
        <f>_xlfn.XLOOKUP(Table9[[#This Row],[Company Name]],customers__2[companyName],customers__2[country],,0)</f>
        <v>France</v>
      </c>
      <c r="L1277">
        <f>MONTH(Table9[[#This Row],[OrderDate ]])</f>
        <v>11</v>
      </c>
      <c r="M1277" t="str">
        <f>TEXT(Table9[[#This Row],[OrderDate ]],"mmm")</f>
        <v>Nov</v>
      </c>
      <c r="N1277">
        <f>YEAR(Table9[[#This Row],[OrderDate ]])</f>
        <v>2014</v>
      </c>
    </row>
    <row r="1278" spans="1:14" x14ac:dyDescent="0.3">
      <c r="A1278">
        <v>10731</v>
      </c>
      <c r="B1278" s="2">
        <f>_xlfn.XLOOKUP(Table9[[#This Row],[orderID]],orders[orderID],orders[orderDate],,0)</f>
        <v>41949</v>
      </c>
      <c r="C1278">
        <f>_xlfn.XLOOKUP(A1278,order_details[orderID],order_details[productID],,0)</f>
        <v>21</v>
      </c>
      <c r="D1278" t="str">
        <f>_xlfn.XLOOKUP(C1278,products[productID],products[productName],,0)</f>
        <v>Sir Rodney's Scones</v>
      </c>
      <c r="E1278" t="str">
        <f>_xlfn.XLOOKUP(_xlfn.XLOOKUP(Table9[[#This Row],[ProductName ]],products[productName],products[categoryID],,0),categories[categoryID],categories[categoryName],,0)</f>
        <v>Confections</v>
      </c>
      <c r="F1278">
        <v>40</v>
      </c>
      <c r="G1278">
        <v>10</v>
      </c>
      <c r="H1278">
        <v>5</v>
      </c>
      <c r="I1278">
        <f>Table9[[#This Row],[quantity]]*Table9[[#This Row],[unitPrice]]*(1-Table9[[#This Row],[discount]]/100)</f>
        <v>380</v>
      </c>
      <c r="J1278" t="str">
        <f>_xlfn.XLOOKUP(_xlfn.XLOOKUP(A1278,orders[orderID],orders[customerID],,0),customers__2[customerID],customers__2[companyName],,0)</f>
        <v>Chop-suey Chinese</v>
      </c>
      <c r="K1278" t="str">
        <f>_xlfn.XLOOKUP(Table9[[#This Row],[Company Name]],customers__2[companyName],customers__2[country],,0)</f>
        <v>Switzerland</v>
      </c>
      <c r="L1278">
        <f>MONTH(Table9[[#This Row],[OrderDate ]])</f>
        <v>11</v>
      </c>
      <c r="M1278" t="str">
        <f>TEXT(Table9[[#This Row],[OrderDate ]],"mmm")</f>
        <v>Nov</v>
      </c>
      <c r="N1278">
        <f>YEAR(Table9[[#This Row],[OrderDate ]])</f>
        <v>2014</v>
      </c>
    </row>
    <row r="1279" spans="1:14" x14ac:dyDescent="0.3">
      <c r="A1279">
        <v>10731</v>
      </c>
      <c r="B1279" s="2">
        <f>_xlfn.XLOOKUP(Table9[[#This Row],[orderID]],orders[orderID],orders[orderDate],,0)</f>
        <v>41949</v>
      </c>
      <c r="C1279">
        <f>_xlfn.XLOOKUP(A1279,order_details[orderID],order_details[productID],,0)</f>
        <v>21</v>
      </c>
      <c r="D1279" t="str">
        <f>_xlfn.XLOOKUP(C1279,products[productID],products[productName],,0)</f>
        <v>Sir Rodney's Scones</v>
      </c>
      <c r="E1279" t="str">
        <f>_xlfn.XLOOKUP(_xlfn.XLOOKUP(Table9[[#This Row],[ProductName ]],products[productName],products[categoryID],,0),categories[categoryID],categories[categoryName],,0)</f>
        <v>Confections</v>
      </c>
      <c r="F1279">
        <v>30</v>
      </c>
      <c r="G1279">
        <v>53</v>
      </c>
      <c r="H1279">
        <v>5</v>
      </c>
      <c r="I1279">
        <f>Table9[[#This Row],[quantity]]*Table9[[#This Row],[unitPrice]]*(1-Table9[[#This Row],[discount]]/100)</f>
        <v>1510.5</v>
      </c>
      <c r="J1279" t="str">
        <f>_xlfn.XLOOKUP(_xlfn.XLOOKUP(A1279,orders[orderID],orders[customerID],,0),customers__2[customerID],customers__2[companyName],,0)</f>
        <v>Chop-suey Chinese</v>
      </c>
      <c r="K1279" t="str">
        <f>_xlfn.XLOOKUP(Table9[[#This Row],[Company Name]],customers__2[companyName],customers__2[country],,0)</f>
        <v>Switzerland</v>
      </c>
      <c r="L1279">
        <f>MONTH(Table9[[#This Row],[OrderDate ]])</f>
        <v>11</v>
      </c>
      <c r="M1279" t="str">
        <f>TEXT(Table9[[#This Row],[OrderDate ]],"mmm")</f>
        <v>Nov</v>
      </c>
      <c r="N1279">
        <f>YEAR(Table9[[#This Row],[OrderDate ]])</f>
        <v>2014</v>
      </c>
    </row>
    <row r="1280" spans="1:14" x14ac:dyDescent="0.3">
      <c r="A1280">
        <v>10732</v>
      </c>
      <c r="B1280" s="2">
        <f>_xlfn.XLOOKUP(Table9[[#This Row],[orderID]],orders[orderID],orders[orderDate],,0)</f>
        <v>41949</v>
      </c>
      <c r="C1280">
        <f>_xlfn.XLOOKUP(A1280,order_details[orderID],order_details[productID],,0)</f>
        <v>76</v>
      </c>
      <c r="D1280" t="str">
        <f>_xlfn.XLOOKUP(C1280,products[productID],products[productName],,0)</f>
        <v>Lakkaliköri</v>
      </c>
      <c r="E1280" t="str">
        <f>_xlfn.XLOOKUP(_xlfn.XLOOKUP(Table9[[#This Row],[ProductName ]],products[productName],products[categoryID],,0),categories[categoryID],categories[categoryName],,0)</f>
        <v>Beverages</v>
      </c>
      <c r="F1280">
        <v>20</v>
      </c>
      <c r="G1280">
        <v>18</v>
      </c>
      <c r="H1280">
        <v>0</v>
      </c>
      <c r="I1280">
        <f>Table9[[#This Row],[quantity]]*Table9[[#This Row],[unitPrice]]*(1-Table9[[#This Row],[discount]]/100)</f>
        <v>360</v>
      </c>
      <c r="J1280" t="str">
        <f>_xlfn.XLOOKUP(_xlfn.XLOOKUP(A1280,orders[orderID],orders[customerID],,0),customers__2[customerID],customers__2[companyName],,0)</f>
        <v>Bon app'</v>
      </c>
      <c r="K1280" t="str">
        <f>_xlfn.XLOOKUP(Table9[[#This Row],[Company Name]],customers__2[companyName],customers__2[country],,0)</f>
        <v>France</v>
      </c>
      <c r="L1280">
        <f>MONTH(Table9[[#This Row],[OrderDate ]])</f>
        <v>11</v>
      </c>
      <c r="M1280" t="str">
        <f>TEXT(Table9[[#This Row],[OrderDate ]],"mmm")</f>
        <v>Nov</v>
      </c>
      <c r="N1280">
        <f>YEAR(Table9[[#This Row],[OrderDate ]])</f>
        <v>2014</v>
      </c>
    </row>
    <row r="1281" spans="1:14" x14ac:dyDescent="0.3">
      <c r="A1281">
        <v>10733</v>
      </c>
      <c r="B1281" s="2">
        <f>_xlfn.XLOOKUP(Table9[[#This Row],[orderID]],orders[orderID],orders[orderDate],,0)</f>
        <v>41950</v>
      </c>
      <c r="C1281">
        <f>_xlfn.XLOOKUP(A1281,order_details[orderID],order_details[productID],,0)</f>
        <v>14</v>
      </c>
      <c r="D1281" t="str">
        <f>_xlfn.XLOOKUP(C1281,products[productID],products[productName],,0)</f>
        <v>Tofu</v>
      </c>
      <c r="E1281" t="str">
        <f>_xlfn.XLOOKUP(_xlfn.XLOOKUP(Table9[[#This Row],[ProductName ]],products[productName],products[categoryID],,0),categories[categoryID],categories[categoryName],,0)</f>
        <v>Produce</v>
      </c>
      <c r="F1281">
        <v>16</v>
      </c>
      <c r="G1281">
        <v>2325</v>
      </c>
      <c r="H1281">
        <v>0</v>
      </c>
      <c r="I1281">
        <f>Table9[[#This Row],[quantity]]*Table9[[#This Row],[unitPrice]]*(1-Table9[[#This Row],[discount]]/100)</f>
        <v>37200</v>
      </c>
      <c r="J1281" t="str">
        <f>_xlfn.XLOOKUP(_xlfn.XLOOKUP(A1281,orders[orderID],orders[customerID],,0),customers__2[customerID],customers__2[companyName],,0)</f>
        <v>Berglunds snabbköp</v>
      </c>
      <c r="K1281" t="str">
        <f>_xlfn.XLOOKUP(Table9[[#This Row],[Company Name]],customers__2[companyName],customers__2[country],,0)</f>
        <v>Sweden</v>
      </c>
      <c r="L1281">
        <f>MONTH(Table9[[#This Row],[OrderDate ]])</f>
        <v>11</v>
      </c>
      <c r="M1281" t="str">
        <f>TEXT(Table9[[#This Row],[OrderDate ]],"mmm")</f>
        <v>Nov</v>
      </c>
      <c r="N1281">
        <f>YEAR(Table9[[#This Row],[OrderDate ]])</f>
        <v>2014</v>
      </c>
    </row>
    <row r="1282" spans="1:14" x14ac:dyDescent="0.3">
      <c r="A1282">
        <v>10733</v>
      </c>
      <c r="B1282" s="2">
        <f>_xlfn.XLOOKUP(Table9[[#This Row],[orderID]],orders[orderID],orders[orderDate],,0)</f>
        <v>41950</v>
      </c>
      <c r="C1282">
        <f>_xlfn.XLOOKUP(A1282,order_details[orderID],order_details[productID],,0)</f>
        <v>14</v>
      </c>
      <c r="D1282" t="str">
        <f>_xlfn.XLOOKUP(C1282,products[productID],products[productName],,0)</f>
        <v>Tofu</v>
      </c>
      <c r="E1282" t="str">
        <f>_xlfn.XLOOKUP(_xlfn.XLOOKUP(Table9[[#This Row],[ProductName ]],products[productName],products[categoryID],,0),categories[categoryID],categories[categoryName],,0)</f>
        <v>Produce</v>
      </c>
      <c r="F1282">
        <v>20</v>
      </c>
      <c r="G1282">
        <v>456</v>
      </c>
      <c r="H1282">
        <v>0</v>
      </c>
      <c r="I1282">
        <f>Table9[[#This Row],[quantity]]*Table9[[#This Row],[unitPrice]]*(1-Table9[[#This Row],[discount]]/100)</f>
        <v>9120</v>
      </c>
      <c r="J1282" t="str">
        <f>_xlfn.XLOOKUP(_xlfn.XLOOKUP(A1282,orders[orderID],orders[customerID],,0),customers__2[customerID],customers__2[companyName],,0)</f>
        <v>Berglunds snabbköp</v>
      </c>
      <c r="K1282" t="str">
        <f>_xlfn.XLOOKUP(Table9[[#This Row],[Company Name]],customers__2[companyName],customers__2[country],,0)</f>
        <v>Sweden</v>
      </c>
      <c r="L1282">
        <f>MONTH(Table9[[#This Row],[OrderDate ]])</f>
        <v>11</v>
      </c>
      <c r="M1282" t="str">
        <f>TEXT(Table9[[#This Row],[OrderDate ]],"mmm")</f>
        <v>Nov</v>
      </c>
      <c r="N1282">
        <f>YEAR(Table9[[#This Row],[OrderDate ]])</f>
        <v>2014</v>
      </c>
    </row>
    <row r="1283" spans="1:14" x14ac:dyDescent="0.3">
      <c r="A1283">
        <v>10733</v>
      </c>
      <c r="B1283" s="2">
        <f>_xlfn.XLOOKUP(Table9[[#This Row],[orderID]],orders[orderID],orders[orderDate],,0)</f>
        <v>41950</v>
      </c>
      <c r="C1283">
        <f>_xlfn.XLOOKUP(A1283,order_details[orderID],order_details[productID],,0)</f>
        <v>14</v>
      </c>
      <c r="D1283" t="str">
        <f>_xlfn.XLOOKUP(C1283,products[productID],products[productName],,0)</f>
        <v>Tofu</v>
      </c>
      <c r="E1283" t="str">
        <f>_xlfn.XLOOKUP(_xlfn.XLOOKUP(Table9[[#This Row],[ProductName ]],products[productName],products[categoryID],,0),categories[categoryID],categories[categoryName],,0)</f>
        <v>Produce</v>
      </c>
      <c r="F1283">
        <v>25</v>
      </c>
      <c r="G1283">
        <v>7</v>
      </c>
      <c r="H1283">
        <v>0</v>
      </c>
      <c r="I1283">
        <f>Table9[[#This Row],[quantity]]*Table9[[#This Row],[unitPrice]]*(1-Table9[[#This Row],[discount]]/100)</f>
        <v>175</v>
      </c>
      <c r="J1283" t="str">
        <f>_xlfn.XLOOKUP(_xlfn.XLOOKUP(A1283,orders[orderID],orders[customerID],,0),customers__2[customerID],customers__2[companyName],,0)</f>
        <v>Berglunds snabbköp</v>
      </c>
      <c r="K1283" t="str">
        <f>_xlfn.XLOOKUP(Table9[[#This Row],[Company Name]],customers__2[companyName],customers__2[country],,0)</f>
        <v>Sweden</v>
      </c>
      <c r="L1283">
        <f>MONTH(Table9[[#This Row],[OrderDate ]])</f>
        <v>11</v>
      </c>
      <c r="M1283" t="str">
        <f>TEXT(Table9[[#This Row],[OrderDate ]],"mmm")</f>
        <v>Nov</v>
      </c>
      <c r="N1283">
        <f>YEAR(Table9[[#This Row],[OrderDate ]])</f>
        <v>2014</v>
      </c>
    </row>
    <row r="1284" spans="1:14" x14ac:dyDescent="0.3">
      <c r="A1284">
        <v>10734</v>
      </c>
      <c r="B1284" s="2">
        <f>_xlfn.XLOOKUP(Table9[[#This Row],[orderID]],orders[orderID],orders[orderDate],,0)</f>
        <v>41950</v>
      </c>
      <c r="C1284">
        <f>_xlfn.XLOOKUP(A1284,order_details[orderID],order_details[productID],,0)</f>
        <v>6</v>
      </c>
      <c r="D1284" t="str">
        <f>_xlfn.XLOOKUP(C1284,products[productID],products[productName],,0)</f>
        <v>Grandma's Boysenberry Spread</v>
      </c>
      <c r="E1284" t="str">
        <f>_xlfn.XLOOKUP(_xlfn.XLOOKUP(Table9[[#This Row],[ProductName ]],products[productName],products[categoryID],,0),categories[categoryID],categories[categoryName],,0)</f>
        <v>Condiments</v>
      </c>
      <c r="F1284">
        <v>30</v>
      </c>
      <c r="G1284">
        <v>25</v>
      </c>
      <c r="H1284">
        <v>0</v>
      </c>
      <c r="I1284">
        <f>Table9[[#This Row],[quantity]]*Table9[[#This Row],[unitPrice]]*(1-Table9[[#This Row],[discount]]/100)</f>
        <v>750</v>
      </c>
      <c r="J1284" t="str">
        <f>_xlfn.XLOOKUP(_xlfn.XLOOKUP(A1284,orders[orderID],orders[customerID],,0),customers__2[customerID],customers__2[companyName],,0)</f>
        <v>Gourmet Lanchonetes</v>
      </c>
      <c r="K1284" t="str">
        <f>_xlfn.XLOOKUP(Table9[[#This Row],[Company Name]],customers__2[companyName],customers__2[country],,0)</f>
        <v>Brazil</v>
      </c>
      <c r="L1284">
        <f>MONTH(Table9[[#This Row],[OrderDate ]])</f>
        <v>11</v>
      </c>
      <c r="M1284" t="str">
        <f>TEXT(Table9[[#This Row],[OrderDate ]],"mmm")</f>
        <v>Nov</v>
      </c>
      <c r="N1284">
        <f>YEAR(Table9[[#This Row],[OrderDate ]])</f>
        <v>2014</v>
      </c>
    </row>
    <row r="1285" spans="1:14" x14ac:dyDescent="0.3">
      <c r="A1285">
        <v>10734</v>
      </c>
      <c r="B1285" s="2">
        <f>_xlfn.XLOOKUP(Table9[[#This Row],[orderID]],orders[orderID],orders[orderDate],,0)</f>
        <v>41950</v>
      </c>
      <c r="C1285">
        <f>_xlfn.XLOOKUP(A1285,order_details[orderID],order_details[productID],,0)</f>
        <v>6</v>
      </c>
      <c r="D1285" t="str">
        <f>_xlfn.XLOOKUP(C1285,products[productID],products[productName],,0)</f>
        <v>Grandma's Boysenberry Spread</v>
      </c>
      <c r="E1285" t="str">
        <f>_xlfn.XLOOKUP(_xlfn.XLOOKUP(Table9[[#This Row],[ProductName ]],products[productName],products[categoryID],,0),categories[categoryID],categories[categoryName],,0)</f>
        <v>Condiments</v>
      </c>
      <c r="F1285">
        <v>15</v>
      </c>
      <c r="G1285">
        <v>2589</v>
      </c>
      <c r="H1285">
        <v>0</v>
      </c>
      <c r="I1285">
        <f>Table9[[#This Row],[quantity]]*Table9[[#This Row],[unitPrice]]*(1-Table9[[#This Row],[discount]]/100)</f>
        <v>38835</v>
      </c>
      <c r="J1285" t="str">
        <f>_xlfn.XLOOKUP(_xlfn.XLOOKUP(A1285,orders[orderID],orders[customerID],,0),customers__2[customerID],customers__2[companyName],,0)</f>
        <v>Gourmet Lanchonetes</v>
      </c>
      <c r="K1285" t="str">
        <f>_xlfn.XLOOKUP(Table9[[#This Row],[Company Name]],customers__2[companyName],customers__2[country],,0)</f>
        <v>Brazil</v>
      </c>
      <c r="L1285">
        <f>MONTH(Table9[[#This Row],[OrderDate ]])</f>
        <v>11</v>
      </c>
      <c r="M1285" t="str">
        <f>TEXT(Table9[[#This Row],[OrderDate ]],"mmm")</f>
        <v>Nov</v>
      </c>
      <c r="N1285">
        <f>YEAR(Table9[[#This Row],[OrderDate ]])</f>
        <v>2014</v>
      </c>
    </row>
    <row r="1286" spans="1:14" x14ac:dyDescent="0.3">
      <c r="A1286">
        <v>10734</v>
      </c>
      <c r="B1286" s="2">
        <f>_xlfn.XLOOKUP(Table9[[#This Row],[orderID]],orders[orderID],orders[orderDate],,0)</f>
        <v>41950</v>
      </c>
      <c r="C1286">
        <f>_xlfn.XLOOKUP(A1286,order_details[orderID],order_details[productID],,0)</f>
        <v>6</v>
      </c>
      <c r="D1286" t="str">
        <f>_xlfn.XLOOKUP(C1286,products[productID],products[productName],,0)</f>
        <v>Grandma's Boysenberry Spread</v>
      </c>
      <c r="E1286" t="str">
        <f>_xlfn.XLOOKUP(_xlfn.XLOOKUP(Table9[[#This Row],[ProductName ]],products[productName],products[categoryID],,0),categories[categoryID],categories[categoryName],,0)</f>
        <v>Condiments</v>
      </c>
      <c r="F1286">
        <v>20</v>
      </c>
      <c r="G1286">
        <v>18</v>
      </c>
      <c r="H1286">
        <v>0</v>
      </c>
      <c r="I1286">
        <f>Table9[[#This Row],[quantity]]*Table9[[#This Row],[unitPrice]]*(1-Table9[[#This Row],[discount]]/100)</f>
        <v>360</v>
      </c>
      <c r="J1286" t="str">
        <f>_xlfn.XLOOKUP(_xlfn.XLOOKUP(A1286,orders[orderID],orders[customerID],,0),customers__2[customerID],customers__2[companyName],,0)</f>
        <v>Gourmet Lanchonetes</v>
      </c>
      <c r="K1286" t="str">
        <f>_xlfn.XLOOKUP(Table9[[#This Row],[Company Name]],customers__2[companyName],customers__2[country],,0)</f>
        <v>Brazil</v>
      </c>
      <c r="L1286">
        <f>MONTH(Table9[[#This Row],[OrderDate ]])</f>
        <v>11</v>
      </c>
      <c r="M1286" t="str">
        <f>TEXT(Table9[[#This Row],[OrderDate ]],"mmm")</f>
        <v>Nov</v>
      </c>
      <c r="N1286">
        <f>YEAR(Table9[[#This Row],[OrderDate ]])</f>
        <v>2014</v>
      </c>
    </row>
    <row r="1287" spans="1:14" x14ac:dyDescent="0.3">
      <c r="A1287">
        <v>10735</v>
      </c>
      <c r="B1287" s="2">
        <f>_xlfn.XLOOKUP(Table9[[#This Row],[orderID]],orders[orderID],orders[orderDate],,0)</f>
        <v>41953</v>
      </c>
      <c r="C1287">
        <f>_xlfn.XLOOKUP(A1287,order_details[orderID],order_details[productID],,0)</f>
        <v>61</v>
      </c>
      <c r="D1287" t="str">
        <f>_xlfn.XLOOKUP(C1287,products[productID],products[productName],,0)</f>
        <v>Sirop d'érable</v>
      </c>
      <c r="E1287" t="str">
        <f>_xlfn.XLOOKUP(_xlfn.XLOOKUP(Table9[[#This Row],[ProductName ]],products[productName],products[categoryID],,0),categories[categoryID],categories[categoryName],,0)</f>
        <v>Condiments</v>
      </c>
      <c r="F1287">
        <v>20</v>
      </c>
      <c r="G1287">
        <v>285</v>
      </c>
      <c r="H1287">
        <v>1</v>
      </c>
      <c r="I1287">
        <f>Table9[[#This Row],[quantity]]*Table9[[#This Row],[unitPrice]]*(1-Table9[[#This Row],[discount]]/100)</f>
        <v>5643</v>
      </c>
      <c r="J1287" t="str">
        <f>_xlfn.XLOOKUP(_xlfn.XLOOKUP(A1287,orders[orderID],orders[customerID],,0),customers__2[customerID],customers__2[companyName],,0)</f>
        <v>Let's Stop N Shop</v>
      </c>
      <c r="K1287" t="str">
        <f>_xlfn.XLOOKUP(Table9[[#This Row],[Company Name]],customers__2[companyName],customers__2[country],,0)</f>
        <v>USA</v>
      </c>
      <c r="L1287">
        <f>MONTH(Table9[[#This Row],[OrderDate ]])</f>
        <v>11</v>
      </c>
      <c r="M1287" t="str">
        <f>TEXT(Table9[[#This Row],[OrderDate ]],"mmm")</f>
        <v>Nov</v>
      </c>
      <c r="N1287">
        <f>YEAR(Table9[[#This Row],[OrderDate ]])</f>
        <v>2014</v>
      </c>
    </row>
    <row r="1288" spans="1:14" x14ac:dyDescent="0.3">
      <c r="A1288">
        <v>10735</v>
      </c>
      <c r="B1288" s="2">
        <f>_xlfn.XLOOKUP(Table9[[#This Row],[orderID]],orders[orderID],orders[orderDate],,0)</f>
        <v>41953</v>
      </c>
      <c r="C1288">
        <f>_xlfn.XLOOKUP(A1288,order_details[orderID],order_details[productID],,0)</f>
        <v>61</v>
      </c>
      <c r="D1288" t="str">
        <f>_xlfn.XLOOKUP(C1288,products[productID],products[productName],,0)</f>
        <v>Sirop d'érable</v>
      </c>
      <c r="E1288" t="str">
        <f>_xlfn.XLOOKUP(_xlfn.XLOOKUP(Table9[[#This Row],[ProductName ]],products[productName],products[categoryID],,0),categories[categoryID],categories[categoryName],,0)</f>
        <v>Condiments</v>
      </c>
      <c r="F1288">
        <v>2</v>
      </c>
      <c r="G1288">
        <v>13</v>
      </c>
      <c r="H1288">
        <v>1</v>
      </c>
      <c r="I1288">
        <f>Table9[[#This Row],[quantity]]*Table9[[#This Row],[unitPrice]]*(1-Table9[[#This Row],[discount]]/100)</f>
        <v>25.74</v>
      </c>
      <c r="J1288" t="str">
        <f>_xlfn.XLOOKUP(_xlfn.XLOOKUP(A1288,orders[orderID],orders[customerID],,0),customers__2[customerID],customers__2[companyName],,0)</f>
        <v>Let's Stop N Shop</v>
      </c>
      <c r="K1288" t="str">
        <f>_xlfn.XLOOKUP(Table9[[#This Row],[Company Name]],customers__2[companyName],customers__2[country],,0)</f>
        <v>USA</v>
      </c>
      <c r="L1288">
        <f>MONTH(Table9[[#This Row],[OrderDate ]])</f>
        <v>11</v>
      </c>
      <c r="M1288" t="str">
        <f>TEXT(Table9[[#This Row],[OrderDate ]],"mmm")</f>
        <v>Nov</v>
      </c>
      <c r="N1288">
        <f>YEAR(Table9[[#This Row],[OrderDate ]])</f>
        <v>2014</v>
      </c>
    </row>
    <row r="1289" spans="1:14" x14ac:dyDescent="0.3">
      <c r="A1289">
        <v>10736</v>
      </c>
      <c r="B1289" s="2">
        <f>_xlfn.XLOOKUP(Table9[[#This Row],[orderID]],orders[orderID],orders[orderDate],,0)</f>
        <v>41954</v>
      </c>
      <c r="C1289">
        <f>_xlfn.XLOOKUP(A1289,order_details[orderID],order_details[productID],,0)</f>
        <v>65</v>
      </c>
      <c r="D1289" t="str">
        <f>_xlfn.XLOOKUP(C1289,products[productID],products[productName],,0)</f>
        <v>Louisiana Fiery Hot Pepper Sauce</v>
      </c>
      <c r="E1289" t="str">
        <f>_xlfn.XLOOKUP(_xlfn.XLOOKUP(Table9[[#This Row],[ProductName ]],products[productName],products[categoryID],,0),categories[categoryID],categories[categoryName],,0)</f>
        <v>Condiments</v>
      </c>
      <c r="F1289">
        <v>40</v>
      </c>
      <c r="G1289">
        <v>2105</v>
      </c>
      <c r="H1289">
        <v>0</v>
      </c>
      <c r="I1289">
        <f>Table9[[#This Row],[quantity]]*Table9[[#This Row],[unitPrice]]*(1-Table9[[#This Row],[discount]]/100)</f>
        <v>84200</v>
      </c>
      <c r="J1289" t="str">
        <f>_xlfn.XLOOKUP(_xlfn.XLOOKUP(A1289,orders[orderID],orders[customerID],,0),customers__2[customerID],customers__2[companyName],,0)</f>
        <v>Hungry Owl All-Night Grocers</v>
      </c>
      <c r="K1289" t="str">
        <f>_xlfn.XLOOKUP(Table9[[#This Row],[Company Name]],customers__2[companyName],customers__2[country],,0)</f>
        <v>Ireland</v>
      </c>
      <c r="L1289">
        <f>MONTH(Table9[[#This Row],[OrderDate ]])</f>
        <v>11</v>
      </c>
      <c r="M1289" t="str">
        <f>TEXT(Table9[[#This Row],[OrderDate ]],"mmm")</f>
        <v>Nov</v>
      </c>
      <c r="N1289">
        <f>YEAR(Table9[[#This Row],[OrderDate ]])</f>
        <v>2014</v>
      </c>
    </row>
    <row r="1290" spans="1:14" x14ac:dyDescent="0.3">
      <c r="A1290">
        <v>10736</v>
      </c>
      <c r="B1290" s="2">
        <f>_xlfn.XLOOKUP(Table9[[#This Row],[orderID]],orders[orderID],orders[orderDate],,0)</f>
        <v>41954</v>
      </c>
      <c r="C1290">
        <f>_xlfn.XLOOKUP(A1290,order_details[orderID],order_details[productID],,0)</f>
        <v>65</v>
      </c>
      <c r="D1290" t="str">
        <f>_xlfn.XLOOKUP(C1290,products[productID],products[productName],,0)</f>
        <v>Louisiana Fiery Hot Pepper Sauce</v>
      </c>
      <c r="E1290" t="str">
        <f>_xlfn.XLOOKUP(_xlfn.XLOOKUP(Table9[[#This Row],[ProductName ]],products[productName],products[categoryID],,0),categories[categoryID],categories[categoryName],,0)</f>
        <v>Condiments</v>
      </c>
      <c r="F1290">
        <v>20</v>
      </c>
      <c r="G1290">
        <v>775</v>
      </c>
      <c r="H1290">
        <v>0</v>
      </c>
      <c r="I1290">
        <f>Table9[[#This Row],[quantity]]*Table9[[#This Row],[unitPrice]]*(1-Table9[[#This Row],[discount]]/100)</f>
        <v>15500</v>
      </c>
      <c r="J1290" t="str">
        <f>_xlfn.XLOOKUP(_xlfn.XLOOKUP(A1290,orders[orderID],orders[customerID],,0),customers__2[customerID],customers__2[companyName],,0)</f>
        <v>Hungry Owl All-Night Grocers</v>
      </c>
      <c r="K1290" t="str">
        <f>_xlfn.XLOOKUP(Table9[[#This Row],[Company Name]],customers__2[companyName],customers__2[country],,0)</f>
        <v>Ireland</v>
      </c>
      <c r="L1290">
        <f>MONTH(Table9[[#This Row],[OrderDate ]])</f>
        <v>11</v>
      </c>
      <c r="M1290" t="str">
        <f>TEXT(Table9[[#This Row],[OrderDate ]],"mmm")</f>
        <v>Nov</v>
      </c>
      <c r="N1290">
        <f>YEAR(Table9[[#This Row],[OrderDate ]])</f>
        <v>2014</v>
      </c>
    </row>
    <row r="1291" spans="1:14" x14ac:dyDescent="0.3">
      <c r="A1291">
        <v>10737</v>
      </c>
      <c r="B1291" s="2">
        <f>_xlfn.XLOOKUP(Table9[[#This Row],[orderID]],orders[orderID],orders[orderDate],,0)</f>
        <v>41954</v>
      </c>
      <c r="C1291">
        <f>_xlfn.XLOOKUP(A1291,order_details[orderID],order_details[productID],,0)</f>
        <v>13</v>
      </c>
      <c r="D1291" t="str">
        <f>_xlfn.XLOOKUP(C1291,products[productID],products[productName],,0)</f>
        <v>Konbu</v>
      </c>
      <c r="E1291" t="str">
        <f>_xlfn.XLOOKUP(_xlfn.XLOOKUP(Table9[[#This Row],[ProductName ]],products[productName],products[categoryID],,0),categories[categoryID],categories[categoryName],,0)</f>
        <v>Seafood</v>
      </c>
      <c r="F1291">
        <v>4</v>
      </c>
      <c r="G1291">
        <v>6</v>
      </c>
      <c r="H1291">
        <v>0</v>
      </c>
      <c r="I1291">
        <f>Table9[[#This Row],[quantity]]*Table9[[#This Row],[unitPrice]]*(1-Table9[[#This Row],[discount]]/100)</f>
        <v>24</v>
      </c>
      <c r="J1291" t="str">
        <f>_xlfn.XLOOKUP(_xlfn.XLOOKUP(A1291,orders[orderID],orders[customerID],,0),customers__2[customerID],customers__2[companyName],,0)</f>
        <v>Vins et alcools Chevalier</v>
      </c>
      <c r="K1291" t="str">
        <f>_xlfn.XLOOKUP(Table9[[#This Row],[Company Name]],customers__2[companyName],customers__2[country],,0)</f>
        <v>France</v>
      </c>
      <c r="L1291">
        <f>MONTH(Table9[[#This Row],[OrderDate ]])</f>
        <v>11</v>
      </c>
      <c r="M1291" t="str">
        <f>TEXT(Table9[[#This Row],[OrderDate ]],"mmm")</f>
        <v>Nov</v>
      </c>
      <c r="N1291">
        <f>YEAR(Table9[[#This Row],[OrderDate ]])</f>
        <v>2014</v>
      </c>
    </row>
    <row r="1292" spans="1:14" x14ac:dyDescent="0.3">
      <c r="A1292">
        <v>10737</v>
      </c>
      <c r="B1292" s="2">
        <f>_xlfn.XLOOKUP(Table9[[#This Row],[orderID]],orders[orderID],orders[orderDate],,0)</f>
        <v>41954</v>
      </c>
      <c r="C1292">
        <f>_xlfn.XLOOKUP(A1292,order_details[orderID],order_details[productID],,0)</f>
        <v>13</v>
      </c>
      <c r="D1292" t="str">
        <f>_xlfn.XLOOKUP(C1292,products[productID],products[productName],,0)</f>
        <v>Konbu</v>
      </c>
      <c r="E1292" t="str">
        <f>_xlfn.XLOOKUP(_xlfn.XLOOKUP(Table9[[#This Row],[ProductName ]],products[productName],products[categoryID],,0),categories[categoryID],categories[categoryName],,0)</f>
        <v>Seafood</v>
      </c>
      <c r="F1292">
        <v>12</v>
      </c>
      <c r="G1292">
        <v>965</v>
      </c>
      <c r="H1292">
        <v>0</v>
      </c>
      <c r="I1292">
        <f>Table9[[#This Row],[quantity]]*Table9[[#This Row],[unitPrice]]*(1-Table9[[#This Row],[discount]]/100)</f>
        <v>11580</v>
      </c>
      <c r="J1292" t="str">
        <f>_xlfn.XLOOKUP(_xlfn.XLOOKUP(A1292,orders[orderID],orders[customerID],,0),customers__2[customerID],customers__2[companyName],,0)</f>
        <v>Vins et alcools Chevalier</v>
      </c>
      <c r="K1292" t="str">
        <f>_xlfn.XLOOKUP(Table9[[#This Row],[Company Name]],customers__2[companyName],customers__2[country],,0)</f>
        <v>France</v>
      </c>
      <c r="L1292">
        <f>MONTH(Table9[[#This Row],[OrderDate ]])</f>
        <v>11</v>
      </c>
      <c r="M1292" t="str">
        <f>TEXT(Table9[[#This Row],[OrderDate ]],"mmm")</f>
        <v>Nov</v>
      </c>
      <c r="N1292">
        <f>YEAR(Table9[[#This Row],[OrderDate ]])</f>
        <v>2014</v>
      </c>
    </row>
    <row r="1293" spans="1:14" x14ac:dyDescent="0.3">
      <c r="A1293">
        <v>10738</v>
      </c>
      <c r="B1293" s="2">
        <f>_xlfn.XLOOKUP(Table9[[#This Row],[orderID]],orders[orderID],orders[orderDate],,0)</f>
        <v>41955</v>
      </c>
      <c r="C1293">
        <f>_xlfn.XLOOKUP(A1293,order_details[orderID],order_details[productID],,0)</f>
        <v>16</v>
      </c>
      <c r="D1293" t="str">
        <f>_xlfn.XLOOKUP(C1293,products[productID],products[productName],,0)</f>
        <v>Pavlova</v>
      </c>
      <c r="E1293" t="str">
        <f>_xlfn.XLOOKUP(_xlfn.XLOOKUP(Table9[[#This Row],[ProductName ]],products[productName],products[categoryID],,0),categories[categoryID],categories[categoryName],,0)</f>
        <v>Confections</v>
      </c>
      <c r="F1293">
        <v>3</v>
      </c>
      <c r="G1293">
        <v>1745</v>
      </c>
      <c r="H1293">
        <v>0</v>
      </c>
      <c r="I1293">
        <f>Table9[[#This Row],[quantity]]*Table9[[#This Row],[unitPrice]]*(1-Table9[[#This Row],[discount]]/100)</f>
        <v>5235</v>
      </c>
      <c r="J1293" t="str">
        <f>_xlfn.XLOOKUP(_xlfn.XLOOKUP(A1293,orders[orderID],orders[customerID],,0),customers__2[customerID],customers__2[companyName],,0)</f>
        <v>Spécialités du monde</v>
      </c>
      <c r="K1293" t="str">
        <f>_xlfn.XLOOKUP(Table9[[#This Row],[Company Name]],customers__2[companyName],customers__2[country],,0)</f>
        <v>France</v>
      </c>
      <c r="L1293">
        <f>MONTH(Table9[[#This Row],[OrderDate ]])</f>
        <v>11</v>
      </c>
      <c r="M1293" t="str">
        <f>TEXT(Table9[[#This Row],[OrderDate ]],"mmm")</f>
        <v>Nov</v>
      </c>
      <c r="N1293">
        <f>YEAR(Table9[[#This Row],[OrderDate ]])</f>
        <v>2014</v>
      </c>
    </row>
    <row r="1294" spans="1:14" x14ac:dyDescent="0.3">
      <c r="A1294">
        <v>10739</v>
      </c>
      <c r="B1294" s="2">
        <f>_xlfn.XLOOKUP(Table9[[#This Row],[orderID]],orders[orderID],orders[orderDate],,0)</f>
        <v>41955</v>
      </c>
      <c r="C1294">
        <f>_xlfn.XLOOKUP(A1294,order_details[orderID],order_details[productID],,0)</f>
        <v>36</v>
      </c>
      <c r="D1294" t="str">
        <f>_xlfn.XLOOKUP(C1294,products[productID],products[productName],,0)</f>
        <v>Inlagd Sill</v>
      </c>
      <c r="E1294" t="str">
        <f>_xlfn.XLOOKUP(_xlfn.XLOOKUP(Table9[[#This Row],[ProductName ]],products[productName],products[categoryID],,0),categories[categoryID],categories[categoryName],,0)</f>
        <v>Seafood</v>
      </c>
      <c r="F1294">
        <v>6</v>
      </c>
      <c r="G1294">
        <v>19</v>
      </c>
      <c r="H1294">
        <v>0</v>
      </c>
      <c r="I1294">
        <f>Table9[[#This Row],[quantity]]*Table9[[#This Row],[unitPrice]]*(1-Table9[[#This Row],[discount]]/100)</f>
        <v>114</v>
      </c>
      <c r="J1294" t="str">
        <f>_xlfn.XLOOKUP(_xlfn.XLOOKUP(A1294,orders[orderID],orders[customerID],,0),customers__2[customerID],customers__2[companyName],,0)</f>
        <v>Vins et alcools Chevalier</v>
      </c>
      <c r="K1294" t="str">
        <f>_xlfn.XLOOKUP(Table9[[#This Row],[Company Name]],customers__2[companyName],customers__2[country],,0)</f>
        <v>France</v>
      </c>
      <c r="L1294">
        <f>MONTH(Table9[[#This Row],[OrderDate ]])</f>
        <v>11</v>
      </c>
      <c r="M1294" t="str">
        <f>TEXT(Table9[[#This Row],[OrderDate ]],"mmm")</f>
        <v>Nov</v>
      </c>
      <c r="N1294">
        <f>YEAR(Table9[[#This Row],[OrderDate ]])</f>
        <v>2014</v>
      </c>
    </row>
    <row r="1295" spans="1:14" x14ac:dyDescent="0.3">
      <c r="A1295">
        <v>10739</v>
      </c>
      <c r="B1295" s="2">
        <f>_xlfn.XLOOKUP(Table9[[#This Row],[orderID]],orders[orderID],orders[orderDate],,0)</f>
        <v>41955</v>
      </c>
      <c r="C1295">
        <f>_xlfn.XLOOKUP(A1295,order_details[orderID],order_details[productID],,0)</f>
        <v>36</v>
      </c>
      <c r="D1295" t="str">
        <f>_xlfn.XLOOKUP(C1295,products[productID],products[productName],,0)</f>
        <v>Inlagd Sill</v>
      </c>
      <c r="E1295" t="str">
        <f>_xlfn.XLOOKUP(_xlfn.XLOOKUP(Table9[[#This Row],[ProductName ]],products[productName],products[categoryID],,0),categories[categoryID],categories[categoryName],,0)</f>
        <v>Seafood</v>
      </c>
      <c r="F1295">
        <v>18</v>
      </c>
      <c r="G1295">
        <v>7</v>
      </c>
      <c r="H1295">
        <v>0</v>
      </c>
      <c r="I1295">
        <f>Table9[[#This Row],[quantity]]*Table9[[#This Row],[unitPrice]]*(1-Table9[[#This Row],[discount]]/100)</f>
        <v>126</v>
      </c>
      <c r="J1295" t="str">
        <f>_xlfn.XLOOKUP(_xlfn.XLOOKUP(A1295,orders[orderID],orders[customerID],,0),customers__2[customerID],customers__2[companyName],,0)</f>
        <v>Vins et alcools Chevalier</v>
      </c>
      <c r="K1295" t="str">
        <f>_xlfn.XLOOKUP(Table9[[#This Row],[Company Name]],customers__2[companyName],customers__2[country],,0)</f>
        <v>France</v>
      </c>
      <c r="L1295">
        <f>MONTH(Table9[[#This Row],[OrderDate ]])</f>
        <v>11</v>
      </c>
      <c r="M1295" t="str">
        <f>TEXT(Table9[[#This Row],[OrderDate ]],"mmm")</f>
        <v>Nov</v>
      </c>
      <c r="N1295">
        <f>YEAR(Table9[[#This Row],[OrderDate ]])</f>
        <v>2014</v>
      </c>
    </row>
    <row r="1296" spans="1:14" x14ac:dyDescent="0.3">
      <c r="A1296">
        <v>10740</v>
      </c>
      <c r="B1296" s="2">
        <f>_xlfn.XLOOKUP(Table9[[#This Row],[orderID]],orders[orderID],orders[orderDate],,0)</f>
        <v>41956</v>
      </c>
      <c r="C1296">
        <f>_xlfn.XLOOKUP(A1296,order_details[orderID],order_details[productID],,0)</f>
        <v>28</v>
      </c>
      <c r="D1296" t="str">
        <f>_xlfn.XLOOKUP(C1296,products[productID],products[productName],,0)</f>
        <v>Rössle Sauerkraut</v>
      </c>
      <c r="E1296" t="str">
        <f>_xlfn.XLOOKUP(_xlfn.XLOOKUP(Table9[[#This Row],[ProductName ]],products[productName],products[categoryID],,0),categories[categoryID],categories[categoryName],,0)</f>
        <v>Produce</v>
      </c>
      <c r="F1296">
        <v>5</v>
      </c>
      <c r="G1296">
        <v>456</v>
      </c>
      <c r="H1296">
        <v>2</v>
      </c>
      <c r="I1296">
        <f>Table9[[#This Row],[quantity]]*Table9[[#This Row],[unitPrice]]*(1-Table9[[#This Row],[discount]]/100)</f>
        <v>2234.4</v>
      </c>
      <c r="J1296" t="str">
        <f>_xlfn.XLOOKUP(_xlfn.XLOOKUP(A1296,orders[orderID],orders[customerID],,0),customers__2[customerID],customers__2[companyName],,0)</f>
        <v>White Clover Markets</v>
      </c>
      <c r="K1296" t="str">
        <f>_xlfn.XLOOKUP(Table9[[#This Row],[Company Name]],customers__2[companyName],customers__2[country],,0)</f>
        <v>USA</v>
      </c>
      <c r="L1296">
        <f>MONTH(Table9[[#This Row],[OrderDate ]])</f>
        <v>11</v>
      </c>
      <c r="M1296" t="str">
        <f>TEXT(Table9[[#This Row],[OrderDate ]],"mmm")</f>
        <v>Nov</v>
      </c>
      <c r="N1296">
        <f>YEAR(Table9[[#This Row],[OrderDate ]])</f>
        <v>2014</v>
      </c>
    </row>
    <row r="1297" spans="1:14" x14ac:dyDescent="0.3">
      <c r="A1297">
        <v>10740</v>
      </c>
      <c r="B1297" s="2">
        <f>_xlfn.XLOOKUP(Table9[[#This Row],[orderID]],orders[orderID],orders[orderDate],,0)</f>
        <v>41956</v>
      </c>
      <c r="C1297">
        <f>_xlfn.XLOOKUP(A1297,order_details[orderID],order_details[productID],,0)</f>
        <v>28</v>
      </c>
      <c r="D1297" t="str">
        <f>_xlfn.XLOOKUP(C1297,products[productID],products[productName],,0)</f>
        <v>Rössle Sauerkraut</v>
      </c>
      <c r="E1297" t="str">
        <f>_xlfn.XLOOKUP(_xlfn.XLOOKUP(Table9[[#This Row],[ProductName ]],products[productName],products[categoryID],,0),categories[categoryID],categories[categoryName],,0)</f>
        <v>Produce</v>
      </c>
      <c r="F1297">
        <v>35</v>
      </c>
      <c r="G1297">
        <v>18</v>
      </c>
      <c r="H1297">
        <v>2</v>
      </c>
      <c r="I1297">
        <f>Table9[[#This Row],[quantity]]*Table9[[#This Row],[unitPrice]]*(1-Table9[[#This Row],[discount]]/100)</f>
        <v>617.4</v>
      </c>
      <c r="J1297" t="str">
        <f>_xlfn.XLOOKUP(_xlfn.XLOOKUP(A1297,orders[orderID],orders[customerID],,0),customers__2[customerID],customers__2[companyName],,0)</f>
        <v>White Clover Markets</v>
      </c>
      <c r="K1297" t="str">
        <f>_xlfn.XLOOKUP(Table9[[#This Row],[Company Name]],customers__2[companyName],customers__2[country],,0)</f>
        <v>USA</v>
      </c>
      <c r="L1297">
        <f>MONTH(Table9[[#This Row],[OrderDate ]])</f>
        <v>11</v>
      </c>
      <c r="M1297" t="str">
        <f>TEXT(Table9[[#This Row],[OrderDate ]],"mmm")</f>
        <v>Nov</v>
      </c>
      <c r="N1297">
        <f>YEAR(Table9[[#This Row],[OrderDate ]])</f>
        <v>2014</v>
      </c>
    </row>
    <row r="1298" spans="1:14" x14ac:dyDescent="0.3">
      <c r="A1298">
        <v>10740</v>
      </c>
      <c r="B1298" s="2">
        <f>_xlfn.XLOOKUP(Table9[[#This Row],[orderID]],orders[orderID],orders[orderDate],,0)</f>
        <v>41956</v>
      </c>
      <c r="C1298">
        <f>_xlfn.XLOOKUP(A1298,order_details[orderID],order_details[productID],,0)</f>
        <v>28</v>
      </c>
      <c r="D1298" t="str">
        <f>_xlfn.XLOOKUP(C1298,products[productID],products[productName],,0)</f>
        <v>Rössle Sauerkraut</v>
      </c>
      <c r="E1298" t="str">
        <f>_xlfn.XLOOKUP(_xlfn.XLOOKUP(Table9[[#This Row],[ProductName ]],products[productName],products[categoryID],,0),categories[categoryID],categories[categoryName],,0)</f>
        <v>Produce</v>
      </c>
      <c r="F1298">
        <v>40</v>
      </c>
      <c r="G1298">
        <v>95</v>
      </c>
      <c r="H1298">
        <v>2</v>
      </c>
      <c r="I1298">
        <f>Table9[[#This Row],[quantity]]*Table9[[#This Row],[unitPrice]]*(1-Table9[[#This Row],[discount]]/100)</f>
        <v>3724</v>
      </c>
      <c r="J1298" t="str">
        <f>_xlfn.XLOOKUP(_xlfn.XLOOKUP(A1298,orders[orderID],orders[customerID],,0),customers__2[customerID],customers__2[companyName],,0)</f>
        <v>White Clover Markets</v>
      </c>
      <c r="K1298" t="str">
        <f>_xlfn.XLOOKUP(Table9[[#This Row],[Company Name]],customers__2[companyName],customers__2[country],,0)</f>
        <v>USA</v>
      </c>
      <c r="L1298">
        <f>MONTH(Table9[[#This Row],[OrderDate ]])</f>
        <v>11</v>
      </c>
      <c r="M1298" t="str">
        <f>TEXT(Table9[[#This Row],[OrderDate ]],"mmm")</f>
        <v>Nov</v>
      </c>
      <c r="N1298">
        <f>YEAR(Table9[[#This Row],[OrderDate ]])</f>
        <v>2014</v>
      </c>
    </row>
    <row r="1299" spans="1:14" x14ac:dyDescent="0.3">
      <c r="A1299">
        <v>10740</v>
      </c>
      <c r="B1299" s="2">
        <f>_xlfn.XLOOKUP(Table9[[#This Row],[orderID]],orders[orderID],orders[orderDate],,0)</f>
        <v>41956</v>
      </c>
      <c r="C1299">
        <f>_xlfn.XLOOKUP(A1299,order_details[orderID],order_details[productID],,0)</f>
        <v>28</v>
      </c>
      <c r="D1299" t="str">
        <f>_xlfn.XLOOKUP(C1299,products[productID],products[productName],,0)</f>
        <v>Rössle Sauerkraut</v>
      </c>
      <c r="E1299" t="str">
        <f>_xlfn.XLOOKUP(_xlfn.XLOOKUP(Table9[[#This Row],[ProductName ]],products[productName],products[categoryID],,0),categories[categoryID],categories[categoryName],,0)</f>
        <v>Produce</v>
      </c>
      <c r="F1299">
        <v>14</v>
      </c>
      <c r="G1299">
        <v>38</v>
      </c>
      <c r="H1299">
        <v>2</v>
      </c>
      <c r="I1299">
        <f>Table9[[#This Row],[quantity]]*Table9[[#This Row],[unitPrice]]*(1-Table9[[#This Row],[discount]]/100)</f>
        <v>521.36</v>
      </c>
      <c r="J1299" t="str">
        <f>_xlfn.XLOOKUP(_xlfn.XLOOKUP(A1299,orders[orderID],orders[customerID],,0),customers__2[customerID],customers__2[companyName],,0)</f>
        <v>White Clover Markets</v>
      </c>
      <c r="K1299" t="str">
        <f>_xlfn.XLOOKUP(Table9[[#This Row],[Company Name]],customers__2[companyName],customers__2[country],,0)</f>
        <v>USA</v>
      </c>
      <c r="L1299">
        <f>MONTH(Table9[[#This Row],[OrderDate ]])</f>
        <v>11</v>
      </c>
      <c r="M1299" t="str">
        <f>TEXT(Table9[[#This Row],[OrderDate ]],"mmm")</f>
        <v>Nov</v>
      </c>
      <c r="N1299">
        <f>YEAR(Table9[[#This Row],[OrderDate ]])</f>
        <v>2014</v>
      </c>
    </row>
    <row r="1300" spans="1:14" x14ac:dyDescent="0.3">
      <c r="A1300">
        <v>10741</v>
      </c>
      <c r="B1300" s="2">
        <f>_xlfn.XLOOKUP(Table9[[#This Row],[orderID]],orders[orderID],orders[orderDate],,0)</f>
        <v>41957</v>
      </c>
      <c r="C1300">
        <f>_xlfn.XLOOKUP(A1300,order_details[orderID],order_details[productID],,0)</f>
        <v>2</v>
      </c>
      <c r="D1300" t="str">
        <f>_xlfn.XLOOKUP(C1300,products[productID],products[productName],,0)</f>
        <v>Chang</v>
      </c>
      <c r="E1300" t="str">
        <f>_xlfn.XLOOKUP(_xlfn.XLOOKUP(Table9[[#This Row],[ProductName ]],products[productName],products[categoryID],,0),categories[categoryID],categories[categoryName],,0)</f>
        <v>Beverages</v>
      </c>
      <c r="F1300">
        <v>15</v>
      </c>
      <c r="G1300">
        <v>19</v>
      </c>
      <c r="H1300">
        <v>2</v>
      </c>
      <c r="I1300">
        <f>Table9[[#This Row],[quantity]]*Table9[[#This Row],[unitPrice]]*(1-Table9[[#This Row],[discount]]/100)</f>
        <v>279.3</v>
      </c>
      <c r="J1300" t="str">
        <f>_xlfn.XLOOKUP(_xlfn.XLOOKUP(A1300,orders[orderID],orders[customerID],,0),customers__2[customerID],customers__2[companyName],,0)</f>
        <v>Around the Horn</v>
      </c>
      <c r="K1300" t="str">
        <f>_xlfn.XLOOKUP(Table9[[#This Row],[Company Name]],customers__2[companyName],customers__2[country],,0)</f>
        <v>UK</v>
      </c>
      <c r="L1300">
        <f>MONTH(Table9[[#This Row],[OrderDate ]])</f>
        <v>11</v>
      </c>
      <c r="M1300" t="str">
        <f>TEXT(Table9[[#This Row],[OrderDate ]],"mmm")</f>
        <v>Nov</v>
      </c>
      <c r="N1300">
        <f>YEAR(Table9[[#This Row],[OrderDate ]])</f>
        <v>2014</v>
      </c>
    </row>
    <row r="1301" spans="1:14" x14ac:dyDescent="0.3">
      <c r="A1301">
        <v>10742</v>
      </c>
      <c r="B1301" s="2">
        <f>_xlfn.XLOOKUP(Table9[[#This Row],[orderID]],orders[orderID],orders[orderDate],,0)</f>
        <v>41957</v>
      </c>
      <c r="C1301">
        <f>_xlfn.XLOOKUP(A1301,order_details[orderID],order_details[productID],,0)</f>
        <v>3</v>
      </c>
      <c r="D1301" t="str">
        <f>_xlfn.XLOOKUP(C1301,products[productID],products[productName],,0)</f>
        <v>Aniseed Syrup</v>
      </c>
      <c r="E1301" t="str">
        <f>_xlfn.XLOOKUP(_xlfn.XLOOKUP(Table9[[#This Row],[ProductName ]],products[productName],products[categoryID],,0),categories[categoryID],categories[categoryName],,0)</f>
        <v>Condiments</v>
      </c>
      <c r="F1301">
        <v>20</v>
      </c>
      <c r="G1301">
        <v>10</v>
      </c>
      <c r="H1301">
        <v>0</v>
      </c>
      <c r="I1301">
        <f>Table9[[#This Row],[quantity]]*Table9[[#This Row],[unitPrice]]*(1-Table9[[#This Row],[discount]]/100)</f>
        <v>200</v>
      </c>
      <c r="J1301" t="str">
        <f>_xlfn.XLOOKUP(_xlfn.XLOOKUP(A1301,orders[orderID],orders[customerID],,0),customers__2[customerID],customers__2[companyName],,0)</f>
        <v>Bottom-Dollar Markets</v>
      </c>
      <c r="K1301" t="str">
        <f>_xlfn.XLOOKUP(Table9[[#This Row],[Company Name]],customers__2[companyName],customers__2[country],,0)</f>
        <v>Canada</v>
      </c>
      <c r="L1301">
        <f>MONTH(Table9[[#This Row],[OrderDate ]])</f>
        <v>11</v>
      </c>
      <c r="M1301" t="str">
        <f>TEXT(Table9[[#This Row],[OrderDate ]],"mmm")</f>
        <v>Nov</v>
      </c>
      <c r="N1301">
        <f>YEAR(Table9[[#This Row],[OrderDate ]])</f>
        <v>2014</v>
      </c>
    </row>
    <row r="1302" spans="1:14" x14ac:dyDescent="0.3">
      <c r="A1302">
        <v>10742</v>
      </c>
      <c r="B1302" s="2">
        <f>_xlfn.XLOOKUP(Table9[[#This Row],[orderID]],orders[orderID],orders[orderDate],,0)</f>
        <v>41957</v>
      </c>
      <c r="C1302">
        <f>_xlfn.XLOOKUP(A1302,order_details[orderID],order_details[productID],,0)</f>
        <v>3</v>
      </c>
      <c r="D1302" t="str">
        <f>_xlfn.XLOOKUP(C1302,products[productID],products[productName],,0)</f>
        <v>Aniseed Syrup</v>
      </c>
      <c r="E1302" t="str">
        <f>_xlfn.XLOOKUP(_xlfn.XLOOKUP(Table9[[#This Row],[ProductName ]],products[productName],products[categoryID],,0),categories[categoryID],categories[categoryName],,0)</f>
        <v>Condiments</v>
      </c>
      <c r="F1302">
        <v>50</v>
      </c>
      <c r="G1302">
        <v>34</v>
      </c>
      <c r="H1302">
        <v>0</v>
      </c>
      <c r="I1302">
        <f>Table9[[#This Row],[quantity]]*Table9[[#This Row],[unitPrice]]*(1-Table9[[#This Row],[discount]]/100)</f>
        <v>1700</v>
      </c>
      <c r="J1302" t="str">
        <f>_xlfn.XLOOKUP(_xlfn.XLOOKUP(A1302,orders[orderID],orders[customerID],,0),customers__2[customerID],customers__2[companyName],,0)</f>
        <v>Bottom-Dollar Markets</v>
      </c>
      <c r="K1302" t="str">
        <f>_xlfn.XLOOKUP(Table9[[#This Row],[Company Name]],customers__2[companyName],customers__2[country],,0)</f>
        <v>Canada</v>
      </c>
      <c r="L1302">
        <f>MONTH(Table9[[#This Row],[OrderDate ]])</f>
        <v>11</v>
      </c>
      <c r="M1302" t="str">
        <f>TEXT(Table9[[#This Row],[OrderDate ]],"mmm")</f>
        <v>Nov</v>
      </c>
      <c r="N1302">
        <f>YEAR(Table9[[#This Row],[OrderDate ]])</f>
        <v>2014</v>
      </c>
    </row>
    <row r="1303" spans="1:14" x14ac:dyDescent="0.3">
      <c r="A1303">
        <v>10742</v>
      </c>
      <c r="B1303" s="2">
        <f>_xlfn.XLOOKUP(Table9[[#This Row],[orderID]],orders[orderID],orders[orderDate],,0)</f>
        <v>41957</v>
      </c>
      <c r="C1303">
        <f>_xlfn.XLOOKUP(A1303,order_details[orderID],order_details[productID],,0)</f>
        <v>3</v>
      </c>
      <c r="D1303" t="str">
        <f>_xlfn.XLOOKUP(C1303,products[productID],products[productName],,0)</f>
        <v>Aniseed Syrup</v>
      </c>
      <c r="E1303" t="str">
        <f>_xlfn.XLOOKUP(_xlfn.XLOOKUP(Table9[[#This Row],[ProductName ]],products[productName],products[categoryID],,0),categories[categoryID],categories[categoryName],,0)</f>
        <v>Condiments</v>
      </c>
      <c r="F1303">
        <v>35</v>
      </c>
      <c r="G1303">
        <v>348</v>
      </c>
      <c r="H1303">
        <v>0</v>
      </c>
      <c r="I1303">
        <f>Table9[[#This Row],[quantity]]*Table9[[#This Row],[unitPrice]]*(1-Table9[[#This Row],[discount]]/100)</f>
        <v>12180</v>
      </c>
      <c r="J1303" t="str">
        <f>_xlfn.XLOOKUP(_xlfn.XLOOKUP(A1303,orders[orderID],orders[customerID],,0),customers__2[customerID],customers__2[companyName],,0)</f>
        <v>Bottom-Dollar Markets</v>
      </c>
      <c r="K1303" t="str">
        <f>_xlfn.XLOOKUP(Table9[[#This Row],[Company Name]],customers__2[companyName],customers__2[country],,0)</f>
        <v>Canada</v>
      </c>
      <c r="L1303">
        <f>MONTH(Table9[[#This Row],[OrderDate ]])</f>
        <v>11</v>
      </c>
      <c r="M1303" t="str">
        <f>TEXT(Table9[[#This Row],[OrderDate ]],"mmm")</f>
        <v>Nov</v>
      </c>
      <c r="N1303">
        <f>YEAR(Table9[[#This Row],[OrderDate ]])</f>
        <v>2014</v>
      </c>
    </row>
    <row r="1304" spans="1:14" x14ac:dyDescent="0.3">
      <c r="A1304">
        <v>10743</v>
      </c>
      <c r="B1304" s="2">
        <f>_xlfn.XLOOKUP(Table9[[#This Row],[orderID]],orders[orderID],orders[orderDate],,0)</f>
        <v>41960</v>
      </c>
      <c r="C1304">
        <f>_xlfn.XLOOKUP(A1304,order_details[orderID],order_details[productID],,0)</f>
        <v>46</v>
      </c>
      <c r="D1304" t="str">
        <f>_xlfn.XLOOKUP(C1304,products[productID],products[productName],,0)</f>
        <v>Spegesild</v>
      </c>
      <c r="E1304" t="str">
        <f>_xlfn.XLOOKUP(_xlfn.XLOOKUP(Table9[[#This Row],[ProductName ]],products[productName],products[categoryID],,0),categories[categoryID],categories[categoryName],,0)</f>
        <v>Seafood</v>
      </c>
      <c r="F1304">
        <v>28</v>
      </c>
      <c r="G1304">
        <v>12</v>
      </c>
      <c r="H1304">
        <v>5</v>
      </c>
      <c r="I1304">
        <f>Table9[[#This Row],[quantity]]*Table9[[#This Row],[unitPrice]]*(1-Table9[[#This Row],[discount]]/100)</f>
        <v>319.2</v>
      </c>
      <c r="J1304" t="str">
        <f>_xlfn.XLOOKUP(_xlfn.XLOOKUP(A1304,orders[orderID],orders[customerID],,0),customers__2[customerID],customers__2[companyName],,0)</f>
        <v>Around the Horn</v>
      </c>
      <c r="K1304" t="str">
        <f>_xlfn.XLOOKUP(Table9[[#This Row],[Company Name]],customers__2[companyName],customers__2[country],,0)</f>
        <v>UK</v>
      </c>
      <c r="L1304">
        <f>MONTH(Table9[[#This Row],[OrderDate ]])</f>
        <v>11</v>
      </c>
      <c r="M1304" t="str">
        <f>TEXT(Table9[[#This Row],[OrderDate ]],"mmm")</f>
        <v>Nov</v>
      </c>
      <c r="N1304">
        <f>YEAR(Table9[[#This Row],[OrderDate ]])</f>
        <v>2014</v>
      </c>
    </row>
    <row r="1305" spans="1:14" x14ac:dyDescent="0.3">
      <c r="A1305">
        <v>10744</v>
      </c>
      <c r="B1305" s="2">
        <f>_xlfn.XLOOKUP(Table9[[#This Row],[orderID]],orders[orderID],orders[orderDate],,0)</f>
        <v>41960</v>
      </c>
      <c r="C1305">
        <f>_xlfn.XLOOKUP(A1305,order_details[orderID],order_details[productID],,0)</f>
        <v>40</v>
      </c>
      <c r="D1305" t="str">
        <f>_xlfn.XLOOKUP(C1305,products[productID],products[productName],,0)</f>
        <v>Boston Crab Meat</v>
      </c>
      <c r="E1305" t="str">
        <f>_xlfn.XLOOKUP(_xlfn.XLOOKUP(Table9[[#This Row],[ProductName ]],products[productName],products[categoryID],,0),categories[categoryID],categories[categoryName],,0)</f>
        <v>Seafood</v>
      </c>
      <c r="F1305">
        <v>50</v>
      </c>
      <c r="G1305">
        <v>184</v>
      </c>
      <c r="H1305">
        <v>2</v>
      </c>
      <c r="I1305">
        <f>Table9[[#This Row],[quantity]]*Table9[[#This Row],[unitPrice]]*(1-Table9[[#This Row],[discount]]/100)</f>
        <v>9016</v>
      </c>
      <c r="J1305" t="str">
        <f>_xlfn.XLOOKUP(_xlfn.XLOOKUP(A1305,orders[orderID],orders[customerID],,0),customers__2[customerID],customers__2[companyName],,0)</f>
        <v>Vaffeljernet</v>
      </c>
      <c r="K1305" t="str">
        <f>_xlfn.XLOOKUP(Table9[[#This Row],[Company Name]],customers__2[companyName],customers__2[country],,0)</f>
        <v>Denmark</v>
      </c>
      <c r="L1305">
        <f>MONTH(Table9[[#This Row],[OrderDate ]])</f>
        <v>11</v>
      </c>
      <c r="M1305" t="str">
        <f>TEXT(Table9[[#This Row],[OrderDate ]],"mmm")</f>
        <v>Nov</v>
      </c>
      <c r="N1305">
        <f>YEAR(Table9[[#This Row],[OrderDate ]])</f>
        <v>2014</v>
      </c>
    </row>
    <row r="1306" spans="1:14" x14ac:dyDescent="0.3">
      <c r="A1306">
        <v>10745</v>
      </c>
      <c r="B1306" s="2">
        <f>_xlfn.XLOOKUP(Table9[[#This Row],[orderID]],orders[orderID],orders[orderDate],,0)</f>
        <v>41961</v>
      </c>
      <c r="C1306">
        <f>_xlfn.XLOOKUP(A1306,order_details[orderID],order_details[productID],,0)</f>
        <v>18</v>
      </c>
      <c r="D1306" t="str">
        <f>_xlfn.XLOOKUP(C1306,products[productID],products[productName],,0)</f>
        <v>Carnarvon Tigers</v>
      </c>
      <c r="E1306" t="str">
        <f>_xlfn.XLOOKUP(_xlfn.XLOOKUP(Table9[[#This Row],[ProductName ]],products[productName],products[categoryID],,0),categories[categoryID],categories[categoryName],,0)</f>
        <v>Seafood</v>
      </c>
      <c r="F1306">
        <v>24</v>
      </c>
      <c r="G1306">
        <v>625</v>
      </c>
      <c r="H1306">
        <v>0</v>
      </c>
      <c r="I1306">
        <f>Table9[[#This Row],[quantity]]*Table9[[#This Row],[unitPrice]]*(1-Table9[[#This Row],[discount]]/100)</f>
        <v>15000</v>
      </c>
      <c r="J1306" t="str">
        <f>_xlfn.XLOOKUP(_xlfn.XLOOKUP(A1306,orders[orderID],orders[customerID],,0),customers__2[customerID],customers__2[companyName],,0)</f>
        <v>QUICK-Stop</v>
      </c>
      <c r="K1306" t="str">
        <f>_xlfn.XLOOKUP(Table9[[#This Row],[Company Name]],customers__2[companyName],customers__2[country],,0)</f>
        <v>Germany</v>
      </c>
      <c r="L1306">
        <f>MONTH(Table9[[#This Row],[OrderDate ]])</f>
        <v>11</v>
      </c>
      <c r="M1306" t="str">
        <f>TEXT(Table9[[#This Row],[OrderDate ]],"mmm")</f>
        <v>Nov</v>
      </c>
      <c r="N1306">
        <f>YEAR(Table9[[#This Row],[OrderDate ]])</f>
        <v>2014</v>
      </c>
    </row>
    <row r="1307" spans="1:14" x14ac:dyDescent="0.3">
      <c r="A1307">
        <v>10745</v>
      </c>
      <c r="B1307" s="2">
        <f>_xlfn.XLOOKUP(Table9[[#This Row],[orderID]],orders[orderID],orders[orderDate],,0)</f>
        <v>41961</v>
      </c>
      <c r="C1307">
        <f>_xlfn.XLOOKUP(A1307,order_details[orderID],order_details[productID],,0)</f>
        <v>18</v>
      </c>
      <c r="D1307" t="str">
        <f>_xlfn.XLOOKUP(C1307,products[productID],products[productName],,0)</f>
        <v>Carnarvon Tigers</v>
      </c>
      <c r="E1307" t="str">
        <f>_xlfn.XLOOKUP(_xlfn.XLOOKUP(Table9[[#This Row],[ProductName ]],products[productName],products[categoryID],,0),categories[categoryID],categories[categoryName],,0)</f>
        <v>Seafood</v>
      </c>
      <c r="F1307">
        <v>16</v>
      </c>
      <c r="G1307">
        <v>1945</v>
      </c>
      <c r="H1307">
        <v>0</v>
      </c>
      <c r="I1307">
        <f>Table9[[#This Row],[quantity]]*Table9[[#This Row],[unitPrice]]*(1-Table9[[#This Row],[discount]]/100)</f>
        <v>31120</v>
      </c>
      <c r="J1307" t="str">
        <f>_xlfn.XLOOKUP(_xlfn.XLOOKUP(A1307,orders[orderID],orders[customerID],,0),customers__2[customerID],customers__2[companyName],,0)</f>
        <v>QUICK-Stop</v>
      </c>
      <c r="K1307" t="str">
        <f>_xlfn.XLOOKUP(Table9[[#This Row],[Company Name]],customers__2[companyName],customers__2[country],,0)</f>
        <v>Germany</v>
      </c>
      <c r="L1307">
        <f>MONTH(Table9[[#This Row],[OrderDate ]])</f>
        <v>11</v>
      </c>
      <c r="M1307" t="str">
        <f>TEXT(Table9[[#This Row],[OrderDate ]],"mmm")</f>
        <v>Nov</v>
      </c>
      <c r="N1307">
        <f>YEAR(Table9[[#This Row],[OrderDate ]])</f>
        <v>2014</v>
      </c>
    </row>
    <row r="1308" spans="1:14" x14ac:dyDescent="0.3">
      <c r="A1308">
        <v>10745</v>
      </c>
      <c r="B1308" s="2">
        <f>_xlfn.XLOOKUP(Table9[[#This Row],[orderID]],orders[orderID],orders[orderDate],,0)</f>
        <v>41961</v>
      </c>
      <c r="C1308">
        <f>_xlfn.XLOOKUP(A1308,order_details[orderID],order_details[productID],,0)</f>
        <v>18</v>
      </c>
      <c r="D1308" t="str">
        <f>_xlfn.XLOOKUP(C1308,products[productID],products[productName],,0)</f>
        <v>Carnarvon Tigers</v>
      </c>
      <c r="E1308" t="str">
        <f>_xlfn.XLOOKUP(_xlfn.XLOOKUP(Table9[[#This Row],[ProductName ]],products[productName],products[categoryID],,0),categories[categoryID],categories[categoryName],,0)</f>
        <v>Seafood</v>
      </c>
      <c r="F1308">
        <v>45</v>
      </c>
      <c r="G1308">
        <v>55</v>
      </c>
      <c r="H1308">
        <v>0</v>
      </c>
      <c r="I1308">
        <f>Table9[[#This Row],[quantity]]*Table9[[#This Row],[unitPrice]]*(1-Table9[[#This Row],[discount]]/100)</f>
        <v>2475</v>
      </c>
      <c r="J1308" t="str">
        <f>_xlfn.XLOOKUP(_xlfn.XLOOKUP(A1308,orders[orderID],orders[customerID],,0),customers__2[customerID],customers__2[companyName],,0)</f>
        <v>QUICK-Stop</v>
      </c>
      <c r="K1308" t="str">
        <f>_xlfn.XLOOKUP(Table9[[#This Row],[Company Name]],customers__2[companyName],customers__2[country],,0)</f>
        <v>Germany</v>
      </c>
      <c r="L1308">
        <f>MONTH(Table9[[#This Row],[OrderDate ]])</f>
        <v>11</v>
      </c>
      <c r="M1308" t="str">
        <f>TEXT(Table9[[#This Row],[OrderDate ]],"mmm")</f>
        <v>Nov</v>
      </c>
      <c r="N1308">
        <f>YEAR(Table9[[#This Row],[OrderDate ]])</f>
        <v>2014</v>
      </c>
    </row>
    <row r="1309" spans="1:14" x14ac:dyDescent="0.3">
      <c r="A1309">
        <v>10745</v>
      </c>
      <c r="B1309" s="2">
        <f>_xlfn.XLOOKUP(Table9[[#This Row],[orderID]],orders[orderID],orders[orderDate],,0)</f>
        <v>41961</v>
      </c>
      <c r="C1309">
        <f>_xlfn.XLOOKUP(A1309,order_details[orderID],order_details[productID],,0)</f>
        <v>18</v>
      </c>
      <c r="D1309" t="str">
        <f>_xlfn.XLOOKUP(C1309,products[productID],products[productName],,0)</f>
        <v>Carnarvon Tigers</v>
      </c>
      <c r="E1309" t="str">
        <f>_xlfn.XLOOKUP(_xlfn.XLOOKUP(Table9[[#This Row],[ProductName ]],products[productName],products[categoryID],,0),categories[categoryID],categories[categoryName],,0)</f>
        <v>Seafood</v>
      </c>
      <c r="F1309">
        <v>7</v>
      </c>
      <c r="G1309">
        <v>348</v>
      </c>
      <c r="H1309">
        <v>0</v>
      </c>
      <c r="I1309">
        <f>Table9[[#This Row],[quantity]]*Table9[[#This Row],[unitPrice]]*(1-Table9[[#This Row],[discount]]/100)</f>
        <v>2436</v>
      </c>
      <c r="J1309" t="str">
        <f>_xlfn.XLOOKUP(_xlfn.XLOOKUP(A1309,orders[orderID],orders[customerID],,0),customers__2[customerID],customers__2[companyName],,0)</f>
        <v>QUICK-Stop</v>
      </c>
      <c r="K1309" t="str">
        <f>_xlfn.XLOOKUP(Table9[[#This Row],[Company Name]],customers__2[companyName],customers__2[country],,0)</f>
        <v>Germany</v>
      </c>
      <c r="L1309">
        <f>MONTH(Table9[[#This Row],[OrderDate ]])</f>
        <v>11</v>
      </c>
      <c r="M1309" t="str">
        <f>TEXT(Table9[[#This Row],[OrderDate ]],"mmm")</f>
        <v>Nov</v>
      </c>
      <c r="N1309">
        <f>YEAR(Table9[[#This Row],[OrderDate ]])</f>
        <v>2014</v>
      </c>
    </row>
    <row r="1310" spans="1:14" x14ac:dyDescent="0.3">
      <c r="A1310">
        <v>10746</v>
      </c>
      <c r="B1310" s="2">
        <f>_xlfn.XLOOKUP(Table9[[#This Row],[orderID]],orders[orderID],orders[orderDate],,0)</f>
        <v>41962</v>
      </c>
      <c r="C1310">
        <f>_xlfn.XLOOKUP(A1310,order_details[orderID],order_details[productID],,0)</f>
        <v>13</v>
      </c>
      <c r="D1310" t="str">
        <f>_xlfn.XLOOKUP(C1310,products[productID],products[productName],,0)</f>
        <v>Konbu</v>
      </c>
      <c r="E1310" t="str">
        <f>_xlfn.XLOOKUP(_xlfn.XLOOKUP(Table9[[#This Row],[ProductName ]],products[productName],products[categoryID],,0),categories[categoryID],categories[categoryName],,0)</f>
        <v>Seafood</v>
      </c>
      <c r="F1310">
        <v>6</v>
      </c>
      <c r="G1310">
        <v>6</v>
      </c>
      <c r="H1310">
        <v>0</v>
      </c>
      <c r="I1310">
        <f>Table9[[#This Row],[quantity]]*Table9[[#This Row],[unitPrice]]*(1-Table9[[#This Row],[discount]]/100)</f>
        <v>36</v>
      </c>
      <c r="J1310" t="str">
        <f>_xlfn.XLOOKUP(_xlfn.XLOOKUP(A1310,orders[orderID],orders[customerID],,0),customers__2[customerID],customers__2[companyName],,0)</f>
        <v>Chop-suey Chinese</v>
      </c>
      <c r="K1310" t="str">
        <f>_xlfn.XLOOKUP(Table9[[#This Row],[Company Name]],customers__2[companyName],customers__2[country],,0)</f>
        <v>Switzerland</v>
      </c>
      <c r="L1310">
        <f>MONTH(Table9[[#This Row],[OrderDate ]])</f>
        <v>11</v>
      </c>
      <c r="M1310" t="str">
        <f>TEXT(Table9[[#This Row],[OrderDate ]],"mmm")</f>
        <v>Nov</v>
      </c>
      <c r="N1310">
        <f>YEAR(Table9[[#This Row],[OrderDate ]])</f>
        <v>2014</v>
      </c>
    </row>
    <row r="1311" spans="1:14" x14ac:dyDescent="0.3">
      <c r="A1311">
        <v>10746</v>
      </c>
      <c r="B1311" s="2">
        <f>_xlfn.XLOOKUP(Table9[[#This Row],[orderID]],orders[orderID],orders[orderDate],,0)</f>
        <v>41962</v>
      </c>
      <c r="C1311">
        <f>_xlfn.XLOOKUP(A1311,order_details[orderID],order_details[productID],,0)</f>
        <v>13</v>
      </c>
      <c r="D1311" t="str">
        <f>_xlfn.XLOOKUP(C1311,products[productID],products[productName],,0)</f>
        <v>Konbu</v>
      </c>
      <c r="E1311" t="str">
        <f>_xlfn.XLOOKUP(_xlfn.XLOOKUP(Table9[[#This Row],[ProductName ]],products[productName],products[categoryID],,0),categories[categoryID],categories[categoryName],,0)</f>
        <v>Seafood</v>
      </c>
      <c r="F1311">
        <v>28</v>
      </c>
      <c r="G1311">
        <v>14</v>
      </c>
      <c r="H1311">
        <v>0</v>
      </c>
      <c r="I1311">
        <f>Table9[[#This Row],[quantity]]*Table9[[#This Row],[unitPrice]]*(1-Table9[[#This Row],[discount]]/100)</f>
        <v>392</v>
      </c>
      <c r="J1311" t="str">
        <f>_xlfn.XLOOKUP(_xlfn.XLOOKUP(A1311,orders[orderID],orders[customerID],,0),customers__2[customerID],customers__2[companyName],,0)</f>
        <v>Chop-suey Chinese</v>
      </c>
      <c r="K1311" t="str">
        <f>_xlfn.XLOOKUP(Table9[[#This Row],[Company Name]],customers__2[companyName],customers__2[country],,0)</f>
        <v>Switzerland</v>
      </c>
      <c r="L1311">
        <f>MONTH(Table9[[#This Row],[OrderDate ]])</f>
        <v>11</v>
      </c>
      <c r="M1311" t="str">
        <f>TEXT(Table9[[#This Row],[OrderDate ]],"mmm")</f>
        <v>Nov</v>
      </c>
      <c r="N1311">
        <f>YEAR(Table9[[#This Row],[OrderDate ]])</f>
        <v>2014</v>
      </c>
    </row>
    <row r="1312" spans="1:14" x14ac:dyDescent="0.3">
      <c r="A1312">
        <v>10746</v>
      </c>
      <c r="B1312" s="2">
        <f>_xlfn.XLOOKUP(Table9[[#This Row],[orderID]],orders[orderID],orders[orderDate],,0)</f>
        <v>41962</v>
      </c>
      <c r="C1312">
        <f>_xlfn.XLOOKUP(A1312,order_details[orderID],order_details[productID],,0)</f>
        <v>13</v>
      </c>
      <c r="D1312" t="str">
        <f>_xlfn.XLOOKUP(C1312,products[productID],products[productName],,0)</f>
        <v>Konbu</v>
      </c>
      <c r="E1312" t="str">
        <f>_xlfn.XLOOKUP(_xlfn.XLOOKUP(Table9[[#This Row],[ProductName ]],products[productName],products[categoryID],,0),categories[categoryID],categories[categoryName],,0)</f>
        <v>Seafood</v>
      </c>
      <c r="F1312">
        <v>9</v>
      </c>
      <c r="G1312">
        <v>493</v>
      </c>
      <c r="H1312">
        <v>0</v>
      </c>
      <c r="I1312">
        <f>Table9[[#This Row],[quantity]]*Table9[[#This Row],[unitPrice]]*(1-Table9[[#This Row],[discount]]/100)</f>
        <v>4437</v>
      </c>
      <c r="J1312" t="str">
        <f>_xlfn.XLOOKUP(_xlfn.XLOOKUP(A1312,orders[orderID],orders[customerID],,0),customers__2[customerID],customers__2[companyName],,0)</f>
        <v>Chop-suey Chinese</v>
      </c>
      <c r="K1312" t="str">
        <f>_xlfn.XLOOKUP(Table9[[#This Row],[Company Name]],customers__2[companyName],customers__2[country],,0)</f>
        <v>Switzerland</v>
      </c>
      <c r="L1312">
        <f>MONTH(Table9[[#This Row],[OrderDate ]])</f>
        <v>11</v>
      </c>
      <c r="M1312" t="str">
        <f>TEXT(Table9[[#This Row],[OrderDate ]],"mmm")</f>
        <v>Nov</v>
      </c>
      <c r="N1312">
        <f>YEAR(Table9[[#This Row],[OrderDate ]])</f>
        <v>2014</v>
      </c>
    </row>
    <row r="1313" spans="1:14" x14ac:dyDescent="0.3">
      <c r="A1313">
        <v>10746</v>
      </c>
      <c r="B1313" s="2">
        <f>_xlfn.XLOOKUP(Table9[[#This Row],[orderID]],orders[orderID],orders[orderDate],,0)</f>
        <v>41962</v>
      </c>
      <c r="C1313">
        <f>_xlfn.XLOOKUP(A1313,order_details[orderID],order_details[productID],,0)</f>
        <v>13</v>
      </c>
      <c r="D1313" t="str">
        <f>_xlfn.XLOOKUP(C1313,products[productID],products[productName],,0)</f>
        <v>Konbu</v>
      </c>
      <c r="E1313" t="str">
        <f>_xlfn.XLOOKUP(_xlfn.XLOOKUP(Table9[[#This Row],[ProductName ]],products[productName],products[categoryID],,0),categories[categoryID],categories[categoryName],,0)</f>
        <v>Seafood</v>
      </c>
      <c r="F1313">
        <v>40</v>
      </c>
      <c r="G1313">
        <v>36</v>
      </c>
      <c r="H1313">
        <v>0</v>
      </c>
      <c r="I1313">
        <f>Table9[[#This Row],[quantity]]*Table9[[#This Row],[unitPrice]]*(1-Table9[[#This Row],[discount]]/100)</f>
        <v>1440</v>
      </c>
      <c r="J1313" t="str">
        <f>_xlfn.XLOOKUP(_xlfn.XLOOKUP(A1313,orders[orderID],orders[customerID],,0),customers__2[customerID],customers__2[companyName],,0)</f>
        <v>Chop-suey Chinese</v>
      </c>
      <c r="K1313" t="str">
        <f>_xlfn.XLOOKUP(Table9[[#This Row],[Company Name]],customers__2[companyName],customers__2[country],,0)</f>
        <v>Switzerland</v>
      </c>
      <c r="L1313">
        <f>MONTH(Table9[[#This Row],[OrderDate ]])</f>
        <v>11</v>
      </c>
      <c r="M1313" t="str">
        <f>TEXT(Table9[[#This Row],[OrderDate ]],"mmm")</f>
        <v>Nov</v>
      </c>
      <c r="N1313">
        <f>YEAR(Table9[[#This Row],[OrderDate ]])</f>
        <v>2014</v>
      </c>
    </row>
    <row r="1314" spans="1:14" x14ac:dyDescent="0.3">
      <c r="A1314">
        <v>10747</v>
      </c>
      <c r="B1314" s="2">
        <f>_xlfn.XLOOKUP(Table9[[#This Row],[orderID]],orders[orderID],orders[orderDate],,0)</f>
        <v>41962</v>
      </c>
      <c r="C1314">
        <f>_xlfn.XLOOKUP(A1314,order_details[orderID],order_details[productID],,0)</f>
        <v>31</v>
      </c>
      <c r="D1314" t="str">
        <f>_xlfn.XLOOKUP(C1314,products[productID],products[productName],,0)</f>
        <v>Gorgonzola Telino</v>
      </c>
      <c r="E1314" t="str">
        <f>_xlfn.XLOOKUP(_xlfn.XLOOKUP(Table9[[#This Row],[ProductName ]],products[productName],products[categoryID],,0),categories[categoryID],categories[categoryName],,0)</f>
        <v>Dairy Products</v>
      </c>
      <c r="F1314">
        <v>8</v>
      </c>
      <c r="G1314">
        <v>125</v>
      </c>
      <c r="H1314">
        <v>0</v>
      </c>
      <c r="I1314">
        <f>Table9[[#This Row],[quantity]]*Table9[[#This Row],[unitPrice]]*(1-Table9[[#This Row],[discount]]/100)</f>
        <v>1000</v>
      </c>
      <c r="J1314" t="str">
        <f>_xlfn.XLOOKUP(_xlfn.XLOOKUP(A1314,orders[orderID],orders[customerID],,0),customers__2[customerID],customers__2[companyName],,0)</f>
        <v>Piccolo und mehr</v>
      </c>
      <c r="K1314" t="str">
        <f>_xlfn.XLOOKUP(Table9[[#This Row],[Company Name]],customers__2[companyName],customers__2[country],,0)</f>
        <v>Austria</v>
      </c>
      <c r="L1314">
        <f>MONTH(Table9[[#This Row],[OrderDate ]])</f>
        <v>11</v>
      </c>
      <c r="M1314" t="str">
        <f>TEXT(Table9[[#This Row],[OrderDate ]],"mmm")</f>
        <v>Nov</v>
      </c>
      <c r="N1314">
        <f>YEAR(Table9[[#This Row],[OrderDate ]])</f>
        <v>2014</v>
      </c>
    </row>
    <row r="1315" spans="1:14" x14ac:dyDescent="0.3">
      <c r="A1315">
        <v>10747</v>
      </c>
      <c r="B1315" s="2">
        <f>_xlfn.XLOOKUP(Table9[[#This Row],[orderID]],orders[orderID],orders[orderDate],,0)</f>
        <v>41962</v>
      </c>
      <c r="C1315">
        <f>_xlfn.XLOOKUP(A1315,order_details[orderID],order_details[productID],,0)</f>
        <v>31</v>
      </c>
      <c r="D1315" t="str">
        <f>_xlfn.XLOOKUP(C1315,products[productID],products[productName],,0)</f>
        <v>Gorgonzola Telino</v>
      </c>
      <c r="E1315" t="str">
        <f>_xlfn.XLOOKUP(_xlfn.XLOOKUP(Table9[[#This Row],[ProductName ]],products[productName],products[categoryID],,0),categories[categoryID],categories[categoryName],,0)</f>
        <v>Dairy Products</v>
      </c>
      <c r="F1315">
        <v>35</v>
      </c>
      <c r="G1315">
        <v>965</v>
      </c>
      <c r="H1315">
        <v>0</v>
      </c>
      <c r="I1315">
        <f>Table9[[#This Row],[quantity]]*Table9[[#This Row],[unitPrice]]*(1-Table9[[#This Row],[discount]]/100)</f>
        <v>33775</v>
      </c>
      <c r="J1315" t="str">
        <f>_xlfn.XLOOKUP(_xlfn.XLOOKUP(A1315,orders[orderID],orders[customerID],,0),customers__2[customerID],customers__2[companyName],,0)</f>
        <v>Piccolo und mehr</v>
      </c>
      <c r="K1315" t="str">
        <f>_xlfn.XLOOKUP(Table9[[#This Row],[Company Name]],customers__2[companyName],customers__2[country],,0)</f>
        <v>Austria</v>
      </c>
      <c r="L1315">
        <f>MONTH(Table9[[#This Row],[OrderDate ]])</f>
        <v>11</v>
      </c>
      <c r="M1315" t="str">
        <f>TEXT(Table9[[#This Row],[OrderDate ]],"mmm")</f>
        <v>Nov</v>
      </c>
      <c r="N1315">
        <f>YEAR(Table9[[#This Row],[OrderDate ]])</f>
        <v>2014</v>
      </c>
    </row>
    <row r="1316" spans="1:14" x14ac:dyDescent="0.3">
      <c r="A1316">
        <v>10747</v>
      </c>
      <c r="B1316" s="2">
        <f>_xlfn.XLOOKUP(Table9[[#This Row],[orderID]],orders[orderID],orders[orderDate],,0)</f>
        <v>41962</v>
      </c>
      <c r="C1316">
        <f>_xlfn.XLOOKUP(A1316,order_details[orderID],order_details[productID],,0)</f>
        <v>31</v>
      </c>
      <c r="D1316" t="str">
        <f>_xlfn.XLOOKUP(C1316,products[productID],products[productName],,0)</f>
        <v>Gorgonzola Telino</v>
      </c>
      <c r="E1316" t="str">
        <f>_xlfn.XLOOKUP(_xlfn.XLOOKUP(Table9[[#This Row],[ProductName ]],products[productName],products[categoryID],,0),categories[categoryID],categories[categoryName],,0)</f>
        <v>Dairy Products</v>
      </c>
      <c r="F1316">
        <v>9</v>
      </c>
      <c r="G1316">
        <v>439</v>
      </c>
      <c r="H1316">
        <v>0</v>
      </c>
      <c r="I1316">
        <f>Table9[[#This Row],[quantity]]*Table9[[#This Row],[unitPrice]]*(1-Table9[[#This Row],[discount]]/100)</f>
        <v>3951</v>
      </c>
      <c r="J1316" t="str">
        <f>_xlfn.XLOOKUP(_xlfn.XLOOKUP(A1316,orders[orderID],orders[customerID],,0),customers__2[customerID],customers__2[companyName],,0)</f>
        <v>Piccolo und mehr</v>
      </c>
      <c r="K1316" t="str">
        <f>_xlfn.XLOOKUP(Table9[[#This Row],[Company Name]],customers__2[companyName],customers__2[country],,0)</f>
        <v>Austria</v>
      </c>
      <c r="L1316">
        <f>MONTH(Table9[[#This Row],[OrderDate ]])</f>
        <v>11</v>
      </c>
      <c r="M1316" t="str">
        <f>TEXT(Table9[[#This Row],[OrderDate ]],"mmm")</f>
        <v>Nov</v>
      </c>
      <c r="N1316">
        <f>YEAR(Table9[[#This Row],[OrderDate ]])</f>
        <v>2014</v>
      </c>
    </row>
    <row r="1317" spans="1:14" x14ac:dyDescent="0.3">
      <c r="A1317">
        <v>10747</v>
      </c>
      <c r="B1317" s="2">
        <f>_xlfn.XLOOKUP(Table9[[#This Row],[orderID]],orders[orderID],orders[orderDate],,0)</f>
        <v>41962</v>
      </c>
      <c r="C1317">
        <f>_xlfn.XLOOKUP(A1317,order_details[orderID],order_details[productID],,0)</f>
        <v>31</v>
      </c>
      <c r="D1317" t="str">
        <f>_xlfn.XLOOKUP(C1317,products[productID],products[productName],,0)</f>
        <v>Gorgonzola Telino</v>
      </c>
      <c r="E1317" t="str">
        <f>_xlfn.XLOOKUP(_xlfn.XLOOKUP(Table9[[#This Row],[ProductName ]],products[productName],products[categoryID],,0),categories[categoryID],categories[categoryName],,0)</f>
        <v>Dairy Products</v>
      </c>
      <c r="F1317">
        <v>30</v>
      </c>
      <c r="G1317">
        <v>36</v>
      </c>
      <c r="H1317">
        <v>0</v>
      </c>
      <c r="I1317">
        <f>Table9[[#This Row],[quantity]]*Table9[[#This Row],[unitPrice]]*(1-Table9[[#This Row],[discount]]/100)</f>
        <v>1080</v>
      </c>
      <c r="J1317" t="str">
        <f>_xlfn.XLOOKUP(_xlfn.XLOOKUP(A1317,orders[orderID],orders[customerID],,0),customers__2[customerID],customers__2[companyName],,0)</f>
        <v>Piccolo und mehr</v>
      </c>
      <c r="K1317" t="str">
        <f>_xlfn.XLOOKUP(Table9[[#This Row],[Company Name]],customers__2[companyName],customers__2[country],,0)</f>
        <v>Austria</v>
      </c>
      <c r="L1317">
        <f>MONTH(Table9[[#This Row],[OrderDate ]])</f>
        <v>11</v>
      </c>
      <c r="M1317" t="str">
        <f>TEXT(Table9[[#This Row],[OrderDate ]],"mmm")</f>
        <v>Nov</v>
      </c>
      <c r="N1317">
        <f>YEAR(Table9[[#This Row],[OrderDate ]])</f>
        <v>2014</v>
      </c>
    </row>
    <row r="1318" spans="1:14" x14ac:dyDescent="0.3">
      <c r="A1318">
        <v>10748</v>
      </c>
      <c r="B1318" s="2">
        <f>_xlfn.XLOOKUP(Table9[[#This Row],[orderID]],orders[orderID],orders[orderDate],,0)</f>
        <v>41963</v>
      </c>
      <c r="C1318">
        <f>_xlfn.XLOOKUP(A1318,order_details[orderID],order_details[productID],,0)</f>
        <v>23</v>
      </c>
      <c r="D1318" t="str">
        <f>_xlfn.XLOOKUP(C1318,products[productID],products[productName],,0)</f>
        <v>Tunnbröd</v>
      </c>
      <c r="E1318" t="str">
        <f>_xlfn.XLOOKUP(_xlfn.XLOOKUP(Table9[[#This Row],[ProductName ]],products[productName],products[categoryID],,0),categories[categoryID],categories[categoryName],,0)</f>
        <v>Grains &amp; Cereals</v>
      </c>
      <c r="F1318">
        <v>44</v>
      </c>
      <c r="G1318">
        <v>9</v>
      </c>
      <c r="H1318">
        <v>0</v>
      </c>
      <c r="I1318">
        <f>Table9[[#This Row],[quantity]]*Table9[[#This Row],[unitPrice]]*(1-Table9[[#This Row],[discount]]/100)</f>
        <v>396</v>
      </c>
      <c r="J1318" t="str">
        <f>_xlfn.XLOOKUP(_xlfn.XLOOKUP(A1318,orders[orderID],orders[customerID],,0),customers__2[customerID],customers__2[companyName],,0)</f>
        <v>Save-a-lot Markets</v>
      </c>
      <c r="K1318" t="str">
        <f>_xlfn.XLOOKUP(Table9[[#This Row],[Company Name]],customers__2[companyName],customers__2[country],,0)</f>
        <v>USA</v>
      </c>
      <c r="L1318">
        <f>MONTH(Table9[[#This Row],[OrderDate ]])</f>
        <v>11</v>
      </c>
      <c r="M1318" t="str">
        <f>TEXT(Table9[[#This Row],[OrderDate ]],"mmm")</f>
        <v>Nov</v>
      </c>
      <c r="N1318">
        <f>YEAR(Table9[[#This Row],[OrderDate ]])</f>
        <v>2014</v>
      </c>
    </row>
    <row r="1319" spans="1:14" x14ac:dyDescent="0.3">
      <c r="A1319">
        <v>10748</v>
      </c>
      <c r="B1319" s="2">
        <f>_xlfn.XLOOKUP(Table9[[#This Row],[orderID]],orders[orderID],orders[orderDate],,0)</f>
        <v>41963</v>
      </c>
      <c r="C1319">
        <f>_xlfn.XLOOKUP(A1319,order_details[orderID],order_details[productID],,0)</f>
        <v>23</v>
      </c>
      <c r="D1319" t="str">
        <f>_xlfn.XLOOKUP(C1319,products[productID],products[productName],,0)</f>
        <v>Tunnbröd</v>
      </c>
      <c r="E1319" t="str">
        <f>_xlfn.XLOOKUP(_xlfn.XLOOKUP(Table9[[#This Row],[ProductName ]],products[productName],products[categoryID],,0),categories[categoryID],categories[categoryName],,0)</f>
        <v>Grains &amp; Cereals</v>
      </c>
      <c r="F1319">
        <v>40</v>
      </c>
      <c r="G1319">
        <v>184</v>
      </c>
      <c r="H1319">
        <v>0</v>
      </c>
      <c r="I1319">
        <f>Table9[[#This Row],[quantity]]*Table9[[#This Row],[unitPrice]]*(1-Table9[[#This Row],[discount]]/100)</f>
        <v>7360</v>
      </c>
      <c r="J1319" t="str">
        <f>_xlfn.XLOOKUP(_xlfn.XLOOKUP(A1319,orders[orderID],orders[customerID],,0),customers__2[customerID],customers__2[companyName],,0)</f>
        <v>Save-a-lot Markets</v>
      </c>
      <c r="K1319" t="str">
        <f>_xlfn.XLOOKUP(Table9[[#This Row],[Company Name]],customers__2[companyName],customers__2[country],,0)</f>
        <v>USA</v>
      </c>
      <c r="L1319">
        <f>MONTH(Table9[[#This Row],[OrderDate ]])</f>
        <v>11</v>
      </c>
      <c r="M1319" t="str">
        <f>TEXT(Table9[[#This Row],[OrderDate ]],"mmm")</f>
        <v>Nov</v>
      </c>
      <c r="N1319">
        <f>YEAR(Table9[[#This Row],[OrderDate ]])</f>
        <v>2014</v>
      </c>
    </row>
    <row r="1320" spans="1:14" x14ac:dyDescent="0.3">
      <c r="A1320">
        <v>10748</v>
      </c>
      <c r="B1320" s="2">
        <f>_xlfn.XLOOKUP(Table9[[#This Row],[orderID]],orders[orderID],orders[orderDate],,0)</f>
        <v>41963</v>
      </c>
      <c r="C1320">
        <f>_xlfn.XLOOKUP(A1320,order_details[orderID],order_details[productID],,0)</f>
        <v>23</v>
      </c>
      <c r="D1320" t="str">
        <f>_xlfn.XLOOKUP(C1320,products[productID],products[productName],,0)</f>
        <v>Tunnbröd</v>
      </c>
      <c r="E1320" t="str">
        <f>_xlfn.XLOOKUP(_xlfn.XLOOKUP(Table9[[#This Row],[ProductName ]],products[productName],products[categoryID],,0),categories[categoryID],categories[categoryName],,0)</f>
        <v>Grains &amp; Cereals</v>
      </c>
      <c r="F1320">
        <v>28</v>
      </c>
      <c r="G1320">
        <v>38</v>
      </c>
      <c r="H1320">
        <v>0</v>
      </c>
      <c r="I1320">
        <f>Table9[[#This Row],[quantity]]*Table9[[#This Row],[unitPrice]]*(1-Table9[[#This Row],[discount]]/100)</f>
        <v>1064</v>
      </c>
      <c r="J1320" t="str">
        <f>_xlfn.XLOOKUP(_xlfn.XLOOKUP(A1320,orders[orderID],orders[customerID],,0),customers__2[customerID],customers__2[companyName],,0)</f>
        <v>Save-a-lot Markets</v>
      </c>
      <c r="K1320" t="str">
        <f>_xlfn.XLOOKUP(Table9[[#This Row],[Company Name]],customers__2[companyName],customers__2[country],,0)</f>
        <v>USA</v>
      </c>
      <c r="L1320">
        <f>MONTH(Table9[[#This Row],[OrderDate ]])</f>
        <v>11</v>
      </c>
      <c r="M1320" t="str">
        <f>TEXT(Table9[[#This Row],[OrderDate ]],"mmm")</f>
        <v>Nov</v>
      </c>
      <c r="N1320">
        <f>YEAR(Table9[[#This Row],[OrderDate ]])</f>
        <v>2014</v>
      </c>
    </row>
    <row r="1321" spans="1:14" x14ac:dyDescent="0.3">
      <c r="A1321">
        <v>10749</v>
      </c>
      <c r="B1321" s="2">
        <f>_xlfn.XLOOKUP(Table9[[#This Row],[orderID]],orders[orderID],orders[orderDate],,0)</f>
        <v>41963</v>
      </c>
      <c r="C1321">
        <f>_xlfn.XLOOKUP(A1321,order_details[orderID],order_details[productID],,0)</f>
        <v>56</v>
      </c>
      <c r="D1321" t="str">
        <f>_xlfn.XLOOKUP(C1321,products[productID],products[productName],,0)</f>
        <v>Gnocchi di nonna Alice</v>
      </c>
      <c r="E1321" t="str">
        <f>_xlfn.XLOOKUP(_xlfn.XLOOKUP(Table9[[#This Row],[ProductName ]],products[productName],products[categoryID],,0),categories[categoryID],categories[categoryName],,0)</f>
        <v>Grains &amp; Cereals</v>
      </c>
      <c r="F1321">
        <v>15</v>
      </c>
      <c r="G1321">
        <v>38</v>
      </c>
      <c r="H1321">
        <v>0</v>
      </c>
      <c r="I1321">
        <f>Table9[[#This Row],[quantity]]*Table9[[#This Row],[unitPrice]]*(1-Table9[[#This Row],[discount]]/100)</f>
        <v>570</v>
      </c>
      <c r="J1321" t="str">
        <f>_xlfn.XLOOKUP(_xlfn.XLOOKUP(A1321,orders[orderID],orders[customerID],,0),customers__2[customerID],customers__2[companyName],,0)</f>
        <v>Island Trading</v>
      </c>
      <c r="K1321" t="str">
        <f>_xlfn.XLOOKUP(Table9[[#This Row],[Company Name]],customers__2[companyName],customers__2[country],,0)</f>
        <v>UK</v>
      </c>
      <c r="L1321">
        <f>MONTH(Table9[[#This Row],[OrderDate ]])</f>
        <v>11</v>
      </c>
      <c r="M1321" t="str">
        <f>TEXT(Table9[[#This Row],[OrderDate ]],"mmm")</f>
        <v>Nov</v>
      </c>
      <c r="N1321">
        <f>YEAR(Table9[[#This Row],[OrderDate ]])</f>
        <v>2014</v>
      </c>
    </row>
    <row r="1322" spans="1:14" x14ac:dyDescent="0.3">
      <c r="A1322">
        <v>10749</v>
      </c>
      <c r="B1322" s="2">
        <f>_xlfn.XLOOKUP(Table9[[#This Row],[orderID]],orders[orderID],orders[orderDate],,0)</f>
        <v>41963</v>
      </c>
      <c r="C1322">
        <f>_xlfn.XLOOKUP(A1322,order_details[orderID],order_details[productID],,0)</f>
        <v>56</v>
      </c>
      <c r="D1322" t="str">
        <f>_xlfn.XLOOKUP(C1322,products[productID],products[productName],,0)</f>
        <v>Gnocchi di nonna Alice</v>
      </c>
      <c r="E1322" t="str">
        <f>_xlfn.XLOOKUP(_xlfn.XLOOKUP(Table9[[#This Row],[ProductName ]],products[productName],products[categoryID],,0),categories[categoryID],categories[categoryName],,0)</f>
        <v>Grains &amp; Cereals</v>
      </c>
      <c r="F1322">
        <v>6</v>
      </c>
      <c r="G1322">
        <v>55</v>
      </c>
      <c r="H1322">
        <v>0</v>
      </c>
      <c r="I1322">
        <f>Table9[[#This Row],[quantity]]*Table9[[#This Row],[unitPrice]]*(1-Table9[[#This Row],[discount]]/100)</f>
        <v>330</v>
      </c>
      <c r="J1322" t="str">
        <f>_xlfn.XLOOKUP(_xlfn.XLOOKUP(A1322,orders[orderID],orders[customerID],,0),customers__2[customerID],customers__2[companyName],,0)</f>
        <v>Island Trading</v>
      </c>
      <c r="K1322" t="str">
        <f>_xlfn.XLOOKUP(Table9[[#This Row],[Company Name]],customers__2[companyName],customers__2[country],,0)</f>
        <v>UK</v>
      </c>
      <c r="L1322">
        <f>MONTH(Table9[[#This Row],[OrderDate ]])</f>
        <v>11</v>
      </c>
      <c r="M1322" t="str">
        <f>TEXT(Table9[[#This Row],[OrderDate ]],"mmm")</f>
        <v>Nov</v>
      </c>
      <c r="N1322">
        <f>YEAR(Table9[[#This Row],[OrderDate ]])</f>
        <v>2014</v>
      </c>
    </row>
    <row r="1323" spans="1:14" x14ac:dyDescent="0.3">
      <c r="A1323">
        <v>10749</v>
      </c>
      <c r="B1323" s="2">
        <f>_xlfn.XLOOKUP(Table9[[#This Row],[orderID]],orders[orderID],orders[orderDate],,0)</f>
        <v>41963</v>
      </c>
      <c r="C1323">
        <f>_xlfn.XLOOKUP(A1323,order_details[orderID],order_details[productID],,0)</f>
        <v>56</v>
      </c>
      <c r="D1323" t="str">
        <f>_xlfn.XLOOKUP(C1323,products[productID],products[productName],,0)</f>
        <v>Gnocchi di nonna Alice</v>
      </c>
      <c r="E1323" t="str">
        <f>_xlfn.XLOOKUP(_xlfn.XLOOKUP(Table9[[#This Row],[ProductName ]],products[productName],products[categoryID],,0),categories[categoryID],categories[categoryName],,0)</f>
        <v>Grains &amp; Cereals</v>
      </c>
      <c r="F1323">
        <v>10</v>
      </c>
      <c r="G1323">
        <v>18</v>
      </c>
      <c r="H1323">
        <v>0</v>
      </c>
      <c r="I1323">
        <f>Table9[[#This Row],[quantity]]*Table9[[#This Row],[unitPrice]]*(1-Table9[[#This Row],[discount]]/100)</f>
        <v>180</v>
      </c>
      <c r="J1323" t="str">
        <f>_xlfn.XLOOKUP(_xlfn.XLOOKUP(A1323,orders[orderID],orders[customerID],,0),customers__2[customerID],customers__2[companyName],,0)</f>
        <v>Island Trading</v>
      </c>
      <c r="K1323" t="str">
        <f>_xlfn.XLOOKUP(Table9[[#This Row],[Company Name]],customers__2[companyName],customers__2[country],,0)</f>
        <v>UK</v>
      </c>
      <c r="L1323">
        <f>MONTH(Table9[[#This Row],[OrderDate ]])</f>
        <v>11</v>
      </c>
      <c r="M1323" t="str">
        <f>TEXT(Table9[[#This Row],[OrderDate ]],"mmm")</f>
        <v>Nov</v>
      </c>
      <c r="N1323">
        <f>YEAR(Table9[[#This Row],[OrderDate ]])</f>
        <v>2014</v>
      </c>
    </row>
    <row r="1324" spans="1:14" x14ac:dyDescent="0.3">
      <c r="A1324">
        <v>10750</v>
      </c>
      <c r="B1324" s="2">
        <f>_xlfn.XLOOKUP(Table9[[#This Row],[orderID]],orders[orderID],orders[orderDate],,0)</f>
        <v>41964</v>
      </c>
      <c r="C1324">
        <f>_xlfn.XLOOKUP(A1324,order_details[orderID],order_details[productID],,0)</f>
        <v>14</v>
      </c>
      <c r="D1324" t="str">
        <f>_xlfn.XLOOKUP(C1324,products[productID],products[productName],,0)</f>
        <v>Tofu</v>
      </c>
      <c r="E1324" t="str">
        <f>_xlfn.XLOOKUP(_xlfn.XLOOKUP(Table9[[#This Row],[ProductName ]],products[productName],products[categoryID],,0),categories[categoryID],categories[categoryName],,0)</f>
        <v>Produce</v>
      </c>
      <c r="F1324">
        <v>5</v>
      </c>
      <c r="G1324">
        <v>2325</v>
      </c>
      <c r="H1324">
        <v>15</v>
      </c>
      <c r="I1324">
        <f>Table9[[#This Row],[quantity]]*Table9[[#This Row],[unitPrice]]*(1-Table9[[#This Row],[discount]]/100)</f>
        <v>9881.25</v>
      </c>
      <c r="J1324" t="str">
        <f>_xlfn.XLOOKUP(_xlfn.XLOOKUP(A1324,orders[orderID],orders[customerID],,0),customers__2[customerID],customers__2[companyName],,0)</f>
        <v>Wartian Herkku</v>
      </c>
      <c r="K1324" t="str">
        <f>_xlfn.XLOOKUP(Table9[[#This Row],[Company Name]],customers__2[companyName],customers__2[country],,0)</f>
        <v>Finland</v>
      </c>
      <c r="L1324">
        <f>MONTH(Table9[[#This Row],[OrderDate ]])</f>
        <v>11</v>
      </c>
      <c r="M1324" t="str">
        <f>TEXT(Table9[[#This Row],[OrderDate ]],"mmm")</f>
        <v>Nov</v>
      </c>
      <c r="N1324">
        <f>YEAR(Table9[[#This Row],[OrderDate ]])</f>
        <v>2014</v>
      </c>
    </row>
    <row r="1325" spans="1:14" x14ac:dyDescent="0.3">
      <c r="A1325">
        <v>10750</v>
      </c>
      <c r="B1325" s="2">
        <f>_xlfn.XLOOKUP(Table9[[#This Row],[orderID]],orders[orderID],orders[orderDate],,0)</f>
        <v>41964</v>
      </c>
      <c r="C1325">
        <f>_xlfn.XLOOKUP(A1325,order_details[orderID],order_details[productID],,0)</f>
        <v>14</v>
      </c>
      <c r="D1325" t="str">
        <f>_xlfn.XLOOKUP(C1325,products[productID],products[productName],,0)</f>
        <v>Tofu</v>
      </c>
      <c r="E1325" t="str">
        <f>_xlfn.XLOOKUP(_xlfn.XLOOKUP(Table9[[#This Row],[ProductName ]],products[productName],products[categoryID],,0),categories[categoryID],categories[categoryName],,0)</f>
        <v>Produce</v>
      </c>
      <c r="F1325">
        <v>40</v>
      </c>
      <c r="G1325">
        <v>95</v>
      </c>
      <c r="H1325">
        <v>15</v>
      </c>
      <c r="I1325">
        <f>Table9[[#This Row],[quantity]]*Table9[[#This Row],[unitPrice]]*(1-Table9[[#This Row],[discount]]/100)</f>
        <v>3230</v>
      </c>
      <c r="J1325" t="str">
        <f>_xlfn.XLOOKUP(_xlfn.XLOOKUP(A1325,orders[orderID],orders[customerID],,0),customers__2[customerID],customers__2[companyName],,0)</f>
        <v>Wartian Herkku</v>
      </c>
      <c r="K1325" t="str">
        <f>_xlfn.XLOOKUP(Table9[[#This Row],[Company Name]],customers__2[companyName],customers__2[country],,0)</f>
        <v>Finland</v>
      </c>
      <c r="L1325">
        <f>MONTH(Table9[[#This Row],[OrderDate ]])</f>
        <v>11</v>
      </c>
      <c r="M1325" t="str">
        <f>TEXT(Table9[[#This Row],[OrderDate ]],"mmm")</f>
        <v>Nov</v>
      </c>
      <c r="N1325">
        <f>YEAR(Table9[[#This Row],[OrderDate ]])</f>
        <v>2014</v>
      </c>
    </row>
    <row r="1326" spans="1:14" x14ac:dyDescent="0.3">
      <c r="A1326">
        <v>10750</v>
      </c>
      <c r="B1326" s="2">
        <f>_xlfn.XLOOKUP(Table9[[#This Row],[orderID]],orders[orderID],orders[orderDate],,0)</f>
        <v>41964</v>
      </c>
      <c r="C1326">
        <f>_xlfn.XLOOKUP(A1326,order_details[orderID],order_details[productID],,0)</f>
        <v>14</v>
      </c>
      <c r="D1326" t="str">
        <f>_xlfn.XLOOKUP(C1326,products[productID],products[productName],,0)</f>
        <v>Tofu</v>
      </c>
      <c r="E1326" t="str">
        <f>_xlfn.XLOOKUP(_xlfn.XLOOKUP(Table9[[#This Row],[ProductName ]],products[productName],products[categoryID],,0),categories[categoryID],categories[categoryName],,0)</f>
        <v>Produce</v>
      </c>
      <c r="F1326">
        <v>25</v>
      </c>
      <c r="G1326">
        <v>55</v>
      </c>
      <c r="H1326">
        <v>15</v>
      </c>
      <c r="I1326">
        <f>Table9[[#This Row],[quantity]]*Table9[[#This Row],[unitPrice]]*(1-Table9[[#This Row],[discount]]/100)</f>
        <v>1168.75</v>
      </c>
      <c r="J1326" t="str">
        <f>_xlfn.XLOOKUP(_xlfn.XLOOKUP(A1326,orders[orderID],orders[customerID],,0),customers__2[customerID],customers__2[companyName],,0)</f>
        <v>Wartian Herkku</v>
      </c>
      <c r="K1326" t="str">
        <f>_xlfn.XLOOKUP(Table9[[#This Row],[Company Name]],customers__2[companyName],customers__2[country],,0)</f>
        <v>Finland</v>
      </c>
      <c r="L1326">
        <f>MONTH(Table9[[#This Row],[OrderDate ]])</f>
        <v>11</v>
      </c>
      <c r="M1326" t="str">
        <f>TEXT(Table9[[#This Row],[OrderDate ]],"mmm")</f>
        <v>Nov</v>
      </c>
      <c r="N1326">
        <f>YEAR(Table9[[#This Row],[OrderDate ]])</f>
        <v>2014</v>
      </c>
    </row>
    <row r="1327" spans="1:14" x14ac:dyDescent="0.3">
      <c r="A1327">
        <v>10751</v>
      </c>
      <c r="B1327" s="2">
        <f>_xlfn.XLOOKUP(Table9[[#This Row],[orderID]],orders[orderID],orders[orderDate],,0)</f>
        <v>41967</v>
      </c>
      <c r="C1327">
        <f>_xlfn.XLOOKUP(A1327,order_details[orderID],order_details[productID],,0)</f>
        <v>26</v>
      </c>
      <c r="D1327" t="str">
        <f>_xlfn.XLOOKUP(C1327,products[productID],products[productName],,0)</f>
        <v>Gumbär Gummibärchen</v>
      </c>
      <c r="E1327" t="str">
        <f>_xlfn.XLOOKUP(_xlfn.XLOOKUP(Table9[[#This Row],[ProductName ]],products[productName],products[categoryID],,0),categories[categoryID],categories[categoryName],,0)</f>
        <v>Confections</v>
      </c>
      <c r="F1327">
        <v>12</v>
      </c>
      <c r="G1327">
        <v>3123</v>
      </c>
      <c r="H1327">
        <v>1</v>
      </c>
      <c r="I1327">
        <f>Table9[[#This Row],[quantity]]*Table9[[#This Row],[unitPrice]]*(1-Table9[[#This Row],[discount]]/100)</f>
        <v>37101.24</v>
      </c>
      <c r="J1327" t="str">
        <f>_xlfn.XLOOKUP(_xlfn.XLOOKUP(A1327,orders[orderID],orders[customerID],,0),customers__2[customerID],customers__2[companyName],,0)</f>
        <v>Richter Supermarkt</v>
      </c>
      <c r="K1327" t="str">
        <f>_xlfn.XLOOKUP(Table9[[#This Row],[Company Name]],customers__2[companyName],customers__2[country],,0)</f>
        <v>Switzerland</v>
      </c>
      <c r="L1327">
        <f>MONTH(Table9[[#This Row],[OrderDate ]])</f>
        <v>11</v>
      </c>
      <c r="M1327" t="str">
        <f>TEXT(Table9[[#This Row],[OrderDate ]],"mmm")</f>
        <v>Nov</v>
      </c>
      <c r="N1327">
        <f>YEAR(Table9[[#This Row],[OrderDate ]])</f>
        <v>2014</v>
      </c>
    </row>
    <row r="1328" spans="1:14" x14ac:dyDescent="0.3">
      <c r="A1328">
        <v>10751</v>
      </c>
      <c r="B1328" s="2">
        <f>_xlfn.XLOOKUP(Table9[[#This Row],[orderID]],orders[orderID],orders[orderDate],,0)</f>
        <v>41967</v>
      </c>
      <c r="C1328">
        <f>_xlfn.XLOOKUP(A1328,order_details[orderID],order_details[productID],,0)</f>
        <v>26</v>
      </c>
      <c r="D1328" t="str">
        <f>_xlfn.XLOOKUP(C1328,products[productID],products[productName],,0)</f>
        <v>Gumbär Gummibärchen</v>
      </c>
      <c r="E1328" t="str">
        <f>_xlfn.XLOOKUP(_xlfn.XLOOKUP(Table9[[#This Row],[ProductName ]],products[productName],products[categoryID],,0),categories[categoryID],categories[categoryName],,0)</f>
        <v>Confections</v>
      </c>
      <c r="F1328">
        <v>30</v>
      </c>
      <c r="G1328">
        <v>2589</v>
      </c>
      <c r="H1328">
        <v>0</v>
      </c>
      <c r="I1328">
        <f>Table9[[#This Row],[quantity]]*Table9[[#This Row],[unitPrice]]*(1-Table9[[#This Row],[discount]]/100)</f>
        <v>77670</v>
      </c>
      <c r="J1328" t="str">
        <f>_xlfn.XLOOKUP(_xlfn.XLOOKUP(A1328,orders[orderID],orders[customerID],,0),customers__2[customerID],customers__2[companyName],,0)</f>
        <v>Richter Supermarkt</v>
      </c>
      <c r="K1328" t="str">
        <f>_xlfn.XLOOKUP(Table9[[#This Row],[Company Name]],customers__2[companyName],customers__2[country],,0)</f>
        <v>Switzerland</v>
      </c>
      <c r="L1328">
        <f>MONTH(Table9[[#This Row],[OrderDate ]])</f>
        <v>11</v>
      </c>
      <c r="M1328" t="str">
        <f>TEXT(Table9[[#This Row],[OrderDate ]],"mmm")</f>
        <v>Nov</v>
      </c>
      <c r="N1328">
        <f>YEAR(Table9[[#This Row],[OrderDate ]])</f>
        <v>2014</v>
      </c>
    </row>
    <row r="1329" spans="1:14" x14ac:dyDescent="0.3">
      <c r="A1329">
        <v>10751</v>
      </c>
      <c r="B1329" s="2">
        <f>_xlfn.XLOOKUP(Table9[[#This Row],[orderID]],orders[orderID],orders[orderDate],,0)</f>
        <v>41967</v>
      </c>
      <c r="C1329">
        <f>_xlfn.XLOOKUP(A1329,order_details[orderID],order_details[productID],,0)</f>
        <v>26</v>
      </c>
      <c r="D1329" t="str">
        <f>_xlfn.XLOOKUP(C1329,products[productID],products[productName],,0)</f>
        <v>Gumbär Gummibärchen</v>
      </c>
      <c r="E1329" t="str">
        <f>_xlfn.XLOOKUP(_xlfn.XLOOKUP(Table9[[#This Row],[ProductName ]],products[productName],products[categoryID],,0),categories[categoryID],categories[categoryName],,0)</f>
        <v>Confections</v>
      </c>
      <c r="F1329">
        <v>20</v>
      </c>
      <c r="G1329">
        <v>1625</v>
      </c>
      <c r="H1329">
        <v>1</v>
      </c>
      <c r="I1329">
        <f>Table9[[#This Row],[quantity]]*Table9[[#This Row],[unitPrice]]*(1-Table9[[#This Row],[discount]]/100)</f>
        <v>32175</v>
      </c>
      <c r="J1329" t="str">
        <f>_xlfn.XLOOKUP(_xlfn.XLOOKUP(A1329,orders[orderID],orders[customerID],,0),customers__2[customerID],customers__2[companyName],,0)</f>
        <v>Richter Supermarkt</v>
      </c>
      <c r="K1329" t="str">
        <f>_xlfn.XLOOKUP(Table9[[#This Row],[Company Name]],customers__2[companyName],customers__2[country],,0)</f>
        <v>Switzerland</v>
      </c>
      <c r="L1329">
        <f>MONTH(Table9[[#This Row],[OrderDate ]])</f>
        <v>11</v>
      </c>
      <c r="M1329" t="str">
        <f>TEXT(Table9[[#This Row],[OrderDate ]],"mmm")</f>
        <v>Nov</v>
      </c>
      <c r="N1329">
        <f>YEAR(Table9[[#This Row],[OrderDate ]])</f>
        <v>2014</v>
      </c>
    </row>
    <row r="1330" spans="1:14" x14ac:dyDescent="0.3">
      <c r="A1330">
        <v>10751</v>
      </c>
      <c r="B1330" s="2">
        <f>_xlfn.XLOOKUP(Table9[[#This Row],[orderID]],orders[orderID],orders[orderDate],,0)</f>
        <v>41967</v>
      </c>
      <c r="C1330">
        <f>_xlfn.XLOOKUP(A1330,order_details[orderID],order_details[productID],,0)</f>
        <v>26</v>
      </c>
      <c r="D1330" t="str">
        <f>_xlfn.XLOOKUP(C1330,products[productID],products[productName],,0)</f>
        <v>Gumbär Gummibärchen</v>
      </c>
      <c r="E1330" t="str">
        <f>_xlfn.XLOOKUP(_xlfn.XLOOKUP(Table9[[#This Row],[ProductName ]],products[productName],products[categoryID],,0),categories[categoryID],categories[categoryName],,0)</f>
        <v>Confections</v>
      </c>
      <c r="F1330">
        <v>15</v>
      </c>
      <c r="G1330">
        <v>15</v>
      </c>
      <c r="H1330">
        <v>0</v>
      </c>
      <c r="I1330">
        <f>Table9[[#This Row],[quantity]]*Table9[[#This Row],[unitPrice]]*(1-Table9[[#This Row],[discount]]/100)</f>
        <v>225</v>
      </c>
      <c r="J1330" t="str">
        <f>_xlfn.XLOOKUP(_xlfn.XLOOKUP(A1330,orders[orderID],orders[customerID],,0),customers__2[customerID],customers__2[companyName],,0)</f>
        <v>Richter Supermarkt</v>
      </c>
      <c r="K1330" t="str">
        <f>_xlfn.XLOOKUP(Table9[[#This Row],[Company Name]],customers__2[companyName],customers__2[country],,0)</f>
        <v>Switzerland</v>
      </c>
      <c r="L1330">
        <f>MONTH(Table9[[#This Row],[OrderDate ]])</f>
        <v>11</v>
      </c>
      <c r="M1330" t="str">
        <f>TEXT(Table9[[#This Row],[OrderDate ]],"mmm")</f>
        <v>Nov</v>
      </c>
      <c r="N1330">
        <f>YEAR(Table9[[#This Row],[OrderDate ]])</f>
        <v>2014</v>
      </c>
    </row>
    <row r="1331" spans="1:14" x14ac:dyDescent="0.3">
      <c r="A1331">
        <v>10752</v>
      </c>
      <c r="B1331" s="2">
        <f>_xlfn.XLOOKUP(Table9[[#This Row],[orderID]],orders[orderID],orders[orderDate],,0)</f>
        <v>41967</v>
      </c>
      <c r="C1331">
        <f>_xlfn.XLOOKUP(A1331,order_details[orderID],order_details[productID],,0)</f>
        <v>1</v>
      </c>
      <c r="D1331" t="str">
        <f>_xlfn.XLOOKUP(C1331,products[productID],products[productName],,0)</f>
        <v>Chai</v>
      </c>
      <c r="E1331" t="str">
        <f>_xlfn.XLOOKUP(_xlfn.XLOOKUP(Table9[[#This Row],[ProductName ]],products[productName],products[categoryID],,0),categories[categoryID],categories[categoryName],,0)</f>
        <v>Beverages</v>
      </c>
      <c r="F1331">
        <v>8</v>
      </c>
      <c r="G1331">
        <v>18</v>
      </c>
      <c r="H1331">
        <v>0</v>
      </c>
      <c r="I1331">
        <f>Table9[[#This Row],[quantity]]*Table9[[#This Row],[unitPrice]]*(1-Table9[[#This Row],[discount]]/100)</f>
        <v>144</v>
      </c>
      <c r="J1331" t="str">
        <f>_xlfn.XLOOKUP(_xlfn.XLOOKUP(A1331,orders[orderID],orders[customerID],,0),customers__2[customerID],customers__2[companyName],,0)</f>
        <v>North/South</v>
      </c>
      <c r="K1331" t="str">
        <f>_xlfn.XLOOKUP(Table9[[#This Row],[Company Name]],customers__2[companyName],customers__2[country],,0)</f>
        <v>UK</v>
      </c>
      <c r="L1331">
        <f>MONTH(Table9[[#This Row],[OrderDate ]])</f>
        <v>11</v>
      </c>
      <c r="M1331" t="str">
        <f>TEXT(Table9[[#This Row],[OrderDate ]],"mmm")</f>
        <v>Nov</v>
      </c>
      <c r="N1331">
        <f>YEAR(Table9[[#This Row],[OrderDate ]])</f>
        <v>2014</v>
      </c>
    </row>
    <row r="1332" spans="1:14" x14ac:dyDescent="0.3">
      <c r="A1332">
        <v>10752</v>
      </c>
      <c r="B1332" s="2">
        <f>_xlfn.XLOOKUP(Table9[[#This Row],[orderID]],orders[orderID],orders[orderDate],,0)</f>
        <v>41967</v>
      </c>
      <c r="C1332">
        <f>_xlfn.XLOOKUP(A1332,order_details[orderID],order_details[productID],,0)</f>
        <v>1</v>
      </c>
      <c r="D1332" t="str">
        <f>_xlfn.XLOOKUP(C1332,products[productID],products[productName],,0)</f>
        <v>Chai</v>
      </c>
      <c r="E1332" t="str">
        <f>_xlfn.XLOOKUP(_xlfn.XLOOKUP(Table9[[#This Row],[ProductName ]],products[productName],products[categoryID],,0),categories[categoryID],categories[categoryName],,0)</f>
        <v>Beverages</v>
      </c>
      <c r="F1332">
        <v>3</v>
      </c>
      <c r="G1332">
        <v>36</v>
      </c>
      <c r="H1332">
        <v>0</v>
      </c>
      <c r="I1332">
        <f>Table9[[#This Row],[quantity]]*Table9[[#This Row],[unitPrice]]*(1-Table9[[#This Row],[discount]]/100)</f>
        <v>108</v>
      </c>
      <c r="J1332" t="str">
        <f>_xlfn.XLOOKUP(_xlfn.XLOOKUP(A1332,orders[orderID],orders[customerID],,0),customers__2[customerID],customers__2[companyName],,0)</f>
        <v>North/South</v>
      </c>
      <c r="K1332" t="str">
        <f>_xlfn.XLOOKUP(Table9[[#This Row],[Company Name]],customers__2[companyName],customers__2[country],,0)</f>
        <v>UK</v>
      </c>
      <c r="L1332">
        <f>MONTH(Table9[[#This Row],[OrderDate ]])</f>
        <v>11</v>
      </c>
      <c r="M1332" t="str">
        <f>TEXT(Table9[[#This Row],[OrderDate ]],"mmm")</f>
        <v>Nov</v>
      </c>
      <c r="N1332">
        <f>YEAR(Table9[[#This Row],[OrderDate ]])</f>
        <v>2014</v>
      </c>
    </row>
    <row r="1333" spans="1:14" x14ac:dyDescent="0.3">
      <c r="A1333">
        <v>10753</v>
      </c>
      <c r="B1333" s="2">
        <f>_xlfn.XLOOKUP(Table9[[#This Row],[orderID]],orders[orderID],orders[orderDate],,0)</f>
        <v>41968</v>
      </c>
      <c r="C1333">
        <f>_xlfn.XLOOKUP(A1333,order_details[orderID],order_details[productID],,0)</f>
        <v>45</v>
      </c>
      <c r="D1333" t="str">
        <f>_xlfn.XLOOKUP(C1333,products[productID],products[productName],,0)</f>
        <v>Rogede sild</v>
      </c>
      <c r="E1333" t="str">
        <f>_xlfn.XLOOKUP(_xlfn.XLOOKUP(Table9[[#This Row],[ProductName ]],products[productName],products[categoryID],,0),categories[categoryID],categories[categoryName],,0)</f>
        <v>Seafood</v>
      </c>
      <c r="F1333">
        <v>4</v>
      </c>
      <c r="G1333">
        <v>95</v>
      </c>
      <c r="H1333">
        <v>0</v>
      </c>
      <c r="I1333">
        <f>Table9[[#This Row],[quantity]]*Table9[[#This Row],[unitPrice]]*(1-Table9[[#This Row],[discount]]/100)</f>
        <v>380</v>
      </c>
      <c r="J1333" t="str">
        <f>_xlfn.XLOOKUP(_xlfn.XLOOKUP(A1333,orders[orderID],orders[customerID],,0),customers__2[customerID],customers__2[companyName],,0)</f>
        <v>Franchi S.p.A.</v>
      </c>
      <c r="K1333" t="str">
        <f>_xlfn.XLOOKUP(Table9[[#This Row],[Company Name]],customers__2[companyName],customers__2[country],,0)</f>
        <v>Italy</v>
      </c>
      <c r="L1333">
        <f>MONTH(Table9[[#This Row],[OrderDate ]])</f>
        <v>11</v>
      </c>
      <c r="M1333" t="str">
        <f>TEXT(Table9[[#This Row],[OrderDate ]],"mmm")</f>
        <v>Nov</v>
      </c>
      <c r="N1333">
        <f>YEAR(Table9[[#This Row],[OrderDate ]])</f>
        <v>2014</v>
      </c>
    </row>
    <row r="1334" spans="1:14" x14ac:dyDescent="0.3">
      <c r="A1334">
        <v>10753</v>
      </c>
      <c r="B1334" s="2">
        <f>_xlfn.XLOOKUP(Table9[[#This Row],[orderID]],orders[orderID],orders[orderDate],,0)</f>
        <v>41968</v>
      </c>
      <c r="C1334">
        <f>_xlfn.XLOOKUP(A1334,order_details[orderID],order_details[productID],,0)</f>
        <v>45</v>
      </c>
      <c r="D1334" t="str">
        <f>_xlfn.XLOOKUP(C1334,products[productID],products[productName],,0)</f>
        <v>Rogede sild</v>
      </c>
      <c r="E1334" t="str">
        <f>_xlfn.XLOOKUP(_xlfn.XLOOKUP(Table9[[#This Row],[ProductName ]],products[productName],products[categoryID],,0),categories[categoryID],categories[categoryName],,0)</f>
        <v>Seafood</v>
      </c>
      <c r="F1334">
        <v>5</v>
      </c>
      <c r="G1334">
        <v>10</v>
      </c>
      <c r="H1334">
        <v>0</v>
      </c>
      <c r="I1334">
        <f>Table9[[#This Row],[quantity]]*Table9[[#This Row],[unitPrice]]*(1-Table9[[#This Row],[discount]]/100)</f>
        <v>50</v>
      </c>
      <c r="J1334" t="str">
        <f>_xlfn.XLOOKUP(_xlfn.XLOOKUP(A1334,orders[orderID],orders[customerID],,0),customers__2[customerID],customers__2[companyName],,0)</f>
        <v>Franchi S.p.A.</v>
      </c>
      <c r="K1334" t="str">
        <f>_xlfn.XLOOKUP(Table9[[#This Row],[Company Name]],customers__2[companyName],customers__2[country],,0)</f>
        <v>Italy</v>
      </c>
      <c r="L1334">
        <f>MONTH(Table9[[#This Row],[OrderDate ]])</f>
        <v>11</v>
      </c>
      <c r="M1334" t="str">
        <f>TEXT(Table9[[#This Row],[OrderDate ]],"mmm")</f>
        <v>Nov</v>
      </c>
      <c r="N1334">
        <f>YEAR(Table9[[#This Row],[OrderDate ]])</f>
        <v>2014</v>
      </c>
    </row>
    <row r="1335" spans="1:14" x14ac:dyDescent="0.3">
      <c r="A1335">
        <v>10754</v>
      </c>
      <c r="B1335" s="2">
        <f>_xlfn.XLOOKUP(Table9[[#This Row],[orderID]],orders[orderID],orders[orderDate],,0)</f>
        <v>41968</v>
      </c>
      <c r="C1335">
        <f>_xlfn.XLOOKUP(A1335,order_details[orderID],order_details[productID],,0)</f>
        <v>40</v>
      </c>
      <c r="D1335" t="str">
        <f>_xlfn.XLOOKUP(C1335,products[productID],products[productName],,0)</f>
        <v>Boston Crab Meat</v>
      </c>
      <c r="E1335" t="str">
        <f>_xlfn.XLOOKUP(_xlfn.XLOOKUP(Table9[[#This Row],[ProductName ]],products[productName],products[categoryID],,0),categories[categoryID],categories[categoryName],,0)</f>
        <v>Seafood</v>
      </c>
      <c r="F1335">
        <v>3</v>
      </c>
      <c r="G1335">
        <v>184</v>
      </c>
      <c r="H1335">
        <v>0</v>
      </c>
      <c r="I1335">
        <f>Table9[[#This Row],[quantity]]*Table9[[#This Row],[unitPrice]]*(1-Table9[[#This Row],[discount]]/100)</f>
        <v>552</v>
      </c>
      <c r="J1335" t="str">
        <f>_xlfn.XLOOKUP(_xlfn.XLOOKUP(A1335,orders[orderID],orders[customerID],,0),customers__2[customerID],customers__2[companyName],,0)</f>
        <v>Magazzini Alimentari Riuniti</v>
      </c>
      <c r="K1335" t="str">
        <f>_xlfn.XLOOKUP(Table9[[#This Row],[Company Name]],customers__2[companyName],customers__2[country],,0)</f>
        <v>Italy</v>
      </c>
      <c r="L1335">
        <f>MONTH(Table9[[#This Row],[OrderDate ]])</f>
        <v>11</v>
      </c>
      <c r="M1335" t="str">
        <f>TEXT(Table9[[#This Row],[OrderDate ]],"mmm")</f>
        <v>Nov</v>
      </c>
      <c r="N1335">
        <f>YEAR(Table9[[#This Row],[OrderDate ]])</f>
        <v>2014</v>
      </c>
    </row>
    <row r="1336" spans="1:14" x14ac:dyDescent="0.3">
      <c r="A1336">
        <v>10755</v>
      </c>
      <c r="B1336" s="2">
        <f>_xlfn.XLOOKUP(Table9[[#This Row],[orderID]],orders[orderID],orders[orderDate],,0)</f>
        <v>41969</v>
      </c>
      <c r="C1336">
        <f>_xlfn.XLOOKUP(A1336,order_details[orderID],order_details[productID],,0)</f>
        <v>47</v>
      </c>
      <c r="D1336" t="str">
        <f>_xlfn.XLOOKUP(C1336,products[productID],products[productName],,0)</f>
        <v>Zaanse koeken</v>
      </c>
      <c r="E1336" t="str">
        <f>_xlfn.XLOOKUP(_xlfn.XLOOKUP(Table9[[#This Row],[ProductName ]],products[productName],products[categoryID],,0),categories[categoryID],categories[categoryName],,0)</f>
        <v>Confections</v>
      </c>
      <c r="F1336">
        <v>30</v>
      </c>
      <c r="G1336">
        <v>95</v>
      </c>
      <c r="H1336">
        <v>25</v>
      </c>
      <c r="I1336">
        <f>Table9[[#This Row],[quantity]]*Table9[[#This Row],[unitPrice]]*(1-Table9[[#This Row],[discount]]/100)</f>
        <v>2137.5</v>
      </c>
      <c r="J1336" t="str">
        <f>_xlfn.XLOOKUP(_xlfn.XLOOKUP(A1336,orders[orderID],orders[customerID],,0),customers__2[customerID],customers__2[companyName],,0)</f>
        <v>Bon app'</v>
      </c>
      <c r="K1336" t="str">
        <f>_xlfn.XLOOKUP(Table9[[#This Row],[Company Name]],customers__2[companyName],customers__2[country],,0)</f>
        <v>France</v>
      </c>
      <c r="L1336">
        <f>MONTH(Table9[[#This Row],[OrderDate ]])</f>
        <v>11</v>
      </c>
      <c r="M1336" t="str">
        <f>TEXT(Table9[[#This Row],[OrderDate ]],"mmm")</f>
        <v>Nov</v>
      </c>
      <c r="N1336">
        <f>YEAR(Table9[[#This Row],[OrderDate ]])</f>
        <v>2014</v>
      </c>
    </row>
    <row r="1337" spans="1:14" x14ac:dyDescent="0.3">
      <c r="A1337">
        <v>10755</v>
      </c>
      <c r="B1337" s="2">
        <f>_xlfn.XLOOKUP(Table9[[#This Row],[orderID]],orders[orderID],orders[orderDate],,0)</f>
        <v>41969</v>
      </c>
      <c r="C1337">
        <f>_xlfn.XLOOKUP(A1337,order_details[orderID],order_details[productID],,0)</f>
        <v>47</v>
      </c>
      <c r="D1337" t="str">
        <f>_xlfn.XLOOKUP(C1337,products[productID],products[productName],,0)</f>
        <v>Zaanse koeken</v>
      </c>
      <c r="E1337" t="str">
        <f>_xlfn.XLOOKUP(_xlfn.XLOOKUP(Table9[[#This Row],[ProductName ]],products[productName],products[categoryID],,0),categories[categoryID],categories[categoryName],,0)</f>
        <v>Confections</v>
      </c>
      <c r="F1337">
        <v>30</v>
      </c>
      <c r="G1337">
        <v>38</v>
      </c>
      <c r="H1337">
        <v>25</v>
      </c>
      <c r="I1337">
        <f>Table9[[#This Row],[quantity]]*Table9[[#This Row],[unitPrice]]*(1-Table9[[#This Row],[discount]]/100)</f>
        <v>855</v>
      </c>
      <c r="J1337" t="str">
        <f>_xlfn.XLOOKUP(_xlfn.XLOOKUP(A1337,orders[orderID],orders[customerID],,0),customers__2[customerID],customers__2[companyName],,0)</f>
        <v>Bon app'</v>
      </c>
      <c r="K1337" t="str">
        <f>_xlfn.XLOOKUP(Table9[[#This Row],[Company Name]],customers__2[companyName],customers__2[country],,0)</f>
        <v>France</v>
      </c>
      <c r="L1337">
        <f>MONTH(Table9[[#This Row],[OrderDate ]])</f>
        <v>11</v>
      </c>
      <c r="M1337" t="str">
        <f>TEXT(Table9[[#This Row],[OrderDate ]],"mmm")</f>
        <v>Nov</v>
      </c>
      <c r="N1337">
        <f>YEAR(Table9[[#This Row],[OrderDate ]])</f>
        <v>2014</v>
      </c>
    </row>
    <row r="1338" spans="1:14" x14ac:dyDescent="0.3">
      <c r="A1338">
        <v>10755</v>
      </c>
      <c r="B1338" s="2">
        <f>_xlfn.XLOOKUP(Table9[[#This Row],[orderID]],orders[orderID],orders[orderDate],,0)</f>
        <v>41969</v>
      </c>
      <c r="C1338">
        <f>_xlfn.XLOOKUP(A1338,order_details[orderID],order_details[productID],,0)</f>
        <v>47</v>
      </c>
      <c r="D1338" t="str">
        <f>_xlfn.XLOOKUP(C1338,products[productID],products[productName],,0)</f>
        <v>Zaanse koeken</v>
      </c>
      <c r="E1338" t="str">
        <f>_xlfn.XLOOKUP(_xlfn.XLOOKUP(Table9[[#This Row],[ProductName ]],products[productName],products[categoryID],,0),categories[categoryID],categories[categoryName],,0)</f>
        <v>Confections</v>
      </c>
      <c r="F1338">
        <v>14</v>
      </c>
      <c r="G1338">
        <v>195</v>
      </c>
      <c r="H1338">
        <v>25</v>
      </c>
      <c r="I1338">
        <f>Table9[[#This Row],[quantity]]*Table9[[#This Row],[unitPrice]]*(1-Table9[[#This Row],[discount]]/100)</f>
        <v>2047.5</v>
      </c>
      <c r="J1338" t="str">
        <f>_xlfn.XLOOKUP(_xlfn.XLOOKUP(A1338,orders[orderID],orders[customerID],,0),customers__2[customerID],customers__2[companyName],,0)</f>
        <v>Bon app'</v>
      </c>
      <c r="K1338" t="str">
        <f>_xlfn.XLOOKUP(Table9[[#This Row],[Company Name]],customers__2[companyName],customers__2[country],,0)</f>
        <v>France</v>
      </c>
      <c r="L1338">
        <f>MONTH(Table9[[#This Row],[OrderDate ]])</f>
        <v>11</v>
      </c>
      <c r="M1338" t="str">
        <f>TEXT(Table9[[#This Row],[OrderDate ]],"mmm")</f>
        <v>Nov</v>
      </c>
      <c r="N1338">
        <f>YEAR(Table9[[#This Row],[OrderDate ]])</f>
        <v>2014</v>
      </c>
    </row>
    <row r="1339" spans="1:14" x14ac:dyDescent="0.3">
      <c r="A1339">
        <v>10755</v>
      </c>
      <c r="B1339" s="2">
        <f>_xlfn.XLOOKUP(Table9[[#This Row],[orderID]],orders[orderID],orders[orderDate],,0)</f>
        <v>41969</v>
      </c>
      <c r="C1339">
        <f>_xlfn.XLOOKUP(A1339,order_details[orderID],order_details[productID],,0)</f>
        <v>47</v>
      </c>
      <c r="D1339" t="str">
        <f>_xlfn.XLOOKUP(C1339,products[productID],products[productName],,0)</f>
        <v>Zaanse koeken</v>
      </c>
      <c r="E1339" t="str">
        <f>_xlfn.XLOOKUP(_xlfn.XLOOKUP(Table9[[#This Row],[ProductName ]],products[productName],products[categoryID],,0),categories[categoryID],categories[categoryName],,0)</f>
        <v>Confections</v>
      </c>
      <c r="F1339">
        <v>25</v>
      </c>
      <c r="G1339">
        <v>36</v>
      </c>
      <c r="H1339">
        <v>25</v>
      </c>
      <c r="I1339">
        <f>Table9[[#This Row],[quantity]]*Table9[[#This Row],[unitPrice]]*(1-Table9[[#This Row],[discount]]/100)</f>
        <v>675</v>
      </c>
      <c r="J1339" t="str">
        <f>_xlfn.XLOOKUP(_xlfn.XLOOKUP(A1339,orders[orderID],orders[customerID],,0),customers__2[customerID],customers__2[companyName],,0)</f>
        <v>Bon app'</v>
      </c>
      <c r="K1339" t="str">
        <f>_xlfn.XLOOKUP(Table9[[#This Row],[Company Name]],customers__2[companyName],customers__2[country],,0)</f>
        <v>France</v>
      </c>
      <c r="L1339">
        <f>MONTH(Table9[[#This Row],[OrderDate ]])</f>
        <v>11</v>
      </c>
      <c r="M1339" t="str">
        <f>TEXT(Table9[[#This Row],[OrderDate ]],"mmm")</f>
        <v>Nov</v>
      </c>
      <c r="N1339">
        <f>YEAR(Table9[[#This Row],[OrderDate ]])</f>
        <v>2014</v>
      </c>
    </row>
    <row r="1340" spans="1:14" x14ac:dyDescent="0.3">
      <c r="A1340">
        <v>10756</v>
      </c>
      <c r="B1340" s="2">
        <f>_xlfn.XLOOKUP(Table9[[#This Row],[orderID]],orders[orderID],orders[orderDate],,0)</f>
        <v>41970</v>
      </c>
      <c r="C1340">
        <f>_xlfn.XLOOKUP(A1340,order_details[orderID],order_details[productID],,0)</f>
        <v>18</v>
      </c>
      <c r="D1340" t="str">
        <f>_xlfn.XLOOKUP(C1340,products[productID],products[productName],,0)</f>
        <v>Carnarvon Tigers</v>
      </c>
      <c r="E1340" t="str">
        <f>_xlfn.XLOOKUP(_xlfn.XLOOKUP(Table9[[#This Row],[ProductName ]],products[productName],products[categoryID],,0),categories[categoryID],categories[categoryName],,0)</f>
        <v>Seafood</v>
      </c>
      <c r="F1340">
        <v>21</v>
      </c>
      <c r="G1340">
        <v>625</v>
      </c>
      <c r="H1340">
        <v>2</v>
      </c>
      <c r="I1340">
        <f>Table9[[#This Row],[quantity]]*Table9[[#This Row],[unitPrice]]*(1-Table9[[#This Row],[discount]]/100)</f>
        <v>12862.5</v>
      </c>
      <c r="J1340" t="str">
        <f>_xlfn.XLOOKUP(_xlfn.XLOOKUP(A1340,orders[orderID],orders[customerID],,0),customers__2[customerID],customers__2[companyName],,0)</f>
        <v>Split Rail Beer &amp; Ale</v>
      </c>
      <c r="K1340" t="str">
        <f>_xlfn.XLOOKUP(Table9[[#This Row],[Company Name]],customers__2[companyName],customers__2[country],,0)</f>
        <v>USA</v>
      </c>
      <c r="L1340">
        <f>MONTH(Table9[[#This Row],[OrderDate ]])</f>
        <v>11</v>
      </c>
      <c r="M1340" t="str">
        <f>TEXT(Table9[[#This Row],[OrderDate ]],"mmm")</f>
        <v>Nov</v>
      </c>
      <c r="N1340">
        <f>YEAR(Table9[[#This Row],[OrderDate ]])</f>
        <v>2014</v>
      </c>
    </row>
    <row r="1341" spans="1:14" x14ac:dyDescent="0.3">
      <c r="A1341">
        <v>10756</v>
      </c>
      <c r="B1341" s="2">
        <f>_xlfn.XLOOKUP(Table9[[#This Row],[orderID]],orders[orderID],orders[orderDate],,0)</f>
        <v>41970</v>
      </c>
      <c r="C1341">
        <f>_xlfn.XLOOKUP(A1341,order_details[orderID],order_details[productID],,0)</f>
        <v>18</v>
      </c>
      <c r="D1341" t="str">
        <f>_xlfn.XLOOKUP(C1341,products[productID],products[productName],,0)</f>
        <v>Carnarvon Tigers</v>
      </c>
      <c r="E1341" t="str">
        <f>_xlfn.XLOOKUP(_xlfn.XLOOKUP(Table9[[#This Row],[ProductName ]],products[productName],products[categoryID],,0),categories[categoryID],categories[categoryName],,0)</f>
        <v>Seafood</v>
      </c>
      <c r="F1341">
        <v>20</v>
      </c>
      <c r="G1341">
        <v>19</v>
      </c>
      <c r="H1341">
        <v>2</v>
      </c>
      <c r="I1341">
        <f>Table9[[#This Row],[quantity]]*Table9[[#This Row],[unitPrice]]*(1-Table9[[#This Row],[discount]]/100)</f>
        <v>372.4</v>
      </c>
      <c r="J1341" t="str">
        <f>_xlfn.XLOOKUP(_xlfn.XLOOKUP(A1341,orders[orderID],orders[customerID],,0),customers__2[customerID],customers__2[companyName],,0)</f>
        <v>Split Rail Beer &amp; Ale</v>
      </c>
      <c r="K1341" t="str">
        <f>_xlfn.XLOOKUP(Table9[[#This Row],[Company Name]],customers__2[companyName],customers__2[country],,0)</f>
        <v>USA</v>
      </c>
      <c r="L1341">
        <f>MONTH(Table9[[#This Row],[OrderDate ]])</f>
        <v>11</v>
      </c>
      <c r="M1341" t="str">
        <f>TEXT(Table9[[#This Row],[OrderDate ]],"mmm")</f>
        <v>Nov</v>
      </c>
      <c r="N1341">
        <f>YEAR(Table9[[#This Row],[OrderDate ]])</f>
        <v>2014</v>
      </c>
    </row>
    <row r="1342" spans="1:14" x14ac:dyDescent="0.3">
      <c r="A1342">
        <v>10756</v>
      </c>
      <c r="B1342" s="2">
        <f>_xlfn.XLOOKUP(Table9[[#This Row],[orderID]],orders[orderID],orders[orderDate],,0)</f>
        <v>41970</v>
      </c>
      <c r="C1342">
        <f>_xlfn.XLOOKUP(A1342,order_details[orderID],order_details[productID],,0)</f>
        <v>18</v>
      </c>
      <c r="D1342" t="str">
        <f>_xlfn.XLOOKUP(C1342,products[productID],products[productName],,0)</f>
        <v>Carnarvon Tigers</v>
      </c>
      <c r="E1342" t="str">
        <f>_xlfn.XLOOKUP(_xlfn.XLOOKUP(Table9[[#This Row],[ProductName ]],products[productName],products[categoryID],,0),categories[categoryID],categories[categoryName],,0)</f>
        <v>Seafood</v>
      </c>
      <c r="F1342">
        <v>6</v>
      </c>
      <c r="G1342">
        <v>125</v>
      </c>
      <c r="H1342">
        <v>2</v>
      </c>
      <c r="I1342">
        <f>Table9[[#This Row],[quantity]]*Table9[[#This Row],[unitPrice]]*(1-Table9[[#This Row],[discount]]/100)</f>
        <v>735</v>
      </c>
      <c r="J1342" t="str">
        <f>_xlfn.XLOOKUP(_xlfn.XLOOKUP(A1342,orders[orderID],orders[customerID],,0),customers__2[customerID],customers__2[companyName],,0)</f>
        <v>Split Rail Beer &amp; Ale</v>
      </c>
      <c r="K1342" t="str">
        <f>_xlfn.XLOOKUP(Table9[[#This Row],[Company Name]],customers__2[companyName],customers__2[country],,0)</f>
        <v>USA</v>
      </c>
      <c r="L1342">
        <f>MONTH(Table9[[#This Row],[OrderDate ]])</f>
        <v>11</v>
      </c>
      <c r="M1342" t="str">
        <f>TEXT(Table9[[#This Row],[OrderDate ]],"mmm")</f>
        <v>Nov</v>
      </c>
      <c r="N1342">
        <f>YEAR(Table9[[#This Row],[OrderDate ]])</f>
        <v>2014</v>
      </c>
    </row>
    <row r="1343" spans="1:14" x14ac:dyDescent="0.3">
      <c r="A1343">
        <v>10756</v>
      </c>
      <c r="B1343" s="2">
        <f>_xlfn.XLOOKUP(Table9[[#This Row],[orderID]],orders[orderID],orders[orderDate],,0)</f>
        <v>41970</v>
      </c>
      <c r="C1343">
        <f>_xlfn.XLOOKUP(A1343,order_details[orderID],order_details[productID],,0)</f>
        <v>18</v>
      </c>
      <c r="D1343" t="str">
        <f>_xlfn.XLOOKUP(C1343,products[productID],products[productName],,0)</f>
        <v>Carnarvon Tigers</v>
      </c>
      <c r="E1343" t="str">
        <f>_xlfn.XLOOKUP(_xlfn.XLOOKUP(Table9[[#This Row],[ProductName ]],products[productName],products[categoryID],,0),categories[categoryID],categories[categoryName],,0)</f>
        <v>Seafood</v>
      </c>
      <c r="F1343">
        <v>20</v>
      </c>
      <c r="G1343">
        <v>36</v>
      </c>
      <c r="H1343">
        <v>2</v>
      </c>
      <c r="I1343">
        <f>Table9[[#This Row],[quantity]]*Table9[[#This Row],[unitPrice]]*(1-Table9[[#This Row],[discount]]/100)</f>
        <v>705.6</v>
      </c>
      <c r="J1343" t="str">
        <f>_xlfn.XLOOKUP(_xlfn.XLOOKUP(A1343,orders[orderID],orders[customerID],,0),customers__2[customerID],customers__2[companyName],,0)</f>
        <v>Split Rail Beer &amp; Ale</v>
      </c>
      <c r="K1343" t="str">
        <f>_xlfn.XLOOKUP(Table9[[#This Row],[Company Name]],customers__2[companyName],customers__2[country],,0)</f>
        <v>USA</v>
      </c>
      <c r="L1343">
        <f>MONTH(Table9[[#This Row],[OrderDate ]])</f>
        <v>11</v>
      </c>
      <c r="M1343" t="str">
        <f>TEXT(Table9[[#This Row],[OrderDate ]],"mmm")</f>
        <v>Nov</v>
      </c>
      <c r="N1343">
        <f>YEAR(Table9[[#This Row],[OrderDate ]])</f>
        <v>2014</v>
      </c>
    </row>
    <row r="1344" spans="1:14" x14ac:dyDescent="0.3">
      <c r="A1344">
        <v>10757</v>
      </c>
      <c r="B1344" s="2">
        <f>_xlfn.XLOOKUP(Table9[[#This Row],[orderID]],orders[orderID],orders[orderDate],,0)</f>
        <v>41970</v>
      </c>
      <c r="C1344">
        <f>_xlfn.XLOOKUP(A1344,order_details[orderID],order_details[productID],,0)</f>
        <v>34</v>
      </c>
      <c r="D1344" t="str">
        <f>_xlfn.XLOOKUP(C1344,products[productID],products[productName],,0)</f>
        <v>Sasquatch Ale</v>
      </c>
      <c r="E1344" t="str">
        <f>_xlfn.XLOOKUP(_xlfn.XLOOKUP(Table9[[#This Row],[ProductName ]],products[productName],products[categoryID],,0),categories[categoryID],categories[categoryName],,0)</f>
        <v>Beverages</v>
      </c>
      <c r="F1344">
        <v>30</v>
      </c>
      <c r="G1344">
        <v>14</v>
      </c>
      <c r="H1344">
        <v>0</v>
      </c>
      <c r="I1344">
        <f>Table9[[#This Row],[quantity]]*Table9[[#This Row],[unitPrice]]*(1-Table9[[#This Row],[discount]]/100)</f>
        <v>420</v>
      </c>
      <c r="J1344" t="str">
        <f>_xlfn.XLOOKUP(_xlfn.XLOOKUP(A1344,orders[orderID],orders[customerID],,0),customers__2[customerID],customers__2[companyName],,0)</f>
        <v>Save-a-lot Markets</v>
      </c>
      <c r="K1344" t="str">
        <f>_xlfn.XLOOKUP(Table9[[#This Row],[Company Name]],customers__2[companyName],customers__2[country],,0)</f>
        <v>USA</v>
      </c>
      <c r="L1344">
        <f>MONTH(Table9[[#This Row],[OrderDate ]])</f>
        <v>11</v>
      </c>
      <c r="M1344" t="str">
        <f>TEXT(Table9[[#This Row],[OrderDate ]],"mmm")</f>
        <v>Nov</v>
      </c>
      <c r="N1344">
        <f>YEAR(Table9[[#This Row],[OrderDate ]])</f>
        <v>2014</v>
      </c>
    </row>
    <row r="1345" spans="1:14" x14ac:dyDescent="0.3">
      <c r="A1345">
        <v>10757</v>
      </c>
      <c r="B1345" s="2">
        <f>_xlfn.XLOOKUP(Table9[[#This Row],[orderID]],orders[orderID],orders[orderDate],,0)</f>
        <v>41970</v>
      </c>
      <c r="C1345">
        <f>_xlfn.XLOOKUP(A1345,order_details[orderID],order_details[productID],,0)</f>
        <v>34</v>
      </c>
      <c r="D1345" t="str">
        <f>_xlfn.XLOOKUP(C1345,products[productID],products[productName],,0)</f>
        <v>Sasquatch Ale</v>
      </c>
      <c r="E1345" t="str">
        <f>_xlfn.XLOOKUP(_xlfn.XLOOKUP(Table9[[#This Row],[ProductName ]],products[productName],products[categoryID],,0),categories[categoryID],categories[categoryName],,0)</f>
        <v>Beverages</v>
      </c>
      <c r="F1345">
        <v>7</v>
      </c>
      <c r="G1345">
        <v>55</v>
      </c>
      <c r="H1345">
        <v>0</v>
      </c>
      <c r="I1345">
        <f>Table9[[#This Row],[quantity]]*Table9[[#This Row],[unitPrice]]*(1-Table9[[#This Row],[discount]]/100)</f>
        <v>385</v>
      </c>
      <c r="J1345" t="str">
        <f>_xlfn.XLOOKUP(_xlfn.XLOOKUP(A1345,orders[orderID],orders[customerID],,0),customers__2[customerID],customers__2[companyName],,0)</f>
        <v>Save-a-lot Markets</v>
      </c>
      <c r="K1345" t="str">
        <f>_xlfn.XLOOKUP(Table9[[#This Row],[Company Name]],customers__2[companyName],customers__2[country],,0)</f>
        <v>USA</v>
      </c>
      <c r="L1345">
        <f>MONTH(Table9[[#This Row],[OrderDate ]])</f>
        <v>11</v>
      </c>
      <c r="M1345" t="str">
        <f>TEXT(Table9[[#This Row],[OrderDate ]],"mmm")</f>
        <v>Nov</v>
      </c>
      <c r="N1345">
        <f>YEAR(Table9[[#This Row],[OrderDate ]])</f>
        <v>2014</v>
      </c>
    </row>
    <row r="1346" spans="1:14" x14ac:dyDescent="0.3">
      <c r="A1346">
        <v>10757</v>
      </c>
      <c r="B1346" s="2">
        <f>_xlfn.XLOOKUP(Table9[[#This Row],[orderID]],orders[orderID],orders[orderDate],,0)</f>
        <v>41970</v>
      </c>
      <c r="C1346">
        <f>_xlfn.XLOOKUP(A1346,order_details[orderID],order_details[productID],,0)</f>
        <v>34</v>
      </c>
      <c r="D1346" t="str">
        <f>_xlfn.XLOOKUP(C1346,products[productID],products[productName],,0)</f>
        <v>Sasquatch Ale</v>
      </c>
      <c r="E1346" t="str">
        <f>_xlfn.XLOOKUP(_xlfn.XLOOKUP(Table9[[#This Row],[ProductName ]],products[productName],products[categoryID],,0),categories[categoryID],categories[categoryName],,0)</f>
        <v>Beverages</v>
      </c>
      <c r="F1346">
        <v>30</v>
      </c>
      <c r="G1346">
        <v>493</v>
      </c>
      <c r="H1346">
        <v>0</v>
      </c>
      <c r="I1346">
        <f>Table9[[#This Row],[quantity]]*Table9[[#This Row],[unitPrice]]*(1-Table9[[#This Row],[discount]]/100)</f>
        <v>14790</v>
      </c>
      <c r="J1346" t="str">
        <f>_xlfn.XLOOKUP(_xlfn.XLOOKUP(A1346,orders[orderID],orders[customerID],,0),customers__2[customerID],customers__2[companyName],,0)</f>
        <v>Save-a-lot Markets</v>
      </c>
      <c r="K1346" t="str">
        <f>_xlfn.XLOOKUP(Table9[[#This Row],[Company Name]],customers__2[companyName],customers__2[country],,0)</f>
        <v>USA</v>
      </c>
      <c r="L1346">
        <f>MONTH(Table9[[#This Row],[OrderDate ]])</f>
        <v>11</v>
      </c>
      <c r="M1346" t="str">
        <f>TEXT(Table9[[#This Row],[OrderDate ]],"mmm")</f>
        <v>Nov</v>
      </c>
      <c r="N1346">
        <f>YEAR(Table9[[#This Row],[OrderDate ]])</f>
        <v>2014</v>
      </c>
    </row>
    <row r="1347" spans="1:14" x14ac:dyDescent="0.3">
      <c r="A1347">
        <v>10757</v>
      </c>
      <c r="B1347" s="2">
        <f>_xlfn.XLOOKUP(Table9[[#This Row],[orderID]],orders[orderID],orders[orderDate],,0)</f>
        <v>41970</v>
      </c>
      <c r="C1347">
        <f>_xlfn.XLOOKUP(A1347,order_details[orderID],order_details[productID],,0)</f>
        <v>34</v>
      </c>
      <c r="D1347" t="str">
        <f>_xlfn.XLOOKUP(C1347,products[productID],products[productName],,0)</f>
        <v>Sasquatch Ale</v>
      </c>
      <c r="E1347" t="str">
        <f>_xlfn.XLOOKUP(_xlfn.XLOOKUP(Table9[[#This Row],[ProductName ]],products[productName],products[categoryID],,0),categories[categoryID],categories[categoryName],,0)</f>
        <v>Beverages</v>
      </c>
      <c r="F1347">
        <v>24</v>
      </c>
      <c r="G1347">
        <v>3325</v>
      </c>
      <c r="H1347">
        <v>0</v>
      </c>
      <c r="I1347">
        <f>Table9[[#This Row],[quantity]]*Table9[[#This Row],[unitPrice]]*(1-Table9[[#This Row],[discount]]/100)</f>
        <v>79800</v>
      </c>
      <c r="J1347" t="str">
        <f>_xlfn.XLOOKUP(_xlfn.XLOOKUP(A1347,orders[orderID],orders[customerID],,0),customers__2[customerID],customers__2[companyName],,0)</f>
        <v>Save-a-lot Markets</v>
      </c>
      <c r="K1347" t="str">
        <f>_xlfn.XLOOKUP(Table9[[#This Row],[Company Name]],customers__2[companyName],customers__2[country],,0)</f>
        <v>USA</v>
      </c>
      <c r="L1347">
        <f>MONTH(Table9[[#This Row],[OrderDate ]])</f>
        <v>11</v>
      </c>
      <c r="M1347" t="str">
        <f>TEXT(Table9[[#This Row],[OrderDate ]],"mmm")</f>
        <v>Nov</v>
      </c>
      <c r="N1347">
        <f>YEAR(Table9[[#This Row],[OrderDate ]])</f>
        <v>2014</v>
      </c>
    </row>
    <row r="1348" spans="1:14" x14ac:dyDescent="0.3">
      <c r="A1348">
        <v>10758</v>
      </c>
      <c r="B1348" s="2">
        <f>_xlfn.XLOOKUP(Table9[[#This Row],[orderID]],orders[orderID],orders[orderDate],,0)</f>
        <v>41971</v>
      </c>
      <c r="C1348">
        <f>_xlfn.XLOOKUP(A1348,order_details[orderID],order_details[productID],,0)</f>
        <v>26</v>
      </c>
      <c r="D1348" t="str">
        <f>_xlfn.XLOOKUP(C1348,products[productID],products[productName],,0)</f>
        <v>Gumbär Gummibärchen</v>
      </c>
      <c r="E1348" t="str">
        <f>_xlfn.XLOOKUP(_xlfn.XLOOKUP(Table9[[#This Row],[ProductName ]],products[productName],products[categoryID],,0),categories[categoryID],categories[categoryName],,0)</f>
        <v>Confections</v>
      </c>
      <c r="F1348">
        <v>20</v>
      </c>
      <c r="G1348">
        <v>3123</v>
      </c>
      <c r="H1348">
        <v>0</v>
      </c>
      <c r="I1348">
        <f>Table9[[#This Row],[quantity]]*Table9[[#This Row],[unitPrice]]*(1-Table9[[#This Row],[discount]]/100)</f>
        <v>62460</v>
      </c>
      <c r="J1348" t="str">
        <f>_xlfn.XLOOKUP(_xlfn.XLOOKUP(A1348,orders[orderID],orders[customerID],,0),customers__2[customerID],customers__2[companyName],,0)</f>
        <v>Richter Supermarkt</v>
      </c>
      <c r="K1348" t="str">
        <f>_xlfn.XLOOKUP(Table9[[#This Row],[Company Name]],customers__2[companyName],customers__2[country],,0)</f>
        <v>Switzerland</v>
      </c>
      <c r="L1348">
        <f>MONTH(Table9[[#This Row],[OrderDate ]])</f>
        <v>11</v>
      </c>
      <c r="M1348" t="str">
        <f>TEXT(Table9[[#This Row],[OrderDate ]],"mmm")</f>
        <v>Nov</v>
      </c>
      <c r="N1348">
        <f>YEAR(Table9[[#This Row],[OrderDate ]])</f>
        <v>2014</v>
      </c>
    </row>
    <row r="1349" spans="1:14" x14ac:dyDescent="0.3">
      <c r="A1349">
        <v>10758</v>
      </c>
      <c r="B1349" s="2">
        <f>_xlfn.XLOOKUP(Table9[[#This Row],[orderID]],orders[orderID],orders[orderDate],,0)</f>
        <v>41971</v>
      </c>
      <c r="C1349">
        <f>_xlfn.XLOOKUP(A1349,order_details[orderID],order_details[productID],,0)</f>
        <v>26</v>
      </c>
      <c r="D1349" t="str">
        <f>_xlfn.XLOOKUP(C1349,products[productID],products[productName],,0)</f>
        <v>Gumbär Gummibärchen</v>
      </c>
      <c r="E1349" t="str">
        <f>_xlfn.XLOOKUP(_xlfn.XLOOKUP(Table9[[#This Row],[ProductName ]],products[productName],products[categoryID],,0),categories[categoryID],categories[categoryName],,0)</f>
        <v>Confections</v>
      </c>
      <c r="F1349">
        <v>60</v>
      </c>
      <c r="G1349">
        <v>7</v>
      </c>
      <c r="H1349">
        <v>0</v>
      </c>
      <c r="I1349">
        <f>Table9[[#This Row],[quantity]]*Table9[[#This Row],[unitPrice]]*(1-Table9[[#This Row],[discount]]/100)</f>
        <v>420</v>
      </c>
      <c r="J1349" t="str">
        <f>_xlfn.XLOOKUP(_xlfn.XLOOKUP(A1349,orders[orderID],orders[customerID],,0),customers__2[customerID],customers__2[companyName],,0)</f>
        <v>Richter Supermarkt</v>
      </c>
      <c r="K1349" t="str">
        <f>_xlfn.XLOOKUP(Table9[[#This Row],[Company Name]],customers__2[companyName],customers__2[country],,0)</f>
        <v>Switzerland</v>
      </c>
      <c r="L1349">
        <f>MONTH(Table9[[#This Row],[OrderDate ]])</f>
        <v>11</v>
      </c>
      <c r="M1349" t="str">
        <f>TEXT(Table9[[#This Row],[OrderDate ]],"mmm")</f>
        <v>Nov</v>
      </c>
      <c r="N1349">
        <f>YEAR(Table9[[#This Row],[OrderDate ]])</f>
        <v>2014</v>
      </c>
    </row>
    <row r="1350" spans="1:14" x14ac:dyDescent="0.3">
      <c r="A1350">
        <v>10758</v>
      </c>
      <c r="B1350" s="2">
        <f>_xlfn.XLOOKUP(Table9[[#This Row],[orderID]],orders[orderID],orders[orderDate],,0)</f>
        <v>41971</v>
      </c>
      <c r="C1350">
        <f>_xlfn.XLOOKUP(A1350,order_details[orderID],order_details[productID],,0)</f>
        <v>26</v>
      </c>
      <c r="D1350" t="str">
        <f>_xlfn.XLOOKUP(C1350,products[productID],products[productName],,0)</f>
        <v>Gumbär Gummibärchen</v>
      </c>
      <c r="E1350" t="str">
        <f>_xlfn.XLOOKUP(_xlfn.XLOOKUP(Table9[[#This Row],[ProductName ]],products[productName],products[categoryID],,0),categories[categoryID],categories[categoryName],,0)</f>
        <v>Confections</v>
      </c>
      <c r="F1350">
        <v>40</v>
      </c>
      <c r="G1350">
        <v>15</v>
      </c>
      <c r="H1350">
        <v>0</v>
      </c>
      <c r="I1350">
        <f>Table9[[#This Row],[quantity]]*Table9[[#This Row],[unitPrice]]*(1-Table9[[#This Row],[discount]]/100)</f>
        <v>600</v>
      </c>
      <c r="J1350" t="str">
        <f>_xlfn.XLOOKUP(_xlfn.XLOOKUP(A1350,orders[orderID],orders[customerID],,0),customers__2[customerID],customers__2[companyName],,0)</f>
        <v>Richter Supermarkt</v>
      </c>
      <c r="K1350" t="str">
        <f>_xlfn.XLOOKUP(Table9[[#This Row],[Company Name]],customers__2[companyName],customers__2[country],,0)</f>
        <v>Switzerland</v>
      </c>
      <c r="L1350">
        <f>MONTH(Table9[[#This Row],[OrderDate ]])</f>
        <v>11</v>
      </c>
      <c r="M1350" t="str">
        <f>TEXT(Table9[[#This Row],[OrderDate ]],"mmm")</f>
        <v>Nov</v>
      </c>
      <c r="N1350">
        <f>YEAR(Table9[[#This Row],[OrderDate ]])</f>
        <v>2014</v>
      </c>
    </row>
    <row r="1351" spans="1:14" x14ac:dyDescent="0.3">
      <c r="A1351">
        <v>10759</v>
      </c>
      <c r="B1351" s="2">
        <f>_xlfn.XLOOKUP(Table9[[#This Row],[orderID]],orders[orderID],orders[orderDate],,0)</f>
        <v>41971</v>
      </c>
      <c r="C1351">
        <f>_xlfn.XLOOKUP(A1351,order_details[orderID],order_details[productID],,0)</f>
        <v>32</v>
      </c>
      <c r="D1351" t="str">
        <f>_xlfn.XLOOKUP(C1351,products[productID],products[productName],,0)</f>
        <v>Mascarpone Fabioli</v>
      </c>
      <c r="E1351" t="str">
        <f>_xlfn.XLOOKUP(_xlfn.XLOOKUP(Table9[[#This Row],[ProductName ]],products[productName],products[categoryID],,0),categories[categoryID],categories[categoryName],,0)</f>
        <v>Dairy Products</v>
      </c>
      <c r="F1351">
        <v>10</v>
      </c>
      <c r="G1351">
        <v>32</v>
      </c>
      <c r="H1351">
        <v>0</v>
      </c>
      <c r="I1351">
        <f>Table9[[#This Row],[quantity]]*Table9[[#This Row],[unitPrice]]*(1-Table9[[#This Row],[discount]]/100)</f>
        <v>320</v>
      </c>
      <c r="J1351" t="str">
        <f>_xlfn.XLOOKUP(_xlfn.XLOOKUP(A1351,orders[orderID],orders[customerID],,0),customers__2[customerID],customers__2[companyName],,0)</f>
        <v>Ana Trujillo Emparedados y helados</v>
      </c>
      <c r="K1351" t="str">
        <f>_xlfn.XLOOKUP(Table9[[#This Row],[Company Name]],customers__2[companyName],customers__2[country],,0)</f>
        <v>Mexico</v>
      </c>
      <c r="L1351">
        <f>MONTH(Table9[[#This Row],[OrderDate ]])</f>
        <v>11</v>
      </c>
      <c r="M1351" t="str">
        <f>TEXT(Table9[[#This Row],[OrderDate ]],"mmm")</f>
        <v>Nov</v>
      </c>
      <c r="N1351">
        <f>YEAR(Table9[[#This Row],[OrderDate ]])</f>
        <v>2014</v>
      </c>
    </row>
    <row r="1352" spans="1:14" x14ac:dyDescent="0.3">
      <c r="A1352">
        <v>10760</v>
      </c>
      <c r="B1352" s="2">
        <f>_xlfn.XLOOKUP(Table9[[#This Row],[orderID]],orders[orderID],orders[orderDate],,0)</f>
        <v>41974</v>
      </c>
      <c r="C1352">
        <f>_xlfn.XLOOKUP(A1352,order_details[orderID],order_details[productID],,0)</f>
        <v>25</v>
      </c>
      <c r="D1352" t="str">
        <f>_xlfn.XLOOKUP(C1352,products[productID],products[productName],,0)</f>
        <v>NuNuCa Nuß-Nougat-Creme</v>
      </c>
      <c r="E1352" t="str">
        <f>_xlfn.XLOOKUP(_xlfn.XLOOKUP(Table9[[#This Row],[ProductName ]],products[productName],products[categoryID],,0),categories[categoryID],categories[categoryName],,0)</f>
        <v>Confections</v>
      </c>
      <c r="F1352">
        <v>12</v>
      </c>
      <c r="G1352">
        <v>14</v>
      </c>
      <c r="H1352">
        <v>25</v>
      </c>
      <c r="I1352">
        <f>Table9[[#This Row],[quantity]]*Table9[[#This Row],[unitPrice]]*(1-Table9[[#This Row],[discount]]/100)</f>
        <v>126</v>
      </c>
      <c r="J1352" t="str">
        <f>_xlfn.XLOOKUP(_xlfn.XLOOKUP(A1352,orders[orderID],orders[customerID],,0),customers__2[customerID],customers__2[companyName],,0)</f>
        <v>Maison Dewey</v>
      </c>
      <c r="K1352" t="str">
        <f>_xlfn.XLOOKUP(Table9[[#This Row],[Company Name]],customers__2[companyName],customers__2[country],,0)</f>
        <v>Belgium</v>
      </c>
      <c r="L1352">
        <f>MONTH(Table9[[#This Row],[OrderDate ]])</f>
        <v>12</v>
      </c>
      <c r="M1352" t="str">
        <f>TEXT(Table9[[#This Row],[OrderDate ]],"mmm")</f>
        <v>Dec</v>
      </c>
      <c r="N1352">
        <f>YEAR(Table9[[#This Row],[OrderDate ]])</f>
        <v>2014</v>
      </c>
    </row>
    <row r="1353" spans="1:14" x14ac:dyDescent="0.3">
      <c r="A1353">
        <v>10760</v>
      </c>
      <c r="B1353" s="2">
        <f>_xlfn.XLOOKUP(Table9[[#This Row],[orderID]],orders[orderID],orders[orderDate],,0)</f>
        <v>41974</v>
      </c>
      <c r="C1353">
        <f>_xlfn.XLOOKUP(A1353,order_details[orderID],order_details[productID],,0)</f>
        <v>25</v>
      </c>
      <c r="D1353" t="str">
        <f>_xlfn.XLOOKUP(C1353,products[productID],products[productName],,0)</f>
        <v>NuNuCa Nuß-Nougat-Creme</v>
      </c>
      <c r="E1353" t="str">
        <f>_xlfn.XLOOKUP(_xlfn.XLOOKUP(Table9[[#This Row],[ProductName ]],products[productName],products[categoryID],,0),categories[categoryID],categories[categoryName],,0)</f>
        <v>Confections</v>
      </c>
      <c r="F1353">
        <v>40</v>
      </c>
      <c r="G1353">
        <v>439</v>
      </c>
      <c r="H1353">
        <v>0</v>
      </c>
      <c r="I1353">
        <f>Table9[[#This Row],[quantity]]*Table9[[#This Row],[unitPrice]]*(1-Table9[[#This Row],[discount]]/100)</f>
        <v>17560</v>
      </c>
      <c r="J1353" t="str">
        <f>_xlfn.XLOOKUP(_xlfn.XLOOKUP(A1353,orders[orderID],orders[customerID],,0),customers__2[customerID],customers__2[companyName],,0)</f>
        <v>Maison Dewey</v>
      </c>
      <c r="K1353" t="str">
        <f>_xlfn.XLOOKUP(Table9[[#This Row],[Company Name]],customers__2[companyName],customers__2[country],,0)</f>
        <v>Belgium</v>
      </c>
      <c r="L1353">
        <f>MONTH(Table9[[#This Row],[OrderDate ]])</f>
        <v>12</v>
      </c>
      <c r="M1353" t="str">
        <f>TEXT(Table9[[#This Row],[OrderDate ]],"mmm")</f>
        <v>Dec</v>
      </c>
      <c r="N1353">
        <f>YEAR(Table9[[#This Row],[OrderDate ]])</f>
        <v>2014</v>
      </c>
    </row>
    <row r="1354" spans="1:14" x14ac:dyDescent="0.3">
      <c r="A1354">
        <v>10760</v>
      </c>
      <c r="B1354" s="2">
        <f>_xlfn.XLOOKUP(Table9[[#This Row],[orderID]],orders[orderID],orders[orderDate],,0)</f>
        <v>41974</v>
      </c>
      <c r="C1354">
        <f>_xlfn.XLOOKUP(A1354,order_details[orderID],order_details[productID],,0)</f>
        <v>25</v>
      </c>
      <c r="D1354" t="str">
        <f>_xlfn.XLOOKUP(C1354,products[productID],products[productName],,0)</f>
        <v>NuNuCa Nuß-Nougat-Creme</v>
      </c>
      <c r="E1354" t="str">
        <f>_xlfn.XLOOKUP(_xlfn.XLOOKUP(Table9[[#This Row],[ProductName ]],products[productName],products[categoryID],,0),categories[categoryID],categories[categoryName],,0)</f>
        <v>Confections</v>
      </c>
      <c r="F1354">
        <v>30</v>
      </c>
      <c r="G1354">
        <v>46</v>
      </c>
      <c r="H1354">
        <v>25</v>
      </c>
      <c r="I1354">
        <f>Table9[[#This Row],[quantity]]*Table9[[#This Row],[unitPrice]]*(1-Table9[[#This Row],[discount]]/100)</f>
        <v>1035</v>
      </c>
      <c r="J1354" t="str">
        <f>_xlfn.XLOOKUP(_xlfn.XLOOKUP(A1354,orders[orderID],orders[customerID],,0),customers__2[customerID],customers__2[companyName],,0)</f>
        <v>Maison Dewey</v>
      </c>
      <c r="K1354" t="str">
        <f>_xlfn.XLOOKUP(Table9[[#This Row],[Company Name]],customers__2[companyName],customers__2[country],,0)</f>
        <v>Belgium</v>
      </c>
      <c r="L1354">
        <f>MONTH(Table9[[#This Row],[OrderDate ]])</f>
        <v>12</v>
      </c>
      <c r="M1354" t="str">
        <f>TEXT(Table9[[#This Row],[OrderDate ]],"mmm")</f>
        <v>Dec</v>
      </c>
      <c r="N1354">
        <f>YEAR(Table9[[#This Row],[OrderDate ]])</f>
        <v>2014</v>
      </c>
    </row>
    <row r="1355" spans="1:14" x14ac:dyDescent="0.3">
      <c r="A1355">
        <v>10761</v>
      </c>
      <c r="B1355" s="2">
        <f>_xlfn.XLOOKUP(Table9[[#This Row],[orderID]],orders[orderID],orders[orderDate],,0)</f>
        <v>41975</v>
      </c>
      <c r="C1355">
        <f>_xlfn.XLOOKUP(A1355,order_details[orderID],order_details[productID],,0)</f>
        <v>25</v>
      </c>
      <c r="D1355" t="str">
        <f>_xlfn.XLOOKUP(C1355,products[productID],products[productName],,0)</f>
        <v>NuNuCa Nuß-Nougat-Creme</v>
      </c>
      <c r="E1355" t="str">
        <f>_xlfn.XLOOKUP(_xlfn.XLOOKUP(Table9[[#This Row],[ProductName ]],products[productName],products[categoryID],,0),categories[categoryID],categories[categoryName],,0)</f>
        <v>Confections</v>
      </c>
      <c r="F1355">
        <v>35</v>
      </c>
      <c r="G1355">
        <v>14</v>
      </c>
      <c r="H1355">
        <v>25</v>
      </c>
      <c r="I1355">
        <f>Table9[[#This Row],[quantity]]*Table9[[#This Row],[unitPrice]]*(1-Table9[[#This Row],[discount]]/100)</f>
        <v>367.5</v>
      </c>
      <c r="J1355" t="str">
        <f>_xlfn.XLOOKUP(_xlfn.XLOOKUP(A1355,orders[orderID],orders[customerID],,0),customers__2[customerID],customers__2[companyName],,0)</f>
        <v>Rattlesnake Canyon Grocery</v>
      </c>
      <c r="K1355" t="str">
        <f>_xlfn.XLOOKUP(Table9[[#This Row],[Company Name]],customers__2[companyName],customers__2[country],,0)</f>
        <v>USA</v>
      </c>
      <c r="L1355">
        <f>MONTH(Table9[[#This Row],[OrderDate ]])</f>
        <v>12</v>
      </c>
      <c r="M1355" t="str">
        <f>TEXT(Table9[[#This Row],[OrderDate ]],"mmm")</f>
        <v>Dec</v>
      </c>
      <c r="N1355">
        <f>YEAR(Table9[[#This Row],[OrderDate ]])</f>
        <v>2014</v>
      </c>
    </row>
    <row r="1356" spans="1:14" x14ac:dyDescent="0.3">
      <c r="A1356">
        <v>10761</v>
      </c>
      <c r="B1356" s="2">
        <f>_xlfn.XLOOKUP(Table9[[#This Row],[orderID]],orders[orderID],orders[orderDate],,0)</f>
        <v>41975</v>
      </c>
      <c r="C1356">
        <f>_xlfn.XLOOKUP(A1356,order_details[orderID],order_details[productID],,0)</f>
        <v>25</v>
      </c>
      <c r="D1356" t="str">
        <f>_xlfn.XLOOKUP(C1356,products[productID],products[productName],,0)</f>
        <v>NuNuCa Nuß-Nougat-Creme</v>
      </c>
      <c r="E1356" t="str">
        <f>_xlfn.XLOOKUP(_xlfn.XLOOKUP(Table9[[#This Row],[ProductName ]],products[productName],products[categoryID],,0),categories[categoryID],categories[categoryName],,0)</f>
        <v>Confections</v>
      </c>
      <c r="F1356">
        <v>18</v>
      </c>
      <c r="G1356">
        <v>775</v>
      </c>
      <c r="H1356">
        <v>0</v>
      </c>
      <c r="I1356">
        <f>Table9[[#This Row],[quantity]]*Table9[[#This Row],[unitPrice]]*(1-Table9[[#This Row],[discount]]/100)</f>
        <v>13950</v>
      </c>
      <c r="J1356" t="str">
        <f>_xlfn.XLOOKUP(_xlfn.XLOOKUP(A1356,orders[orderID],orders[customerID],,0),customers__2[customerID],customers__2[companyName],,0)</f>
        <v>Rattlesnake Canyon Grocery</v>
      </c>
      <c r="K1356" t="str">
        <f>_xlfn.XLOOKUP(Table9[[#This Row],[Company Name]],customers__2[companyName],customers__2[country],,0)</f>
        <v>USA</v>
      </c>
      <c r="L1356">
        <f>MONTH(Table9[[#This Row],[OrderDate ]])</f>
        <v>12</v>
      </c>
      <c r="M1356" t="str">
        <f>TEXT(Table9[[#This Row],[OrderDate ]],"mmm")</f>
        <v>Dec</v>
      </c>
      <c r="N1356">
        <f>YEAR(Table9[[#This Row],[OrderDate ]])</f>
        <v>2014</v>
      </c>
    </row>
    <row r="1357" spans="1:14" x14ac:dyDescent="0.3">
      <c r="A1357">
        <v>10762</v>
      </c>
      <c r="B1357" s="2">
        <f>_xlfn.XLOOKUP(Table9[[#This Row],[orderID]],orders[orderID],orders[orderDate],,0)</f>
        <v>41975</v>
      </c>
      <c r="C1357">
        <f>_xlfn.XLOOKUP(A1357,order_details[orderID],order_details[productID],,0)</f>
        <v>39</v>
      </c>
      <c r="D1357" t="str">
        <f>_xlfn.XLOOKUP(C1357,products[productID],products[productName],,0)</f>
        <v>Chartreuse verte</v>
      </c>
      <c r="E1357" t="str">
        <f>_xlfn.XLOOKUP(_xlfn.XLOOKUP(Table9[[#This Row],[ProductName ]],products[productName],products[categoryID],,0),categories[categoryID],categories[categoryName],,0)</f>
        <v>Beverages</v>
      </c>
      <c r="F1357">
        <v>16</v>
      </c>
      <c r="G1357">
        <v>18</v>
      </c>
      <c r="H1357">
        <v>0</v>
      </c>
      <c r="I1357">
        <f>Table9[[#This Row],[quantity]]*Table9[[#This Row],[unitPrice]]*(1-Table9[[#This Row],[discount]]/100)</f>
        <v>288</v>
      </c>
      <c r="J1357" t="str">
        <f>_xlfn.XLOOKUP(_xlfn.XLOOKUP(A1357,orders[orderID],orders[customerID],,0),customers__2[customerID],customers__2[companyName],,0)</f>
        <v>Folk och fä HB</v>
      </c>
      <c r="K1357" t="str">
        <f>_xlfn.XLOOKUP(Table9[[#This Row],[Company Name]],customers__2[companyName],customers__2[country],,0)</f>
        <v>Sweden</v>
      </c>
      <c r="L1357">
        <f>MONTH(Table9[[#This Row],[OrderDate ]])</f>
        <v>12</v>
      </c>
      <c r="M1357" t="str">
        <f>TEXT(Table9[[#This Row],[OrderDate ]],"mmm")</f>
        <v>Dec</v>
      </c>
      <c r="N1357">
        <f>YEAR(Table9[[#This Row],[OrderDate ]])</f>
        <v>2014</v>
      </c>
    </row>
    <row r="1358" spans="1:14" x14ac:dyDescent="0.3">
      <c r="A1358">
        <v>10762</v>
      </c>
      <c r="B1358" s="2">
        <f>_xlfn.XLOOKUP(Table9[[#This Row],[orderID]],orders[orderID],orders[orderDate],,0)</f>
        <v>41975</v>
      </c>
      <c r="C1358">
        <f>_xlfn.XLOOKUP(A1358,order_details[orderID],order_details[productID],,0)</f>
        <v>39</v>
      </c>
      <c r="D1358" t="str">
        <f>_xlfn.XLOOKUP(C1358,products[productID],products[productName],,0)</f>
        <v>Chartreuse verte</v>
      </c>
      <c r="E1358" t="str">
        <f>_xlfn.XLOOKUP(_xlfn.XLOOKUP(Table9[[#This Row],[ProductName ]],products[productName],products[categoryID],,0),categories[categoryID],categories[categoryName],,0)</f>
        <v>Beverages</v>
      </c>
      <c r="F1358">
        <v>30</v>
      </c>
      <c r="G1358">
        <v>95</v>
      </c>
      <c r="H1358">
        <v>0</v>
      </c>
      <c r="I1358">
        <f>Table9[[#This Row],[quantity]]*Table9[[#This Row],[unitPrice]]*(1-Table9[[#This Row],[discount]]/100)</f>
        <v>2850</v>
      </c>
      <c r="J1358" t="str">
        <f>_xlfn.XLOOKUP(_xlfn.XLOOKUP(A1358,orders[orderID],orders[customerID],,0),customers__2[customerID],customers__2[companyName],,0)</f>
        <v>Folk och fä HB</v>
      </c>
      <c r="K1358" t="str">
        <f>_xlfn.XLOOKUP(Table9[[#This Row],[Company Name]],customers__2[companyName],customers__2[country],,0)</f>
        <v>Sweden</v>
      </c>
      <c r="L1358">
        <f>MONTH(Table9[[#This Row],[OrderDate ]])</f>
        <v>12</v>
      </c>
      <c r="M1358" t="str">
        <f>TEXT(Table9[[#This Row],[OrderDate ]],"mmm")</f>
        <v>Dec</v>
      </c>
      <c r="N1358">
        <f>YEAR(Table9[[#This Row],[OrderDate ]])</f>
        <v>2014</v>
      </c>
    </row>
    <row r="1359" spans="1:14" x14ac:dyDescent="0.3">
      <c r="A1359">
        <v>10762</v>
      </c>
      <c r="B1359" s="2">
        <f>_xlfn.XLOOKUP(Table9[[#This Row],[orderID]],orders[orderID],orders[orderDate],,0)</f>
        <v>41975</v>
      </c>
      <c r="C1359">
        <f>_xlfn.XLOOKUP(A1359,order_details[orderID],order_details[productID],,0)</f>
        <v>39</v>
      </c>
      <c r="D1359" t="str">
        <f>_xlfn.XLOOKUP(C1359,products[productID],products[productName],,0)</f>
        <v>Chartreuse verte</v>
      </c>
      <c r="E1359" t="str">
        <f>_xlfn.XLOOKUP(_xlfn.XLOOKUP(Table9[[#This Row],[ProductName ]],products[productName],products[categoryID],,0),categories[categoryID],categories[categoryName],,0)</f>
        <v>Beverages</v>
      </c>
      <c r="F1359">
        <v>28</v>
      </c>
      <c r="G1359">
        <v>53</v>
      </c>
      <c r="H1359">
        <v>0</v>
      </c>
      <c r="I1359">
        <f>Table9[[#This Row],[quantity]]*Table9[[#This Row],[unitPrice]]*(1-Table9[[#This Row],[discount]]/100)</f>
        <v>1484</v>
      </c>
      <c r="J1359" t="str">
        <f>_xlfn.XLOOKUP(_xlfn.XLOOKUP(A1359,orders[orderID],orders[customerID],,0),customers__2[customerID],customers__2[companyName],,0)</f>
        <v>Folk och fä HB</v>
      </c>
      <c r="K1359" t="str">
        <f>_xlfn.XLOOKUP(Table9[[#This Row],[Company Name]],customers__2[companyName],customers__2[country],,0)</f>
        <v>Sweden</v>
      </c>
      <c r="L1359">
        <f>MONTH(Table9[[#This Row],[OrderDate ]])</f>
        <v>12</v>
      </c>
      <c r="M1359" t="str">
        <f>TEXT(Table9[[#This Row],[OrderDate ]],"mmm")</f>
        <v>Dec</v>
      </c>
      <c r="N1359">
        <f>YEAR(Table9[[#This Row],[OrderDate ]])</f>
        <v>2014</v>
      </c>
    </row>
    <row r="1360" spans="1:14" x14ac:dyDescent="0.3">
      <c r="A1360">
        <v>10762</v>
      </c>
      <c r="B1360" s="2">
        <f>_xlfn.XLOOKUP(Table9[[#This Row],[orderID]],orders[orderID],orders[orderDate],,0)</f>
        <v>41975</v>
      </c>
      <c r="C1360">
        <f>_xlfn.XLOOKUP(A1360,order_details[orderID],order_details[productID],,0)</f>
        <v>39</v>
      </c>
      <c r="D1360" t="str">
        <f>_xlfn.XLOOKUP(C1360,products[productID],products[productName],,0)</f>
        <v>Chartreuse verte</v>
      </c>
      <c r="E1360" t="str">
        <f>_xlfn.XLOOKUP(_xlfn.XLOOKUP(Table9[[#This Row],[ProductName ]],products[productName],products[categoryID],,0),categories[categoryID],categories[categoryName],,0)</f>
        <v>Beverages</v>
      </c>
      <c r="F1360">
        <v>60</v>
      </c>
      <c r="G1360">
        <v>38</v>
      </c>
      <c r="H1360">
        <v>0</v>
      </c>
      <c r="I1360">
        <f>Table9[[#This Row],[quantity]]*Table9[[#This Row],[unitPrice]]*(1-Table9[[#This Row],[discount]]/100)</f>
        <v>2280</v>
      </c>
      <c r="J1360" t="str">
        <f>_xlfn.XLOOKUP(_xlfn.XLOOKUP(A1360,orders[orderID],orders[customerID],,0),customers__2[customerID],customers__2[companyName],,0)</f>
        <v>Folk och fä HB</v>
      </c>
      <c r="K1360" t="str">
        <f>_xlfn.XLOOKUP(Table9[[#This Row],[Company Name]],customers__2[companyName],customers__2[country],,0)</f>
        <v>Sweden</v>
      </c>
      <c r="L1360">
        <f>MONTH(Table9[[#This Row],[OrderDate ]])</f>
        <v>12</v>
      </c>
      <c r="M1360" t="str">
        <f>TEXT(Table9[[#This Row],[OrderDate ]],"mmm")</f>
        <v>Dec</v>
      </c>
      <c r="N1360">
        <f>YEAR(Table9[[#This Row],[OrderDate ]])</f>
        <v>2014</v>
      </c>
    </row>
    <row r="1361" spans="1:14" x14ac:dyDescent="0.3">
      <c r="A1361">
        <v>10763</v>
      </c>
      <c r="B1361" s="2">
        <f>_xlfn.XLOOKUP(Table9[[#This Row],[orderID]],orders[orderID],orders[orderDate],,0)</f>
        <v>41976</v>
      </c>
      <c r="C1361">
        <f>_xlfn.XLOOKUP(A1361,order_details[orderID],order_details[productID],,0)</f>
        <v>21</v>
      </c>
      <c r="D1361" t="str">
        <f>_xlfn.XLOOKUP(C1361,products[productID],products[productName],,0)</f>
        <v>Sir Rodney's Scones</v>
      </c>
      <c r="E1361" t="str">
        <f>_xlfn.XLOOKUP(_xlfn.XLOOKUP(Table9[[#This Row],[ProductName ]],products[productName],products[categoryID],,0),categories[categoryID],categories[categoryName],,0)</f>
        <v>Confections</v>
      </c>
      <c r="F1361">
        <v>40</v>
      </c>
      <c r="G1361">
        <v>10</v>
      </c>
      <c r="H1361">
        <v>0</v>
      </c>
      <c r="I1361">
        <f>Table9[[#This Row],[quantity]]*Table9[[#This Row],[unitPrice]]*(1-Table9[[#This Row],[discount]]/100)</f>
        <v>400</v>
      </c>
      <c r="J1361" t="str">
        <f>_xlfn.XLOOKUP(_xlfn.XLOOKUP(A1361,orders[orderID],orders[customerID],,0),customers__2[customerID],customers__2[companyName],,0)</f>
        <v>Folies gourmandes</v>
      </c>
      <c r="K1361" t="str">
        <f>_xlfn.XLOOKUP(Table9[[#This Row],[Company Name]],customers__2[companyName],customers__2[country],,0)</f>
        <v>France</v>
      </c>
      <c r="L1361">
        <f>MONTH(Table9[[#This Row],[OrderDate ]])</f>
        <v>12</v>
      </c>
      <c r="M1361" t="str">
        <f>TEXT(Table9[[#This Row],[OrderDate ]],"mmm")</f>
        <v>Dec</v>
      </c>
      <c r="N1361">
        <f>YEAR(Table9[[#This Row],[OrderDate ]])</f>
        <v>2014</v>
      </c>
    </row>
    <row r="1362" spans="1:14" x14ac:dyDescent="0.3">
      <c r="A1362">
        <v>10763</v>
      </c>
      <c r="B1362" s="2">
        <f>_xlfn.XLOOKUP(Table9[[#This Row],[orderID]],orders[orderID],orders[orderDate],,0)</f>
        <v>41976</v>
      </c>
      <c r="C1362">
        <f>_xlfn.XLOOKUP(A1362,order_details[orderID],order_details[productID],,0)</f>
        <v>21</v>
      </c>
      <c r="D1362" t="str">
        <f>_xlfn.XLOOKUP(C1362,products[productID],products[productName],,0)</f>
        <v>Sir Rodney's Scones</v>
      </c>
      <c r="E1362" t="str">
        <f>_xlfn.XLOOKUP(_xlfn.XLOOKUP(Table9[[#This Row],[ProductName ]],products[productName],products[categoryID],,0),categories[categoryID],categories[categoryName],,0)</f>
        <v>Confections</v>
      </c>
      <c r="F1362">
        <v>6</v>
      </c>
      <c r="G1362">
        <v>21</v>
      </c>
      <c r="H1362">
        <v>0</v>
      </c>
      <c r="I1362">
        <f>Table9[[#This Row],[quantity]]*Table9[[#This Row],[unitPrice]]*(1-Table9[[#This Row],[discount]]/100)</f>
        <v>126</v>
      </c>
      <c r="J1362" t="str">
        <f>_xlfn.XLOOKUP(_xlfn.XLOOKUP(A1362,orders[orderID],orders[customerID],,0),customers__2[customerID],customers__2[companyName],,0)</f>
        <v>Folies gourmandes</v>
      </c>
      <c r="K1362" t="str">
        <f>_xlfn.XLOOKUP(Table9[[#This Row],[Company Name]],customers__2[companyName],customers__2[country],,0)</f>
        <v>France</v>
      </c>
      <c r="L1362">
        <f>MONTH(Table9[[#This Row],[OrderDate ]])</f>
        <v>12</v>
      </c>
      <c r="M1362" t="str">
        <f>TEXT(Table9[[#This Row],[OrderDate ]],"mmm")</f>
        <v>Dec</v>
      </c>
      <c r="N1362">
        <f>YEAR(Table9[[#This Row],[OrderDate ]])</f>
        <v>2014</v>
      </c>
    </row>
    <row r="1363" spans="1:14" x14ac:dyDescent="0.3">
      <c r="A1363">
        <v>10763</v>
      </c>
      <c r="B1363" s="2">
        <f>_xlfn.XLOOKUP(Table9[[#This Row],[orderID]],orders[orderID],orders[orderDate],,0)</f>
        <v>41976</v>
      </c>
      <c r="C1363">
        <f>_xlfn.XLOOKUP(A1363,order_details[orderID],order_details[productID],,0)</f>
        <v>21</v>
      </c>
      <c r="D1363" t="str">
        <f>_xlfn.XLOOKUP(C1363,products[productID],products[productName],,0)</f>
        <v>Sir Rodney's Scones</v>
      </c>
      <c r="E1363" t="str">
        <f>_xlfn.XLOOKUP(_xlfn.XLOOKUP(Table9[[#This Row],[ProductName ]],products[productName],products[categoryID],,0),categories[categoryID],categories[categoryName],,0)</f>
        <v>Confections</v>
      </c>
      <c r="F1363">
        <v>20</v>
      </c>
      <c r="G1363">
        <v>45</v>
      </c>
      <c r="H1363">
        <v>0</v>
      </c>
      <c r="I1363">
        <f>Table9[[#This Row],[quantity]]*Table9[[#This Row],[unitPrice]]*(1-Table9[[#This Row],[discount]]/100)</f>
        <v>900</v>
      </c>
      <c r="J1363" t="str">
        <f>_xlfn.XLOOKUP(_xlfn.XLOOKUP(A1363,orders[orderID],orders[customerID],,0),customers__2[customerID],customers__2[companyName],,0)</f>
        <v>Folies gourmandes</v>
      </c>
      <c r="K1363" t="str">
        <f>_xlfn.XLOOKUP(Table9[[#This Row],[Company Name]],customers__2[companyName],customers__2[country],,0)</f>
        <v>France</v>
      </c>
      <c r="L1363">
        <f>MONTH(Table9[[#This Row],[OrderDate ]])</f>
        <v>12</v>
      </c>
      <c r="M1363" t="str">
        <f>TEXT(Table9[[#This Row],[OrderDate ]],"mmm")</f>
        <v>Dec</v>
      </c>
      <c r="N1363">
        <f>YEAR(Table9[[#This Row],[OrderDate ]])</f>
        <v>2014</v>
      </c>
    </row>
    <row r="1364" spans="1:14" x14ac:dyDescent="0.3">
      <c r="A1364">
        <v>10764</v>
      </c>
      <c r="B1364" s="2">
        <f>_xlfn.XLOOKUP(Table9[[#This Row],[orderID]],orders[orderID],orders[orderDate],,0)</f>
        <v>41976</v>
      </c>
      <c r="C1364">
        <f>_xlfn.XLOOKUP(A1364,order_details[orderID],order_details[productID],,0)</f>
        <v>3</v>
      </c>
      <c r="D1364" t="str">
        <f>_xlfn.XLOOKUP(C1364,products[productID],products[productName],,0)</f>
        <v>Aniseed Syrup</v>
      </c>
      <c r="E1364" t="str">
        <f>_xlfn.XLOOKUP(_xlfn.XLOOKUP(Table9[[#This Row],[ProductName ]],products[productName],products[categoryID],,0),categories[categoryID],categories[categoryName],,0)</f>
        <v>Condiments</v>
      </c>
      <c r="F1364">
        <v>20</v>
      </c>
      <c r="G1364">
        <v>10</v>
      </c>
      <c r="H1364">
        <v>1</v>
      </c>
      <c r="I1364">
        <f>Table9[[#This Row],[quantity]]*Table9[[#This Row],[unitPrice]]*(1-Table9[[#This Row],[discount]]/100)</f>
        <v>198</v>
      </c>
      <c r="J1364" t="str">
        <f>_xlfn.XLOOKUP(_xlfn.XLOOKUP(A1364,orders[orderID],orders[customerID],,0),customers__2[customerID],customers__2[companyName],,0)</f>
        <v>Ernst Handel</v>
      </c>
      <c r="K1364" t="str">
        <f>_xlfn.XLOOKUP(Table9[[#This Row],[Company Name]],customers__2[companyName],customers__2[country],,0)</f>
        <v>Austria</v>
      </c>
      <c r="L1364">
        <f>MONTH(Table9[[#This Row],[OrderDate ]])</f>
        <v>12</v>
      </c>
      <c r="M1364" t="str">
        <f>TEXT(Table9[[#This Row],[OrderDate ]],"mmm")</f>
        <v>Dec</v>
      </c>
      <c r="N1364">
        <f>YEAR(Table9[[#This Row],[OrderDate ]])</f>
        <v>2014</v>
      </c>
    </row>
    <row r="1365" spans="1:14" x14ac:dyDescent="0.3">
      <c r="A1365">
        <v>10764</v>
      </c>
      <c r="B1365" s="2">
        <f>_xlfn.XLOOKUP(Table9[[#This Row],[orderID]],orders[orderID],orders[orderDate],,0)</f>
        <v>41976</v>
      </c>
      <c r="C1365">
        <f>_xlfn.XLOOKUP(A1365,order_details[orderID],order_details[productID],,0)</f>
        <v>3</v>
      </c>
      <c r="D1365" t="str">
        <f>_xlfn.XLOOKUP(C1365,products[productID],products[productName],,0)</f>
        <v>Aniseed Syrup</v>
      </c>
      <c r="E1365" t="str">
        <f>_xlfn.XLOOKUP(_xlfn.XLOOKUP(Table9[[#This Row],[ProductName ]],products[productName],products[categoryID],,0),categories[categoryID],categories[categoryName],,0)</f>
        <v>Condiments</v>
      </c>
      <c r="F1365">
        <v>130</v>
      </c>
      <c r="G1365">
        <v>18</v>
      </c>
      <c r="H1365">
        <v>1</v>
      </c>
      <c r="I1365">
        <f>Table9[[#This Row],[quantity]]*Table9[[#This Row],[unitPrice]]*(1-Table9[[#This Row],[discount]]/100)</f>
        <v>2316.6</v>
      </c>
      <c r="J1365" t="str">
        <f>_xlfn.XLOOKUP(_xlfn.XLOOKUP(A1365,orders[orderID],orders[customerID],,0),customers__2[customerID],customers__2[companyName],,0)</f>
        <v>Ernst Handel</v>
      </c>
      <c r="K1365" t="str">
        <f>_xlfn.XLOOKUP(Table9[[#This Row],[Company Name]],customers__2[companyName],customers__2[country],,0)</f>
        <v>Austria</v>
      </c>
      <c r="L1365">
        <f>MONTH(Table9[[#This Row],[OrderDate ]])</f>
        <v>12</v>
      </c>
      <c r="M1365" t="str">
        <f>TEXT(Table9[[#This Row],[OrderDate ]],"mmm")</f>
        <v>Dec</v>
      </c>
      <c r="N1365">
        <f>YEAR(Table9[[#This Row],[OrderDate ]])</f>
        <v>2014</v>
      </c>
    </row>
    <row r="1366" spans="1:14" x14ac:dyDescent="0.3">
      <c r="A1366">
        <v>10765</v>
      </c>
      <c r="B1366" s="2">
        <f>_xlfn.XLOOKUP(Table9[[#This Row],[orderID]],orders[orderID],orders[orderDate],,0)</f>
        <v>41977</v>
      </c>
      <c r="C1366">
        <f>_xlfn.XLOOKUP(A1366,order_details[orderID],order_details[productID],,0)</f>
        <v>65</v>
      </c>
      <c r="D1366" t="str">
        <f>_xlfn.XLOOKUP(C1366,products[productID],products[productName],,0)</f>
        <v>Louisiana Fiery Hot Pepper Sauce</v>
      </c>
      <c r="E1366" t="str">
        <f>_xlfn.XLOOKUP(_xlfn.XLOOKUP(Table9[[#This Row],[ProductName ]],products[productName],products[categoryID],,0),categories[categoryID],categories[categoryName],,0)</f>
        <v>Condiments</v>
      </c>
      <c r="F1366">
        <v>80</v>
      </c>
      <c r="G1366">
        <v>2105</v>
      </c>
      <c r="H1366">
        <v>1</v>
      </c>
      <c r="I1366">
        <f>Table9[[#This Row],[quantity]]*Table9[[#This Row],[unitPrice]]*(1-Table9[[#This Row],[discount]]/100)</f>
        <v>166716</v>
      </c>
      <c r="J1366" t="str">
        <f>_xlfn.XLOOKUP(_xlfn.XLOOKUP(A1366,orders[orderID],orders[customerID],,0),customers__2[customerID],customers__2[companyName],,0)</f>
        <v>QUICK-Stop</v>
      </c>
      <c r="K1366" t="str">
        <f>_xlfn.XLOOKUP(Table9[[#This Row],[Company Name]],customers__2[companyName],customers__2[country],,0)</f>
        <v>Germany</v>
      </c>
      <c r="L1366">
        <f>MONTH(Table9[[#This Row],[OrderDate ]])</f>
        <v>12</v>
      </c>
      <c r="M1366" t="str">
        <f>TEXT(Table9[[#This Row],[OrderDate ]],"mmm")</f>
        <v>Dec</v>
      </c>
      <c r="N1366">
        <f>YEAR(Table9[[#This Row],[OrderDate ]])</f>
        <v>2014</v>
      </c>
    </row>
    <row r="1367" spans="1:14" x14ac:dyDescent="0.3">
      <c r="A1367">
        <v>10766</v>
      </c>
      <c r="B1367" s="2">
        <f>_xlfn.XLOOKUP(Table9[[#This Row],[orderID]],orders[orderID],orders[orderDate],,0)</f>
        <v>41978</v>
      </c>
      <c r="C1367">
        <f>_xlfn.XLOOKUP(A1367,order_details[orderID],order_details[productID],,0)</f>
        <v>2</v>
      </c>
      <c r="D1367" t="str">
        <f>_xlfn.XLOOKUP(C1367,products[productID],products[productName],,0)</f>
        <v>Chang</v>
      </c>
      <c r="E1367" t="str">
        <f>_xlfn.XLOOKUP(_xlfn.XLOOKUP(Table9[[#This Row],[ProductName ]],products[productName],products[categoryID],,0),categories[categoryID],categories[categoryName],,0)</f>
        <v>Beverages</v>
      </c>
      <c r="F1367">
        <v>40</v>
      </c>
      <c r="G1367">
        <v>19</v>
      </c>
      <c r="H1367">
        <v>0</v>
      </c>
      <c r="I1367">
        <f>Table9[[#This Row],[quantity]]*Table9[[#This Row],[unitPrice]]*(1-Table9[[#This Row],[discount]]/100)</f>
        <v>760</v>
      </c>
      <c r="J1367" t="str">
        <f>_xlfn.XLOOKUP(_xlfn.XLOOKUP(A1367,orders[orderID],orders[customerID],,0),customers__2[customerID],customers__2[companyName],,0)</f>
        <v>Ottilies Käseladen</v>
      </c>
      <c r="K1367" t="str">
        <f>_xlfn.XLOOKUP(Table9[[#This Row],[Company Name]],customers__2[companyName],customers__2[country],,0)</f>
        <v>Germany</v>
      </c>
      <c r="L1367">
        <f>MONTH(Table9[[#This Row],[OrderDate ]])</f>
        <v>12</v>
      </c>
      <c r="M1367" t="str">
        <f>TEXT(Table9[[#This Row],[OrderDate ]],"mmm")</f>
        <v>Dec</v>
      </c>
      <c r="N1367">
        <f>YEAR(Table9[[#This Row],[OrderDate ]])</f>
        <v>2014</v>
      </c>
    </row>
    <row r="1368" spans="1:14" x14ac:dyDescent="0.3">
      <c r="A1368">
        <v>10766</v>
      </c>
      <c r="B1368" s="2">
        <f>_xlfn.XLOOKUP(Table9[[#This Row],[orderID]],orders[orderID],orders[orderDate],,0)</f>
        <v>41978</v>
      </c>
      <c r="C1368">
        <f>_xlfn.XLOOKUP(A1368,order_details[orderID],order_details[productID],,0)</f>
        <v>2</v>
      </c>
      <c r="D1368" t="str">
        <f>_xlfn.XLOOKUP(C1368,products[productID],products[productName],,0)</f>
        <v>Chang</v>
      </c>
      <c r="E1368" t="str">
        <f>_xlfn.XLOOKUP(_xlfn.XLOOKUP(Table9[[#This Row],[ProductName ]],products[productName],products[categoryID],,0),categories[categoryID],categories[categoryName],,0)</f>
        <v>Beverages</v>
      </c>
      <c r="F1368">
        <v>35</v>
      </c>
      <c r="G1368">
        <v>30</v>
      </c>
      <c r="H1368">
        <v>0</v>
      </c>
      <c r="I1368">
        <f>Table9[[#This Row],[quantity]]*Table9[[#This Row],[unitPrice]]*(1-Table9[[#This Row],[discount]]/100)</f>
        <v>1050</v>
      </c>
      <c r="J1368" t="str">
        <f>_xlfn.XLOOKUP(_xlfn.XLOOKUP(A1368,orders[orderID],orders[customerID],,0),customers__2[customerID],customers__2[companyName],,0)</f>
        <v>Ottilies Käseladen</v>
      </c>
      <c r="K1368" t="str">
        <f>_xlfn.XLOOKUP(Table9[[#This Row],[Company Name]],customers__2[companyName],customers__2[country],,0)</f>
        <v>Germany</v>
      </c>
      <c r="L1368">
        <f>MONTH(Table9[[#This Row],[OrderDate ]])</f>
        <v>12</v>
      </c>
      <c r="M1368" t="str">
        <f>TEXT(Table9[[#This Row],[OrderDate ]],"mmm")</f>
        <v>Dec</v>
      </c>
      <c r="N1368">
        <f>YEAR(Table9[[#This Row],[OrderDate ]])</f>
        <v>2014</v>
      </c>
    </row>
    <row r="1369" spans="1:14" x14ac:dyDescent="0.3">
      <c r="A1369">
        <v>10766</v>
      </c>
      <c r="B1369" s="2">
        <f>_xlfn.XLOOKUP(Table9[[#This Row],[orderID]],orders[orderID],orders[orderDate],,0)</f>
        <v>41978</v>
      </c>
      <c r="C1369">
        <f>_xlfn.XLOOKUP(A1369,order_details[orderID],order_details[productID],,0)</f>
        <v>2</v>
      </c>
      <c r="D1369" t="str">
        <f>_xlfn.XLOOKUP(C1369,products[productID],products[productName],,0)</f>
        <v>Chang</v>
      </c>
      <c r="E1369" t="str">
        <f>_xlfn.XLOOKUP(_xlfn.XLOOKUP(Table9[[#This Row],[ProductName ]],products[productName],products[categoryID],,0),categories[categoryID],categories[categoryName],,0)</f>
        <v>Beverages</v>
      </c>
      <c r="F1369">
        <v>40</v>
      </c>
      <c r="G1369">
        <v>125</v>
      </c>
      <c r="H1369">
        <v>0</v>
      </c>
      <c r="I1369">
        <f>Table9[[#This Row],[quantity]]*Table9[[#This Row],[unitPrice]]*(1-Table9[[#This Row],[discount]]/100)</f>
        <v>5000</v>
      </c>
      <c r="J1369" t="str">
        <f>_xlfn.XLOOKUP(_xlfn.XLOOKUP(A1369,orders[orderID],orders[customerID],,0),customers__2[customerID],customers__2[companyName],,0)</f>
        <v>Ottilies Käseladen</v>
      </c>
      <c r="K1369" t="str">
        <f>_xlfn.XLOOKUP(Table9[[#This Row],[Company Name]],customers__2[companyName],customers__2[country],,0)</f>
        <v>Germany</v>
      </c>
      <c r="L1369">
        <f>MONTH(Table9[[#This Row],[OrderDate ]])</f>
        <v>12</v>
      </c>
      <c r="M1369" t="str">
        <f>TEXT(Table9[[#This Row],[OrderDate ]],"mmm")</f>
        <v>Dec</v>
      </c>
      <c r="N1369">
        <f>YEAR(Table9[[#This Row],[OrderDate ]])</f>
        <v>2014</v>
      </c>
    </row>
    <row r="1370" spans="1:14" x14ac:dyDescent="0.3">
      <c r="A1370">
        <v>10767</v>
      </c>
      <c r="B1370" s="2">
        <f>_xlfn.XLOOKUP(Table9[[#This Row],[orderID]],orders[orderID],orders[orderDate],,0)</f>
        <v>41978</v>
      </c>
      <c r="C1370">
        <f>_xlfn.XLOOKUP(A1370,order_details[orderID],order_details[productID],,0)</f>
        <v>42</v>
      </c>
      <c r="D1370" t="str">
        <f>_xlfn.XLOOKUP(C1370,products[productID],products[productName],,0)</f>
        <v>Singaporean Hokkien Fried Mee</v>
      </c>
      <c r="E1370" t="str">
        <f>_xlfn.XLOOKUP(_xlfn.XLOOKUP(Table9[[#This Row],[ProductName ]],products[productName],products[categoryID],,0),categories[categoryID],categories[categoryName],,0)</f>
        <v>Grains &amp; Cereals</v>
      </c>
      <c r="F1370">
        <v>2</v>
      </c>
      <c r="G1370">
        <v>14</v>
      </c>
      <c r="H1370">
        <v>0</v>
      </c>
      <c r="I1370">
        <f>Table9[[#This Row],[quantity]]*Table9[[#This Row],[unitPrice]]*(1-Table9[[#This Row],[discount]]/100)</f>
        <v>28</v>
      </c>
      <c r="J1370" t="str">
        <f>_xlfn.XLOOKUP(_xlfn.XLOOKUP(A1370,orders[orderID],orders[customerID],,0),customers__2[customerID],customers__2[companyName],,0)</f>
        <v>Suprêmes délices</v>
      </c>
      <c r="K1370" t="str">
        <f>_xlfn.XLOOKUP(Table9[[#This Row],[Company Name]],customers__2[companyName],customers__2[country],,0)</f>
        <v>Belgium</v>
      </c>
      <c r="L1370">
        <f>MONTH(Table9[[#This Row],[OrderDate ]])</f>
        <v>12</v>
      </c>
      <c r="M1370" t="str">
        <f>TEXT(Table9[[#This Row],[OrderDate ]],"mmm")</f>
        <v>Dec</v>
      </c>
      <c r="N1370">
        <f>YEAR(Table9[[#This Row],[OrderDate ]])</f>
        <v>2014</v>
      </c>
    </row>
    <row r="1371" spans="1:14" x14ac:dyDescent="0.3">
      <c r="A1371">
        <v>10768</v>
      </c>
      <c r="B1371" s="2">
        <f>_xlfn.XLOOKUP(Table9[[#This Row],[orderID]],orders[orderID],orders[orderDate],,0)</f>
        <v>41981</v>
      </c>
      <c r="C1371">
        <f>_xlfn.XLOOKUP(A1371,order_details[orderID],order_details[productID],,0)</f>
        <v>22</v>
      </c>
      <c r="D1371" t="str">
        <f>_xlfn.XLOOKUP(C1371,products[productID],products[productName],,0)</f>
        <v>Gustaf's Knackebröd</v>
      </c>
      <c r="E1371" t="str">
        <f>_xlfn.XLOOKUP(_xlfn.XLOOKUP(Table9[[#This Row],[ProductName ]],products[productName],products[categoryID],,0),categories[categoryID],categories[categoryName],,0)</f>
        <v>Grains &amp; Cereals</v>
      </c>
      <c r="F1371">
        <v>4</v>
      </c>
      <c r="G1371">
        <v>21</v>
      </c>
      <c r="H1371">
        <v>0</v>
      </c>
      <c r="I1371">
        <f>Table9[[#This Row],[quantity]]*Table9[[#This Row],[unitPrice]]*(1-Table9[[#This Row],[discount]]/100)</f>
        <v>84</v>
      </c>
      <c r="J1371" t="str">
        <f>_xlfn.XLOOKUP(_xlfn.XLOOKUP(A1371,orders[orderID],orders[customerID],,0),customers__2[customerID],customers__2[companyName],,0)</f>
        <v>Around the Horn</v>
      </c>
      <c r="K1371" t="str">
        <f>_xlfn.XLOOKUP(Table9[[#This Row],[Company Name]],customers__2[companyName],customers__2[country],,0)</f>
        <v>UK</v>
      </c>
      <c r="L1371">
        <f>MONTH(Table9[[#This Row],[OrderDate ]])</f>
        <v>12</v>
      </c>
      <c r="M1371" t="str">
        <f>TEXT(Table9[[#This Row],[OrderDate ]],"mmm")</f>
        <v>Dec</v>
      </c>
      <c r="N1371">
        <f>YEAR(Table9[[#This Row],[OrderDate ]])</f>
        <v>2014</v>
      </c>
    </row>
    <row r="1372" spans="1:14" x14ac:dyDescent="0.3">
      <c r="A1372">
        <v>10768</v>
      </c>
      <c r="B1372" s="2">
        <f>_xlfn.XLOOKUP(Table9[[#This Row],[orderID]],orders[orderID],orders[orderDate],,0)</f>
        <v>41981</v>
      </c>
      <c r="C1372">
        <f>_xlfn.XLOOKUP(A1372,order_details[orderID],order_details[productID],,0)</f>
        <v>22</v>
      </c>
      <c r="D1372" t="str">
        <f>_xlfn.XLOOKUP(C1372,products[productID],products[productName],,0)</f>
        <v>Gustaf's Knackebröd</v>
      </c>
      <c r="E1372" t="str">
        <f>_xlfn.XLOOKUP(_xlfn.XLOOKUP(Table9[[#This Row],[ProductName ]],products[productName],products[categoryID],,0),categories[categoryID],categories[categoryName],,0)</f>
        <v>Grains &amp; Cereals</v>
      </c>
      <c r="F1372">
        <v>50</v>
      </c>
      <c r="G1372">
        <v>125</v>
      </c>
      <c r="H1372">
        <v>0</v>
      </c>
      <c r="I1372">
        <f>Table9[[#This Row],[quantity]]*Table9[[#This Row],[unitPrice]]*(1-Table9[[#This Row],[discount]]/100)</f>
        <v>6250</v>
      </c>
      <c r="J1372" t="str">
        <f>_xlfn.XLOOKUP(_xlfn.XLOOKUP(A1372,orders[orderID],orders[customerID],,0),customers__2[customerID],customers__2[companyName],,0)</f>
        <v>Around the Horn</v>
      </c>
      <c r="K1372" t="str">
        <f>_xlfn.XLOOKUP(Table9[[#This Row],[Company Name]],customers__2[companyName],customers__2[country],,0)</f>
        <v>UK</v>
      </c>
      <c r="L1372">
        <f>MONTH(Table9[[#This Row],[OrderDate ]])</f>
        <v>12</v>
      </c>
      <c r="M1372" t="str">
        <f>TEXT(Table9[[#This Row],[OrderDate ]],"mmm")</f>
        <v>Dec</v>
      </c>
      <c r="N1372">
        <f>YEAR(Table9[[#This Row],[OrderDate ]])</f>
        <v>2014</v>
      </c>
    </row>
    <row r="1373" spans="1:14" x14ac:dyDescent="0.3">
      <c r="A1373">
        <v>10768</v>
      </c>
      <c r="B1373" s="2">
        <f>_xlfn.XLOOKUP(Table9[[#This Row],[orderID]],orders[orderID],orders[orderDate],,0)</f>
        <v>41981</v>
      </c>
      <c r="C1373">
        <f>_xlfn.XLOOKUP(A1373,order_details[orderID],order_details[productID],,0)</f>
        <v>22</v>
      </c>
      <c r="D1373" t="str">
        <f>_xlfn.XLOOKUP(C1373,products[productID],products[productName],,0)</f>
        <v>Gustaf's Knackebröd</v>
      </c>
      <c r="E1373" t="str">
        <f>_xlfn.XLOOKUP(_xlfn.XLOOKUP(Table9[[#This Row],[ProductName ]],products[productName],products[categoryID],,0),categories[categoryID],categories[categoryName],,0)</f>
        <v>Grains &amp; Cereals</v>
      </c>
      <c r="F1373">
        <v>15</v>
      </c>
      <c r="G1373">
        <v>34</v>
      </c>
      <c r="H1373">
        <v>0</v>
      </c>
      <c r="I1373">
        <f>Table9[[#This Row],[quantity]]*Table9[[#This Row],[unitPrice]]*(1-Table9[[#This Row],[discount]]/100)</f>
        <v>510</v>
      </c>
      <c r="J1373" t="str">
        <f>_xlfn.XLOOKUP(_xlfn.XLOOKUP(A1373,orders[orderID],orders[customerID],,0),customers__2[customerID],customers__2[companyName],,0)</f>
        <v>Around the Horn</v>
      </c>
      <c r="K1373" t="str">
        <f>_xlfn.XLOOKUP(Table9[[#This Row],[Company Name]],customers__2[companyName],customers__2[country],,0)</f>
        <v>UK</v>
      </c>
      <c r="L1373">
        <f>MONTH(Table9[[#This Row],[OrderDate ]])</f>
        <v>12</v>
      </c>
      <c r="M1373" t="str">
        <f>TEXT(Table9[[#This Row],[OrderDate ]],"mmm")</f>
        <v>Dec</v>
      </c>
      <c r="N1373">
        <f>YEAR(Table9[[#This Row],[OrderDate ]])</f>
        <v>2014</v>
      </c>
    </row>
    <row r="1374" spans="1:14" x14ac:dyDescent="0.3">
      <c r="A1374">
        <v>10768</v>
      </c>
      <c r="B1374" s="2">
        <f>_xlfn.XLOOKUP(Table9[[#This Row],[orderID]],orders[orderID],orders[orderDate],,0)</f>
        <v>41981</v>
      </c>
      <c r="C1374">
        <f>_xlfn.XLOOKUP(A1374,order_details[orderID],order_details[productID],,0)</f>
        <v>22</v>
      </c>
      <c r="D1374" t="str">
        <f>_xlfn.XLOOKUP(C1374,products[productID],products[productName],,0)</f>
        <v>Gustaf's Knackebröd</v>
      </c>
      <c r="E1374" t="str">
        <f>_xlfn.XLOOKUP(_xlfn.XLOOKUP(Table9[[#This Row],[ProductName ]],products[productName],products[categoryID],,0),categories[categoryID],categories[categoryName],,0)</f>
        <v>Grains &amp; Cereals</v>
      </c>
      <c r="F1374">
        <v>12</v>
      </c>
      <c r="G1374">
        <v>215</v>
      </c>
      <c r="H1374">
        <v>0</v>
      </c>
      <c r="I1374">
        <f>Table9[[#This Row],[quantity]]*Table9[[#This Row],[unitPrice]]*(1-Table9[[#This Row],[discount]]/100)</f>
        <v>2580</v>
      </c>
      <c r="J1374" t="str">
        <f>_xlfn.XLOOKUP(_xlfn.XLOOKUP(A1374,orders[orderID],orders[customerID],,0),customers__2[customerID],customers__2[companyName],,0)</f>
        <v>Around the Horn</v>
      </c>
      <c r="K1374" t="str">
        <f>_xlfn.XLOOKUP(Table9[[#This Row],[Company Name]],customers__2[companyName],customers__2[country],,0)</f>
        <v>UK</v>
      </c>
      <c r="L1374">
        <f>MONTH(Table9[[#This Row],[OrderDate ]])</f>
        <v>12</v>
      </c>
      <c r="M1374" t="str">
        <f>TEXT(Table9[[#This Row],[OrderDate ]],"mmm")</f>
        <v>Dec</v>
      </c>
      <c r="N1374">
        <f>YEAR(Table9[[#This Row],[OrderDate ]])</f>
        <v>2014</v>
      </c>
    </row>
    <row r="1375" spans="1:14" x14ac:dyDescent="0.3">
      <c r="A1375">
        <v>10769</v>
      </c>
      <c r="B1375" s="2">
        <f>_xlfn.XLOOKUP(Table9[[#This Row],[orderID]],orders[orderID],orders[orderDate],,0)</f>
        <v>41981</v>
      </c>
      <c r="C1375">
        <f>_xlfn.XLOOKUP(A1375,order_details[orderID],order_details[productID],,0)</f>
        <v>41</v>
      </c>
      <c r="D1375" t="str">
        <f>_xlfn.XLOOKUP(C1375,products[productID],products[productName],,0)</f>
        <v>Jack's New England Clam Chowder</v>
      </c>
      <c r="E1375" t="str">
        <f>_xlfn.XLOOKUP(_xlfn.XLOOKUP(Table9[[#This Row],[ProductName ]],products[productName],products[categoryID],,0),categories[categoryID],categories[categoryName],,0)</f>
        <v>Seafood</v>
      </c>
      <c r="F1375">
        <v>30</v>
      </c>
      <c r="G1375">
        <v>965</v>
      </c>
      <c r="H1375">
        <v>5</v>
      </c>
      <c r="I1375">
        <f>Table9[[#This Row],[quantity]]*Table9[[#This Row],[unitPrice]]*(1-Table9[[#This Row],[discount]]/100)</f>
        <v>27502.5</v>
      </c>
      <c r="J1375" t="str">
        <f>_xlfn.XLOOKUP(_xlfn.XLOOKUP(A1375,orders[orderID],orders[customerID],,0),customers__2[customerID],customers__2[companyName],,0)</f>
        <v>Vaffeljernet</v>
      </c>
      <c r="K1375" t="str">
        <f>_xlfn.XLOOKUP(Table9[[#This Row],[Company Name]],customers__2[companyName],customers__2[country],,0)</f>
        <v>Denmark</v>
      </c>
      <c r="L1375">
        <f>MONTH(Table9[[#This Row],[OrderDate ]])</f>
        <v>12</v>
      </c>
      <c r="M1375" t="str">
        <f>TEXT(Table9[[#This Row],[OrderDate ]],"mmm")</f>
        <v>Dec</v>
      </c>
      <c r="N1375">
        <f>YEAR(Table9[[#This Row],[OrderDate ]])</f>
        <v>2014</v>
      </c>
    </row>
    <row r="1376" spans="1:14" x14ac:dyDescent="0.3">
      <c r="A1376">
        <v>10769</v>
      </c>
      <c r="B1376" s="2">
        <f>_xlfn.XLOOKUP(Table9[[#This Row],[orderID]],orders[orderID],orders[orderDate],,0)</f>
        <v>41981</v>
      </c>
      <c r="C1376">
        <f>_xlfn.XLOOKUP(A1376,order_details[orderID],order_details[productID],,0)</f>
        <v>41</v>
      </c>
      <c r="D1376" t="str">
        <f>_xlfn.XLOOKUP(C1376,products[productID],products[productName],,0)</f>
        <v>Jack's New England Clam Chowder</v>
      </c>
      <c r="E1376" t="str">
        <f>_xlfn.XLOOKUP(_xlfn.XLOOKUP(Table9[[#This Row],[ProductName ]],products[productName],products[categoryID],,0),categories[categoryID],categories[categoryName],,0)</f>
        <v>Seafood</v>
      </c>
      <c r="F1376">
        <v>15</v>
      </c>
      <c r="G1376">
        <v>7</v>
      </c>
      <c r="H1376">
        <v>5</v>
      </c>
      <c r="I1376">
        <f>Table9[[#This Row],[quantity]]*Table9[[#This Row],[unitPrice]]*(1-Table9[[#This Row],[discount]]/100)</f>
        <v>99.75</v>
      </c>
      <c r="J1376" t="str">
        <f>_xlfn.XLOOKUP(_xlfn.XLOOKUP(A1376,orders[orderID],orders[customerID],,0),customers__2[customerID],customers__2[companyName],,0)</f>
        <v>Vaffeljernet</v>
      </c>
      <c r="K1376" t="str">
        <f>_xlfn.XLOOKUP(Table9[[#This Row],[Company Name]],customers__2[companyName],customers__2[country],,0)</f>
        <v>Denmark</v>
      </c>
      <c r="L1376">
        <f>MONTH(Table9[[#This Row],[OrderDate ]])</f>
        <v>12</v>
      </c>
      <c r="M1376" t="str">
        <f>TEXT(Table9[[#This Row],[OrderDate ]],"mmm")</f>
        <v>Dec</v>
      </c>
      <c r="N1376">
        <f>YEAR(Table9[[#This Row],[OrderDate ]])</f>
        <v>2014</v>
      </c>
    </row>
    <row r="1377" spans="1:14" x14ac:dyDescent="0.3">
      <c r="A1377">
        <v>10769</v>
      </c>
      <c r="B1377" s="2">
        <f>_xlfn.XLOOKUP(Table9[[#This Row],[orderID]],orders[orderID],orders[orderDate],,0)</f>
        <v>41981</v>
      </c>
      <c r="C1377">
        <f>_xlfn.XLOOKUP(A1377,order_details[orderID],order_details[productID],,0)</f>
        <v>41</v>
      </c>
      <c r="D1377" t="str">
        <f>_xlfn.XLOOKUP(C1377,products[productID],products[productName],,0)</f>
        <v>Jack's New England Clam Chowder</v>
      </c>
      <c r="E1377" t="str">
        <f>_xlfn.XLOOKUP(_xlfn.XLOOKUP(Table9[[#This Row],[ProductName ]],products[productName],products[categoryID],,0),categories[categoryID],categories[categoryName],,0)</f>
        <v>Seafood</v>
      </c>
      <c r="F1377">
        <v>20</v>
      </c>
      <c r="G1377">
        <v>285</v>
      </c>
      <c r="H1377">
        <v>0</v>
      </c>
      <c r="I1377">
        <f>Table9[[#This Row],[quantity]]*Table9[[#This Row],[unitPrice]]*(1-Table9[[#This Row],[discount]]/100)</f>
        <v>5700</v>
      </c>
      <c r="J1377" t="str">
        <f>_xlfn.XLOOKUP(_xlfn.XLOOKUP(A1377,orders[orderID],orders[customerID],,0),customers__2[customerID],customers__2[companyName],,0)</f>
        <v>Vaffeljernet</v>
      </c>
      <c r="K1377" t="str">
        <f>_xlfn.XLOOKUP(Table9[[#This Row],[Company Name]],customers__2[companyName],customers__2[country],,0)</f>
        <v>Denmark</v>
      </c>
      <c r="L1377">
        <f>MONTH(Table9[[#This Row],[OrderDate ]])</f>
        <v>12</v>
      </c>
      <c r="M1377" t="str">
        <f>TEXT(Table9[[#This Row],[OrderDate ]],"mmm")</f>
        <v>Dec</v>
      </c>
      <c r="N1377">
        <f>YEAR(Table9[[#This Row],[OrderDate ]])</f>
        <v>2014</v>
      </c>
    </row>
    <row r="1378" spans="1:14" x14ac:dyDescent="0.3">
      <c r="A1378">
        <v>10769</v>
      </c>
      <c r="B1378" s="2">
        <f>_xlfn.XLOOKUP(Table9[[#This Row],[orderID]],orders[orderID],orders[orderDate],,0)</f>
        <v>41981</v>
      </c>
      <c r="C1378">
        <f>_xlfn.XLOOKUP(A1378,order_details[orderID],order_details[productID],,0)</f>
        <v>41</v>
      </c>
      <c r="D1378" t="str">
        <f>_xlfn.XLOOKUP(C1378,products[productID],products[productName],,0)</f>
        <v>Jack's New England Clam Chowder</v>
      </c>
      <c r="E1378" t="str">
        <f>_xlfn.XLOOKUP(_xlfn.XLOOKUP(Table9[[#This Row],[ProductName ]],products[productName],products[categoryID],,0),categories[categoryID],categories[categoryName],,0)</f>
        <v>Seafood</v>
      </c>
      <c r="F1378">
        <v>15</v>
      </c>
      <c r="G1378">
        <v>493</v>
      </c>
      <c r="H1378">
        <v>0</v>
      </c>
      <c r="I1378">
        <f>Table9[[#This Row],[quantity]]*Table9[[#This Row],[unitPrice]]*(1-Table9[[#This Row],[discount]]/100)</f>
        <v>7395</v>
      </c>
      <c r="J1378" t="str">
        <f>_xlfn.XLOOKUP(_xlfn.XLOOKUP(A1378,orders[orderID],orders[customerID],,0),customers__2[customerID],customers__2[companyName],,0)</f>
        <v>Vaffeljernet</v>
      </c>
      <c r="K1378" t="str">
        <f>_xlfn.XLOOKUP(Table9[[#This Row],[Company Name]],customers__2[companyName],customers__2[country],,0)</f>
        <v>Denmark</v>
      </c>
      <c r="L1378">
        <f>MONTH(Table9[[#This Row],[OrderDate ]])</f>
        <v>12</v>
      </c>
      <c r="M1378" t="str">
        <f>TEXT(Table9[[#This Row],[OrderDate ]],"mmm")</f>
        <v>Dec</v>
      </c>
      <c r="N1378">
        <f>YEAR(Table9[[#This Row],[OrderDate ]])</f>
        <v>2014</v>
      </c>
    </row>
    <row r="1379" spans="1:14" x14ac:dyDescent="0.3">
      <c r="A1379">
        <v>10770</v>
      </c>
      <c r="B1379" s="2">
        <f>_xlfn.XLOOKUP(Table9[[#This Row],[orderID]],orders[orderID],orders[orderDate],,0)</f>
        <v>41982</v>
      </c>
      <c r="C1379">
        <f>_xlfn.XLOOKUP(A1379,order_details[orderID],order_details[productID],,0)</f>
        <v>11</v>
      </c>
      <c r="D1379" t="str">
        <f>_xlfn.XLOOKUP(C1379,products[productID],products[productName],,0)</f>
        <v>Queso Cabrales</v>
      </c>
      <c r="E1379" t="str">
        <f>_xlfn.XLOOKUP(_xlfn.XLOOKUP(Table9[[#This Row],[ProductName ]],products[productName],products[categoryID],,0),categories[categoryID],categories[categoryName],,0)</f>
        <v>Dairy Products</v>
      </c>
      <c r="F1379">
        <v>15</v>
      </c>
      <c r="G1379">
        <v>21</v>
      </c>
      <c r="H1379">
        <v>25</v>
      </c>
      <c r="I1379">
        <f>Table9[[#This Row],[quantity]]*Table9[[#This Row],[unitPrice]]*(1-Table9[[#This Row],[discount]]/100)</f>
        <v>236.25</v>
      </c>
      <c r="J1379" t="str">
        <f>_xlfn.XLOOKUP(_xlfn.XLOOKUP(A1379,orders[orderID],orders[customerID],,0),customers__2[customerID],customers__2[companyName],,0)</f>
        <v>Hanari Carnes</v>
      </c>
      <c r="K1379" t="str">
        <f>_xlfn.XLOOKUP(Table9[[#This Row],[Company Name]],customers__2[companyName],customers__2[country],,0)</f>
        <v>Brazil</v>
      </c>
      <c r="L1379">
        <f>MONTH(Table9[[#This Row],[OrderDate ]])</f>
        <v>12</v>
      </c>
      <c r="M1379" t="str">
        <f>TEXT(Table9[[#This Row],[OrderDate ]],"mmm")</f>
        <v>Dec</v>
      </c>
      <c r="N1379">
        <f>YEAR(Table9[[#This Row],[OrderDate ]])</f>
        <v>2014</v>
      </c>
    </row>
    <row r="1380" spans="1:14" x14ac:dyDescent="0.3">
      <c r="A1380">
        <v>10771</v>
      </c>
      <c r="B1380" s="2">
        <f>_xlfn.XLOOKUP(Table9[[#This Row],[orderID]],orders[orderID],orders[orderDate],,0)</f>
        <v>41983</v>
      </c>
      <c r="C1380">
        <f>_xlfn.XLOOKUP(A1380,order_details[orderID],order_details[productID],,0)</f>
        <v>71</v>
      </c>
      <c r="D1380" t="str">
        <f>_xlfn.XLOOKUP(C1380,products[productID],products[productName],,0)</f>
        <v>Flotemysost</v>
      </c>
      <c r="E1380" t="str">
        <f>_xlfn.XLOOKUP(_xlfn.XLOOKUP(Table9[[#This Row],[ProductName ]],products[productName],products[categoryID],,0),categories[categoryID],categories[categoryName],,0)</f>
        <v>Dairy Products</v>
      </c>
      <c r="F1380">
        <v>16</v>
      </c>
      <c r="G1380">
        <v>215</v>
      </c>
      <c r="H1380">
        <v>0</v>
      </c>
      <c r="I1380">
        <f>Table9[[#This Row],[quantity]]*Table9[[#This Row],[unitPrice]]*(1-Table9[[#This Row],[discount]]/100)</f>
        <v>3440</v>
      </c>
      <c r="J1380" t="str">
        <f>_xlfn.XLOOKUP(_xlfn.XLOOKUP(A1380,orders[orderID],orders[customerID],,0),customers__2[customerID],customers__2[companyName],,0)</f>
        <v>Ernst Handel</v>
      </c>
      <c r="K1380" t="str">
        <f>_xlfn.XLOOKUP(Table9[[#This Row],[Company Name]],customers__2[companyName],customers__2[country],,0)</f>
        <v>Austria</v>
      </c>
      <c r="L1380">
        <f>MONTH(Table9[[#This Row],[OrderDate ]])</f>
        <v>12</v>
      </c>
      <c r="M1380" t="str">
        <f>TEXT(Table9[[#This Row],[OrderDate ]],"mmm")</f>
        <v>Dec</v>
      </c>
      <c r="N1380">
        <f>YEAR(Table9[[#This Row],[OrderDate ]])</f>
        <v>2014</v>
      </c>
    </row>
    <row r="1381" spans="1:14" x14ac:dyDescent="0.3">
      <c r="A1381">
        <v>10772</v>
      </c>
      <c r="B1381" s="2">
        <f>_xlfn.XLOOKUP(Table9[[#This Row],[orderID]],orders[orderID],orders[orderDate],,0)</f>
        <v>41983</v>
      </c>
      <c r="C1381">
        <f>_xlfn.XLOOKUP(A1381,order_details[orderID],order_details[productID],,0)</f>
        <v>29</v>
      </c>
      <c r="D1381" t="str">
        <f>_xlfn.XLOOKUP(C1381,products[productID],products[productName],,0)</f>
        <v>Thüringer Rostbratwurst</v>
      </c>
      <c r="E1381" t="str">
        <f>_xlfn.XLOOKUP(_xlfn.XLOOKUP(Table9[[#This Row],[ProductName ]],products[productName],products[categoryID],,0),categories[categoryID],categories[categoryName],,0)</f>
        <v>Meat &amp; Poultry</v>
      </c>
      <c r="F1381">
        <v>18</v>
      </c>
      <c r="G1381">
        <v>12379</v>
      </c>
      <c r="H1381">
        <v>0</v>
      </c>
      <c r="I1381">
        <f>Table9[[#This Row],[quantity]]*Table9[[#This Row],[unitPrice]]*(1-Table9[[#This Row],[discount]]/100)</f>
        <v>222822</v>
      </c>
      <c r="J1381" t="str">
        <f>_xlfn.XLOOKUP(_xlfn.XLOOKUP(A1381,orders[orderID],orders[customerID],,0),customers__2[customerID],customers__2[companyName],,0)</f>
        <v>Lehmanns Marktstand</v>
      </c>
      <c r="K1381" t="str">
        <f>_xlfn.XLOOKUP(Table9[[#This Row],[Company Name]],customers__2[companyName],customers__2[country],,0)</f>
        <v>Germany</v>
      </c>
      <c r="L1381">
        <f>MONTH(Table9[[#This Row],[OrderDate ]])</f>
        <v>12</v>
      </c>
      <c r="M1381" t="str">
        <f>TEXT(Table9[[#This Row],[OrderDate ]],"mmm")</f>
        <v>Dec</v>
      </c>
      <c r="N1381">
        <f>YEAR(Table9[[#This Row],[OrderDate ]])</f>
        <v>2014</v>
      </c>
    </row>
    <row r="1382" spans="1:14" x14ac:dyDescent="0.3">
      <c r="A1382">
        <v>10772</v>
      </c>
      <c r="B1382" s="2">
        <f>_xlfn.XLOOKUP(Table9[[#This Row],[orderID]],orders[orderID],orders[orderDate],,0)</f>
        <v>41983</v>
      </c>
      <c r="C1382">
        <f>_xlfn.XLOOKUP(A1382,order_details[orderID],order_details[productID],,0)</f>
        <v>29</v>
      </c>
      <c r="D1382" t="str">
        <f>_xlfn.XLOOKUP(C1382,products[productID],products[productName],,0)</f>
        <v>Thüringer Rostbratwurst</v>
      </c>
      <c r="E1382" t="str">
        <f>_xlfn.XLOOKUP(_xlfn.XLOOKUP(Table9[[#This Row],[ProductName ]],products[productName],products[categoryID],,0),categories[categoryID],categories[categoryName],,0)</f>
        <v>Meat &amp; Poultry</v>
      </c>
      <c r="F1382">
        <v>25</v>
      </c>
      <c r="G1382">
        <v>55</v>
      </c>
      <c r="H1382">
        <v>0</v>
      </c>
      <c r="I1382">
        <f>Table9[[#This Row],[quantity]]*Table9[[#This Row],[unitPrice]]*(1-Table9[[#This Row],[discount]]/100)</f>
        <v>1375</v>
      </c>
      <c r="J1382" t="str">
        <f>_xlfn.XLOOKUP(_xlfn.XLOOKUP(A1382,orders[orderID],orders[customerID],,0),customers__2[customerID],customers__2[companyName],,0)</f>
        <v>Lehmanns Marktstand</v>
      </c>
      <c r="K1382" t="str">
        <f>_xlfn.XLOOKUP(Table9[[#This Row],[Company Name]],customers__2[companyName],customers__2[country],,0)</f>
        <v>Germany</v>
      </c>
      <c r="L1382">
        <f>MONTH(Table9[[#This Row],[OrderDate ]])</f>
        <v>12</v>
      </c>
      <c r="M1382" t="str">
        <f>TEXT(Table9[[#This Row],[OrderDate ]],"mmm")</f>
        <v>Dec</v>
      </c>
      <c r="N1382">
        <f>YEAR(Table9[[#This Row],[OrderDate ]])</f>
        <v>2014</v>
      </c>
    </row>
    <row r="1383" spans="1:14" x14ac:dyDescent="0.3">
      <c r="A1383">
        <v>10773</v>
      </c>
      <c r="B1383" s="2">
        <f>_xlfn.XLOOKUP(Table9[[#This Row],[orderID]],orders[orderID],orders[orderDate],,0)</f>
        <v>41984</v>
      </c>
      <c r="C1383">
        <f>_xlfn.XLOOKUP(A1383,order_details[orderID],order_details[productID],,0)</f>
        <v>17</v>
      </c>
      <c r="D1383" t="str">
        <f>_xlfn.XLOOKUP(C1383,products[productID],products[productName],,0)</f>
        <v>Alice Mutton</v>
      </c>
      <c r="E1383" t="str">
        <f>_xlfn.XLOOKUP(_xlfn.XLOOKUP(Table9[[#This Row],[ProductName ]],products[productName],products[categoryID],,0),categories[categoryID],categories[categoryName],,0)</f>
        <v>Meat &amp; Poultry</v>
      </c>
      <c r="F1383">
        <v>33</v>
      </c>
      <c r="G1383">
        <v>39</v>
      </c>
      <c r="H1383">
        <v>0</v>
      </c>
      <c r="I1383">
        <f>Table9[[#This Row],[quantity]]*Table9[[#This Row],[unitPrice]]*(1-Table9[[#This Row],[discount]]/100)</f>
        <v>1287</v>
      </c>
      <c r="J1383" t="str">
        <f>_xlfn.XLOOKUP(_xlfn.XLOOKUP(A1383,orders[orderID],orders[customerID],,0),customers__2[customerID],customers__2[companyName],,0)</f>
        <v>Ernst Handel</v>
      </c>
      <c r="K1383" t="str">
        <f>_xlfn.XLOOKUP(Table9[[#This Row],[Company Name]],customers__2[companyName],customers__2[country],,0)</f>
        <v>Austria</v>
      </c>
      <c r="L1383">
        <f>MONTH(Table9[[#This Row],[OrderDate ]])</f>
        <v>12</v>
      </c>
      <c r="M1383" t="str">
        <f>TEXT(Table9[[#This Row],[OrderDate ]],"mmm")</f>
        <v>Dec</v>
      </c>
      <c r="N1383">
        <f>YEAR(Table9[[#This Row],[OrderDate ]])</f>
        <v>2014</v>
      </c>
    </row>
    <row r="1384" spans="1:14" x14ac:dyDescent="0.3">
      <c r="A1384">
        <v>10773</v>
      </c>
      <c r="B1384" s="2">
        <f>_xlfn.XLOOKUP(Table9[[#This Row],[orderID]],orders[orderID],orders[orderDate],,0)</f>
        <v>41984</v>
      </c>
      <c r="C1384">
        <f>_xlfn.XLOOKUP(A1384,order_details[orderID],order_details[productID],,0)</f>
        <v>17</v>
      </c>
      <c r="D1384" t="str">
        <f>_xlfn.XLOOKUP(C1384,products[productID],products[productName],,0)</f>
        <v>Alice Mutton</v>
      </c>
      <c r="E1384" t="str">
        <f>_xlfn.XLOOKUP(_xlfn.XLOOKUP(Table9[[#This Row],[ProductName ]],products[productName],products[categoryID],,0),categories[categoryID],categories[categoryName],,0)</f>
        <v>Meat &amp; Poultry</v>
      </c>
      <c r="F1384">
        <v>70</v>
      </c>
      <c r="G1384">
        <v>125</v>
      </c>
      <c r="H1384">
        <v>2</v>
      </c>
      <c r="I1384">
        <f>Table9[[#This Row],[quantity]]*Table9[[#This Row],[unitPrice]]*(1-Table9[[#This Row],[discount]]/100)</f>
        <v>8575</v>
      </c>
      <c r="J1384" t="str">
        <f>_xlfn.XLOOKUP(_xlfn.XLOOKUP(A1384,orders[orderID],orders[customerID],,0),customers__2[customerID],customers__2[companyName],,0)</f>
        <v>Ernst Handel</v>
      </c>
      <c r="K1384" t="str">
        <f>_xlfn.XLOOKUP(Table9[[#This Row],[Company Name]],customers__2[companyName],customers__2[country],,0)</f>
        <v>Austria</v>
      </c>
      <c r="L1384">
        <f>MONTH(Table9[[#This Row],[OrderDate ]])</f>
        <v>12</v>
      </c>
      <c r="M1384" t="str">
        <f>TEXT(Table9[[#This Row],[OrderDate ]],"mmm")</f>
        <v>Dec</v>
      </c>
      <c r="N1384">
        <f>YEAR(Table9[[#This Row],[OrderDate ]])</f>
        <v>2014</v>
      </c>
    </row>
    <row r="1385" spans="1:14" x14ac:dyDescent="0.3">
      <c r="A1385">
        <v>10773</v>
      </c>
      <c r="B1385" s="2">
        <f>_xlfn.XLOOKUP(Table9[[#This Row],[orderID]],orders[orderID],orders[orderDate],,0)</f>
        <v>41984</v>
      </c>
      <c r="C1385">
        <f>_xlfn.XLOOKUP(A1385,order_details[orderID],order_details[productID],,0)</f>
        <v>17</v>
      </c>
      <c r="D1385" t="str">
        <f>_xlfn.XLOOKUP(C1385,products[productID],products[productName],,0)</f>
        <v>Alice Mutton</v>
      </c>
      <c r="E1385" t="str">
        <f>_xlfn.XLOOKUP(_xlfn.XLOOKUP(Table9[[#This Row],[ProductName ]],products[productName],products[categoryID],,0),categories[categoryID],categories[categoryName],,0)</f>
        <v>Meat &amp; Poultry</v>
      </c>
      <c r="F1385">
        <v>7</v>
      </c>
      <c r="G1385">
        <v>775</v>
      </c>
      <c r="H1385">
        <v>2</v>
      </c>
      <c r="I1385">
        <f>Table9[[#This Row],[quantity]]*Table9[[#This Row],[unitPrice]]*(1-Table9[[#This Row],[discount]]/100)</f>
        <v>5316.5</v>
      </c>
      <c r="J1385" t="str">
        <f>_xlfn.XLOOKUP(_xlfn.XLOOKUP(A1385,orders[orderID],orders[customerID],,0),customers__2[customerID],customers__2[companyName],,0)</f>
        <v>Ernst Handel</v>
      </c>
      <c r="K1385" t="str">
        <f>_xlfn.XLOOKUP(Table9[[#This Row],[Company Name]],customers__2[companyName],customers__2[country],,0)</f>
        <v>Austria</v>
      </c>
      <c r="L1385">
        <f>MONTH(Table9[[#This Row],[OrderDate ]])</f>
        <v>12</v>
      </c>
      <c r="M1385" t="str">
        <f>TEXT(Table9[[#This Row],[OrderDate ]],"mmm")</f>
        <v>Dec</v>
      </c>
      <c r="N1385">
        <f>YEAR(Table9[[#This Row],[OrderDate ]])</f>
        <v>2014</v>
      </c>
    </row>
    <row r="1386" spans="1:14" x14ac:dyDescent="0.3">
      <c r="A1386">
        <v>10774</v>
      </c>
      <c r="B1386" s="2">
        <f>_xlfn.XLOOKUP(Table9[[#This Row],[orderID]],orders[orderID],orders[orderDate],,0)</f>
        <v>41984</v>
      </c>
      <c r="C1386">
        <f>_xlfn.XLOOKUP(A1386,order_details[orderID],order_details[productID],,0)</f>
        <v>31</v>
      </c>
      <c r="D1386" t="str">
        <f>_xlfn.XLOOKUP(C1386,products[productID],products[productName],,0)</f>
        <v>Gorgonzola Telino</v>
      </c>
      <c r="E1386" t="str">
        <f>_xlfn.XLOOKUP(_xlfn.XLOOKUP(Table9[[#This Row],[ProductName ]],products[productName],products[categoryID],,0),categories[categoryID],categories[categoryName],,0)</f>
        <v>Dairy Products</v>
      </c>
      <c r="F1386">
        <v>2</v>
      </c>
      <c r="G1386">
        <v>125</v>
      </c>
      <c r="H1386">
        <v>25</v>
      </c>
      <c r="I1386">
        <f>Table9[[#This Row],[quantity]]*Table9[[#This Row],[unitPrice]]*(1-Table9[[#This Row],[discount]]/100)</f>
        <v>187.5</v>
      </c>
      <c r="J1386" t="str">
        <f>_xlfn.XLOOKUP(_xlfn.XLOOKUP(A1386,orders[orderID],orders[customerID],,0),customers__2[customerID],customers__2[companyName],,0)</f>
        <v>Folk och fä HB</v>
      </c>
      <c r="K1386" t="str">
        <f>_xlfn.XLOOKUP(Table9[[#This Row],[Company Name]],customers__2[companyName],customers__2[country],,0)</f>
        <v>Sweden</v>
      </c>
      <c r="L1386">
        <f>MONTH(Table9[[#This Row],[OrderDate ]])</f>
        <v>12</v>
      </c>
      <c r="M1386" t="str">
        <f>TEXT(Table9[[#This Row],[OrderDate ]],"mmm")</f>
        <v>Dec</v>
      </c>
      <c r="N1386">
        <f>YEAR(Table9[[#This Row],[OrderDate ]])</f>
        <v>2014</v>
      </c>
    </row>
    <row r="1387" spans="1:14" x14ac:dyDescent="0.3">
      <c r="A1387">
        <v>10774</v>
      </c>
      <c r="B1387" s="2">
        <f>_xlfn.XLOOKUP(Table9[[#This Row],[orderID]],orders[orderID],orders[orderDate],,0)</f>
        <v>41984</v>
      </c>
      <c r="C1387">
        <f>_xlfn.XLOOKUP(A1387,order_details[orderID],order_details[productID],,0)</f>
        <v>31</v>
      </c>
      <c r="D1387" t="str">
        <f>_xlfn.XLOOKUP(C1387,products[productID],products[productName],,0)</f>
        <v>Gorgonzola Telino</v>
      </c>
      <c r="E1387" t="str">
        <f>_xlfn.XLOOKUP(_xlfn.XLOOKUP(Table9[[#This Row],[ProductName ]],products[productName],products[categoryID],,0),categories[categoryID],categories[categoryName],,0)</f>
        <v>Dairy Products</v>
      </c>
      <c r="F1387">
        <v>50</v>
      </c>
      <c r="G1387">
        <v>17</v>
      </c>
      <c r="H1387">
        <v>0</v>
      </c>
      <c r="I1387">
        <f>Table9[[#This Row],[quantity]]*Table9[[#This Row],[unitPrice]]*(1-Table9[[#This Row],[discount]]/100)</f>
        <v>850</v>
      </c>
      <c r="J1387" t="str">
        <f>_xlfn.XLOOKUP(_xlfn.XLOOKUP(A1387,orders[orderID],orders[customerID],,0),customers__2[customerID],customers__2[companyName],,0)</f>
        <v>Folk och fä HB</v>
      </c>
      <c r="K1387" t="str">
        <f>_xlfn.XLOOKUP(Table9[[#This Row],[Company Name]],customers__2[companyName],customers__2[country],,0)</f>
        <v>Sweden</v>
      </c>
      <c r="L1387">
        <f>MONTH(Table9[[#This Row],[OrderDate ]])</f>
        <v>12</v>
      </c>
      <c r="M1387" t="str">
        <f>TEXT(Table9[[#This Row],[OrderDate ]],"mmm")</f>
        <v>Dec</v>
      </c>
      <c r="N1387">
        <f>YEAR(Table9[[#This Row],[OrderDate ]])</f>
        <v>2014</v>
      </c>
    </row>
    <row r="1388" spans="1:14" x14ac:dyDescent="0.3">
      <c r="A1388">
        <v>10775</v>
      </c>
      <c r="B1388" s="2">
        <f>_xlfn.XLOOKUP(Table9[[#This Row],[orderID]],orders[orderID],orders[orderDate],,0)</f>
        <v>41985</v>
      </c>
      <c r="C1388">
        <f>_xlfn.XLOOKUP(A1388,order_details[orderID],order_details[productID],,0)</f>
        <v>10</v>
      </c>
      <c r="D1388" t="str">
        <f>_xlfn.XLOOKUP(C1388,products[productID],products[productName],,0)</f>
        <v>Ikura</v>
      </c>
      <c r="E1388" t="str">
        <f>_xlfn.XLOOKUP(_xlfn.XLOOKUP(Table9[[#This Row],[ProductName ]],products[productName],products[categoryID],,0),categories[categoryID],categories[categoryName],,0)</f>
        <v>Seafood</v>
      </c>
      <c r="F1388">
        <v>6</v>
      </c>
      <c r="G1388">
        <v>31</v>
      </c>
      <c r="H1388">
        <v>0</v>
      </c>
      <c r="I1388">
        <f>Table9[[#This Row],[quantity]]*Table9[[#This Row],[unitPrice]]*(1-Table9[[#This Row],[discount]]/100)</f>
        <v>186</v>
      </c>
      <c r="J1388" t="str">
        <f>_xlfn.XLOOKUP(_xlfn.XLOOKUP(A1388,orders[orderID],orders[customerID],,0),customers__2[customerID],customers__2[companyName],,0)</f>
        <v>The Cracker Box</v>
      </c>
      <c r="K1388" t="str">
        <f>_xlfn.XLOOKUP(Table9[[#This Row],[Company Name]],customers__2[companyName],customers__2[country],,0)</f>
        <v>USA</v>
      </c>
      <c r="L1388">
        <f>MONTH(Table9[[#This Row],[OrderDate ]])</f>
        <v>12</v>
      </c>
      <c r="M1388" t="str">
        <f>TEXT(Table9[[#This Row],[OrderDate ]],"mmm")</f>
        <v>Dec</v>
      </c>
      <c r="N1388">
        <f>YEAR(Table9[[#This Row],[OrderDate ]])</f>
        <v>2014</v>
      </c>
    </row>
    <row r="1389" spans="1:14" x14ac:dyDescent="0.3">
      <c r="A1389">
        <v>10775</v>
      </c>
      <c r="B1389" s="2">
        <f>_xlfn.XLOOKUP(Table9[[#This Row],[orderID]],orders[orderID],orders[orderDate],,0)</f>
        <v>41985</v>
      </c>
      <c r="C1389">
        <f>_xlfn.XLOOKUP(A1389,order_details[orderID],order_details[productID],,0)</f>
        <v>10</v>
      </c>
      <c r="D1389" t="str">
        <f>_xlfn.XLOOKUP(C1389,products[productID],products[productName],,0)</f>
        <v>Ikura</v>
      </c>
      <c r="E1389" t="str">
        <f>_xlfn.XLOOKUP(_xlfn.XLOOKUP(Table9[[#This Row],[ProductName ]],products[productName],products[categoryID],,0),categories[categoryID],categories[categoryName],,0)</f>
        <v>Seafood</v>
      </c>
      <c r="F1389">
        <v>3</v>
      </c>
      <c r="G1389">
        <v>14</v>
      </c>
      <c r="H1389">
        <v>0</v>
      </c>
      <c r="I1389">
        <f>Table9[[#This Row],[quantity]]*Table9[[#This Row],[unitPrice]]*(1-Table9[[#This Row],[discount]]/100)</f>
        <v>42</v>
      </c>
      <c r="J1389" t="str">
        <f>_xlfn.XLOOKUP(_xlfn.XLOOKUP(A1389,orders[orderID],orders[customerID],,0),customers__2[customerID],customers__2[companyName],,0)</f>
        <v>The Cracker Box</v>
      </c>
      <c r="K1389" t="str">
        <f>_xlfn.XLOOKUP(Table9[[#This Row],[Company Name]],customers__2[companyName],customers__2[country],,0)</f>
        <v>USA</v>
      </c>
      <c r="L1389">
        <f>MONTH(Table9[[#This Row],[OrderDate ]])</f>
        <v>12</v>
      </c>
      <c r="M1389" t="str">
        <f>TEXT(Table9[[#This Row],[OrderDate ]],"mmm")</f>
        <v>Dec</v>
      </c>
      <c r="N1389">
        <f>YEAR(Table9[[#This Row],[OrderDate ]])</f>
        <v>2014</v>
      </c>
    </row>
    <row r="1390" spans="1:14" x14ac:dyDescent="0.3">
      <c r="A1390">
        <v>10776</v>
      </c>
      <c r="B1390" s="2">
        <f>_xlfn.XLOOKUP(Table9[[#This Row],[orderID]],orders[orderID],orders[orderDate],,0)</f>
        <v>41988</v>
      </c>
      <c r="C1390">
        <f>_xlfn.XLOOKUP(A1390,order_details[orderID],order_details[productID],,0)</f>
        <v>31</v>
      </c>
      <c r="D1390" t="str">
        <f>_xlfn.XLOOKUP(C1390,products[productID],products[productName],,0)</f>
        <v>Gorgonzola Telino</v>
      </c>
      <c r="E1390" t="str">
        <f>_xlfn.XLOOKUP(_xlfn.XLOOKUP(Table9[[#This Row],[ProductName ]],products[productName],products[categoryID],,0),categories[categoryID],categories[categoryName],,0)</f>
        <v>Dairy Products</v>
      </c>
      <c r="F1390">
        <v>16</v>
      </c>
      <c r="G1390">
        <v>125</v>
      </c>
      <c r="H1390">
        <v>5</v>
      </c>
      <c r="I1390">
        <f>Table9[[#This Row],[quantity]]*Table9[[#This Row],[unitPrice]]*(1-Table9[[#This Row],[discount]]/100)</f>
        <v>1900</v>
      </c>
      <c r="J1390" t="str">
        <f>_xlfn.XLOOKUP(_xlfn.XLOOKUP(A1390,orders[orderID],orders[customerID],,0),customers__2[customerID],customers__2[companyName],,0)</f>
        <v>Ernst Handel</v>
      </c>
      <c r="K1390" t="str">
        <f>_xlfn.XLOOKUP(Table9[[#This Row],[Company Name]],customers__2[companyName],customers__2[country],,0)</f>
        <v>Austria</v>
      </c>
      <c r="L1390">
        <f>MONTH(Table9[[#This Row],[OrderDate ]])</f>
        <v>12</v>
      </c>
      <c r="M1390" t="str">
        <f>TEXT(Table9[[#This Row],[OrderDate ]],"mmm")</f>
        <v>Dec</v>
      </c>
      <c r="N1390">
        <f>YEAR(Table9[[#This Row],[OrderDate ]])</f>
        <v>2014</v>
      </c>
    </row>
    <row r="1391" spans="1:14" x14ac:dyDescent="0.3">
      <c r="A1391">
        <v>10776</v>
      </c>
      <c r="B1391" s="2">
        <f>_xlfn.XLOOKUP(Table9[[#This Row],[orderID]],orders[orderID],orders[orderDate],,0)</f>
        <v>41988</v>
      </c>
      <c r="C1391">
        <f>_xlfn.XLOOKUP(A1391,order_details[orderID],order_details[productID],,0)</f>
        <v>31</v>
      </c>
      <c r="D1391" t="str">
        <f>_xlfn.XLOOKUP(C1391,products[productID],products[productName],,0)</f>
        <v>Gorgonzola Telino</v>
      </c>
      <c r="E1391" t="str">
        <f>_xlfn.XLOOKUP(_xlfn.XLOOKUP(Table9[[#This Row],[ProductName ]],products[productName],products[categoryID],,0),categories[categoryID],categories[categoryName],,0)</f>
        <v>Dairy Products</v>
      </c>
      <c r="F1391">
        <v>12</v>
      </c>
      <c r="G1391">
        <v>14</v>
      </c>
      <c r="H1391">
        <v>5</v>
      </c>
      <c r="I1391">
        <f>Table9[[#This Row],[quantity]]*Table9[[#This Row],[unitPrice]]*(1-Table9[[#This Row],[discount]]/100)</f>
        <v>159.6</v>
      </c>
      <c r="J1391" t="str">
        <f>_xlfn.XLOOKUP(_xlfn.XLOOKUP(A1391,orders[orderID],orders[customerID],,0),customers__2[customerID],customers__2[companyName],,0)</f>
        <v>Ernst Handel</v>
      </c>
      <c r="K1391" t="str">
        <f>_xlfn.XLOOKUP(Table9[[#This Row],[Company Name]],customers__2[companyName],customers__2[country],,0)</f>
        <v>Austria</v>
      </c>
      <c r="L1391">
        <f>MONTH(Table9[[#This Row],[OrderDate ]])</f>
        <v>12</v>
      </c>
      <c r="M1391" t="str">
        <f>TEXT(Table9[[#This Row],[OrderDate ]],"mmm")</f>
        <v>Dec</v>
      </c>
      <c r="N1391">
        <f>YEAR(Table9[[#This Row],[OrderDate ]])</f>
        <v>2014</v>
      </c>
    </row>
    <row r="1392" spans="1:14" x14ac:dyDescent="0.3">
      <c r="A1392">
        <v>10776</v>
      </c>
      <c r="B1392" s="2">
        <f>_xlfn.XLOOKUP(Table9[[#This Row],[orderID]],orders[orderID],orders[orderDate],,0)</f>
        <v>41988</v>
      </c>
      <c r="C1392">
        <f>_xlfn.XLOOKUP(A1392,order_details[orderID],order_details[productID],,0)</f>
        <v>31</v>
      </c>
      <c r="D1392" t="str">
        <f>_xlfn.XLOOKUP(C1392,products[productID],products[productName],,0)</f>
        <v>Gorgonzola Telino</v>
      </c>
      <c r="E1392" t="str">
        <f>_xlfn.XLOOKUP(_xlfn.XLOOKUP(Table9[[#This Row],[ProductName ]],products[productName],products[categoryID],,0),categories[categoryID],categories[categoryName],,0)</f>
        <v>Dairy Products</v>
      </c>
      <c r="F1392">
        <v>27</v>
      </c>
      <c r="G1392">
        <v>95</v>
      </c>
      <c r="H1392">
        <v>5</v>
      </c>
      <c r="I1392">
        <f>Table9[[#This Row],[quantity]]*Table9[[#This Row],[unitPrice]]*(1-Table9[[#This Row],[discount]]/100)</f>
        <v>2436.75</v>
      </c>
      <c r="J1392" t="str">
        <f>_xlfn.XLOOKUP(_xlfn.XLOOKUP(A1392,orders[orderID],orders[customerID],,0),customers__2[customerID],customers__2[companyName],,0)</f>
        <v>Ernst Handel</v>
      </c>
      <c r="K1392" t="str">
        <f>_xlfn.XLOOKUP(Table9[[#This Row],[Company Name]],customers__2[companyName],customers__2[country],,0)</f>
        <v>Austria</v>
      </c>
      <c r="L1392">
        <f>MONTH(Table9[[#This Row],[OrderDate ]])</f>
        <v>12</v>
      </c>
      <c r="M1392" t="str">
        <f>TEXT(Table9[[#This Row],[OrderDate ]],"mmm")</f>
        <v>Dec</v>
      </c>
      <c r="N1392">
        <f>YEAR(Table9[[#This Row],[OrderDate ]])</f>
        <v>2014</v>
      </c>
    </row>
    <row r="1393" spans="1:14" x14ac:dyDescent="0.3">
      <c r="A1393">
        <v>10776</v>
      </c>
      <c r="B1393" s="2">
        <f>_xlfn.XLOOKUP(Table9[[#This Row],[orderID]],orders[orderID],orders[orderDate],,0)</f>
        <v>41988</v>
      </c>
      <c r="C1393">
        <f>_xlfn.XLOOKUP(A1393,order_details[orderID],order_details[productID],,0)</f>
        <v>31</v>
      </c>
      <c r="D1393" t="str">
        <f>_xlfn.XLOOKUP(C1393,products[productID],products[productName],,0)</f>
        <v>Gorgonzola Telino</v>
      </c>
      <c r="E1393" t="str">
        <f>_xlfn.XLOOKUP(_xlfn.XLOOKUP(Table9[[#This Row],[ProductName ]],products[productName],products[categoryID],,0),categories[categoryID],categories[categoryName],,0)</f>
        <v>Dairy Products</v>
      </c>
      <c r="F1393">
        <v>120</v>
      </c>
      <c r="G1393">
        <v>53</v>
      </c>
      <c r="H1393">
        <v>5</v>
      </c>
      <c r="I1393">
        <f>Table9[[#This Row],[quantity]]*Table9[[#This Row],[unitPrice]]*(1-Table9[[#This Row],[discount]]/100)</f>
        <v>6042</v>
      </c>
      <c r="J1393" t="str">
        <f>_xlfn.XLOOKUP(_xlfn.XLOOKUP(A1393,orders[orderID],orders[customerID],,0),customers__2[customerID],customers__2[companyName],,0)</f>
        <v>Ernst Handel</v>
      </c>
      <c r="K1393" t="str">
        <f>_xlfn.XLOOKUP(Table9[[#This Row],[Company Name]],customers__2[companyName],customers__2[country],,0)</f>
        <v>Austria</v>
      </c>
      <c r="L1393">
        <f>MONTH(Table9[[#This Row],[OrderDate ]])</f>
        <v>12</v>
      </c>
      <c r="M1393" t="str">
        <f>TEXT(Table9[[#This Row],[OrderDate ]],"mmm")</f>
        <v>Dec</v>
      </c>
      <c r="N1393">
        <f>YEAR(Table9[[#This Row],[OrderDate ]])</f>
        <v>2014</v>
      </c>
    </row>
    <row r="1394" spans="1:14" x14ac:dyDescent="0.3">
      <c r="A1394">
        <v>10777</v>
      </c>
      <c r="B1394" s="2">
        <f>_xlfn.XLOOKUP(Table9[[#This Row],[orderID]],orders[orderID],orders[orderDate],,0)</f>
        <v>41988</v>
      </c>
      <c r="C1394">
        <f>_xlfn.XLOOKUP(A1394,order_details[orderID],order_details[productID],,0)</f>
        <v>42</v>
      </c>
      <c r="D1394" t="str">
        <f>_xlfn.XLOOKUP(C1394,products[productID],products[productName],,0)</f>
        <v>Singaporean Hokkien Fried Mee</v>
      </c>
      <c r="E1394" t="str">
        <f>_xlfn.XLOOKUP(_xlfn.XLOOKUP(Table9[[#This Row],[ProductName ]],products[productName],products[categoryID],,0),categories[categoryID],categories[categoryName],,0)</f>
        <v>Grains &amp; Cereals</v>
      </c>
      <c r="F1394">
        <v>20</v>
      </c>
      <c r="G1394">
        <v>14</v>
      </c>
      <c r="H1394">
        <v>2</v>
      </c>
      <c r="I1394">
        <f>Table9[[#This Row],[quantity]]*Table9[[#This Row],[unitPrice]]*(1-Table9[[#This Row],[discount]]/100)</f>
        <v>274.39999999999998</v>
      </c>
      <c r="J1394" t="str">
        <f>_xlfn.XLOOKUP(_xlfn.XLOOKUP(A1394,orders[orderID],orders[customerID],,0),customers__2[customerID],customers__2[companyName],,0)</f>
        <v>Gourmet Lanchonetes</v>
      </c>
      <c r="K1394" t="str">
        <f>_xlfn.XLOOKUP(Table9[[#This Row],[Company Name]],customers__2[companyName],customers__2[country],,0)</f>
        <v>Brazil</v>
      </c>
      <c r="L1394">
        <f>MONTH(Table9[[#This Row],[OrderDate ]])</f>
        <v>12</v>
      </c>
      <c r="M1394" t="str">
        <f>TEXT(Table9[[#This Row],[OrderDate ]],"mmm")</f>
        <v>Dec</v>
      </c>
      <c r="N1394">
        <f>YEAR(Table9[[#This Row],[OrderDate ]])</f>
        <v>2014</v>
      </c>
    </row>
    <row r="1395" spans="1:14" x14ac:dyDescent="0.3">
      <c r="A1395">
        <v>10778</v>
      </c>
      <c r="B1395" s="2">
        <f>_xlfn.XLOOKUP(Table9[[#This Row],[orderID]],orders[orderID],orders[orderDate],,0)</f>
        <v>41989</v>
      </c>
      <c r="C1395">
        <f>_xlfn.XLOOKUP(A1395,order_details[orderID],order_details[productID],,0)</f>
        <v>41</v>
      </c>
      <c r="D1395" t="str">
        <f>_xlfn.XLOOKUP(C1395,products[productID],products[productName],,0)</f>
        <v>Jack's New England Clam Chowder</v>
      </c>
      <c r="E1395" t="str">
        <f>_xlfn.XLOOKUP(_xlfn.XLOOKUP(Table9[[#This Row],[ProductName ]],products[productName],products[categoryID],,0),categories[categoryID],categories[categoryName],,0)</f>
        <v>Seafood</v>
      </c>
      <c r="F1395">
        <v>10</v>
      </c>
      <c r="G1395">
        <v>965</v>
      </c>
      <c r="H1395">
        <v>0</v>
      </c>
      <c r="I1395">
        <f>Table9[[#This Row],[quantity]]*Table9[[#This Row],[unitPrice]]*(1-Table9[[#This Row],[discount]]/100)</f>
        <v>9650</v>
      </c>
      <c r="J1395" t="str">
        <f>_xlfn.XLOOKUP(_xlfn.XLOOKUP(A1395,orders[orderID],orders[customerID],,0),customers__2[customerID],customers__2[companyName],,0)</f>
        <v>Berglunds snabbköp</v>
      </c>
      <c r="K1395" t="str">
        <f>_xlfn.XLOOKUP(Table9[[#This Row],[Company Name]],customers__2[companyName],customers__2[country],,0)</f>
        <v>Sweden</v>
      </c>
      <c r="L1395">
        <f>MONTH(Table9[[#This Row],[OrderDate ]])</f>
        <v>12</v>
      </c>
      <c r="M1395" t="str">
        <f>TEXT(Table9[[#This Row],[OrderDate ]],"mmm")</f>
        <v>Dec</v>
      </c>
      <c r="N1395">
        <f>YEAR(Table9[[#This Row],[OrderDate ]])</f>
        <v>2014</v>
      </c>
    </row>
    <row r="1396" spans="1:14" x14ac:dyDescent="0.3">
      <c r="A1396">
        <v>10779</v>
      </c>
      <c r="B1396" s="2">
        <f>_xlfn.XLOOKUP(Table9[[#This Row],[orderID]],orders[orderID],orders[orderDate],,0)</f>
        <v>41989</v>
      </c>
      <c r="C1396">
        <f>_xlfn.XLOOKUP(A1396,order_details[orderID],order_details[productID],,0)</f>
        <v>16</v>
      </c>
      <c r="D1396" t="str">
        <f>_xlfn.XLOOKUP(C1396,products[productID],products[productName],,0)</f>
        <v>Pavlova</v>
      </c>
      <c r="E1396" t="str">
        <f>_xlfn.XLOOKUP(_xlfn.XLOOKUP(Table9[[#This Row],[ProductName ]],products[productName],products[categoryID],,0),categories[categoryID],categories[categoryName],,0)</f>
        <v>Confections</v>
      </c>
      <c r="F1396">
        <v>20</v>
      </c>
      <c r="G1396">
        <v>1745</v>
      </c>
      <c r="H1396">
        <v>0</v>
      </c>
      <c r="I1396">
        <f>Table9[[#This Row],[quantity]]*Table9[[#This Row],[unitPrice]]*(1-Table9[[#This Row],[discount]]/100)</f>
        <v>34900</v>
      </c>
      <c r="J1396" t="str">
        <f>_xlfn.XLOOKUP(_xlfn.XLOOKUP(A1396,orders[orderID],orders[customerID],,0),customers__2[customerID],customers__2[companyName],,0)</f>
        <v>Morgenstern Gesundkost</v>
      </c>
      <c r="K1396" t="str">
        <f>_xlfn.XLOOKUP(Table9[[#This Row],[Company Name]],customers__2[companyName],customers__2[country],,0)</f>
        <v>Germany</v>
      </c>
      <c r="L1396">
        <f>MONTH(Table9[[#This Row],[OrderDate ]])</f>
        <v>12</v>
      </c>
      <c r="M1396" t="str">
        <f>TEXT(Table9[[#This Row],[OrderDate ]],"mmm")</f>
        <v>Dec</v>
      </c>
      <c r="N1396">
        <f>YEAR(Table9[[#This Row],[OrderDate ]])</f>
        <v>2014</v>
      </c>
    </row>
    <row r="1397" spans="1:14" x14ac:dyDescent="0.3">
      <c r="A1397">
        <v>10779</v>
      </c>
      <c r="B1397" s="2">
        <f>_xlfn.XLOOKUP(Table9[[#This Row],[orderID]],orders[orderID],orders[orderDate],,0)</f>
        <v>41989</v>
      </c>
      <c r="C1397">
        <f>_xlfn.XLOOKUP(A1397,order_details[orderID],order_details[productID],,0)</f>
        <v>16</v>
      </c>
      <c r="D1397" t="str">
        <f>_xlfn.XLOOKUP(C1397,products[productID],products[productName],,0)</f>
        <v>Pavlova</v>
      </c>
      <c r="E1397" t="str">
        <f>_xlfn.XLOOKUP(_xlfn.XLOOKUP(Table9[[#This Row],[ProductName ]],products[productName],products[categoryID],,0),categories[categoryID],categories[categoryName],,0)</f>
        <v>Confections</v>
      </c>
      <c r="F1397">
        <v>20</v>
      </c>
      <c r="G1397">
        <v>493</v>
      </c>
      <c r="H1397">
        <v>0</v>
      </c>
      <c r="I1397">
        <f>Table9[[#This Row],[quantity]]*Table9[[#This Row],[unitPrice]]*(1-Table9[[#This Row],[discount]]/100)</f>
        <v>9860</v>
      </c>
      <c r="J1397" t="str">
        <f>_xlfn.XLOOKUP(_xlfn.XLOOKUP(A1397,orders[orderID],orders[customerID],,0),customers__2[customerID],customers__2[companyName],,0)</f>
        <v>Morgenstern Gesundkost</v>
      </c>
      <c r="K1397" t="str">
        <f>_xlfn.XLOOKUP(Table9[[#This Row],[Company Name]],customers__2[companyName],customers__2[country],,0)</f>
        <v>Germany</v>
      </c>
      <c r="L1397">
        <f>MONTH(Table9[[#This Row],[OrderDate ]])</f>
        <v>12</v>
      </c>
      <c r="M1397" t="str">
        <f>TEXT(Table9[[#This Row],[OrderDate ]],"mmm")</f>
        <v>Dec</v>
      </c>
      <c r="N1397">
        <f>YEAR(Table9[[#This Row],[OrderDate ]])</f>
        <v>2014</v>
      </c>
    </row>
    <row r="1398" spans="1:14" x14ac:dyDescent="0.3">
      <c r="A1398">
        <v>10780</v>
      </c>
      <c r="B1398" s="2">
        <f>_xlfn.XLOOKUP(Table9[[#This Row],[orderID]],orders[orderID],orders[orderDate],,0)</f>
        <v>41989</v>
      </c>
      <c r="C1398">
        <f>_xlfn.XLOOKUP(A1398,order_details[orderID],order_details[productID],,0)</f>
        <v>70</v>
      </c>
      <c r="D1398" t="str">
        <f>_xlfn.XLOOKUP(C1398,products[productID],products[productName],,0)</f>
        <v>Outback Lager</v>
      </c>
      <c r="E1398" t="str">
        <f>_xlfn.XLOOKUP(_xlfn.XLOOKUP(Table9[[#This Row],[ProductName ]],products[productName],products[categoryID],,0),categories[categoryID],categories[categoryName],,0)</f>
        <v>Beverages</v>
      </c>
      <c r="F1398">
        <v>35</v>
      </c>
      <c r="G1398">
        <v>15</v>
      </c>
      <c r="H1398">
        <v>0</v>
      </c>
      <c r="I1398">
        <f>Table9[[#This Row],[quantity]]*Table9[[#This Row],[unitPrice]]*(1-Table9[[#This Row],[discount]]/100)</f>
        <v>525</v>
      </c>
      <c r="J1398" t="str">
        <f>_xlfn.XLOOKUP(_xlfn.XLOOKUP(A1398,orders[orderID],orders[customerID],,0),customers__2[customerID],customers__2[companyName],,0)</f>
        <v>LILA-Supermercado</v>
      </c>
      <c r="K1398" t="str">
        <f>_xlfn.XLOOKUP(Table9[[#This Row],[Company Name]],customers__2[companyName],customers__2[country],,0)</f>
        <v>Venezuela</v>
      </c>
      <c r="L1398">
        <f>MONTH(Table9[[#This Row],[OrderDate ]])</f>
        <v>12</v>
      </c>
      <c r="M1398" t="str">
        <f>TEXT(Table9[[#This Row],[OrderDate ]],"mmm")</f>
        <v>Dec</v>
      </c>
      <c r="N1398">
        <f>YEAR(Table9[[#This Row],[OrderDate ]])</f>
        <v>2014</v>
      </c>
    </row>
    <row r="1399" spans="1:14" x14ac:dyDescent="0.3">
      <c r="A1399">
        <v>10780</v>
      </c>
      <c r="B1399" s="2">
        <f>_xlfn.XLOOKUP(Table9[[#This Row],[orderID]],orders[orderID],orders[orderDate],,0)</f>
        <v>41989</v>
      </c>
      <c r="C1399">
        <f>_xlfn.XLOOKUP(A1399,order_details[orderID],order_details[productID],,0)</f>
        <v>70</v>
      </c>
      <c r="D1399" t="str">
        <f>_xlfn.XLOOKUP(C1399,products[productID],products[productName],,0)</f>
        <v>Outback Lager</v>
      </c>
      <c r="E1399" t="str">
        <f>_xlfn.XLOOKUP(_xlfn.XLOOKUP(Table9[[#This Row],[ProductName ]],products[productName],products[categoryID],,0),categories[categoryID],categories[categoryName],,0)</f>
        <v>Beverages</v>
      </c>
      <c r="F1399">
        <v>15</v>
      </c>
      <c r="G1399">
        <v>13</v>
      </c>
      <c r="H1399">
        <v>0</v>
      </c>
      <c r="I1399">
        <f>Table9[[#This Row],[quantity]]*Table9[[#This Row],[unitPrice]]*(1-Table9[[#This Row],[discount]]/100)</f>
        <v>195</v>
      </c>
      <c r="J1399" t="str">
        <f>_xlfn.XLOOKUP(_xlfn.XLOOKUP(A1399,orders[orderID],orders[customerID],,0),customers__2[customerID],customers__2[companyName],,0)</f>
        <v>LILA-Supermercado</v>
      </c>
      <c r="K1399" t="str">
        <f>_xlfn.XLOOKUP(Table9[[#This Row],[Company Name]],customers__2[companyName],customers__2[country],,0)</f>
        <v>Venezuela</v>
      </c>
      <c r="L1399">
        <f>MONTH(Table9[[#This Row],[OrderDate ]])</f>
        <v>12</v>
      </c>
      <c r="M1399" t="str">
        <f>TEXT(Table9[[#This Row],[OrderDate ]],"mmm")</f>
        <v>Dec</v>
      </c>
      <c r="N1399">
        <f>YEAR(Table9[[#This Row],[OrderDate ]])</f>
        <v>2014</v>
      </c>
    </row>
    <row r="1400" spans="1:14" x14ac:dyDescent="0.3">
      <c r="A1400">
        <v>10781</v>
      </c>
      <c r="B1400" s="2">
        <f>_xlfn.XLOOKUP(Table9[[#This Row],[orderID]],orders[orderID],orders[orderDate],,0)</f>
        <v>41990</v>
      </c>
      <c r="C1400">
        <f>_xlfn.XLOOKUP(A1400,order_details[orderID],order_details[productID],,0)</f>
        <v>54</v>
      </c>
      <c r="D1400" t="str">
        <f>_xlfn.XLOOKUP(C1400,products[productID],products[productName],,0)</f>
        <v>Tourtière</v>
      </c>
      <c r="E1400" t="str">
        <f>_xlfn.XLOOKUP(_xlfn.XLOOKUP(Table9[[#This Row],[ProductName ]],products[productName],products[categoryID],,0),categories[categoryID],categories[categoryName],,0)</f>
        <v>Meat &amp; Poultry</v>
      </c>
      <c r="F1400">
        <v>3</v>
      </c>
      <c r="G1400">
        <v>745</v>
      </c>
      <c r="H1400">
        <v>2</v>
      </c>
      <c r="I1400">
        <f>Table9[[#This Row],[quantity]]*Table9[[#This Row],[unitPrice]]*(1-Table9[[#This Row],[discount]]/100)</f>
        <v>2190.3000000000002</v>
      </c>
      <c r="J1400" t="str">
        <f>_xlfn.XLOOKUP(_xlfn.XLOOKUP(A1400,orders[orderID],orders[customerID],,0),customers__2[customerID],customers__2[companyName],,0)</f>
        <v>Wartian Herkku</v>
      </c>
      <c r="K1400" t="str">
        <f>_xlfn.XLOOKUP(Table9[[#This Row],[Company Name]],customers__2[companyName],customers__2[country],,0)</f>
        <v>Finland</v>
      </c>
      <c r="L1400">
        <f>MONTH(Table9[[#This Row],[OrderDate ]])</f>
        <v>12</v>
      </c>
      <c r="M1400" t="str">
        <f>TEXT(Table9[[#This Row],[OrderDate ]],"mmm")</f>
        <v>Dec</v>
      </c>
      <c r="N1400">
        <f>YEAR(Table9[[#This Row],[OrderDate ]])</f>
        <v>2014</v>
      </c>
    </row>
    <row r="1401" spans="1:14" x14ac:dyDescent="0.3">
      <c r="A1401">
        <v>10781</v>
      </c>
      <c r="B1401" s="2">
        <f>_xlfn.XLOOKUP(Table9[[#This Row],[orderID]],orders[orderID],orders[orderDate],,0)</f>
        <v>41990</v>
      </c>
      <c r="C1401">
        <f>_xlfn.XLOOKUP(A1401,order_details[orderID],order_details[productID],,0)</f>
        <v>54</v>
      </c>
      <c r="D1401" t="str">
        <f>_xlfn.XLOOKUP(C1401,products[productID],products[productName],,0)</f>
        <v>Tourtière</v>
      </c>
      <c r="E1401" t="str">
        <f>_xlfn.XLOOKUP(_xlfn.XLOOKUP(Table9[[#This Row],[ProductName ]],products[productName],products[categoryID],,0),categories[categoryID],categories[categoryName],,0)</f>
        <v>Meat &amp; Poultry</v>
      </c>
      <c r="F1401">
        <v>20</v>
      </c>
      <c r="G1401">
        <v>38</v>
      </c>
      <c r="H1401">
        <v>2</v>
      </c>
      <c r="I1401">
        <f>Table9[[#This Row],[quantity]]*Table9[[#This Row],[unitPrice]]*(1-Table9[[#This Row],[discount]]/100)</f>
        <v>744.8</v>
      </c>
      <c r="J1401" t="str">
        <f>_xlfn.XLOOKUP(_xlfn.XLOOKUP(A1401,orders[orderID],orders[customerID],,0),customers__2[customerID],customers__2[companyName],,0)</f>
        <v>Wartian Herkku</v>
      </c>
      <c r="K1401" t="str">
        <f>_xlfn.XLOOKUP(Table9[[#This Row],[Company Name]],customers__2[companyName],customers__2[country],,0)</f>
        <v>Finland</v>
      </c>
      <c r="L1401">
        <f>MONTH(Table9[[#This Row],[OrderDate ]])</f>
        <v>12</v>
      </c>
      <c r="M1401" t="str">
        <f>TEXT(Table9[[#This Row],[OrderDate ]],"mmm")</f>
        <v>Dec</v>
      </c>
      <c r="N1401">
        <f>YEAR(Table9[[#This Row],[OrderDate ]])</f>
        <v>2014</v>
      </c>
    </row>
    <row r="1402" spans="1:14" x14ac:dyDescent="0.3">
      <c r="A1402">
        <v>10781</v>
      </c>
      <c r="B1402" s="2">
        <f>_xlfn.XLOOKUP(Table9[[#This Row],[orderID]],orders[orderID],orders[orderDate],,0)</f>
        <v>41990</v>
      </c>
      <c r="C1402">
        <f>_xlfn.XLOOKUP(A1402,order_details[orderID],order_details[productID],,0)</f>
        <v>54</v>
      </c>
      <c r="D1402" t="str">
        <f>_xlfn.XLOOKUP(C1402,products[productID],products[productName],,0)</f>
        <v>Tourtière</v>
      </c>
      <c r="E1402" t="str">
        <f>_xlfn.XLOOKUP(_xlfn.XLOOKUP(Table9[[#This Row],[ProductName ]],products[productName],products[categoryID],,0),categories[categoryID],categories[categoryName],,0)</f>
        <v>Meat &amp; Poultry</v>
      </c>
      <c r="F1402">
        <v>35</v>
      </c>
      <c r="G1402">
        <v>10</v>
      </c>
      <c r="H1402">
        <v>0</v>
      </c>
      <c r="I1402">
        <f>Table9[[#This Row],[quantity]]*Table9[[#This Row],[unitPrice]]*(1-Table9[[#This Row],[discount]]/100)</f>
        <v>350</v>
      </c>
      <c r="J1402" t="str">
        <f>_xlfn.XLOOKUP(_xlfn.XLOOKUP(A1402,orders[orderID],orders[customerID],,0),customers__2[customerID],customers__2[companyName],,0)</f>
        <v>Wartian Herkku</v>
      </c>
      <c r="K1402" t="str">
        <f>_xlfn.XLOOKUP(Table9[[#This Row],[Company Name]],customers__2[companyName],customers__2[country],,0)</f>
        <v>Finland</v>
      </c>
      <c r="L1402">
        <f>MONTH(Table9[[#This Row],[OrderDate ]])</f>
        <v>12</v>
      </c>
      <c r="M1402" t="str">
        <f>TEXT(Table9[[#This Row],[OrderDate ]],"mmm")</f>
        <v>Dec</v>
      </c>
      <c r="N1402">
        <f>YEAR(Table9[[#This Row],[OrderDate ]])</f>
        <v>2014</v>
      </c>
    </row>
    <row r="1403" spans="1:14" x14ac:dyDescent="0.3">
      <c r="A1403">
        <v>10782</v>
      </c>
      <c r="B1403" s="2">
        <f>_xlfn.XLOOKUP(Table9[[#This Row],[orderID]],orders[orderID],orders[orderDate],,0)</f>
        <v>41990</v>
      </c>
      <c r="C1403">
        <f>_xlfn.XLOOKUP(A1403,order_details[orderID],order_details[productID],,0)</f>
        <v>31</v>
      </c>
      <c r="D1403" t="str">
        <f>_xlfn.XLOOKUP(C1403,products[productID],products[productName],,0)</f>
        <v>Gorgonzola Telino</v>
      </c>
      <c r="E1403" t="str">
        <f>_xlfn.XLOOKUP(_xlfn.XLOOKUP(Table9[[#This Row],[ProductName ]],products[productName],products[categoryID],,0),categories[categoryID],categories[categoryName],,0)</f>
        <v>Dairy Products</v>
      </c>
      <c r="F1403">
        <v>1</v>
      </c>
      <c r="G1403">
        <v>125</v>
      </c>
      <c r="H1403">
        <v>0</v>
      </c>
      <c r="I1403">
        <f>Table9[[#This Row],[quantity]]*Table9[[#This Row],[unitPrice]]*(1-Table9[[#This Row],[discount]]/100)</f>
        <v>125</v>
      </c>
      <c r="J1403" t="str">
        <f>_xlfn.XLOOKUP(_xlfn.XLOOKUP(A1403,orders[orderID],orders[customerID],,0),customers__2[customerID],customers__2[companyName],,0)</f>
        <v>Cactus Comidas para llevar</v>
      </c>
      <c r="K1403" t="str">
        <f>_xlfn.XLOOKUP(Table9[[#This Row],[Company Name]],customers__2[companyName],customers__2[country],,0)</f>
        <v>Argentina</v>
      </c>
      <c r="L1403">
        <f>MONTH(Table9[[#This Row],[OrderDate ]])</f>
        <v>12</v>
      </c>
      <c r="M1403" t="str">
        <f>TEXT(Table9[[#This Row],[OrderDate ]],"mmm")</f>
        <v>Dec</v>
      </c>
      <c r="N1403">
        <f>YEAR(Table9[[#This Row],[OrderDate ]])</f>
        <v>2014</v>
      </c>
    </row>
    <row r="1404" spans="1:14" x14ac:dyDescent="0.3">
      <c r="A1404">
        <v>10783</v>
      </c>
      <c r="B1404" s="2">
        <f>_xlfn.XLOOKUP(Table9[[#This Row],[orderID]],orders[orderID],orders[orderDate],,0)</f>
        <v>41991</v>
      </c>
      <c r="C1404">
        <f>_xlfn.XLOOKUP(A1404,order_details[orderID],order_details[productID],,0)</f>
        <v>31</v>
      </c>
      <c r="D1404" t="str">
        <f>_xlfn.XLOOKUP(C1404,products[productID],products[productName],,0)</f>
        <v>Gorgonzola Telino</v>
      </c>
      <c r="E1404" t="str">
        <f>_xlfn.XLOOKUP(_xlfn.XLOOKUP(Table9[[#This Row],[ProductName ]],products[productName],products[categoryID],,0),categories[categoryID],categories[categoryName],,0)</f>
        <v>Dairy Products</v>
      </c>
      <c r="F1404">
        <v>10</v>
      </c>
      <c r="G1404">
        <v>125</v>
      </c>
      <c r="H1404">
        <v>0</v>
      </c>
      <c r="I1404">
        <f>Table9[[#This Row],[quantity]]*Table9[[#This Row],[unitPrice]]*(1-Table9[[#This Row],[discount]]/100)</f>
        <v>1250</v>
      </c>
      <c r="J1404" t="str">
        <f>_xlfn.XLOOKUP(_xlfn.XLOOKUP(A1404,orders[orderID],orders[customerID],,0),customers__2[customerID],customers__2[companyName],,0)</f>
        <v>Hanari Carnes</v>
      </c>
      <c r="K1404" t="str">
        <f>_xlfn.XLOOKUP(Table9[[#This Row],[Company Name]],customers__2[companyName],customers__2[country],,0)</f>
        <v>Brazil</v>
      </c>
      <c r="L1404">
        <f>MONTH(Table9[[#This Row],[OrderDate ]])</f>
        <v>12</v>
      </c>
      <c r="M1404" t="str">
        <f>TEXT(Table9[[#This Row],[OrderDate ]],"mmm")</f>
        <v>Dec</v>
      </c>
      <c r="N1404">
        <f>YEAR(Table9[[#This Row],[OrderDate ]])</f>
        <v>2014</v>
      </c>
    </row>
    <row r="1405" spans="1:14" x14ac:dyDescent="0.3">
      <c r="A1405">
        <v>10783</v>
      </c>
      <c r="B1405" s="2">
        <f>_xlfn.XLOOKUP(Table9[[#This Row],[orderID]],orders[orderID],orders[orderDate],,0)</f>
        <v>41991</v>
      </c>
      <c r="C1405">
        <f>_xlfn.XLOOKUP(A1405,order_details[orderID],order_details[productID],,0)</f>
        <v>31</v>
      </c>
      <c r="D1405" t="str">
        <f>_xlfn.XLOOKUP(C1405,products[productID],products[productName],,0)</f>
        <v>Gorgonzola Telino</v>
      </c>
      <c r="E1405" t="str">
        <f>_xlfn.XLOOKUP(_xlfn.XLOOKUP(Table9[[#This Row],[ProductName ]],products[productName],products[categoryID],,0),categories[categoryID],categories[categoryName],,0)</f>
        <v>Dairy Products</v>
      </c>
      <c r="F1405">
        <v>5</v>
      </c>
      <c r="G1405">
        <v>2635</v>
      </c>
      <c r="H1405">
        <v>0</v>
      </c>
      <c r="I1405">
        <f>Table9[[#This Row],[quantity]]*Table9[[#This Row],[unitPrice]]*(1-Table9[[#This Row],[discount]]/100)</f>
        <v>13175</v>
      </c>
      <c r="J1405" t="str">
        <f>_xlfn.XLOOKUP(_xlfn.XLOOKUP(A1405,orders[orderID],orders[customerID],,0),customers__2[customerID],customers__2[companyName],,0)</f>
        <v>Hanari Carnes</v>
      </c>
      <c r="K1405" t="str">
        <f>_xlfn.XLOOKUP(Table9[[#This Row],[Company Name]],customers__2[companyName],customers__2[country],,0)</f>
        <v>Brazil</v>
      </c>
      <c r="L1405">
        <f>MONTH(Table9[[#This Row],[OrderDate ]])</f>
        <v>12</v>
      </c>
      <c r="M1405" t="str">
        <f>TEXT(Table9[[#This Row],[OrderDate ]],"mmm")</f>
        <v>Dec</v>
      </c>
      <c r="N1405">
        <f>YEAR(Table9[[#This Row],[OrderDate ]])</f>
        <v>2014</v>
      </c>
    </row>
    <row r="1406" spans="1:14" x14ac:dyDescent="0.3">
      <c r="A1406">
        <v>10784</v>
      </c>
      <c r="B1406" s="2">
        <f>_xlfn.XLOOKUP(Table9[[#This Row],[orderID]],orders[orderID],orders[orderDate],,0)</f>
        <v>41991</v>
      </c>
      <c r="C1406">
        <f>_xlfn.XLOOKUP(A1406,order_details[orderID],order_details[productID],,0)</f>
        <v>36</v>
      </c>
      <c r="D1406" t="str">
        <f>_xlfn.XLOOKUP(C1406,products[productID],products[productName],,0)</f>
        <v>Inlagd Sill</v>
      </c>
      <c r="E1406" t="str">
        <f>_xlfn.XLOOKUP(_xlfn.XLOOKUP(Table9[[#This Row],[ProductName ]],products[productName],products[categoryID],,0),categories[categoryID],categories[categoryName],,0)</f>
        <v>Seafood</v>
      </c>
      <c r="F1406">
        <v>30</v>
      </c>
      <c r="G1406">
        <v>19</v>
      </c>
      <c r="H1406">
        <v>0</v>
      </c>
      <c r="I1406">
        <f>Table9[[#This Row],[quantity]]*Table9[[#This Row],[unitPrice]]*(1-Table9[[#This Row],[discount]]/100)</f>
        <v>570</v>
      </c>
      <c r="J1406" t="str">
        <f>_xlfn.XLOOKUP(_xlfn.XLOOKUP(A1406,orders[orderID],orders[customerID],,0),customers__2[customerID],customers__2[companyName],,0)</f>
        <v>Magazzini Alimentari Riuniti</v>
      </c>
      <c r="K1406" t="str">
        <f>_xlfn.XLOOKUP(Table9[[#This Row],[Company Name]],customers__2[companyName],customers__2[country],,0)</f>
        <v>Italy</v>
      </c>
      <c r="L1406">
        <f>MONTH(Table9[[#This Row],[OrderDate ]])</f>
        <v>12</v>
      </c>
      <c r="M1406" t="str">
        <f>TEXT(Table9[[#This Row],[OrderDate ]],"mmm")</f>
        <v>Dec</v>
      </c>
      <c r="N1406">
        <f>YEAR(Table9[[#This Row],[OrderDate ]])</f>
        <v>2014</v>
      </c>
    </row>
    <row r="1407" spans="1:14" x14ac:dyDescent="0.3">
      <c r="A1407">
        <v>10784</v>
      </c>
      <c r="B1407" s="2">
        <f>_xlfn.XLOOKUP(Table9[[#This Row],[orderID]],orders[orderID],orders[orderDate],,0)</f>
        <v>41991</v>
      </c>
      <c r="C1407">
        <f>_xlfn.XLOOKUP(A1407,order_details[orderID],order_details[productID],,0)</f>
        <v>36</v>
      </c>
      <c r="D1407" t="str">
        <f>_xlfn.XLOOKUP(C1407,products[productID],products[productName],,0)</f>
        <v>Inlagd Sill</v>
      </c>
      <c r="E1407" t="str">
        <f>_xlfn.XLOOKUP(_xlfn.XLOOKUP(Table9[[#This Row],[ProductName ]],products[productName],products[categoryID],,0),categories[categoryID],categories[categoryName],,0)</f>
        <v>Seafood</v>
      </c>
      <c r="F1407">
        <v>2</v>
      </c>
      <c r="G1407">
        <v>18</v>
      </c>
      <c r="H1407">
        <v>15</v>
      </c>
      <c r="I1407">
        <f>Table9[[#This Row],[quantity]]*Table9[[#This Row],[unitPrice]]*(1-Table9[[#This Row],[discount]]/100)</f>
        <v>30.599999999999998</v>
      </c>
      <c r="J1407" t="str">
        <f>_xlfn.XLOOKUP(_xlfn.XLOOKUP(A1407,orders[orderID],orders[customerID],,0),customers__2[customerID],customers__2[companyName],,0)</f>
        <v>Magazzini Alimentari Riuniti</v>
      </c>
      <c r="K1407" t="str">
        <f>_xlfn.XLOOKUP(Table9[[#This Row],[Company Name]],customers__2[companyName],customers__2[country],,0)</f>
        <v>Italy</v>
      </c>
      <c r="L1407">
        <f>MONTH(Table9[[#This Row],[OrderDate ]])</f>
        <v>12</v>
      </c>
      <c r="M1407" t="str">
        <f>TEXT(Table9[[#This Row],[OrderDate ]],"mmm")</f>
        <v>Dec</v>
      </c>
      <c r="N1407">
        <f>YEAR(Table9[[#This Row],[OrderDate ]])</f>
        <v>2014</v>
      </c>
    </row>
    <row r="1408" spans="1:14" x14ac:dyDescent="0.3">
      <c r="A1408">
        <v>10784</v>
      </c>
      <c r="B1408" s="2">
        <f>_xlfn.XLOOKUP(Table9[[#This Row],[orderID]],orders[orderID],orders[orderDate],,0)</f>
        <v>41991</v>
      </c>
      <c r="C1408">
        <f>_xlfn.XLOOKUP(A1408,order_details[orderID],order_details[productID],,0)</f>
        <v>36</v>
      </c>
      <c r="D1408" t="str">
        <f>_xlfn.XLOOKUP(C1408,products[productID],products[productName],,0)</f>
        <v>Inlagd Sill</v>
      </c>
      <c r="E1408" t="str">
        <f>_xlfn.XLOOKUP(_xlfn.XLOOKUP(Table9[[#This Row],[ProductName ]],products[productName],products[categoryID],,0),categories[categoryID],categories[categoryName],,0)</f>
        <v>Seafood</v>
      </c>
      <c r="F1408">
        <v>30</v>
      </c>
      <c r="G1408">
        <v>348</v>
      </c>
      <c r="H1408">
        <v>15</v>
      </c>
      <c r="I1408">
        <f>Table9[[#This Row],[quantity]]*Table9[[#This Row],[unitPrice]]*(1-Table9[[#This Row],[discount]]/100)</f>
        <v>8874</v>
      </c>
      <c r="J1408" t="str">
        <f>_xlfn.XLOOKUP(_xlfn.XLOOKUP(A1408,orders[orderID],orders[customerID],,0),customers__2[customerID],customers__2[companyName],,0)</f>
        <v>Magazzini Alimentari Riuniti</v>
      </c>
      <c r="K1408" t="str">
        <f>_xlfn.XLOOKUP(Table9[[#This Row],[Company Name]],customers__2[companyName],customers__2[country],,0)</f>
        <v>Italy</v>
      </c>
      <c r="L1408">
        <f>MONTH(Table9[[#This Row],[OrderDate ]])</f>
        <v>12</v>
      </c>
      <c r="M1408" t="str">
        <f>TEXT(Table9[[#This Row],[OrderDate ]],"mmm")</f>
        <v>Dec</v>
      </c>
      <c r="N1408">
        <f>YEAR(Table9[[#This Row],[OrderDate ]])</f>
        <v>2014</v>
      </c>
    </row>
    <row r="1409" spans="1:14" x14ac:dyDescent="0.3">
      <c r="A1409">
        <v>10785</v>
      </c>
      <c r="B1409" s="2">
        <f>_xlfn.XLOOKUP(Table9[[#This Row],[orderID]],orders[orderID],orders[orderDate],,0)</f>
        <v>41991</v>
      </c>
      <c r="C1409">
        <f>_xlfn.XLOOKUP(A1409,order_details[orderID],order_details[productID],,0)</f>
        <v>10</v>
      </c>
      <c r="D1409" t="str">
        <f>_xlfn.XLOOKUP(C1409,products[productID],products[productName],,0)</f>
        <v>Ikura</v>
      </c>
      <c r="E1409" t="str">
        <f>_xlfn.XLOOKUP(_xlfn.XLOOKUP(Table9[[#This Row],[ProductName ]],products[productName],products[categoryID],,0),categories[categoryID],categories[categoryName],,0)</f>
        <v>Seafood</v>
      </c>
      <c r="F1409">
        <v>10</v>
      </c>
      <c r="G1409">
        <v>31</v>
      </c>
      <c r="H1409">
        <v>0</v>
      </c>
      <c r="I1409">
        <f>Table9[[#This Row],[quantity]]*Table9[[#This Row],[unitPrice]]*(1-Table9[[#This Row],[discount]]/100)</f>
        <v>310</v>
      </c>
      <c r="J1409" t="str">
        <f>_xlfn.XLOOKUP(_xlfn.XLOOKUP(A1409,orders[orderID],orders[customerID],,0),customers__2[customerID],customers__2[companyName],,0)</f>
        <v>GROSELLA-Restaurante</v>
      </c>
      <c r="K1409" t="str">
        <f>_xlfn.XLOOKUP(Table9[[#This Row],[Company Name]],customers__2[companyName],customers__2[country],,0)</f>
        <v>Venezuela</v>
      </c>
      <c r="L1409">
        <f>MONTH(Table9[[#This Row],[OrderDate ]])</f>
        <v>12</v>
      </c>
      <c r="M1409" t="str">
        <f>TEXT(Table9[[#This Row],[OrderDate ]],"mmm")</f>
        <v>Dec</v>
      </c>
      <c r="N1409">
        <f>YEAR(Table9[[#This Row],[OrderDate ]])</f>
        <v>2014</v>
      </c>
    </row>
    <row r="1410" spans="1:14" x14ac:dyDescent="0.3">
      <c r="A1410">
        <v>10785</v>
      </c>
      <c r="B1410" s="2">
        <f>_xlfn.XLOOKUP(Table9[[#This Row],[orderID]],orders[orderID],orders[orderDate],,0)</f>
        <v>41991</v>
      </c>
      <c r="C1410">
        <f>_xlfn.XLOOKUP(A1410,order_details[orderID],order_details[productID],,0)</f>
        <v>10</v>
      </c>
      <c r="D1410" t="str">
        <f>_xlfn.XLOOKUP(C1410,products[productID],products[productName],,0)</f>
        <v>Ikura</v>
      </c>
      <c r="E1410" t="str">
        <f>_xlfn.XLOOKUP(_xlfn.XLOOKUP(Table9[[#This Row],[ProductName ]],products[productName],products[categoryID],,0),categories[categoryID],categories[categoryName],,0)</f>
        <v>Seafood</v>
      </c>
      <c r="F1410">
        <v>10</v>
      </c>
      <c r="G1410">
        <v>775</v>
      </c>
      <c r="H1410">
        <v>0</v>
      </c>
      <c r="I1410">
        <f>Table9[[#This Row],[quantity]]*Table9[[#This Row],[unitPrice]]*(1-Table9[[#This Row],[discount]]/100)</f>
        <v>7750</v>
      </c>
      <c r="J1410" t="str">
        <f>_xlfn.XLOOKUP(_xlfn.XLOOKUP(A1410,orders[orderID],orders[customerID],,0),customers__2[customerID],customers__2[companyName],,0)</f>
        <v>GROSELLA-Restaurante</v>
      </c>
      <c r="K1410" t="str">
        <f>_xlfn.XLOOKUP(Table9[[#This Row],[Company Name]],customers__2[companyName],customers__2[country],,0)</f>
        <v>Venezuela</v>
      </c>
      <c r="L1410">
        <f>MONTH(Table9[[#This Row],[OrderDate ]])</f>
        <v>12</v>
      </c>
      <c r="M1410" t="str">
        <f>TEXT(Table9[[#This Row],[OrderDate ]],"mmm")</f>
        <v>Dec</v>
      </c>
      <c r="N1410">
        <f>YEAR(Table9[[#This Row],[OrderDate ]])</f>
        <v>2014</v>
      </c>
    </row>
    <row r="1411" spans="1:14" x14ac:dyDescent="0.3">
      <c r="A1411">
        <v>10786</v>
      </c>
      <c r="B1411" s="2">
        <f>_xlfn.XLOOKUP(Table9[[#This Row],[orderID]],orders[orderID],orders[orderDate],,0)</f>
        <v>41992</v>
      </c>
      <c r="C1411">
        <f>_xlfn.XLOOKUP(A1411,order_details[orderID],order_details[productID],,0)</f>
        <v>8</v>
      </c>
      <c r="D1411" t="str">
        <f>_xlfn.XLOOKUP(C1411,products[productID],products[productName],,0)</f>
        <v>Northwoods Cranberry Sauce</v>
      </c>
      <c r="E1411" t="str">
        <f>_xlfn.XLOOKUP(_xlfn.XLOOKUP(Table9[[#This Row],[ProductName ]],products[productName],products[categoryID],,0),categories[categoryID],categories[categoryName],,0)</f>
        <v>Condiments</v>
      </c>
      <c r="F1411">
        <v>30</v>
      </c>
      <c r="G1411">
        <v>40</v>
      </c>
      <c r="H1411">
        <v>2</v>
      </c>
      <c r="I1411">
        <f>Table9[[#This Row],[quantity]]*Table9[[#This Row],[unitPrice]]*(1-Table9[[#This Row],[discount]]/100)</f>
        <v>1176</v>
      </c>
      <c r="J1411" t="str">
        <f>_xlfn.XLOOKUP(_xlfn.XLOOKUP(A1411,orders[orderID],orders[customerID],,0),customers__2[customerID],customers__2[companyName],,0)</f>
        <v>Queen Cozinha</v>
      </c>
      <c r="K1411" t="str">
        <f>_xlfn.XLOOKUP(Table9[[#This Row],[Company Name]],customers__2[companyName],customers__2[country],,0)</f>
        <v>Brazil</v>
      </c>
      <c r="L1411">
        <f>MONTH(Table9[[#This Row],[OrderDate ]])</f>
        <v>12</v>
      </c>
      <c r="M1411" t="str">
        <f>TEXT(Table9[[#This Row],[OrderDate ]],"mmm")</f>
        <v>Dec</v>
      </c>
      <c r="N1411">
        <f>YEAR(Table9[[#This Row],[OrderDate ]])</f>
        <v>2014</v>
      </c>
    </row>
    <row r="1412" spans="1:14" x14ac:dyDescent="0.3">
      <c r="A1412">
        <v>10786</v>
      </c>
      <c r="B1412" s="2">
        <f>_xlfn.XLOOKUP(Table9[[#This Row],[orderID]],orders[orderID],orders[orderDate],,0)</f>
        <v>41992</v>
      </c>
      <c r="C1412">
        <f>_xlfn.XLOOKUP(A1412,order_details[orderID],order_details[productID],,0)</f>
        <v>8</v>
      </c>
      <c r="D1412" t="str">
        <f>_xlfn.XLOOKUP(C1412,products[productID],products[productName],,0)</f>
        <v>Northwoods Cranberry Sauce</v>
      </c>
      <c r="E1412" t="str">
        <f>_xlfn.XLOOKUP(_xlfn.XLOOKUP(Table9[[#This Row],[ProductName ]],products[productName],products[categoryID],,0),categories[categoryID],categories[categoryName],,0)</f>
        <v>Condiments</v>
      </c>
      <c r="F1412">
        <v>15</v>
      </c>
      <c r="G1412">
        <v>2589</v>
      </c>
      <c r="H1412">
        <v>2</v>
      </c>
      <c r="I1412">
        <f>Table9[[#This Row],[quantity]]*Table9[[#This Row],[unitPrice]]*(1-Table9[[#This Row],[discount]]/100)</f>
        <v>38058.300000000003</v>
      </c>
      <c r="J1412" t="str">
        <f>_xlfn.XLOOKUP(_xlfn.XLOOKUP(A1412,orders[orderID],orders[customerID],,0),customers__2[customerID],customers__2[companyName],,0)</f>
        <v>Queen Cozinha</v>
      </c>
      <c r="K1412" t="str">
        <f>_xlfn.XLOOKUP(Table9[[#This Row],[Company Name]],customers__2[companyName],customers__2[country],,0)</f>
        <v>Brazil</v>
      </c>
      <c r="L1412">
        <f>MONTH(Table9[[#This Row],[OrderDate ]])</f>
        <v>12</v>
      </c>
      <c r="M1412" t="str">
        <f>TEXT(Table9[[#This Row],[OrderDate ]],"mmm")</f>
        <v>Dec</v>
      </c>
      <c r="N1412">
        <f>YEAR(Table9[[#This Row],[OrderDate ]])</f>
        <v>2014</v>
      </c>
    </row>
    <row r="1413" spans="1:14" x14ac:dyDescent="0.3">
      <c r="A1413">
        <v>10786</v>
      </c>
      <c r="B1413" s="2">
        <f>_xlfn.XLOOKUP(Table9[[#This Row],[orderID]],orders[orderID],orders[orderDate],,0)</f>
        <v>41992</v>
      </c>
      <c r="C1413">
        <f>_xlfn.XLOOKUP(A1413,order_details[orderID],order_details[productID],,0)</f>
        <v>8</v>
      </c>
      <c r="D1413" t="str">
        <f>_xlfn.XLOOKUP(C1413,products[productID],products[productName],,0)</f>
        <v>Northwoods Cranberry Sauce</v>
      </c>
      <c r="E1413" t="str">
        <f>_xlfn.XLOOKUP(_xlfn.XLOOKUP(Table9[[#This Row],[ProductName ]],products[productName],products[categoryID],,0),categories[categoryID],categories[categoryName],,0)</f>
        <v>Condiments</v>
      </c>
      <c r="F1413">
        <v>42</v>
      </c>
      <c r="G1413">
        <v>775</v>
      </c>
      <c r="H1413">
        <v>2</v>
      </c>
      <c r="I1413">
        <f>Table9[[#This Row],[quantity]]*Table9[[#This Row],[unitPrice]]*(1-Table9[[#This Row],[discount]]/100)</f>
        <v>31899</v>
      </c>
      <c r="J1413" t="str">
        <f>_xlfn.XLOOKUP(_xlfn.XLOOKUP(A1413,orders[orderID],orders[customerID],,0),customers__2[customerID],customers__2[companyName],,0)</f>
        <v>Queen Cozinha</v>
      </c>
      <c r="K1413" t="str">
        <f>_xlfn.XLOOKUP(Table9[[#This Row],[Company Name]],customers__2[companyName],customers__2[country],,0)</f>
        <v>Brazil</v>
      </c>
      <c r="L1413">
        <f>MONTH(Table9[[#This Row],[OrderDate ]])</f>
        <v>12</v>
      </c>
      <c r="M1413" t="str">
        <f>TEXT(Table9[[#This Row],[OrderDate ]],"mmm")</f>
        <v>Dec</v>
      </c>
      <c r="N1413">
        <f>YEAR(Table9[[#This Row],[OrderDate ]])</f>
        <v>2014</v>
      </c>
    </row>
    <row r="1414" spans="1:14" x14ac:dyDescent="0.3">
      <c r="A1414">
        <v>10787</v>
      </c>
      <c r="B1414" s="2">
        <f>_xlfn.XLOOKUP(Table9[[#This Row],[orderID]],orders[orderID],orders[orderDate],,0)</f>
        <v>41992</v>
      </c>
      <c r="C1414">
        <f>_xlfn.XLOOKUP(A1414,order_details[orderID],order_details[productID],,0)</f>
        <v>2</v>
      </c>
      <c r="D1414" t="str">
        <f>_xlfn.XLOOKUP(C1414,products[productID],products[productName],,0)</f>
        <v>Chang</v>
      </c>
      <c r="E1414" t="str">
        <f>_xlfn.XLOOKUP(_xlfn.XLOOKUP(Table9[[#This Row],[ProductName ]],products[productName],products[categoryID],,0),categories[categoryID],categories[categoryName],,0)</f>
        <v>Beverages</v>
      </c>
      <c r="F1414">
        <v>15</v>
      </c>
      <c r="G1414">
        <v>19</v>
      </c>
      <c r="H1414">
        <v>5</v>
      </c>
      <c r="I1414">
        <f>Table9[[#This Row],[quantity]]*Table9[[#This Row],[unitPrice]]*(1-Table9[[#This Row],[discount]]/100)</f>
        <v>270.75</v>
      </c>
      <c r="J1414" t="str">
        <f>_xlfn.XLOOKUP(_xlfn.XLOOKUP(A1414,orders[orderID],orders[customerID],,0),customers__2[customerID],customers__2[companyName],,0)</f>
        <v>La maison d'Asie</v>
      </c>
      <c r="K1414" t="str">
        <f>_xlfn.XLOOKUP(Table9[[#This Row],[Company Name]],customers__2[companyName],customers__2[country],,0)</f>
        <v>France</v>
      </c>
      <c r="L1414">
        <f>MONTH(Table9[[#This Row],[OrderDate ]])</f>
        <v>12</v>
      </c>
      <c r="M1414" t="str">
        <f>TEXT(Table9[[#This Row],[OrderDate ]],"mmm")</f>
        <v>Dec</v>
      </c>
      <c r="N1414">
        <f>YEAR(Table9[[#This Row],[OrderDate ]])</f>
        <v>2014</v>
      </c>
    </row>
    <row r="1415" spans="1:14" x14ac:dyDescent="0.3">
      <c r="A1415">
        <v>10787</v>
      </c>
      <c r="B1415" s="2">
        <f>_xlfn.XLOOKUP(Table9[[#This Row],[orderID]],orders[orderID],orders[orderDate],,0)</f>
        <v>41992</v>
      </c>
      <c r="C1415">
        <f>_xlfn.XLOOKUP(A1415,order_details[orderID],order_details[productID],,0)</f>
        <v>2</v>
      </c>
      <c r="D1415" t="str">
        <f>_xlfn.XLOOKUP(C1415,products[productID],products[productName],,0)</f>
        <v>Chang</v>
      </c>
      <c r="E1415" t="str">
        <f>_xlfn.XLOOKUP(_xlfn.XLOOKUP(Table9[[#This Row],[ProductName ]],products[productName],products[categoryID],,0),categories[categoryID],categories[categoryName],,0)</f>
        <v>Beverages</v>
      </c>
      <c r="F1415">
        <v>20</v>
      </c>
      <c r="G1415">
        <v>12379</v>
      </c>
      <c r="H1415">
        <v>5</v>
      </c>
      <c r="I1415">
        <f>Table9[[#This Row],[quantity]]*Table9[[#This Row],[unitPrice]]*(1-Table9[[#This Row],[discount]]/100)</f>
        <v>235201</v>
      </c>
      <c r="J1415" t="str">
        <f>_xlfn.XLOOKUP(_xlfn.XLOOKUP(A1415,orders[orderID],orders[customerID],,0),customers__2[customerID],customers__2[companyName],,0)</f>
        <v>La maison d'Asie</v>
      </c>
      <c r="K1415" t="str">
        <f>_xlfn.XLOOKUP(Table9[[#This Row],[Company Name]],customers__2[companyName],customers__2[country],,0)</f>
        <v>France</v>
      </c>
      <c r="L1415">
        <f>MONTH(Table9[[#This Row],[OrderDate ]])</f>
        <v>12</v>
      </c>
      <c r="M1415" t="str">
        <f>TEXT(Table9[[#This Row],[OrderDate ]],"mmm")</f>
        <v>Dec</v>
      </c>
      <c r="N1415">
        <f>YEAR(Table9[[#This Row],[OrderDate ]])</f>
        <v>2014</v>
      </c>
    </row>
    <row r="1416" spans="1:14" x14ac:dyDescent="0.3">
      <c r="A1416">
        <v>10788</v>
      </c>
      <c r="B1416" s="2">
        <f>_xlfn.XLOOKUP(Table9[[#This Row],[orderID]],orders[orderID],orders[orderDate],,0)</f>
        <v>41995</v>
      </c>
      <c r="C1416">
        <f>_xlfn.XLOOKUP(A1416,order_details[orderID],order_details[productID],,0)</f>
        <v>19</v>
      </c>
      <c r="D1416" t="str">
        <f>_xlfn.XLOOKUP(C1416,products[productID],products[productName],,0)</f>
        <v>Teatime Chocolate Biscuits</v>
      </c>
      <c r="E1416" t="str">
        <f>_xlfn.XLOOKUP(_xlfn.XLOOKUP(Table9[[#This Row],[ProductName ]],products[productName],products[categoryID],,0),categories[categoryID],categories[categoryName],,0)</f>
        <v>Confections</v>
      </c>
      <c r="F1416">
        <v>50</v>
      </c>
      <c r="G1416">
        <v>92</v>
      </c>
      <c r="H1416">
        <v>5</v>
      </c>
      <c r="I1416">
        <f>Table9[[#This Row],[quantity]]*Table9[[#This Row],[unitPrice]]*(1-Table9[[#This Row],[discount]]/100)</f>
        <v>4370</v>
      </c>
      <c r="J1416" t="str">
        <f>_xlfn.XLOOKUP(_xlfn.XLOOKUP(A1416,orders[orderID],orders[customerID],,0),customers__2[customerID],customers__2[companyName],,0)</f>
        <v>QUICK-Stop</v>
      </c>
      <c r="K1416" t="str">
        <f>_xlfn.XLOOKUP(Table9[[#This Row],[Company Name]],customers__2[companyName],customers__2[country],,0)</f>
        <v>Germany</v>
      </c>
      <c r="L1416">
        <f>MONTH(Table9[[#This Row],[OrderDate ]])</f>
        <v>12</v>
      </c>
      <c r="M1416" t="str">
        <f>TEXT(Table9[[#This Row],[OrderDate ]],"mmm")</f>
        <v>Dec</v>
      </c>
      <c r="N1416">
        <f>YEAR(Table9[[#This Row],[OrderDate ]])</f>
        <v>2014</v>
      </c>
    </row>
    <row r="1417" spans="1:14" x14ac:dyDescent="0.3">
      <c r="A1417">
        <v>10788</v>
      </c>
      <c r="B1417" s="2">
        <f>_xlfn.XLOOKUP(Table9[[#This Row],[orderID]],orders[orderID],orders[orderDate],,0)</f>
        <v>41995</v>
      </c>
      <c r="C1417">
        <f>_xlfn.XLOOKUP(A1417,order_details[orderID],order_details[productID],,0)</f>
        <v>19</v>
      </c>
      <c r="D1417" t="str">
        <f>_xlfn.XLOOKUP(C1417,products[productID],products[productName],,0)</f>
        <v>Teatime Chocolate Biscuits</v>
      </c>
      <c r="E1417" t="str">
        <f>_xlfn.XLOOKUP(_xlfn.XLOOKUP(Table9[[#This Row],[ProductName ]],products[productName],products[categoryID],,0),categories[categoryID],categories[categoryName],,0)</f>
        <v>Confections</v>
      </c>
      <c r="F1417">
        <v>40</v>
      </c>
      <c r="G1417">
        <v>775</v>
      </c>
      <c r="H1417">
        <v>5</v>
      </c>
      <c r="I1417">
        <f>Table9[[#This Row],[quantity]]*Table9[[#This Row],[unitPrice]]*(1-Table9[[#This Row],[discount]]/100)</f>
        <v>29450</v>
      </c>
      <c r="J1417" t="str">
        <f>_xlfn.XLOOKUP(_xlfn.XLOOKUP(A1417,orders[orderID],orders[customerID],,0),customers__2[customerID],customers__2[companyName],,0)</f>
        <v>QUICK-Stop</v>
      </c>
      <c r="K1417" t="str">
        <f>_xlfn.XLOOKUP(Table9[[#This Row],[Company Name]],customers__2[companyName],customers__2[country],,0)</f>
        <v>Germany</v>
      </c>
      <c r="L1417">
        <f>MONTH(Table9[[#This Row],[OrderDate ]])</f>
        <v>12</v>
      </c>
      <c r="M1417" t="str">
        <f>TEXT(Table9[[#This Row],[OrderDate ]],"mmm")</f>
        <v>Dec</v>
      </c>
      <c r="N1417">
        <f>YEAR(Table9[[#This Row],[OrderDate ]])</f>
        <v>2014</v>
      </c>
    </row>
    <row r="1418" spans="1:14" x14ac:dyDescent="0.3">
      <c r="A1418">
        <v>10789</v>
      </c>
      <c r="B1418" s="2">
        <f>_xlfn.XLOOKUP(Table9[[#This Row],[orderID]],orders[orderID],orders[orderDate],,0)</f>
        <v>41995</v>
      </c>
      <c r="C1418">
        <f>_xlfn.XLOOKUP(A1418,order_details[orderID],order_details[productID],,0)</f>
        <v>18</v>
      </c>
      <c r="D1418" t="str">
        <f>_xlfn.XLOOKUP(C1418,products[productID],products[productName],,0)</f>
        <v>Carnarvon Tigers</v>
      </c>
      <c r="E1418" t="str">
        <f>_xlfn.XLOOKUP(_xlfn.XLOOKUP(Table9[[#This Row],[ProductName ]],products[productName],products[categoryID],,0),categories[categoryID],categories[categoryName],,0)</f>
        <v>Seafood</v>
      </c>
      <c r="F1418">
        <v>30</v>
      </c>
      <c r="G1418">
        <v>625</v>
      </c>
      <c r="H1418">
        <v>0</v>
      </c>
      <c r="I1418">
        <f>Table9[[#This Row],[quantity]]*Table9[[#This Row],[unitPrice]]*(1-Table9[[#This Row],[discount]]/100)</f>
        <v>18750</v>
      </c>
      <c r="J1418" t="str">
        <f>_xlfn.XLOOKUP(_xlfn.XLOOKUP(A1418,orders[orderID],orders[customerID],,0),customers__2[customerID],customers__2[companyName],,0)</f>
        <v>Folies gourmandes</v>
      </c>
      <c r="K1418" t="str">
        <f>_xlfn.XLOOKUP(Table9[[#This Row],[Company Name]],customers__2[companyName],customers__2[country],,0)</f>
        <v>France</v>
      </c>
      <c r="L1418">
        <f>MONTH(Table9[[#This Row],[OrderDate ]])</f>
        <v>12</v>
      </c>
      <c r="M1418" t="str">
        <f>TEXT(Table9[[#This Row],[OrderDate ]],"mmm")</f>
        <v>Dec</v>
      </c>
      <c r="N1418">
        <f>YEAR(Table9[[#This Row],[OrderDate ]])</f>
        <v>2014</v>
      </c>
    </row>
    <row r="1419" spans="1:14" x14ac:dyDescent="0.3">
      <c r="A1419">
        <v>10789</v>
      </c>
      <c r="B1419" s="2">
        <f>_xlfn.XLOOKUP(Table9[[#This Row],[orderID]],orders[orderID],orders[orderDate],,0)</f>
        <v>41995</v>
      </c>
      <c r="C1419">
        <f>_xlfn.XLOOKUP(A1419,order_details[orderID],order_details[productID],,0)</f>
        <v>18</v>
      </c>
      <c r="D1419" t="str">
        <f>_xlfn.XLOOKUP(C1419,products[productID],products[productName],,0)</f>
        <v>Carnarvon Tigers</v>
      </c>
      <c r="E1419" t="str">
        <f>_xlfn.XLOOKUP(_xlfn.XLOOKUP(Table9[[#This Row],[ProductName ]],products[productName],products[categoryID],,0),categories[categoryID],categories[categoryName],,0)</f>
        <v>Seafood</v>
      </c>
      <c r="F1419">
        <v>15</v>
      </c>
      <c r="G1419">
        <v>18</v>
      </c>
      <c r="H1419">
        <v>0</v>
      </c>
      <c r="I1419">
        <f>Table9[[#This Row],[quantity]]*Table9[[#This Row],[unitPrice]]*(1-Table9[[#This Row],[discount]]/100)</f>
        <v>270</v>
      </c>
      <c r="J1419" t="str">
        <f>_xlfn.XLOOKUP(_xlfn.XLOOKUP(A1419,orders[orderID],orders[customerID],,0),customers__2[customerID],customers__2[companyName],,0)</f>
        <v>Folies gourmandes</v>
      </c>
      <c r="K1419" t="str">
        <f>_xlfn.XLOOKUP(Table9[[#This Row],[Company Name]],customers__2[companyName],customers__2[country],,0)</f>
        <v>France</v>
      </c>
      <c r="L1419">
        <f>MONTH(Table9[[#This Row],[OrderDate ]])</f>
        <v>12</v>
      </c>
      <c r="M1419" t="str">
        <f>TEXT(Table9[[#This Row],[OrderDate ]],"mmm")</f>
        <v>Dec</v>
      </c>
      <c r="N1419">
        <f>YEAR(Table9[[#This Row],[OrderDate ]])</f>
        <v>2014</v>
      </c>
    </row>
    <row r="1420" spans="1:14" x14ac:dyDescent="0.3">
      <c r="A1420">
        <v>10789</v>
      </c>
      <c r="B1420" s="2">
        <f>_xlfn.XLOOKUP(Table9[[#This Row],[orderID]],orders[orderID],orders[orderDate],,0)</f>
        <v>41995</v>
      </c>
      <c r="C1420">
        <f>_xlfn.XLOOKUP(A1420,order_details[orderID],order_details[productID],,0)</f>
        <v>18</v>
      </c>
      <c r="D1420" t="str">
        <f>_xlfn.XLOOKUP(C1420,products[productID],products[productName],,0)</f>
        <v>Carnarvon Tigers</v>
      </c>
      <c r="E1420" t="str">
        <f>_xlfn.XLOOKUP(_xlfn.XLOOKUP(Table9[[#This Row],[ProductName ]],products[productName],products[categoryID],,0),categories[categoryID],categories[categoryName],,0)</f>
        <v>Seafood</v>
      </c>
      <c r="F1420">
        <v>30</v>
      </c>
      <c r="G1420">
        <v>439</v>
      </c>
      <c r="H1420">
        <v>0</v>
      </c>
      <c r="I1420">
        <f>Table9[[#This Row],[quantity]]*Table9[[#This Row],[unitPrice]]*(1-Table9[[#This Row],[discount]]/100)</f>
        <v>13170</v>
      </c>
      <c r="J1420" t="str">
        <f>_xlfn.XLOOKUP(_xlfn.XLOOKUP(A1420,orders[orderID],orders[customerID],,0),customers__2[customerID],customers__2[companyName],,0)</f>
        <v>Folies gourmandes</v>
      </c>
      <c r="K1420" t="str">
        <f>_xlfn.XLOOKUP(Table9[[#This Row],[Company Name]],customers__2[companyName],customers__2[country],,0)</f>
        <v>France</v>
      </c>
      <c r="L1420">
        <f>MONTH(Table9[[#This Row],[OrderDate ]])</f>
        <v>12</v>
      </c>
      <c r="M1420" t="str">
        <f>TEXT(Table9[[#This Row],[OrderDate ]],"mmm")</f>
        <v>Dec</v>
      </c>
      <c r="N1420">
        <f>YEAR(Table9[[#This Row],[OrderDate ]])</f>
        <v>2014</v>
      </c>
    </row>
    <row r="1421" spans="1:14" x14ac:dyDescent="0.3">
      <c r="A1421">
        <v>10789</v>
      </c>
      <c r="B1421" s="2">
        <f>_xlfn.XLOOKUP(Table9[[#This Row],[orderID]],orders[orderID],orders[orderDate],,0)</f>
        <v>41995</v>
      </c>
      <c r="C1421">
        <f>_xlfn.XLOOKUP(A1421,order_details[orderID],order_details[productID],,0)</f>
        <v>18</v>
      </c>
      <c r="D1421" t="str">
        <f>_xlfn.XLOOKUP(C1421,products[productID],products[productName],,0)</f>
        <v>Carnarvon Tigers</v>
      </c>
      <c r="E1421" t="str">
        <f>_xlfn.XLOOKUP(_xlfn.XLOOKUP(Table9[[#This Row],[ProductName ]],products[productName],products[categoryID],,0),categories[categoryID],categories[categoryName],,0)</f>
        <v>Seafood</v>
      </c>
      <c r="F1421">
        <v>18</v>
      </c>
      <c r="G1421">
        <v>125</v>
      </c>
      <c r="H1421">
        <v>0</v>
      </c>
      <c r="I1421">
        <f>Table9[[#This Row],[quantity]]*Table9[[#This Row],[unitPrice]]*(1-Table9[[#This Row],[discount]]/100)</f>
        <v>2250</v>
      </c>
      <c r="J1421" t="str">
        <f>_xlfn.XLOOKUP(_xlfn.XLOOKUP(A1421,orders[orderID],orders[customerID],,0),customers__2[customerID],customers__2[companyName],,0)</f>
        <v>Folies gourmandes</v>
      </c>
      <c r="K1421" t="str">
        <f>_xlfn.XLOOKUP(Table9[[#This Row],[Company Name]],customers__2[companyName],customers__2[country],,0)</f>
        <v>France</v>
      </c>
      <c r="L1421">
        <f>MONTH(Table9[[#This Row],[OrderDate ]])</f>
        <v>12</v>
      </c>
      <c r="M1421" t="str">
        <f>TEXT(Table9[[#This Row],[OrderDate ]],"mmm")</f>
        <v>Dec</v>
      </c>
      <c r="N1421">
        <f>YEAR(Table9[[#This Row],[OrderDate ]])</f>
        <v>2014</v>
      </c>
    </row>
    <row r="1422" spans="1:14" x14ac:dyDescent="0.3">
      <c r="A1422">
        <v>10790</v>
      </c>
      <c r="B1422" s="2">
        <f>_xlfn.XLOOKUP(Table9[[#This Row],[orderID]],orders[orderID],orders[orderDate],,0)</f>
        <v>41995</v>
      </c>
      <c r="C1422">
        <f>_xlfn.XLOOKUP(A1422,order_details[orderID],order_details[productID],,0)</f>
        <v>7</v>
      </c>
      <c r="D1422" t="str">
        <f>_xlfn.XLOOKUP(C1422,products[productID],products[productName],,0)</f>
        <v>Uncle Bob's Organic Dried Pears</v>
      </c>
      <c r="E1422" t="str">
        <f>_xlfn.XLOOKUP(_xlfn.XLOOKUP(Table9[[#This Row],[ProductName ]],products[productName],products[categoryID],,0),categories[categoryID],categories[categoryName],,0)</f>
        <v>Produce</v>
      </c>
      <c r="F1422">
        <v>3</v>
      </c>
      <c r="G1422">
        <v>30</v>
      </c>
      <c r="H1422">
        <v>15</v>
      </c>
      <c r="I1422">
        <f>Table9[[#This Row],[quantity]]*Table9[[#This Row],[unitPrice]]*(1-Table9[[#This Row],[discount]]/100)</f>
        <v>76.5</v>
      </c>
      <c r="J1422" t="str">
        <f>_xlfn.XLOOKUP(_xlfn.XLOOKUP(A1422,orders[orderID],orders[customerID],,0),customers__2[customerID],customers__2[companyName],,0)</f>
        <v>Gourmet Lanchonetes</v>
      </c>
      <c r="K1422" t="str">
        <f>_xlfn.XLOOKUP(Table9[[#This Row],[Company Name]],customers__2[companyName],customers__2[country],,0)</f>
        <v>Brazil</v>
      </c>
      <c r="L1422">
        <f>MONTH(Table9[[#This Row],[OrderDate ]])</f>
        <v>12</v>
      </c>
      <c r="M1422" t="str">
        <f>TEXT(Table9[[#This Row],[OrderDate ]],"mmm")</f>
        <v>Dec</v>
      </c>
      <c r="N1422">
        <f>YEAR(Table9[[#This Row],[OrderDate ]])</f>
        <v>2014</v>
      </c>
    </row>
    <row r="1423" spans="1:14" x14ac:dyDescent="0.3">
      <c r="A1423">
        <v>10790</v>
      </c>
      <c r="B1423" s="2">
        <f>_xlfn.XLOOKUP(Table9[[#This Row],[orderID]],orders[orderID],orders[orderDate],,0)</f>
        <v>41995</v>
      </c>
      <c r="C1423">
        <f>_xlfn.XLOOKUP(A1423,order_details[orderID],order_details[productID],,0)</f>
        <v>7</v>
      </c>
      <c r="D1423" t="str">
        <f>_xlfn.XLOOKUP(C1423,products[productID],products[productName],,0)</f>
        <v>Uncle Bob's Organic Dried Pears</v>
      </c>
      <c r="E1423" t="str">
        <f>_xlfn.XLOOKUP(_xlfn.XLOOKUP(Table9[[#This Row],[ProductName ]],products[productName],products[categoryID],,0),categories[categoryID],categories[categoryName],,0)</f>
        <v>Produce</v>
      </c>
      <c r="F1423">
        <v>20</v>
      </c>
      <c r="G1423">
        <v>38</v>
      </c>
      <c r="H1423">
        <v>15</v>
      </c>
      <c r="I1423">
        <f>Table9[[#This Row],[quantity]]*Table9[[#This Row],[unitPrice]]*(1-Table9[[#This Row],[discount]]/100)</f>
        <v>646</v>
      </c>
      <c r="J1423" t="str">
        <f>_xlfn.XLOOKUP(_xlfn.XLOOKUP(A1423,orders[orderID],orders[customerID],,0),customers__2[customerID],customers__2[companyName],,0)</f>
        <v>Gourmet Lanchonetes</v>
      </c>
      <c r="K1423" t="str">
        <f>_xlfn.XLOOKUP(Table9[[#This Row],[Company Name]],customers__2[companyName],customers__2[country],,0)</f>
        <v>Brazil</v>
      </c>
      <c r="L1423">
        <f>MONTH(Table9[[#This Row],[OrderDate ]])</f>
        <v>12</v>
      </c>
      <c r="M1423" t="str">
        <f>TEXT(Table9[[#This Row],[OrderDate ]],"mmm")</f>
        <v>Dec</v>
      </c>
      <c r="N1423">
        <f>YEAR(Table9[[#This Row],[OrderDate ]])</f>
        <v>2014</v>
      </c>
    </row>
    <row r="1424" spans="1:14" x14ac:dyDescent="0.3">
      <c r="A1424">
        <v>10791</v>
      </c>
      <c r="B1424" s="2">
        <f>_xlfn.XLOOKUP(Table9[[#This Row],[orderID]],orders[orderID],orders[orderDate],,0)</f>
        <v>41996</v>
      </c>
      <c r="C1424">
        <f>_xlfn.XLOOKUP(A1424,order_details[orderID],order_details[productID],,0)</f>
        <v>29</v>
      </c>
      <c r="D1424" t="str">
        <f>_xlfn.XLOOKUP(C1424,products[productID],products[productName],,0)</f>
        <v>Thüringer Rostbratwurst</v>
      </c>
      <c r="E1424" t="str">
        <f>_xlfn.XLOOKUP(_xlfn.XLOOKUP(Table9[[#This Row],[ProductName ]],products[productName],products[categoryID],,0),categories[categoryID],categories[categoryName],,0)</f>
        <v>Meat &amp; Poultry</v>
      </c>
      <c r="F1424">
        <v>14</v>
      </c>
      <c r="G1424">
        <v>12379</v>
      </c>
      <c r="H1424">
        <v>5</v>
      </c>
      <c r="I1424">
        <f>Table9[[#This Row],[quantity]]*Table9[[#This Row],[unitPrice]]*(1-Table9[[#This Row],[discount]]/100)</f>
        <v>164640.69999999998</v>
      </c>
      <c r="J1424" t="str">
        <f>_xlfn.XLOOKUP(_xlfn.XLOOKUP(A1424,orders[orderID],orders[customerID],,0),customers__2[customerID],customers__2[companyName],,0)</f>
        <v>Frankenversand</v>
      </c>
      <c r="K1424" t="str">
        <f>_xlfn.XLOOKUP(Table9[[#This Row],[Company Name]],customers__2[companyName],customers__2[country],,0)</f>
        <v>Germany</v>
      </c>
      <c r="L1424">
        <f>MONTH(Table9[[#This Row],[OrderDate ]])</f>
        <v>12</v>
      </c>
      <c r="M1424" t="str">
        <f>TEXT(Table9[[#This Row],[OrderDate ]],"mmm")</f>
        <v>Dec</v>
      </c>
      <c r="N1424">
        <f>YEAR(Table9[[#This Row],[OrderDate ]])</f>
        <v>2014</v>
      </c>
    </row>
    <row r="1425" spans="1:14" x14ac:dyDescent="0.3">
      <c r="A1425">
        <v>10791</v>
      </c>
      <c r="B1425" s="2">
        <f>_xlfn.XLOOKUP(Table9[[#This Row],[orderID]],orders[orderID],orders[orderDate],,0)</f>
        <v>41996</v>
      </c>
      <c r="C1425">
        <f>_xlfn.XLOOKUP(A1425,order_details[orderID],order_details[productID],,0)</f>
        <v>29</v>
      </c>
      <c r="D1425" t="str">
        <f>_xlfn.XLOOKUP(C1425,products[productID],products[productName],,0)</f>
        <v>Thüringer Rostbratwurst</v>
      </c>
      <c r="E1425" t="str">
        <f>_xlfn.XLOOKUP(_xlfn.XLOOKUP(Table9[[#This Row],[ProductName ]],products[productName],products[categoryID],,0),categories[categoryID],categories[categoryName],,0)</f>
        <v>Meat &amp; Poultry</v>
      </c>
      <c r="F1425">
        <v>20</v>
      </c>
      <c r="G1425">
        <v>965</v>
      </c>
      <c r="H1425">
        <v>5</v>
      </c>
      <c r="I1425">
        <f>Table9[[#This Row],[quantity]]*Table9[[#This Row],[unitPrice]]*(1-Table9[[#This Row],[discount]]/100)</f>
        <v>18335</v>
      </c>
      <c r="J1425" t="str">
        <f>_xlfn.XLOOKUP(_xlfn.XLOOKUP(A1425,orders[orderID],orders[customerID],,0),customers__2[customerID],customers__2[companyName],,0)</f>
        <v>Frankenversand</v>
      </c>
      <c r="K1425" t="str">
        <f>_xlfn.XLOOKUP(Table9[[#This Row],[Company Name]],customers__2[companyName],customers__2[country],,0)</f>
        <v>Germany</v>
      </c>
      <c r="L1425">
        <f>MONTH(Table9[[#This Row],[OrderDate ]])</f>
        <v>12</v>
      </c>
      <c r="M1425" t="str">
        <f>TEXT(Table9[[#This Row],[OrderDate ]],"mmm")</f>
        <v>Dec</v>
      </c>
      <c r="N1425">
        <f>YEAR(Table9[[#This Row],[OrderDate ]])</f>
        <v>2014</v>
      </c>
    </row>
    <row r="1426" spans="1:14" x14ac:dyDescent="0.3">
      <c r="A1426">
        <v>10792</v>
      </c>
      <c r="B1426" s="2">
        <f>_xlfn.XLOOKUP(Table9[[#This Row],[orderID]],orders[orderID],orders[orderDate],,0)</f>
        <v>41996</v>
      </c>
      <c r="C1426">
        <f>_xlfn.XLOOKUP(A1426,order_details[orderID],order_details[productID],,0)</f>
        <v>2</v>
      </c>
      <c r="D1426" t="str">
        <f>_xlfn.XLOOKUP(C1426,products[productID],products[productName],,0)</f>
        <v>Chang</v>
      </c>
      <c r="E1426" t="str">
        <f>_xlfn.XLOOKUP(_xlfn.XLOOKUP(Table9[[#This Row],[ProductName ]],products[productName],products[categoryID],,0),categories[categoryID],categories[categoryName],,0)</f>
        <v>Beverages</v>
      </c>
      <c r="F1426">
        <v>10</v>
      </c>
      <c r="G1426">
        <v>19</v>
      </c>
      <c r="H1426">
        <v>0</v>
      </c>
      <c r="I1426">
        <f>Table9[[#This Row],[quantity]]*Table9[[#This Row],[unitPrice]]*(1-Table9[[#This Row],[discount]]/100)</f>
        <v>190</v>
      </c>
      <c r="J1426" t="str">
        <f>_xlfn.XLOOKUP(_xlfn.XLOOKUP(A1426,orders[orderID],orders[customerID],,0),customers__2[customerID],customers__2[companyName],,0)</f>
        <v>Wolski  Zajazd</v>
      </c>
      <c r="K1426" t="str">
        <f>_xlfn.XLOOKUP(Table9[[#This Row],[Company Name]],customers__2[companyName],customers__2[country],,0)</f>
        <v>Poland</v>
      </c>
      <c r="L1426">
        <f>MONTH(Table9[[#This Row],[OrderDate ]])</f>
        <v>12</v>
      </c>
      <c r="M1426" t="str">
        <f>TEXT(Table9[[#This Row],[OrderDate ]],"mmm")</f>
        <v>Dec</v>
      </c>
      <c r="N1426">
        <f>YEAR(Table9[[#This Row],[OrderDate ]])</f>
        <v>2014</v>
      </c>
    </row>
    <row r="1427" spans="1:14" x14ac:dyDescent="0.3">
      <c r="A1427">
        <v>10792</v>
      </c>
      <c r="B1427" s="2">
        <f>_xlfn.XLOOKUP(Table9[[#This Row],[orderID]],orders[orderID],orders[orderDate],,0)</f>
        <v>41996</v>
      </c>
      <c r="C1427">
        <f>_xlfn.XLOOKUP(A1427,order_details[orderID],order_details[productID],,0)</f>
        <v>2</v>
      </c>
      <c r="D1427" t="str">
        <f>_xlfn.XLOOKUP(C1427,products[productID],products[productName],,0)</f>
        <v>Chang</v>
      </c>
      <c r="E1427" t="str">
        <f>_xlfn.XLOOKUP(_xlfn.XLOOKUP(Table9[[#This Row],[ProductName ]],products[productName],products[categoryID],,0),categories[categoryID],categories[categoryName],,0)</f>
        <v>Beverages</v>
      </c>
      <c r="F1427">
        <v>3</v>
      </c>
      <c r="G1427">
        <v>745</v>
      </c>
      <c r="H1427">
        <v>0</v>
      </c>
      <c r="I1427">
        <f>Table9[[#This Row],[quantity]]*Table9[[#This Row],[unitPrice]]*(1-Table9[[#This Row],[discount]]/100)</f>
        <v>2235</v>
      </c>
      <c r="J1427" t="str">
        <f>_xlfn.XLOOKUP(_xlfn.XLOOKUP(A1427,orders[orderID],orders[customerID],,0),customers__2[customerID],customers__2[companyName],,0)</f>
        <v>Wolski  Zajazd</v>
      </c>
      <c r="K1427" t="str">
        <f>_xlfn.XLOOKUP(Table9[[#This Row],[Company Name]],customers__2[companyName],customers__2[country],,0)</f>
        <v>Poland</v>
      </c>
      <c r="L1427">
        <f>MONTH(Table9[[#This Row],[OrderDate ]])</f>
        <v>12</v>
      </c>
      <c r="M1427" t="str">
        <f>TEXT(Table9[[#This Row],[OrderDate ]],"mmm")</f>
        <v>Dec</v>
      </c>
      <c r="N1427">
        <f>YEAR(Table9[[#This Row],[OrderDate ]])</f>
        <v>2014</v>
      </c>
    </row>
    <row r="1428" spans="1:14" x14ac:dyDescent="0.3">
      <c r="A1428">
        <v>10792</v>
      </c>
      <c r="B1428" s="2">
        <f>_xlfn.XLOOKUP(Table9[[#This Row],[orderID]],orders[orderID],orders[orderDate],,0)</f>
        <v>41996</v>
      </c>
      <c r="C1428">
        <f>_xlfn.XLOOKUP(A1428,order_details[orderID],order_details[productID],,0)</f>
        <v>2</v>
      </c>
      <c r="D1428" t="str">
        <f>_xlfn.XLOOKUP(C1428,products[productID],products[productName],,0)</f>
        <v>Chang</v>
      </c>
      <c r="E1428" t="str">
        <f>_xlfn.XLOOKUP(_xlfn.XLOOKUP(Table9[[#This Row],[ProductName ]],products[productName],products[categoryID],,0),categories[categoryID],categories[categoryName],,0)</f>
        <v>Beverages</v>
      </c>
      <c r="F1428">
        <v>15</v>
      </c>
      <c r="G1428">
        <v>125</v>
      </c>
      <c r="H1428">
        <v>0</v>
      </c>
      <c r="I1428">
        <f>Table9[[#This Row],[quantity]]*Table9[[#This Row],[unitPrice]]*(1-Table9[[#This Row],[discount]]/100)</f>
        <v>1875</v>
      </c>
      <c r="J1428" t="str">
        <f>_xlfn.XLOOKUP(_xlfn.XLOOKUP(A1428,orders[orderID],orders[customerID],,0),customers__2[customerID],customers__2[companyName],,0)</f>
        <v>Wolski  Zajazd</v>
      </c>
      <c r="K1428" t="str">
        <f>_xlfn.XLOOKUP(Table9[[#This Row],[Company Name]],customers__2[companyName],customers__2[country],,0)</f>
        <v>Poland</v>
      </c>
      <c r="L1428">
        <f>MONTH(Table9[[#This Row],[OrderDate ]])</f>
        <v>12</v>
      </c>
      <c r="M1428" t="str">
        <f>TEXT(Table9[[#This Row],[OrderDate ]],"mmm")</f>
        <v>Dec</v>
      </c>
      <c r="N1428">
        <f>YEAR(Table9[[#This Row],[OrderDate ]])</f>
        <v>2014</v>
      </c>
    </row>
    <row r="1429" spans="1:14" x14ac:dyDescent="0.3">
      <c r="A1429">
        <v>10793</v>
      </c>
      <c r="B1429" s="2">
        <f>_xlfn.XLOOKUP(Table9[[#This Row],[orderID]],orders[orderID],orders[orderDate],,0)</f>
        <v>41997</v>
      </c>
      <c r="C1429">
        <f>_xlfn.XLOOKUP(A1429,order_details[orderID],order_details[productID],,0)</f>
        <v>41</v>
      </c>
      <c r="D1429" t="str">
        <f>_xlfn.XLOOKUP(C1429,products[productID],products[productName],,0)</f>
        <v>Jack's New England Clam Chowder</v>
      </c>
      <c r="E1429" t="str">
        <f>_xlfn.XLOOKUP(_xlfn.XLOOKUP(Table9[[#This Row],[ProductName ]],products[productName],products[categoryID],,0),categories[categoryID],categories[categoryName],,0)</f>
        <v>Seafood</v>
      </c>
      <c r="F1429">
        <v>14</v>
      </c>
      <c r="G1429">
        <v>965</v>
      </c>
      <c r="H1429">
        <v>0</v>
      </c>
      <c r="I1429">
        <f>Table9[[#This Row],[quantity]]*Table9[[#This Row],[unitPrice]]*(1-Table9[[#This Row],[discount]]/100)</f>
        <v>13510</v>
      </c>
      <c r="J1429" t="str">
        <f>_xlfn.XLOOKUP(_xlfn.XLOOKUP(A1429,orders[orderID],orders[customerID],,0),customers__2[customerID],customers__2[companyName],,0)</f>
        <v>Around the Horn</v>
      </c>
      <c r="K1429" t="str">
        <f>_xlfn.XLOOKUP(Table9[[#This Row],[Company Name]],customers__2[companyName],customers__2[country],,0)</f>
        <v>UK</v>
      </c>
      <c r="L1429">
        <f>MONTH(Table9[[#This Row],[OrderDate ]])</f>
        <v>12</v>
      </c>
      <c r="M1429" t="str">
        <f>TEXT(Table9[[#This Row],[OrderDate ]],"mmm")</f>
        <v>Dec</v>
      </c>
      <c r="N1429">
        <f>YEAR(Table9[[#This Row],[OrderDate ]])</f>
        <v>2014</v>
      </c>
    </row>
    <row r="1430" spans="1:14" x14ac:dyDescent="0.3">
      <c r="A1430">
        <v>10793</v>
      </c>
      <c r="B1430" s="2">
        <f>_xlfn.XLOOKUP(Table9[[#This Row],[orderID]],orders[orderID],orders[orderDate],,0)</f>
        <v>41997</v>
      </c>
      <c r="C1430">
        <f>_xlfn.XLOOKUP(A1430,order_details[orderID],order_details[productID],,0)</f>
        <v>41</v>
      </c>
      <c r="D1430" t="str">
        <f>_xlfn.XLOOKUP(C1430,products[productID],products[productName],,0)</f>
        <v>Jack's New England Clam Chowder</v>
      </c>
      <c r="E1430" t="str">
        <f>_xlfn.XLOOKUP(_xlfn.XLOOKUP(Table9[[#This Row],[ProductName ]],products[productName],products[categoryID],,0),categories[categoryID],categories[categoryName],,0)</f>
        <v>Seafood</v>
      </c>
      <c r="F1430">
        <v>8</v>
      </c>
      <c r="G1430">
        <v>7</v>
      </c>
      <c r="H1430">
        <v>0</v>
      </c>
      <c r="I1430">
        <f>Table9[[#This Row],[quantity]]*Table9[[#This Row],[unitPrice]]*(1-Table9[[#This Row],[discount]]/100)</f>
        <v>56</v>
      </c>
      <c r="J1430" t="str">
        <f>_xlfn.XLOOKUP(_xlfn.XLOOKUP(A1430,orders[orderID],orders[customerID],,0),customers__2[customerID],customers__2[companyName],,0)</f>
        <v>Around the Horn</v>
      </c>
      <c r="K1430" t="str">
        <f>_xlfn.XLOOKUP(Table9[[#This Row],[Company Name]],customers__2[companyName],customers__2[country],,0)</f>
        <v>UK</v>
      </c>
      <c r="L1430">
        <f>MONTH(Table9[[#This Row],[OrderDate ]])</f>
        <v>12</v>
      </c>
      <c r="M1430" t="str">
        <f>TEXT(Table9[[#This Row],[OrderDate ]],"mmm")</f>
        <v>Dec</v>
      </c>
      <c r="N1430">
        <f>YEAR(Table9[[#This Row],[OrderDate ]])</f>
        <v>2014</v>
      </c>
    </row>
    <row r="1431" spans="1:14" x14ac:dyDescent="0.3">
      <c r="A1431">
        <v>10794</v>
      </c>
      <c r="B1431" s="2">
        <f>_xlfn.XLOOKUP(Table9[[#This Row],[orderID]],orders[orderID],orders[orderDate],,0)</f>
        <v>41997</v>
      </c>
      <c r="C1431">
        <f>_xlfn.XLOOKUP(A1431,order_details[orderID],order_details[productID],,0)</f>
        <v>14</v>
      </c>
      <c r="D1431" t="str">
        <f>_xlfn.XLOOKUP(C1431,products[productID],products[productName],,0)</f>
        <v>Tofu</v>
      </c>
      <c r="E1431" t="str">
        <f>_xlfn.XLOOKUP(_xlfn.XLOOKUP(Table9[[#This Row],[ProductName ]],products[productName],products[categoryID],,0),categories[categoryID],categories[categoryName],,0)</f>
        <v>Produce</v>
      </c>
      <c r="F1431">
        <v>15</v>
      </c>
      <c r="G1431">
        <v>2325</v>
      </c>
      <c r="H1431">
        <v>2</v>
      </c>
      <c r="I1431">
        <f>Table9[[#This Row],[quantity]]*Table9[[#This Row],[unitPrice]]*(1-Table9[[#This Row],[discount]]/100)</f>
        <v>34177.5</v>
      </c>
      <c r="J1431" t="str">
        <f>_xlfn.XLOOKUP(_xlfn.XLOOKUP(A1431,orders[orderID],orders[customerID],,0),customers__2[customerID],customers__2[companyName],,0)</f>
        <v>Que Delícia</v>
      </c>
      <c r="K1431" t="str">
        <f>_xlfn.XLOOKUP(Table9[[#This Row],[Company Name]],customers__2[companyName],customers__2[country],,0)</f>
        <v>Brazil</v>
      </c>
      <c r="L1431">
        <f>MONTH(Table9[[#This Row],[OrderDate ]])</f>
        <v>12</v>
      </c>
      <c r="M1431" t="str">
        <f>TEXT(Table9[[#This Row],[OrderDate ]],"mmm")</f>
        <v>Dec</v>
      </c>
      <c r="N1431">
        <f>YEAR(Table9[[#This Row],[OrderDate ]])</f>
        <v>2014</v>
      </c>
    </row>
    <row r="1432" spans="1:14" x14ac:dyDescent="0.3">
      <c r="A1432">
        <v>10794</v>
      </c>
      <c r="B1432" s="2">
        <f>_xlfn.XLOOKUP(Table9[[#This Row],[orderID]],orders[orderID],orders[orderDate],,0)</f>
        <v>41997</v>
      </c>
      <c r="C1432">
        <f>_xlfn.XLOOKUP(A1432,order_details[orderID],order_details[productID],,0)</f>
        <v>14</v>
      </c>
      <c r="D1432" t="str">
        <f>_xlfn.XLOOKUP(C1432,products[productID],products[productName],,0)</f>
        <v>Tofu</v>
      </c>
      <c r="E1432" t="str">
        <f>_xlfn.XLOOKUP(_xlfn.XLOOKUP(Table9[[#This Row],[ProductName ]],products[productName],products[categoryID],,0),categories[categoryID],categories[categoryName],,0)</f>
        <v>Produce</v>
      </c>
      <c r="F1432">
        <v>6</v>
      </c>
      <c r="G1432">
        <v>745</v>
      </c>
      <c r="H1432">
        <v>2</v>
      </c>
      <c r="I1432">
        <f>Table9[[#This Row],[quantity]]*Table9[[#This Row],[unitPrice]]*(1-Table9[[#This Row],[discount]]/100)</f>
        <v>4380.6000000000004</v>
      </c>
      <c r="J1432" t="str">
        <f>_xlfn.XLOOKUP(_xlfn.XLOOKUP(A1432,orders[orderID],orders[customerID],,0),customers__2[customerID],customers__2[companyName],,0)</f>
        <v>Que Delícia</v>
      </c>
      <c r="K1432" t="str">
        <f>_xlfn.XLOOKUP(Table9[[#This Row],[Company Name]],customers__2[companyName],customers__2[country],,0)</f>
        <v>Brazil</v>
      </c>
      <c r="L1432">
        <f>MONTH(Table9[[#This Row],[OrderDate ]])</f>
        <v>12</v>
      </c>
      <c r="M1432" t="str">
        <f>TEXT(Table9[[#This Row],[OrderDate ]],"mmm")</f>
        <v>Dec</v>
      </c>
      <c r="N1432">
        <f>YEAR(Table9[[#This Row],[OrderDate ]])</f>
        <v>2014</v>
      </c>
    </row>
    <row r="1433" spans="1:14" x14ac:dyDescent="0.3">
      <c r="A1433">
        <v>10795</v>
      </c>
      <c r="B1433" s="2">
        <f>_xlfn.XLOOKUP(Table9[[#This Row],[orderID]],orders[orderID],orders[orderDate],,0)</f>
        <v>41997</v>
      </c>
      <c r="C1433">
        <f>_xlfn.XLOOKUP(A1433,order_details[orderID],order_details[productID],,0)</f>
        <v>16</v>
      </c>
      <c r="D1433" t="str">
        <f>_xlfn.XLOOKUP(C1433,products[productID],products[productName],,0)</f>
        <v>Pavlova</v>
      </c>
      <c r="E1433" t="str">
        <f>_xlfn.XLOOKUP(_xlfn.XLOOKUP(Table9[[#This Row],[ProductName ]],products[productName],products[categoryID],,0),categories[categoryID],categories[categoryName],,0)</f>
        <v>Confections</v>
      </c>
      <c r="F1433">
        <v>65</v>
      </c>
      <c r="G1433">
        <v>1745</v>
      </c>
      <c r="H1433">
        <v>0</v>
      </c>
      <c r="I1433">
        <f>Table9[[#This Row],[quantity]]*Table9[[#This Row],[unitPrice]]*(1-Table9[[#This Row],[discount]]/100)</f>
        <v>113425</v>
      </c>
      <c r="J1433" t="str">
        <f>_xlfn.XLOOKUP(_xlfn.XLOOKUP(A1433,orders[orderID],orders[customerID],,0),customers__2[customerID],customers__2[companyName],,0)</f>
        <v>Ernst Handel</v>
      </c>
      <c r="K1433" t="str">
        <f>_xlfn.XLOOKUP(Table9[[#This Row],[Company Name]],customers__2[companyName],customers__2[country],,0)</f>
        <v>Austria</v>
      </c>
      <c r="L1433">
        <f>MONTH(Table9[[#This Row],[OrderDate ]])</f>
        <v>12</v>
      </c>
      <c r="M1433" t="str">
        <f>TEXT(Table9[[#This Row],[OrderDate ]],"mmm")</f>
        <v>Dec</v>
      </c>
      <c r="N1433">
        <f>YEAR(Table9[[#This Row],[OrderDate ]])</f>
        <v>2014</v>
      </c>
    </row>
    <row r="1434" spans="1:14" x14ac:dyDescent="0.3">
      <c r="A1434">
        <v>10795</v>
      </c>
      <c r="B1434" s="2">
        <f>_xlfn.XLOOKUP(Table9[[#This Row],[orderID]],orders[orderID],orders[orderDate],,0)</f>
        <v>41997</v>
      </c>
      <c r="C1434">
        <f>_xlfn.XLOOKUP(A1434,order_details[orderID],order_details[productID],,0)</f>
        <v>16</v>
      </c>
      <c r="D1434" t="str">
        <f>_xlfn.XLOOKUP(C1434,products[productID],products[productName],,0)</f>
        <v>Pavlova</v>
      </c>
      <c r="E1434" t="str">
        <f>_xlfn.XLOOKUP(_xlfn.XLOOKUP(Table9[[#This Row],[ProductName ]],products[productName],products[categoryID],,0),categories[categoryID],categories[categoryName],,0)</f>
        <v>Confections</v>
      </c>
      <c r="F1434">
        <v>35</v>
      </c>
      <c r="G1434">
        <v>39</v>
      </c>
      <c r="H1434">
        <v>25</v>
      </c>
      <c r="I1434">
        <f>Table9[[#This Row],[quantity]]*Table9[[#This Row],[unitPrice]]*(1-Table9[[#This Row],[discount]]/100)</f>
        <v>1023.75</v>
      </c>
      <c r="J1434" t="str">
        <f>_xlfn.XLOOKUP(_xlfn.XLOOKUP(A1434,orders[orderID],orders[customerID],,0),customers__2[customerID],customers__2[companyName],,0)</f>
        <v>Ernst Handel</v>
      </c>
      <c r="K1434" t="str">
        <f>_xlfn.XLOOKUP(Table9[[#This Row],[Company Name]],customers__2[companyName],customers__2[country],,0)</f>
        <v>Austria</v>
      </c>
      <c r="L1434">
        <f>MONTH(Table9[[#This Row],[OrderDate ]])</f>
        <v>12</v>
      </c>
      <c r="M1434" t="str">
        <f>TEXT(Table9[[#This Row],[OrderDate ]],"mmm")</f>
        <v>Dec</v>
      </c>
      <c r="N1434">
        <f>YEAR(Table9[[#This Row],[OrderDate ]])</f>
        <v>2014</v>
      </c>
    </row>
    <row r="1435" spans="1:14" x14ac:dyDescent="0.3">
      <c r="A1435">
        <v>10796</v>
      </c>
      <c r="B1435" s="2">
        <f>_xlfn.XLOOKUP(Table9[[#This Row],[orderID]],orders[orderID],orders[orderDate],,0)</f>
        <v>41998</v>
      </c>
      <c r="C1435">
        <f>_xlfn.XLOOKUP(A1435,order_details[orderID],order_details[productID],,0)</f>
        <v>26</v>
      </c>
      <c r="D1435" t="str">
        <f>_xlfn.XLOOKUP(C1435,products[productID],products[productName],,0)</f>
        <v>Gumbär Gummibärchen</v>
      </c>
      <c r="E1435" t="str">
        <f>_xlfn.XLOOKUP(_xlfn.XLOOKUP(Table9[[#This Row],[ProductName ]],products[productName],products[categoryID],,0),categories[categoryID],categories[categoryName],,0)</f>
        <v>Confections</v>
      </c>
      <c r="F1435">
        <v>21</v>
      </c>
      <c r="G1435">
        <v>3123</v>
      </c>
      <c r="H1435">
        <v>2</v>
      </c>
      <c r="I1435">
        <f>Table9[[#This Row],[quantity]]*Table9[[#This Row],[unitPrice]]*(1-Table9[[#This Row],[discount]]/100)</f>
        <v>64271.34</v>
      </c>
      <c r="J1435" t="str">
        <f>_xlfn.XLOOKUP(_xlfn.XLOOKUP(A1435,orders[orderID],orders[customerID],,0),customers__2[customerID],customers__2[companyName],,0)</f>
        <v>HILARION-Abastos</v>
      </c>
      <c r="K1435" t="str">
        <f>_xlfn.XLOOKUP(Table9[[#This Row],[Company Name]],customers__2[companyName],customers__2[country],,0)</f>
        <v>Venezuela</v>
      </c>
      <c r="L1435">
        <f>MONTH(Table9[[#This Row],[OrderDate ]])</f>
        <v>12</v>
      </c>
      <c r="M1435" t="str">
        <f>TEXT(Table9[[#This Row],[OrderDate ]],"mmm")</f>
        <v>Dec</v>
      </c>
      <c r="N1435">
        <f>YEAR(Table9[[#This Row],[OrderDate ]])</f>
        <v>2014</v>
      </c>
    </row>
    <row r="1436" spans="1:14" x14ac:dyDescent="0.3">
      <c r="A1436">
        <v>10796</v>
      </c>
      <c r="B1436" s="2">
        <f>_xlfn.XLOOKUP(Table9[[#This Row],[orderID]],orders[orderID],orders[orderDate],,0)</f>
        <v>41998</v>
      </c>
      <c r="C1436">
        <f>_xlfn.XLOOKUP(A1436,order_details[orderID],order_details[productID],,0)</f>
        <v>26</v>
      </c>
      <c r="D1436" t="str">
        <f>_xlfn.XLOOKUP(C1436,products[productID],products[productName],,0)</f>
        <v>Gumbär Gummibärchen</v>
      </c>
      <c r="E1436" t="str">
        <f>_xlfn.XLOOKUP(_xlfn.XLOOKUP(Table9[[#This Row],[ProductName ]],products[productName],products[categoryID],,0),categories[categoryID],categories[categoryName],,0)</f>
        <v>Confections</v>
      </c>
      <c r="F1436">
        <v>10</v>
      </c>
      <c r="G1436">
        <v>1945</v>
      </c>
      <c r="H1436">
        <v>0</v>
      </c>
      <c r="I1436">
        <f>Table9[[#This Row],[quantity]]*Table9[[#This Row],[unitPrice]]*(1-Table9[[#This Row],[discount]]/100)</f>
        <v>19450</v>
      </c>
      <c r="J1436" t="str">
        <f>_xlfn.XLOOKUP(_xlfn.XLOOKUP(A1436,orders[orderID],orders[customerID],,0),customers__2[customerID],customers__2[companyName],,0)</f>
        <v>HILARION-Abastos</v>
      </c>
      <c r="K1436" t="str">
        <f>_xlfn.XLOOKUP(Table9[[#This Row],[Company Name]],customers__2[companyName],customers__2[country],,0)</f>
        <v>Venezuela</v>
      </c>
      <c r="L1436">
        <f>MONTH(Table9[[#This Row],[OrderDate ]])</f>
        <v>12</v>
      </c>
      <c r="M1436" t="str">
        <f>TEXT(Table9[[#This Row],[OrderDate ]],"mmm")</f>
        <v>Dec</v>
      </c>
      <c r="N1436">
        <f>YEAR(Table9[[#This Row],[OrderDate ]])</f>
        <v>2014</v>
      </c>
    </row>
    <row r="1437" spans="1:14" x14ac:dyDescent="0.3">
      <c r="A1437">
        <v>10796</v>
      </c>
      <c r="B1437" s="2">
        <f>_xlfn.XLOOKUP(Table9[[#This Row],[orderID]],orders[orderID],orders[orderDate],,0)</f>
        <v>41998</v>
      </c>
      <c r="C1437">
        <f>_xlfn.XLOOKUP(A1437,order_details[orderID],order_details[productID],,0)</f>
        <v>26</v>
      </c>
      <c r="D1437" t="str">
        <f>_xlfn.XLOOKUP(C1437,products[productID],products[productName],,0)</f>
        <v>Gumbär Gummibärchen</v>
      </c>
      <c r="E1437" t="str">
        <f>_xlfn.XLOOKUP(_xlfn.XLOOKUP(Table9[[#This Row],[ProductName ]],products[productName],products[categoryID],,0),categories[categoryID],categories[categoryName],,0)</f>
        <v>Confections</v>
      </c>
      <c r="F1437">
        <v>35</v>
      </c>
      <c r="G1437">
        <v>3325</v>
      </c>
      <c r="H1437">
        <v>2</v>
      </c>
      <c r="I1437">
        <f>Table9[[#This Row],[quantity]]*Table9[[#This Row],[unitPrice]]*(1-Table9[[#This Row],[discount]]/100)</f>
        <v>114047.5</v>
      </c>
      <c r="J1437" t="str">
        <f>_xlfn.XLOOKUP(_xlfn.XLOOKUP(A1437,orders[orderID],orders[customerID],,0),customers__2[customerID],customers__2[companyName],,0)</f>
        <v>HILARION-Abastos</v>
      </c>
      <c r="K1437" t="str">
        <f>_xlfn.XLOOKUP(Table9[[#This Row],[Company Name]],customers__2[companyName],customers__2[country],,0)</f>
        <v>Venezuela</v>
      </c>
      <c r="L1437">
        <f>MONTH(Table9[[#This Row],[OrderDate ]])</f>
        <v>12</v>
      </c>
      <c r="M1437" t="str">
        <f>TEXT(Table9[[#This Row],[OrderDate ]],"mmm")</f>
        <v>Dec</v>
      </c>
      <c r="N1437">
        <f>YEAR(Table9[[#This Row],[OrderDate ]])</f>
        <v>2014</v>
      </c>
    </row>
    <row r="1438" spans="1:14" x14ac:dyDescent="0.3">
      <c r="A1438">
        <v>10796</v>
      </c>
      <c r="B1438" s="2">
        <f>_xlfn.XLOOKUP(Table9[[#This Row],[orderID]],orders[orderID],orders[orderDate],,0)</f>
        <v>41998</v>
      </c>
      <c r="C1438">
        <f>_xlfn.XLOOKUP(A1438,order_details[orderID],order_details[productID],,0)</f>
        <v>26</v>
      </c>
      <c r="D1438" t="str">
        <f>_xlfn.XLOOKUP(C1438,products[productID],products[productName],,0)</f>
        <v>Gumbär Gummibärchen</v>
      </c>
      <c r="E1438" t="str">
        <f>_xlfn.XLOOKUP(_xlfn.XLOOKUP(Table9[[#This Row],[ProductName ]],products[productName],products[categoryID],,0),categories[categoryID],categories[categoryName],,0)</f>
        <v>Confections</v>
      </c>
      <c r="F1438">
        <v>24</v>
      </c>
      <c r="G1438">
        <v>36</v>
      </c>
      <c r="H1438">
        <v>2</v>
      </c>
      <c r="I1438">
        <f>Table9[[#This Row],[quantity]]*Table9[[#This Row],[unitPrice]]*(1-Table9[[#This Row],[discount]]/100)</f>
        <v>846.72</v>
      </c>
      <c r="J1438" t="str">
        <f>_xlfn.XLOOKUP(_xlfn.XLOOKUP(A1438,orders[orderID],orders[customerID],,0),customers__2[customerID],customers__2[companyName],,0)</f>
        <v>HILARION-Abastos</v>
      </c>
      <c r="K1438" t="str">
        <f>_xlfn.XLOOKUP(Table9[[#This Row],[Company Name]],customers__2[companyName],customers__2[country],,0)</f>
        <v>Venezuela</v>
      </c>
      <c r="L1438">
        <f>MONTH(Table9[[#This Row],[OrderDate ]])</f>
        <v>12</v>
      </c>
      <c r="M1438" t="str">
        <f>TEXT(Table9[[#This Row],[OrderDate ]],"mmm")</f>
        <v>Dec</v>
      </c>
      <c r="N1438">
        <f>YEAR(Table9[[#This Row],[OrderDate ]])</f>
        <v>2014</v>
      </c>
    </row>
    <row r="1439" spans="1:14" x14ac:dyDescent="0.3">
      <c r="A1439">
        <v>10797</v>
      </c>
      <c r="B1439" s="2">
        <f>_xlfn.XLOOKUP(Table9[[#This Row],[orderID]],orders[orderID],orders[orderDate],,0)</f>
        <v>41998</v>
      </c>
      <c r="C1439">
        <f>_xlfn.XLOOKUP(A1439,order_details[orderID],order_details[productID],,0)</f>
        <v>11</v>
      </c>
      <c r="D1439" t="str">
        <f>_xlfn.XLOOKUP(C1439,products[productID],products[productName],,0)</f>
        <v>Queso Cabrales</v>
      </c>
      <c r="E1439" t="str">
        <f>_xlfn.XLOOKUP(_xlfn.XLOOKUP(Table9[[#This Row],[ProductName ]],products[productName],products[categoryID],,0),categories[categoryID],categories[categoryName],,0)</f>
        <v>Dairy Products</v>
      </c>
      <c r="F1439">
        <v>20</v>
      </c>
      <c r="G1439">
        <v>21</v>
      </c>
      <c r="H1439">
        <v>0</v>
      </c>
      <c r="I1439">
        <f>Table9[[#This Row],[quantity]]*Table9[[#This Row],[unitPrice]]*(1-Table9[[#This Row],[discount]]/100)</f>
        <v>420</v>
      </c>
      <c r="J1439" t="str">
        <f>_xlfn.XLOOKUP(_xlfn.XLOOKUP(A1439,orders[orderID],orders[customerID],,0),customers__2[customerID],customers__2[companyName],,0)</f>
        <v>Drachenblut Delikatessen</v>
      </c>
      <c r="K1439" t="str">
        <f>_xlfn.XLOOKUP(Table9[[#This Row],[Company Name]],customers__2[companyName],customers__2[country],,0)</f>
        <v>Germany</v>
      </c>
      <c r="L1439">
        <f>MONTH(Table9[[#This Row],[OrderDate ]])</f>
        <v>12</v>
      </c>
      <c r="M1439" t="str">
        <f>TEXT(Table9[[#This Row],[OrderDate ]],"mmm")</f>
        <v>Dec</v>
      </c>
      <c r="N1439">
        <f>YEAR(Table9[[#This Row],[OrderDate ]])</f>
        <v>2014</v>
      </c>
    </row>
    <row r="1440" spans="1:14" x14ac:dyDescent="0.3">
      <c r="A1440">
        <v>10798</v>
      </c>
      <c r="B1440" s="2">
        <f>_xlfn.XLOOKUP(Table9[[#This Row],[orderID]],orders[orderID],orders[orderDate],,0)</f>
        <v>41999</v>
      </c>
      <c r="C1440">
        <f>_xlfn.XLOOKUP(A1440,order_details[orderID],order_details[productID],,0)</f>
        <v>62</v>
      </c>
      <c r="D1440" t="str">
        <f>_xlfn.XLOOKUP(C1440,products[productID],products[productName],,0)</f>
        <v>Tarte au sucre</v>
      </c>
      <c r="E1440" t="str">
        <f>_xlfn.XLOOKUP(_xlfn.XLOOKUP(Table9[[#This Row],[ProductName ]],products[productName],products[categoryID],,0),categories[categoryID],categories[categoryName],,0)</f>
        <v>Confections</v>
      </c>
      <c r="F1440">
        <v>2</v>
      </c>
      <c r="G1440">
        <v>493</v>
      </c>
      <c r="H1440">
        <v>0</v>
      </c>
      <c r="I1440">
        <f>Table9[[#This Row],[quantity]]*Table9[[#This Row],[unitPrice]]*(1-Table9[[#This Row],[discount]]/100)</f>
        <v>986</v>
      </c>
      <c r="J1440" t="str">
        <f>_xlfn.XLOOKUP(_xlfn.XLOOKUP(A1440,orders[orderID],orders[customerID],,0),customers__2[customerID],customers__2[companyName],,0)</f>
        <v>Island Trading</v>
      </c>
      <c r="K1440" t="str">
        <f>_xlfn.XLOOKUP(Table9[[#This Row],[Company Name]],customers__2[companyName],customers__2[country],,0)</f>
        <v>UK</v>
      </c>
      <c r="L1440">
        <f>MONTH(Table9[[#This Row],[OrderDate ]])</f>
        <v>12</v>
      </c>
      <c r="M1440" t="str">
        <f>TEXT(Table9[[#This Row],[OrderDate ]],"mmm")</f>
        <v>Dec</v>
      </c>
      <c r="N1440">
        <f>YEAR(Table9[[#This Row],[OrderDate ]])</f>
        <v>2014</v>
      </c>
    </row>
    <row r="1441" spans="1:14" x14ac:dyDescent="0.3">
      <c r="A1441">
        <v>10798</v>
      </c>
      <c r="B1441" s="2">
        <f>_xlfn.XLOOKUP(Table9[[#This Row],[orderID]],orders[orderID],orders[orderDate],,0)</f>
        <v>41999</v>
      </c>
      <c r="C1441">
        <f>_xlfn.XLOOKUP(A1441,order_details[orderID],order_details[productID],,0)</f>
        <v>62</v>
      </c>
      <c r="D1441" t="str">
        <f>_xlfn.XLOOKUP(C1441,products[productID],products[productName],,0)</f>
        <v>Tarte au sucre</v>
      </c>
      <c r="E1441" t="str">
        <f>_xlfn.XLOOKUP(_xlfn.XLOOKUP(Table9[[#This Row],[ProductName ]],products[productName],products[categoryID],,0),categories[categoryID],categories[categoryName],,0)</f>
        <v>Confections</v>
      </c>
      <c r="F1441">
        <v>10</v>
      </c>
      <c r="G1441">
        <v>348</v>
      </c>
      <c r="H1441">
        <v>0</v>
      </c>
      <c r="I1441">
        <f>Table9[[#This Row],[quantity]]*Table9[[#This Row],[unitPrice]]*(1-Table9[[#This Row],[discount]]/100)</f>
        <v>3480</v>
      </c>
      <c r="J1441" t="str">
        <f>_xlfn.XLOOKUP(_xlfn.XLOOKUP(A1441,orders[orderID],orders[customerID],,0),customers__2[customerID],customers__2[companyName],,0)</f>
        <v>Island Trading</v>
      </c>
      <c r="K1441" t="str">
        <f>_xlfn.XLOOKUP(Table9[[#This Row],[Company Name]],customers__2[companyName],customers__2[country],,0)</f>
        <v>UK</v>
      </c>
      <c r="L1441">
        <f>MONTH(Table9[[#This Row],[OrderDate ]])</f>
        <v>12</v>
      </c>
      <c r="M1441" t="str">
        <f>TEXT(Table9[[#This Row],[OrderDate ]],"mmm")</f>
        <v>Dec</v>
      </c>
      <c r="N1441">
        <f>YEAR(Table9[[#This Row],[OrderDate ]])</f>
        <v>2014</v>
      </c>
    </row>
    <row r="1442" spans="1:14" x14ac:dyDescent="0.3">
      <c r="A1442">
        <v>10799</v>
      </c>
      <c r="B1442" s="2">
        <f>_xlfn.XLOOKUP(Table9[[#This Row],[orderID]],orders[orderID],orders[orderDate],,0)</f>
        <v>41999</v>
      </c>
      <c r="C1442">
        <f>_xlfn.XLOOKUP(A1442,order_details[orderID],order_details[productID],,0)</f>
        <v>13</v>
      </c>
      <c r="D1442" t="str">
        <f>_xlfn.XLOOKUP(C1442,products[productID],products[productName],,0)</f>
        <v>Konbu</v>
      </c>
      <c r="E1442" t="str">
        <f>_xlfn.XLOOKUP(_xlfn.XLOOKUP(Table9[[#This Row],[ProductName ]],products[productName],products[categoryID],,0),categories[categoryID],categories[categoryName],,0)</f>
        <v>Seafood</v>
      </c>
      <c r="F1442">
        <v>20</v>
      </c>
      <c r="G1442">
        <v>6</v>
      </c>
      <c r="H1442">
        <v>15</v>
      </c>
      <c r="I1442">
        <f>Table9[[#This Row],[quantity]]*Table9[[#This Row],[unitPrice]]*(1-Table9[[#This Row],[discount]]/100)</f>
        <v>102</v>
      </c>
      <c r="J1442" t="str">
        <f>_xlfn.XLOOKUP(_xlfn.XLOOKUP(A1442,orders[orderID],orders[customerID],,0),customers__2[customerID],customers__2[companyName],,0)</f>
        <v>Königlich Essen</v>
      </c>
      <c r="K1442" t="str">
        <f>_xlfn.XLOOKUP(Table9[[#This Row],[Company Name]],customers__2[companyName],customers__2[country],,0)</f>
        <v>Germany</v>
      </c>
      <c r="L1442">
        <f>MONTH(Table9[[#This Row],[OrderDate ]])</f>
        <v>12</v>
      </c>
      <c r="M1442" t="str">
        <f>TEXT(Table9[[#This Row],[OrderDate ]],"mmm")</f>
        <v>Dec</v>
      </c>
      <c r="N1442">
        <f>YEAR(Table9[[#This Row],[OrderDate ]])</f>
        <v>2014</v>
      </c>
    </row>
    <row r="1443" spans="1:14" x14ac:dyDescent="0.3">
      <c r="A1443">
        <v>10799</v>
      </c>
      <c r="B1443" s="2">
        <f>_xlfn.XLOOKUP(Table9[[#This Row],[orderID]],orders[orderID],orders[orderDate],,0)</f>
        <v>41999</v>
      </c>
      <c r="C1443">
        <f>_xlfn.XLOOKUP(A1443,order_details[orderID],order_details[productID],,0)</f>
        <v>13</v>
      </c>
      <c r="D1443" t="str">
        <f>_xlfn.XLOOKUP(C1443,products[productID],products[productName],,0)</f>
        <v>Konbu</v>
      </c>
      <c r="E1443" t="str">
        <f>_xlfn.XLOOKUP(_xlfn.XLOOKUP(Table9[[#This Row],[ProductName ]],products[productName],products[categoryID],,0),categories[categoryID],categories[categoryName],,0)</f>
        <v>Seafood</v>
      </c>
      <c r="F1443">
        <v>20</v>
      </c>
      <c r="G1443">
        <v>45</v>
      </c>
      <c r="H1443">
        <v>15</v>
      </c>
      <c r="I1443">
        <f>Table9[[#This Row],[quantity]]*Table9[[#This Row],[unitPrice]]*(1-Table9[[#This Row],[discount]]/100)</f>
        <v>765</v>
      </c>
      <c r="J1443" t="str">
        <f>_xlfn.XLOOKUP(_xlfn.XLOOKUP(A1443,orders[orderID],orders[customerID],,0),customers__2[customerID],customers__2[companyName],,0)</f>
        <v>Königlich Essen</v>
      </c>
      <c r="K1443" t="str">
        <f>_xlfn.XLOOKUP(Table9[[#This Row],[Company Name]],customers__2[companyName],customers__2[country],,0)</f>
        <v>Germany</v>
      </c>
      <c r="L1443">
        <f>MONTH(Table9[[#This Row],[OrderDate ]])</f>
        <v>12</v>
      </c>
      <c r="M1443" t="str">
        <f>TEXT(Table9[[#This Row],[OrderDate ]],"mmm")</f>
        <v>Dec</v>
      </c>
      <c r="N1443">
        <f>YEAR(Table9[[#This Row],[OrderDate ]])</f>
        <v>2014</v>
      </c>
    </row>
    <row r="1444" spans="1:14" x14ac:dyDescent="0.3">
      <c r="A1444">
        <v>10799</v>
      </c>
      <c r="B1444" s="2">
        <f>_xlfn.XLOOKUP(Table9[[#This Row],[orderID]],orders[orderID],orders[orderDate],,0)</f>
        <v>41999</v>
      </c>
      <c r="C1444">
        <f>_xlfn.XLOOKUP(A1444,order_details[orderID],order_details[productID],,0)</f>
        <v>13</v>
      </c>
      <c r="D1444" t="str">
        <f>_xlfn.XLOOKUP(C1444,products[productID],products[productName],,0)</f>
        <v>Konbu</v>
      </c>
      <c r="E1444" t="str">
        <f>_xlfn.XLOOKUP(_xlfn.XLOOKUP(Table9[[#This Row],[ProductName ]],products[productName],products[categoryID],,0),categories[categoryID],categories[categoryName],,0)</f>
        <v>Seafood</v>
      </c>
      <c r="F1444">
        <v>25</v>
      </c>
      <c r="G1444">
        <v>55</v>
      </c>
      <c r="H1444">
        <v>0</v>
      </c>
      <c r="I1444">
        <f>Table9[[#This Row],[quantity]]*Table9[[#This Row],[unitPrice]]*(1-Table9[[#This Row],[discount]]/100)</f>
        <v>1375</v>
      </c>
      <c r="J1444" t="str">
        <f>_xlfn.XLOOKUP(_xlfn.XLOOKUP(A1444,orders[orderID],orders[customerID],,0),customers__2[customerID],customers__2[companyName],,0)</f>
        <v>Königlich Essen</v>
      </c>
      <c r="K1444" t="str">
        <f>_xlfn.XLOOKUP(Table9[[#This Row],[Company Name]],customers__2[companyName],customers__2[country],,0)</f>
        <v>Germany</v>
      </c>
      <c r="L1444">
        <f>MONTH(Table9[[#This Row],[OrderDate ]])</f>
        <v>12</v>
      </c>
      <c r="M1444" t="str">
        <f>TEXT(Table9[[#This Row],[OrderDate ]],"mmm")</f>
        <v>Dec</v>
      </c>
      <c r="N1444">
        <f>YEAR(Table9[[#This Row],[OrderDate ]])</f>
        <v>2014</v>
      </c>
    </row>
    <row r="1445" spans="1:14" x14ac:dyDescent="0.3">
      <c r="A1445">
        <v>10800</v>
      </c>
      <c r="B1445" s="2">
        <f>_xlfn.XLOOKUP(Table9[[#This Row],[orderID]],orders[orderID],orders[orderDate],,0)</f>
        <v>41999</v>
      </c>
      <c r="C1445">
        <f>_xlfn.XLOOKUP(A1445,order_details[orderID],order_details[productID],,0)</f>
        <v>11</v>
      </c>
      <c r="D1445" t="str">
        <f>_xlfn.XLOOKUP(C1445,products[productID],products[productName],,0)</f>
        <v>Queso Cabrales</v>
      </c>
      <c r="E1445" t="str">
        <f>_xlfn.XLOOKUP(_xlfn.XLOOKUP(Table9[[#This Row],[ProductName ]],products[productName],products[categoryID],,0),categories[categoryID],categories[categoryName],,0)</f>
        <v>Dairy Products</v>
      </c>
      <c r="F1445">
        <v>50</v>
      </c>
      <c r="G1445">
        <v>21</v>
      </c>
      <c r="H1445">
        <v>1</v>
      </c>
      <c r="I1445">
        <f>Table9[[#This Row],[quantity]]*Table9[[#This Row],[unitPrice]]*(1-Table9[[#This Row],[discount]]/100)</f>
        <v>1039.5</v>
      </c>
      <c r="J1445" t="str">
        <f>_xlfn.XLOOKUP(_xlfn.XLOOKUP(A1445,orders[orderID],orders[customerID],,0),customers__2[customerID],customers__2[companyName],,0)</f>
        <v>Seven Seas Imports</v>
      </c>
      <c r="K1445" t="str">
        <f>_xlfn.XLOOKUP(Table9[[#This Row],[Company Name]],customers__2[companyName],customers__2[country],,0)</f>
        <v>UK</v>
      </c>
      <c r="L1445">
        <f>MONTH(Table9[[#This Row],[OrderDate ]])</f>
        <v>12</v>
      </c>
      <c r="M1445" t="str">
        <f>TEXT(Table9[[#This Row],[OrderDate ]],"mmm")</f>
        <v>Dec</v>
      </c>
      <c r="N1445">
        <f>YEAR(Table9[[#This Row],[OrderDate ]])</f>
        <v>2014</v>
      </c>
    </row>
    <row r="1446" spans="1:14" x14ac:dyDescent="0.3">
      <c r="A1446">
        <v>10800</v>
      </c>
      <c r="B1446" s="2">
        <f>_xlfn.XLOOKUP(Table9[[#This Row],[orderID]],orders[orderID],orders[orderDate],,0)</f>
        <v>41999</v>
      </c>
      <c r="C1446">
        <f>_xlfn.XLOOKUP(A1446,order_details[orderID],order_details[productID],,0)</f>
        <v>11</v>
      </c>
      <c r="D1446" t="str">
        <f>_xlfn.XLOOKUP(C1446,products[productID],products[productName],,0)</f>
        <v>Queso Cabrales</v>
      </c>
      <c r="E1446" t="str">
        <f>_xlfn.XLOOKUP(_xlfn.XLOOKUP(Table9[[#This Row],[ProductName ]],products[productName],products[categoryID],,0),categories[categoryID],categories[categoryName],,0)</f>
        <v>Dairy Products</v>
      </c>
      <c r="F1446">
        <v>10</v>
      </c>
      <c r="G1446">
        <v>53</v>
      </c>
      <c r="H1446">
        <v>1</v>
      </c>
      <c r="I1446">
        <f>Table9[[#This Row],[quantity]]*Table9[[#This Row],[unitPrice]]*(1-Table9[[#This Row],[discount]]/100)</f>
        <v>524.70000000000005</v>
      </c>
      <c r="J1446" t="str">
        <f>_xlfn.XLOOKUP(_xlfn.XLOOKUP(A1446,orders[orderID],orders[customerID],,0),customers__2[customerID],customers__2[companyName],,0)</f>
        <v>Seven Seas Imports</v>
      </c>
      <c r="K1446" t="str">
        <f>_xlfn.XLOOKUP(Table9[[#This Row],[Company Name]],customers__2[companyName],customers__2[country],,0)</f>
        <v>UK</v>
      </c>
      <c r="L1446">
        <f>MONTH(Table9[[#This Row],[OrderDate ]])</f>
        <v>12</v>
      </c>
      <c r="M1446" t="str">
        <f>TEXT(Table9[[#This Row],[OrderDate ]],"mmm")</f>
        <v>Dec</v>
      </c>
      <c r="N1446">
        <f>YEAR(Table9[[#This Row],[OrderDate ]])</f>
        <v>2014</v>
      </c>
    </row>
    <row r="1447" spans="1:14" x14ac:dyDescent="0.3">
      <c r="A1447">
        <v>10800</v>
      </c>
      <c r="B1447" s="2">
        <f>_xlfn.XLOOKUP(Table9[[#This Row],[orderID]],orders[orderID],orders[orderDate],,0)</f>
        <v>41999</v>
      </c>
      <c r="C1447">
        <f>_xlfn.XLOOKUP(A1447,order_details[orderID],order_details[productID],,0)</f>
        <v>11</v>
      </c>
      <c r="D1447" t="str">
        <f>_xlfn.XLOOKUP(C1447,products[productID],products[productName],,0)</f>
        <v>Queso Cabrales</v>
      </c>
      <c r="E1447" t="str">
        <f>_xlfn.XLOOKUP(_xlfn.XLOOKUP(Table9[[#This Row],[ProductName ]],products[productName],products[categoryID],,0),categories[categoryID],categories[categoryName],,0)</f>
        <v>Dairy Products</v>
      </c>
      <c r="F1447">
        <v>7</v>
      </c>
      <c r="G1447">
        <v>745</v>
      </c>
      <c r="H1447">
        <v>1</v>
      </c>
      <c r="I1447">
        <f>Table9[[#This Row],[quantity]]*Table9[[#This Row],[unitPrice]]*(1-Table9[[#This Row],[discount]]/100)</f>
        <v>5162.8500000000004</v>
      </c>
      <c r="J1447" t="str">
        <f>_xlfn.XLOOKUP(_xlfn.XLOOKUP(A1447,orders[orderID],orders[customerID],,0),customers__2[customerID],customers__2[companyName],,0)</f>
        <v>Seven Seas Imports</v>
      </c>
      <c r="K1447" t="str">
        <f>_xlfn.XLOOKUP(Table9[[#This Row],[Company Name]],customers__2[companyName],customers__2[country],,0)</f>
        <v>UK</v>
      </c>
      <c r="L1447">
        <f>MONTH(Table9[[#This Row],[OrderDate ]])</f>
        <v>12</v>
      </c>
      <c r="M1447" t="str">
        <f>TEXT(Table9[[#This Row],[OrderDate ]],"mmm")</f>
        <v>Dec</v>
      </c>
      <c r="N1447">
        <f>YEAR(Table9[[#This Row],[OrderDate ]])</f>
        <v>2014</v>
      </c>
    </row>
    <row r="1448" spans="1:14" x14ac:dyDescent="0.3">
      <c r="A1448">
        <v>10801</v>
      </c>
      <c r="B1448" s="2">
        <f>_xlfn.XLOOKUP(Table9[[#This Row],[orderID]],orders[orderID],orders[orderDate],,0)</f>
        <v>42002</v>
      </c>
      <c r="C1448">
        <f>_xlfn.XLOOKUP(A1448,order_details[orderID],order_details[productID],,0)</f>
        <v>17</v>
      </c>
      <c r="D1448" t="str">
        <f>_xlfn.XLOOKUP(C1448,products[productID],products[productName],,0)</f>
        <v>Alice Mutton</v>
      </c>
      <c r="E1448" t="str">
        <f>_xlfn.XLOOKUP(_xlfn.XLOOKUP(Table9[[#This Row],[ProductName ]],products[productName],products[categoryID],,0),categories[categoryID],categories[categoryName],,0)</f>
        <v>Meat &amp; Poultry</v>
      </c>
      <c r="F1448">
        <v>40</v>
      </c>
      <c r="G1448">
        <v>39</v>
      </c>
      <c r="H1448">
        <v>25</v>
      </c>
      <c r="I1448">
        <f>Table9[[#This Row],[quantity]]*Table9[[#This Row],[unitPrice]]*(1-Table9[[#This Row],[discount]]/100)</f>
        <v>1170</v>
      </c>
      <c r="J1448" t="str">
        <f>_xlfn.XLOOKUP(_xlfn.XLOOKUP(A1448,orders[orderID],orders[customerID],,0),customers__2[customerID],customers__2[companyName],,0)</f>
        <v>Bólido Comidas preparadas</v>
      </c>
      <c r="K1448" t="str">
        <f>_xlfn.XLOOKUP(Table9[[#This Row],[Company Name]],customers__2[companyName],customers__2[country],,0)</f>
        <v>Spain</v>
      </c>
      <c r="L1448">
        <f>MONTH(Table9[[#This Row],[OrderDate ]])</f>
        <v>12</v>
      </c>
      <c r="M1448" t="str">
        <f>TEXT(Table9[[#This Row],[OrderDate ]],"mmm")</f>
        <v>Dec</v>
      </c>
      <c r="N1448">
        <f>YEAR(Table9[[#This Row],[OrderDate ]])</f>
        <v>2014</v>
      </c>
    </row>
    <row r="1449" spans="1:14" x14ac:dyDescent="0.3">
      <c r="A1449">
        <v>10801</v>
      </c>
      <c r="B1449" s="2">
        <f>_xlfn.XLOOKUP(Table9[[#This Row],[orderID]],orders[orderID],orders[orderDate],,0)</f>
        <v>42002</v>
      </c>
      <c r="C1449">
        <f>_xlfn.XLOOKUP(A1449,order_details[orderID],order_details[productID],,0)</f>
        <v>17</v>
      </c>
      <c r="D1449" t="str">
        <f>_xlfn.XLOOKUP(C1449,products[productID],products[productName],,0)</f>
        <v>Alice Mutton</v>
      </c>
      <c r="E1449" t="str">
        <f>_xlfn.XLOOKUP(_xlfn.XLOOKUP(Table9[[#This Row],[ProductName ]],products[productName],products[categoryID],,0),categories[categoryID],categories[categoryName],,0)</f>
        <v>Meat &amp; Poultry</v>
      </c>
      <c r="F1449">
        <v>20</v>
      </c>
      <c r="G1449">
        <v>12379</v>
      </c>
      <c r="H1449">
        <v>25</v>
      </c>
      <c r="I1449">
        <f>Table9[[#This Row],[quantity]]*Table9[[#This Row],[unitPrice]]*(1-Table9[[#This Row],[discount]]/100)</f>
        <v>185685</v>
      </c>
      <c r="J1449" t="str">
        <f>_xlfn.XLOOKUP(_xlfn.XLOOKUP(A1449,orders[orderID],orders[customerID],,0),customers__2[customerID],customers__2[companyName],,0)</f>
        <v>Bólido Comidas preparadas</v>
      </c>
      <c r="K1449" t="str">
        <f>_xlfn.XLOOKUP(Table9[[#This Row],[Company Name]],customers__2[companyName],customers__2[country],,0)</f>
        <v>Spain</v>
      </c>
      <c r="L1449">
        <f>MONTH(Table9[[#This Row],[OrderDate ]])</f>
        <v>12</v>
      </c>
      <c r="M1449" t="str">
        <f>TEXT(Table9[[#This Row],[OrderDate ]],"mmm")</f>
        <v>Dec</v>
      </c>
      <c r="N1449">
        <f>YEAR(Table9[[#This Row],[OrderDate ]])</f>
        <v>2014</v>
      </c>
    </row>
    <row r="1450" spans="1:14" x14ac:dyDescent="0.3">
      <c r="A1450">
        <v>10802</v>
      </c>
      <c r="B1450" s="2">
        <f>_xlfn.XLOOKUP(Table9[[#This Row],[orderID]],orders[orderID],orders[orderDate],,0)</f>
        <v>42002</v>
      </c>
      <c r="C1450">
        <f>_xlfn.XLOOKUP(A1450,order_details[orderID],order_details[productID],,0)</f>
        <v>30</v>
      </c>
      <c r="D1450" t="str">
        <f>_xlfn.XLOOKUP(C1450,products[productID],products[productName],,0)</f>
        <v>Nord-Ost Matjeshering</v>
      </c>
      <c r="E1450" t="str">
        <f>_xlfn.XLOOKUP(_xlfn.XLOOKUP(Table9[[#This Row],[ProductName ]],products[productName],products[categoryID],,0),categories[categoryID],categories[categoryName],,0)</f>
        <v>Seafood</v>
      </c>
      <c r="F1450">
        <v>25</v>
      </c>
      <c r="G1450">
        <v>2589</v>
      </c>
      <c r="H1450">
        <v>25</v>
      </c>
      <c r="I1450">
        <f>Table9[[#This Row],[quantity]]*Table9[[#This Row],[unitPrice]]*(1-Table9[[#This Row],[discount]]/100)</f>
        <v>48543.75</v>
      </c>
      <c r="J1450" t="str">
        <f>_xlfn.XLOOKUP(_xlfn.XLOOKUP(A1450,orders[orderID],orders[customerID],,0),customers__2[customerID],customers__2[companyName],,0)</f>
        <v>Simons bistro</v>
      </c>
      <c r="K1450" t="str">
        <f>_xlfn.XLOOKUP(Table9[[#This Row],[Company Name]],customers__2[companyName],customers__2[country],,0)</f>
        <v>Denmark</v>
      </c>
      <c r="L1450">
        <f>MONTH(Table9[[#This Row],[OrderDate ]])</f>
        <v>12</v>
      </c>
      <c r="M1450" t="str">
        <f>TEXT(Table9[[#This Row],[OrderDate ]],"mmm")</f>
        <v>Dec</v>
      </c>
      <c r="N1450">
        <f>YEAR(Table9[[#This Row],[OrderDate ]])</f>
        <v>2014</v>
      </c>
    </row>
    <row r="1451" spans="1:14" x14ac:dyDescent="0.3">
      <c r="A1451">
        <v>10802</v>
      </c>
      <c r="B1451" s="2">
        <f>_xlfn.XLOOKUP(Table9[[#This Row],[orderID]],orders[orderID],orders[orderDate],,0)</f>
        <v>42002</v>
      </c>
      <c r="C1451">
        <f>_xlfn.XLOOKUP(A1451,order_details[orderID],order_details[productID],,0)</f>
        <v>30</v>
      </c>
      <c r="D1451" t="str">
        <f>_xlfn.XLOOKUP(C1451,products[productID],products[productName],,0)</f>
        <v>Nord-Ost Matjeshering</v>
      </c>
      <c r="E1451" t="str">
        <f>_xlfn.XLOOKUP(_xlfn.XLOOKUP(Table9[[#This Row],[ProductName ]],products[productName],products[categoryID],,0),categories[categoryID],categories[categoryName],,0)</f>
        <v>Seafood</v>
      </c>
      <c r="F1451">
        <v>30</v>
      </c>
      <c r="G1451">
        <v>53</v>
      </c>
      <c r="H1451">
        <v>25</v>
      </c>
      <c r="I1451">
        <f>Table9[[#This Row],[quantity]]*Table9[[#This Row],[unitPrice]]*(1-Table9[[#This Row],[discount]]/100)</f>
        <v>1192.5</v>
      </c>
      <c r="J1451" t="str">
        <f>_xlfn.XLOOKUP(_xlfn.XLOOKUP(A1451,orders[orderID],orders[customerID],,0),customers__2[customerID],customers__2[companyName],,0)</f>
        <v>Simons bistro</v>
      </c>
      <c r="K1451" t="str">
        <f>_xlfn.XLOOKUP(Table9[[#This Row],[Company Name]],customers__2[companyName],customers__2[country],,0)</f>
        <v>Denmark</v>
      </c>
      <c r="L1451">
        <f>MONTH(Table9[[#This Row],[OrderDate ]])</f>
        <v>12</v>
      </c>
      <c r="M1451" t="str">
        <f>TEXT(Table9[[#This Row],[OrderDate ]],"mmm")</f>
        <v>Dec</v>
      </c>
      <c r="N1451">
        <f>YEAR(Table9[[#This Row],[OrderDate ]])</f>
        <v>2014</v>
      </c>
    </row>
    <row r="1452" spans="1:14" x14ac:dyDescent="0.3">
      <c r="A1452">
        <v>10802</v>
      </c>
      <c r="B1452" s="2">
        <f>_xlfn.XLOOKUP(Table9[[#This Row],[orderID]],orders[orderID],orders[orderDate],,0)</f>
        <v>42002</v>
      </c>
      <c r="C1452">
        <f>_xlfn.XLOOKUP(A1452,order_details[orderID],order_details[productID],,0)</f>
        <v>30</v>
      </c>
      <c r="D1452" t="str">
        <f>_xlfn.XLOOKUP(C1452,products[productID],products[productName],,0)</f>
        <v>Nord-Ost Matjeshering</v>
      </c>
      <c r="E1452" t="str">
        <f>_xlfn.XLOOKUP(_xlfn.XLOOKUP(Table9[[#This Row],[ProductName ]],products[productName],products[categoryID],,0),categories[categoryID],categories[categoryName],,0)</f>
        <v>Seafood</v>
      </c>
      <c r="F1452">
        <v>60</v>
      </c>
      <c r="G1452">
        <v>24</v>
      </c>
      <c r="H1452">
        <v>25</v>
      </c>
      <c r="I1452">
        <f>Table9[[#This Row],[quantity]]*Table9[[#This Row],[unitPrice]]*(1-Table9[[#This Row],[discount]]/100)</f>
        <v>1080</v>
      </c>
      <c r="J1452" t="str">
        <f>_xlfn.XLOOKUP(_xlfn.XLOOKUP(A1452,orders[orderID],orders[customerID],,0),customers__2[customerID],customers__2[companyName],,0)</f>
        <v>Simons bistro</v>
      </c>
      <c r="K1452" t="str">
        <f>_xlfn.XLOOKUP(Table9[[#This Row],[Company Name]],customers__2[companyName],customers__2[country],,0)</f>
        <v>Denmark</v>
      </c>
      <c r="L1452">
        <f>MONTH(Table9[[#This Row],[OrderDate ]])</f>
        <v>12</v>
      </c>
      <c r="M1452" t="str">
        <f>TEXT(Table9[[#This Row],[OrderDate ]],"mmm")</f>
        <v>Dec</v>
      </c>
      <c r="N1452">
        <f>YEAR(Table9[[#This Row],[OrderDate ]])</f>
        <v>2014</v>
      </c>
    </row>
    <row r="1453" spans="1:14" x14ac:dyDescent="0.3">
      <c r="A1453">
        <v>10802</v>
      </c>
      <c r="B1453" s="2">
        <f>_xlfn.XLOOKUP(Table9[[#This Row],[orderID]],orders[orderID],orders[orderDate],,0)</f>
        <v>42002</v>
      </c>
      <c r="C1453">
        <f>_xlfn.XLOOKUP(A1453,order_details[orderID],order_details[productID],,0)</f>
        <v>30</v>
      </c>
      <c r="D1453" t="str">
        <f>_xlfn.XLOOKUP(C1453,products[productID],products[productName],,0)</f>
        <v>Nord-Ost Matjeshering</v>
      </c>
      <c r="E1453" t="str">
        <f>_xlfn.XLOOKUP(_xlfn.XLOOKUP(Table9[[#This Row],[ProductName ]],products[productName],products[categoryID],,0),categories[categoryID],categories[categoryName],,0)</f>
        <v>Seafood</v>
      </c>
      <c r="F1453">
        <v>5</v>
      </c>
      <c r="G1453">
        <v>493</v>
      </c>
      <c r="H1453">
        <v>25</v>
      </c>
      <c r="I1453">
        <f>Table9[[#This Row],[quantity]]*Table9[[#This Row],[unitPrice]]*(1-Table9[[#This Row],[discount]]/100)</f>
        <v>1848.75</v>
      </c>
      <c r="J1453" t="str">
        <f>_xlfn.XLOOKUP(_xlfn.XLOOKUP(A1453,orders[orderID],orders[customerID],,0),customers__2[customerID],customers__2[companyName],,0)</f>
        <v>Simons bistro</v>
      </c>
      <c r="K1453" t="str">
        <f>_xlfn.XLOOKUP(Table9[[#This Row],[Company Name]],customers__2[companyName],customers__2[country],,0)</f>
        <v>Denmark</v>
      </c>
      <c r="L1453">
        <f>MONTH(Table9[[#This Row],[OrderDate ]])</f>
        <v>12</v>
      </c>
      <c r="M1453" t="str">
        <f>TEXT(Table9[[#This Row],[OrderDate ]],"mmm")</f>
        <v>Dec</v>
      </c>
      <c r="N1453">
        <f>YEAR(Table9[[#This Row],[OrderDate ]])</f>
        <v>2014</v>
      </c>
    </row>
    <row r="1454" spans="1:14" x14ac:dyDescent="0.3">
      <c r="A1454">
        <v>10803</v>
      </c>
      <c r="B1454" s="2">
        <f>_xlfn.XLOOKUP(Table9[[#This Row],[orderID]],orders[orderID],orders[orderDate],,0)</f>
        <v>42003</v>
      </c>
      <c r="C1454">
        <f>_xlfn.XLOOKUP(A1454,order_details[orderID],order_details[productID],,0)</f>
        <v>19</v>
      </c>
      <c r="D1454" t="str">
        <f>_xlfn.XLOOKUP(C1454,products[productID],products[productName],,0)</f>
        <v>Teatime Chocolate Biscuits</v>
      </c>
      <c r="E1454" t="str">
        <f>_xlfn.XLOOKUP(_xlfn.XLOOKUP(Table9[[#This Row],[ProductName ]],products[productName],products[categoryID],,0),categories[categoryID],categories[categoryName],,0)</f>
        <v>Confections</v>
      </c>
      <c r="F1454">
        <v>24</v>
      </c>
      <c r="G1454">
        <v>92</v>
      </c>
      <c r="H1454">
        <v>5</v>
      </c>
      <c r="I1454">
        <f>Table9[[#This Row],[quantity]]*Table9[[#This Row],[unitPrice]]*(1-Table9[[#This Row],[discount]]/100)</f>
        <v>2097.6</v>
      </c>
      <c r="J1454" t="str">
        <f>_xlfn.XLOOKUP(_xlfn.XLOOKUP(A1454,orders[orderID],orders[customerID],,0),customers__2[customerID],customers__2[companyName],,0)</f>
        <v>Wellington Importadora</v>
      </c>
      <c r="K1454" t="str">
        <f>_xlfn.XLOOKUP(Table9[[#This Row],[Company Name]],customers__2[companyName],customers__2[country],,0)</f>
        <v>Brazil</v>
      </c>
      <c r="L1454">
        <f>MONTH(Table9[[#This Row],[OrderDate ]])</f>
        <v>12</v>
      </c>
      <c r="M1454" t="str">
        <f>TEXT(Table9[[#This Row],[OrderDate ]],"mmm")</f>
        <v>Dec</v>
      </c>
      <c r="N1454">
        <f>YEAR(Table9[[#This Row],[OrderDate ]])</f>
        <v>2014</v>
      </c>
    </row>
    <row r="1455" spans="1:14" x14ac:dyDescent="0.3">
      <c r="A1455">
        <v>10803</v>
      </c>
      <c r="B1455" s="2">
        <f>_xlfn.XLOOKUP(Table9[[#This Row],[orderID]],orders[orderID],orders[orderDate],,0)</f>
        <v>42003</v>
      </c>
      <c r="C1455">
        <f>_xlfn.XLOOKUP(A1455,order_details[orderID],order_details[productID],,0)</f>
        <v>19</v>
      </c>
      <c r="D1455" t="str">
        <f>_xlfn.XLOOKUP(C1455,products[productID],products[productName],,0)</f>
        <v>Teatime Chocolate Biscuits</v>
      </c>
      <c r="E1455" t="str">
        <f>_xlfn.XLOOKUP(_xlfn.XLOOKUP(Table9[[#This Row],[ProductName ]],products[productName],products[categoryID],,0),categories[categoryID],categories[categoryName],,0)</f>
        <v>Confections</v>
      </c>
      <c r="F1455">
        <v>15</v>
      </c>
      <c r="G1455">
        <v>14</v>
      </c>
      <c r="H1455">
        <v>5</v>
      </c>
      <c r="I1455">
        <f>Table9[[#This Row],[quantity]]*Table9[[#This Row],[unitPrice]]*(1-Table9[[#This Row],[discount]]/100)</f>
        <v>199.5</v>
      </c>
      <c r="J1455" t="str">
        <f>_xlfn.XLOOKUP(_xlfn.XLOOKUP(A1455,orders[orderID],orders[customerID],,0),customers__2[customerID],customers__2[companyName],,0)</f>
        <v>Wellington Importadora</v>
      </c>
      <c r="K1455" t="str">
        <f>_xlfn.XLOOKUP(Table9[[#This Row],[Company Name]],customers__2[companyName],customers__2[country],,0)</f>
        <v>Brazil</v>
      </c>
      <c r="L1455">
        <f>MONTH(Table9[[#This Row],[OrderDate ]])</f>
        <v>12</v>
      </c>
      <c r="M1455" t="str">
        <f>TEXT(Table9[[#This Row],[OrderDate ]],"mmm")</f>
        <v>Dec</v>
      </c>
      <c r="N1455">
        <f>YEAR(Table9[[#This Row],[OrderDate ]])</f>
        <v>2014</v>
      </c>
    </row>
    <row r="1456" spans="1:14" x14ac:dyDescent="0.3">
      <c r="A1456">
        <v>10803</v>
      </c>
      <c r="B1456" s="2">
        <f>_xlfn.XLOOKUP(Table9[[#This Row],[orderID]],orders[orderID],orders[orderDate],,0)</f>
        <v>42003</v>
      </c>
      <c r="C1456">
        <f>_xlfn.XLOOKUP(A1456,order_details[orderID],order_details[productID],,0)</f>
        <v>19</v>
      </c>
      <c r="D1456" t="str">
        <f>_xlfn.XLOOKUP(C1456,products[productID],products[productName],,0)</f>
        <v>Teatime Chocolate Biscuits</v>
      </c>
      <c r="E1456" t="str">
        <f>_xlfn.XLOOKUP(_xlfn.XLOOKUP(Table9[[#This Row],[ProductName ]],products[productName],products[categoryID],,0),categories[categoryID],categories[categoryName],,0)</f>
        <v>Confections</v>
      </c>
      <c r="F1456">
        <v>15</v>
      </c>
      <c r="G1456">
        <v>55</v>
      </c>
      <c r="H1456">
        <v>5</v>
      </c>
      <c r="I1456">
        <f>Table9[[#This Row],[quantity]]*Table9[[#This Row],[unitPrice]]*(1-Table9[[#This Row],[discount]]/100)</f>
        <v>783.75</v>
      </c>
      <c r="J1456" t="str">
        <f>_xlfn.XLOOKUP(_xlfn.XLOOKUP(A1456,orders[orderID],orders[customerID],,0),customers__2[customerID],customers__2[companyName],,0)</f>
        <v>Wellington Importadora</v>
      </c>
      <c r="K1456" t="str">
        <f>_xlfn.XLOOKUP(Table9[[#This Row],[Company Name]],customers__2[companyName],customers__2[country],,0)</f>
        <v>Brazil</v>
      </c>
      <c r="L1456">
        <f>MONTH(Table9[[#This Row],[OrderDate ]])</f>
        <v>12</v>
      </c>
      <c r="M1456" t="str">
        <f>TEXT(Table9[[#This Row],[OrderDate ]],"mmm")</f>
        <v>Dec</v>
      </c>
      <c r="N1456">
        <f>YEAR(Table9[[#This Row],[OrderDate ]])</f>
        <v>2014</v>
      </c>
    </row>
    <row r="1457" spans="1:14" x14ac:dyDescent="0.3">
      <c r="A1457">
        <v>10804</v>
      </c>
      <c r="B1457" s="2">
        <f>_xlfn.XLOOKUP(Table9[[#This Row],[orderID]],orders[orderID],orders[orderDate],,0)</f>
        <v>42003</v>
      </c>
      <c r="C1457">
        <f>_xlfn.XLOOKUP(A1457,order_details[orderID],order_details[productID],,0)</f>
        <v>10</v>
      </c>
      <c r="D1457" t="str">
        <f>_xlfn.XLOOKUP(C1457,products[productID],products[productName],,0)</f>
        <v>Ikura</v>
      </c>
      <c r="E1457" t="str">
        <f>_xlfn.XLOOKUP(_xlfn.XLOOKUP(Table9[[#This Row],[ProductName ]],products[productName],products[categoryID],,0),categories[categoryID],categories[categoryName],,0)</f>
        <v>Seafood</v>
      </c>
      <c r="F1457">
        <v>36</v>
      </c>
      <c r="G1457">
        <v>31</v>
      </c>
      <c r="H1457">
        <v>0</v>
      </c>
      <c r="I1457">
        <f>Table9[[#This Row],[quantity]]*Table9[[#This Row],[unitPrice]]*(1-Table9[[#This Row],[discount]]/100)</f>
        <v>1116</v>
      </c>
      <c r="J1457" t="str">
        <f>_xlfn.XLOOKUP(_xlfn.XLOOKUP(A1457,orders[orderID],orders[customerID],,0),customers__2[customerID],customers__2[companyName],,0)</f>
        <v>Seven Seas Imports</v>
      </c>
      <c r="K1457" t="str">
        <f>_xlfn.XLOOKUP(Table9[[#This Row],[Company Name]],customers__2[companyName],customers__2[country],,0)</f>
        <v>UK</v>
      </c>
      <c r="L1457">
        <f>MONTH(Table9[[#This Row],[OrderDate ]])</f>
        <v>12</v>
      </c>
      <c r="M1457" t="str">
        <f>TEXT(Table9[[#This Row],[OrderDate ]],"mmm")</f>
        <v>Dec</v>
      </c>
      <c r="N1457">
        <f>YEAR(Table9[[#This Row],[OrderDate ]])</f>
        <v>2014</v>
      </c>
    </row>
    <row r="1458" spans="1:14" x14ac:dyDescent="0.3">
      <c r="A1458">
        <v>10804</v>
      </c>
      <c r="B1458" s="2">
        <f>_xlfn.XLOOKUP(Table9[[#This Row],[orderID]],orders[orderID],orders[orderDate],,0)</f>
        <v>42003</v>
      </c>
      <c r="C1458">
        <f>_xlfn.XLOOKUP(A1458,order_details[orderID],order_details[productID],,0)</f>
        <v>10</v>
      </c>
      <c r="D1458" t="str">
        <f>_xlfn.XLOOKUP(C1458,products[productID],products[productName],,0)</f>
        <v>Ikura</v>
      </c>
      <c r="E1458" t="str">
        <f>_xlfn.XLOOKUP(_xlfn.XLOOKUP(Table9[[#This Row],[ProductName ]],products[productName],products[categoryID],,0),categories[categoryID],categories[categoryName],,0)</f>
        <v>Seafood</v>
      </c>
      <c r="F1458">
        <v>24</v>
      </c>
      <c r="G1458">
        <v>456</v>
      </c>
      <c r="H1458">
        <v>0</v>
      </c>
      <c r="I1458">
        <f>Table9[[#This Row],[quantity]]*Table9[[#This Row],[unitPrice]]*(1-Table9[[#This Row],[discount]]/100)</f>
        <v>10944</v>
      </c>
      <c r="J1458" t="str">
        <f>_xlfn.XLOOKUP(_xlfn.XLOOKUP(A1458,orders[orderID],orders[customerID],,0),customers__2[customerID],customers__2[companyName],,0)</f>
        <v>Seven Seas Imports</v>
      </c>
      <c r="K1458" t="str">
        <f>_xlfn.XLOOKUP(Table9[[#This Row],[Company Name]],customers__2[companyName],customers__2[country],,0)</f>
        <v>UK</v>
      </c>
      <c r="L1458">
        <f>MONTH(Table9[[#This Row],[OrderDate ]])</f>
        <v>12</v>
      </c>
      <c r="M1458" t="str">
        <f>TEXT(Table9[[#This Row],[OrderDate ]],"mmm")</f>
        <v>Dec</v>
      </c>
      <c r="N1458">
        <f>YEAR(Table9[[#This Row],[OrderDate ]])</f>
        <v>2014</v>
      </c>
    </row>
    <row r="1459" spans="1:14" x14ac:dyDescent="0.3">
      <c r="A1459">
        <v>10804</v>
      </c>
      <c r="B1459" s="2">
        <f>_xlfn.XLOOKUP(Table9[[#This Row],[orderID]],orders[orderID],orders[orderDate],,0)</f>
        <v>42003</v>
      </c>
      <c r="C1459">
        <f>_xlfn.XLOOKUP(A1459,order_details[orderID],order_details[productID],,0)</f>
        <v>10</v>
      </c>
      <c r="D1459" t="str">
        <f>_xlfn.XLOOKUP(C1459,products[productID],products[productName],,0)</f>
        <v>Ikura</v>
      </c>
      <c r="E1459" t="str">
        <f>_xlfn.XLOOKUP(_xlfn.XLOOKUP(Table9[[#This Row],[ProductName ]],products[productName],products[categoryID],,0),categories[categoryID],categories[categoryName],,0)</f>
        <v>Seafood</v>
      </c>
      <c r="F1459">
        <v>4</v>
      </c>
      <c r="G1459">
        <v>20</v>
      </c>
      <c r="H1459">
        <v>15</v>
      </c>
      <c r="I1459">
        <f>Table9[[#This Row],[quantity]]*Table9[[#This Row],[unitPrice]]*(1-Table9[[#This Row],[discount]]/100)</f>
        <v>68</v>
      </c>
      <c r="J1459" t="str">
        <f>_xlfn.XLOOKUP(_xlfn.XLOOKUP(A1459,orders[orderID],orders[customerID],,0),customers__2[customerID],customers__2[companyName],,0)</f>
        <v>Seven Seas Imports</v>
      </c>
      <c r="K1459" t="str">
        <f>_xlfn.XLOOKUP(Table9[[#This Row],[Company Name]],customers__2[companyName],customers__2[country],,0)</f>
        <v>UK</v>
      </c>
      <c r="L1459">
        <f>MONTH(Table9[[#This Row],[OrderDate ]])</f>
        <v>12</v>
      </c>
      <c r="M1459" t="str">
        <f>TEXT(Table9[[#This Row],[OrderDate ]],"mmm")</f>
        <v>Dec</v>
      </c>
      <c r="N1459">
        <f>YEAR(Table9[[#This Row],[OrderDate ]])</f>
        <v>2014</v>
      </c>
    </row>
    <row r="1460" spans="1:14" x14ac:dyDescent="0.3">
      <c r="A1460">
        <v>10805</v>
      </c>
      <c r="B1460" s="2">
        <f>_xlfn.XLOOKUP(Table9[[#This Row],[orderID]],orders[orderID],orders[orderDate],,0)</f>
        <v>42003</v>
      </c>
      <c r="C1460">
        <f>_xlfn.XLOOKUP(A1460,order_details[orderID],order_details[productID],,0)</f>
        <v>34</v>
      </c>
      <c r="D1460" t="str">
        <f>_xlfn.XLOOKUP(C1460,products[productID],products[productName],,0)</f>
        <v>Sasquatch Ale</v>
      </c>
      <c r="E1460" t="str">
        <f>_xlfn.XLOOKUP(_xlfn.XLOOKUP(Table9[[#This Row],[ProductName ]],products[productName],products[categoryID],,0),categories[categoryID],categories[categoryName],,0)</f>
        <v>Beverages</v>
      </c>
      <c r="F1460">
        <v>10</v>
      </c>
      <c r="G1460">
        <v>14</v>
      </c>
      <c r="H1460">
        <v>0</v>
      </c>
      <c r="I1460">
        <f>Table9[[#This Row],[quantity]]*Table9[[#This Row],[unitPrice]]*(1-Table9[[#This Row],[discount]]/100)</f>
        <v>140</v>
      </c>
      <c r="J1460" t="str">
        <f>_xlfn.XLOOKUP(_xlfn.XLOOKUP(A1460,orders[orderID],orders[customerID],,0),customers__2[customerID],customers__2[companyName],,0)</f>
        <v>The Big Cheese</v>
      </c>
      <c r="K1460" t="str">
        <f>_xlfn.XLOOKUP(Table9[[#This Row],[Company Name]],customers__2[companyName],customers__2[country],,0)</f>
        <v>USA</v>
      </c>
      <c r="L1460">
        <f>MONTH(Table9[[#This Row],[OrderDate ]])</f>
        <v>12</v>
      </c>
      <c r="M1460" t="str">
        <f>TEXT(Table9[[#This Row],[OrderDate ]],"mmm")</f>
        <v>Dec</v>
      </c>
      <c r="N1460">
        <f>YEAR(Table9[[#This Row],[OrderDate ]])</f>
        <v>2014</v>
      </c>
    </row>
    <row r="1461" spans="1:14" x14ac:dyDescent="0.3">
      <c r="A1461">
        <v>10805</v>
      </c>
      <c r="B1461" s="2">
        <f>_xlfn.XLOOKUP(Table9[[#This Row],[orderID]],orders[orderID],orders[orderDate],,0)</f>
        <v>42003</v>
      </c>
      <c r="C1461">
        <f>_xlfn.XLOOKUP(A1461,order_details[orderID],order_details[productID],,0)</f>
        <v>34</v>
      </c>
      <c r="D1461" t="str">
        <f>_xlfn.XLOOKUP(C1461,products[productID],products[productName],,0)</f>
        <v>Sasquatch Ale</v>
      </c>
      <c r="E1461" t="str">
        <f>_xlfn.XLOOKUP(_xlfn.XLOOKUP(Table9[[#This Row],[ProductName ]],products[productName],products[categoryID],,0),categories[categoryID],categories[categoryName],,0)</f>
        <v>Beverages</v>
      </c>
      <c r="F1461">
        <v>10</v>
      </c>
      <c r="G1461">
        <v>2635</v>
      </c>
      <c r="H1461">
        <v>0</v>
      </c>
      <c r="I1461">
        <f>Table9[[#This Row],[quantity]]*Table9[[#This Row],[unitPrice]]*(1-Table9[[#This Row],[discount]]/100)</f>
        <v>26350</v>
      </c>
      <c r="J1461" t="str">
        <f>_xlfn.XLOOKUP(_xlfn.XLOOKUP(A1461,orders[orderID],orders[customerID],,0),customers__2[customerID],customers__2[companyName],,0)</f>
        <v>The Big Cheese</v>
      </c>
      <c r="K1461" t="str">
        <f>_xlfn.XLOOKUP(Table9[[#This Row],[Company Name]],customers__2[companyName],customers__2[country],,0)</f>
        <v>USA</v>
      </c>
      <c r="L1461">
        <f>MONTH(Table9[[#This Row],[OrderDate ]])</f>
        <v>12</v>
      </c>
      <c r="M1461" t="str">
        <f>TEXT(Table9[[#This Row],[OrderDate ]],"mmm")</f>
        <v>Dec</v>
      </c>
      <c r="N1461">
        <f>YEAR(Table9[[#This Row],[OrderDate ]])</f>
        <v>2014</v>
      </c>
    </row>
    <row r="1462" spans="1:14" x14ac:dyDescent="0.3">
      <c r="A1462">
        <v>10806</v>
      </c>
      <c r="B1462" s="2">
        <f>_xlfn.XLOOKUP(Table9[[#This Row],[orderID]],orders[orderID],orders[orderDate],,0)</f>
        <v>42004</v>
      </c>
      <c r="C1462">
        <f>_xlfn.XLOOKUP(A1462,order_details[orderID],order_details[productID],,0)</f>
        <v>2</v>
      </c>
      <c r="D1462" t="str">
        <f>_xlfn.XLOOKUP(C1462,products[productID],products[productName],,0)</f>
        <v>Chang</v>
      </c>
      <c r="E1462" t="str">
        <f>_xlfn.XLOOKUP(_xlfn.XLOOKUP(Table9[[#This Row],[ProductName ]],products[productName],products[categoryID],,0),categories[categoryID],categories[categoryName],,0)</f>
        <v>Beverages</v>
      </c>
      <c r="F1462">
        <v>20</v>
      </c>
      <c r="G1462">
        <v>19</v>
      </c>
      <c r="H1462">
        <v>25</v>
      </c>
      <c r="I1462">
        <f>Table9[[#This Row],[quantity]]*Table9[[#This Row],[unitPrice]]*(1-Table9[[#This Row],[discount]]/100)</f>
        <v>285</v>
      </c>
      <c r="J1462" t="str">
        <f>_xlfn.XLOOKUP(_xlfn.XLOOKUP(A1462,orders[orderID],orders[customerID],,0),customers__2[customerID],customers__2[companyName],,0)</f>
        <v>Victuailles en stock</v>
      </c>
      <c r="K1462" t="str">
        <f>_xlfn.XLOOKUP(Table9[[#This Row],[Company Name]],customers__2[companyName],customers__2[country],,0)</f>
        <v>France</v>
      </c>
      <c r="L1462">
        <f>MONTH(Table9[[#This Row],[OrderDate ]])</f>
        <v>12</v>
      </c>
      <c r="M1462" t="str">
        <f>TEXT(Table9[[#This Row],[OrderDate ]],"mmm")</f>
        <v>Dec</v>
      </c>
      <c r="N1462">
        <f>YEAR(Table9[[#This Row],[OrderDate ]])</f>
        <v>2014</v>
      </c>
    </row>
    <row r="1463" spans="1:14" x14ac:dyDescent="0.3">
      <c r="A1463">
        <v>10806</v>
      </c>
      <c r="B1463" s="2">
        <f>_xlfn.XLOOKUP(Table9[[#This Row],[orderID]],orders[orderID],orders[orderDate],,0)</f>
        <v>42004</v>
      </c>
      <c r="C1463">
        <f>_xlfn.XLOOKUP(A1463,order_details[orderID],order_details[productID],,0)</f>
        <v>2</v>
      </c>
      <c r="D1463" t="str">
        <f>_xlfn.XLOOKUP(C1463,products[productID],products[productName],,0)</f>
        <v>Chang</v>
      </c>
      <c r="E1463" t="str">
        <f>_xlfn.XLOOKUP(_xlfn.XLOOKUP(Table9[[#This Row],[ProductName ]],products[productName],products[categoryID],,0),categories[categoryID],categories[categoryName],,0)</f>
        <v>Beverages</v>
      </c>
      <c r="F1463">
        <v>2</v>
      </c>
      <c r="G1463">
        <v>2105</v>
      </c>
      <c r="H1463">
        <v>0</v>
      </c>
      <c r="I1463">
        <f>Table9[[#This Row],[quantity]]*Table9[[#This Row],[unitPrice]]*(1-Table9[[#This Row],[discount]]/100)</f>
        <v>4210</v>
      </c>
      <c r="J1463" t="str">
        <f>_xlfn.XLOOKUP(_xlfn.XLOOKUP(A1463,orders[orderID],orders[customerID],,0),customers__2[customerID],customers__2[companyName],,0)</f>
        <v>Victuailles en stock</v>
      </c>
      <c r="K1463" t="str">
        <f>_xlfn.XLOOKUP(Table9[[#This Row],[Company Name]],customers__2[companyName],customers__2[country],,0)</f>
        <v>France</v>
      </c>
      <c r="L1463">
        <f>MONTH(Table9[[#This Row],[OrderDate ]])</f>
        <v>12</v>
      </c>
      <c r="M1463" t="str">
        <f>TEXT(Table9[[#This Row],[OrderDate ]],"mmm")</f>
        <v>Dec</v>
      </c>
      <c r="N1463">
        <f>YEAR(Table9[[#This Row],[OrderDate ]])</f>
        <v>2014</v>
      </c>
    </row>
    <row r="1464" spans="1:14" x14ac:dyDescent="0.3">
      <c r="A1464">
        <v>10806</v>
      </c>
      <c r="B1464" s="2">
        <f>_xlfn.XLOOKUP(Table9[[#This Row],[orderID]],orders[orderID],orders[orderDate],,0)</f>
        <v>42004</v>
      </c>
      <c r="C1464">
        <f>_xlfn.XLOOKUP(A1464,order_details[orderID],order_details[productID],,0)</f>
        <v>2</v>
      </c>
      <c r="D1464" t="str">
        <f>_xlfn.XLOOKUP(C1464,products[productID],products[productName],,0)</f>
        <v>Chang</v>
      </c>
      <c r="E1464" t="str">
        <f>_xlfn.XLOOKUP(_xlfn.XLOOKUP(Table9[[#This Row],[ProductName ]],products[productName],products[categoryID],,0),categories[categoryID],categories[categoryName],,0)</f>
        <v>Beverages</v>
      </c>
      <c r="F1464">
        <v>15</v>
      </c>
      <c r="G1464">
        <v>10</v>
      </c>
      <c r="H1464">
        <v>25</v>
      </c>
      <c r="I1464">
        <f>Table9[[#This Row],[quantity]]*Table9[[#This Row],[unitPrice]]*(1-Table9[[#This Row],[discount]]/100)</f>
        <v>112.5</v>
      </c>
      <c r="J1464" t="str">
        <f>_xlfn.XLOOKUP(_xlfn.XLOOKUP(A1464,orders[orderID],orders[customerID],,0),customers__2[customerID],customers__2[companyName],,0)</f>
        <v>Victuailles en stock</v>
      </c>
      <c r="K1464" t="str">
        <f>_xlfn.XLOOKUP(Table9[[#This Row],[Company Name]],customers__2[companyName],customers__2[country],,0)</f>
        <v>France</v>
      </c>
      <c r="L1464">
        <f>MONTH(Table9[[#This Row],[OrderDate ]])</f>
        <v>12</v>
      </c>
      <c r="M1464" t="str">
        <f>TEXT(Table9[[#This Row],[OrderDate ]],"mmm")</f>
        <v>Dec</v>
      </c>
      <c r="N1464">
        <f>YEAR(Table9[[#This Row],[OrderDate ]])</f>
        <v>2014</v>
      </c>
    </row>
    <row r="1465" spans="1:14" x14ac:dyDescent="0.3">
      <c r="A1465">
        <v>10807</v>
      </c>
      <c r="B1465" s="2">
        <f>_xlfn.XLOOKUP(Table9[[#This Row],[orderID]],orders[orderID],orders[orderDate],,0)</f>
        <v>42004</v>
      </c>
      <c r="C1465">
        <f>_xlfn.XLOOKUP(A1465,order_details[orderID],order_details[productID],,0)</f>
        <v>40</v>
      </c>
      <c r="D1465" t="str">
        <f>_xlfn.XLOOKUP(C1465,products[productID],products[productName],,0)</f>
        <v>Boston Crab Meat</v>
      </c>
      <c r="E1465" t="str">
        <f>_xlfn.XLOOKUP(_xlfn.XLOOKUP(Table9[[#This Row],[ProductName ]],products[productName],products[categoryID],,0),categories[categoryID],categories[categoryName],,0)</f>
        <v>Seafood</v>
      </c>
      <c r="F1465">
        <v>1</v>
      </c>
      <c r="G1465">
        <v>184</v>
      </c>
      <c r="H1465">
        <v>0</v>
      </c>
      <c r="I1465">
        <f>Table9[[#This Row],[quantity]]*Table9[[#This Row],[unitPrice]]*(1-Table9[[#This Row],[discount]]/100)</f>
        <v>184</v>
      </c>
      <c r="J1465" t="str">
        <f>_xlfn.XLOOKUP(_xlfn.XLOOKUP(A1465,orders[orderID],orders[customerID],,0),customers__2[customerID],customers__2[companyName],,0)</f>
        <v>Franchi S.p.A.</v>
      </c>
      <c r="K1465" t="str">
        <f>_xlfn.XLOOKUP(Table9[[#This Row],[Company Name]],customers__2[companyName],customers__2[country],,0)</f>
        <v>Italy</v>
      </c>
      <c r="L1465">
        <f>MONTH(Table9[[#This Row],[OrderDate ]])</f>
        <v>12</v>
      </c>
      <c r="M1465" t="str">
        <f>TEXT(Table9[[#This Row],[OrderDate ]],"mmm")</f>
        <v>Dec</v>
      </c>
      <c r="N1465">
        <f>YEAR(Table9[[#This Row],[OrderDate ]])</f>
        <v>2014</v>
      </c>
    </row>
    <row r="1466" spans="1:14" x14ac:dyDescent="0.3">
      <c r="A1466">
        <v>10808</v>
      </c>
      <c r="B1466" s="2">
        <f>_xlfn.XLOOKUP(Table9[[#This Row],[orderID]],orders[orderID],orders[orderDate],,0)</f>
        <v>42005</v>
      </c>
      <c r="C1466">
        <f>_xlfn.XLOOKUP(A1466,order_details[orderID],order_details[productID],,0)</f>
        <v>56</v>
      </c>
      <c r="D1466" t="str">
        <f>_xlfn.XLOOKUP(C1466,products[productID],products[productName],,0)</f>
        <v>Gnocchi di nonna Alice</v>
      </c>
      <c r="E1466" t="str">
        <f>_xlfn.XLOOKUP(_xlfn.XLOOKUP(Table9[[#This Row],[ProductName ]],products[productName],products[categoryID],,0),categories[categoryID],categories[categoryName],,0)</f>
        <v>Grains &amp; Cereals</v>
      </c>
      <c r="F1466">
        <v>20</v>
      </c>
      <c r="G1466">
        <v>38</v>
      </c>
      <c r="H1466">
        <v>15</v>
      </c>
      <c r="I1466">
        <f>Table9[[#This Row],[quantity]]*Table9[[#This Row],[unitPrice]]*(1-Table9[[#This Row],[discount]]/100)</f>
        <v>646</v>
      </c>
      <c r="J1466" t="str">
        <f>_xlfn.XLOOKUP(_xlfn.XLOOKUP(A1466,orders[orderID],orders[customerID],,0),customers__2[customerID],customers__2[companyName],,0)</f>
        <v>Old World Delicatessen</v>
      </c>
      <c r="K1466" t="str">
        <f>_xlfn.XLOOKUP(Table9[[#This Row],[Company Name]],customers__2[companyName],customers__2[country],,0)</f>
        <v>USA</v>
      </c>
      <c r="L1466">
        <f>MONTH(Table9[[#This Row],[OrderDate ]])</f>
        <v>1</v>
      </c>
      <c r="M1466" t="str">
        <f>TEXT(Table9[[#This Row],[OrderDate ]],"mmm")</f>
        <v>Jan</v>
      </c>
      <c r="N1466">
        <f>YEAR(Table9[[#This Row],[OrderDate ]])</f>
        <v>2015</v>
      </c>
    </row>
    <row r="1467" spans="1:14" x14ac:dyDescent="0.3">
      <c r="A1467">
        <v>10808</v>
      </c>
      <c r="B1467" s="2">
        <f>_xlfn.XLOOKUP(Table9[[#This Row],[orderID]],orders[orderID],orders[orderDate],,0)</f>
        <v>42005</v>
      </c>
      <c r="C1467">
        <f>_xlfn.XLOOKUP(A1467,order_details[orderID],order_details[productID],,0)</f>
        <v>56</v>
      </c>
      <c r="D1467" t="str">
        <f>_xlfn.XLOOKUP(C1467,products[productID],products[productName],,0)</f>
        <v>Gnocchi di nonna Alice</v>
      </c>
      <c r="E1467" t="str">
        <f>_xlfn.XLOOKUP(_xlfn.XLOOKUP(Table9[[#This Row],[ProductName ]],products[productName],products[categoryID],,0),categories[categoryID],categories[categoryName],,0)</f>
        <v>Grains &amp; Cereals</v>
      </c>
      <c r="F1467">
        <v>50</v>
      </c>
      <c r="G1467">
        <v>18</v>
      </c>
      <c r="H1467">
        <v>15</v>
      </c>
      <c r="I1467">
        <f>Table9[[#This Row],[quantity]]*Table9[[#This Row],[unitPrice]]*(1-Table9[[#This Row],[discount]]/100)</f>
        <v>765</v>
      </c>
      <c r="J1467" t="str">
        <f>_xlfn.XLOOKUP(_xlfn.XLOOKUP(A1467,orders[orderID],orders[customerID],,0),customers__2[customerID],customers__2[companyName],,0)</f>
        <v>Old World Delicatessen</v>
      </c>
      <c r="K1467" t="str">
        <f>_xlfn.XLOOKUP(Table9[[#This Row],[Company Name]],customers__2[companyName],customers__2[country],,0)</f>
        <v>USA</v>
      </c>
      <c r="L1467">
        <f>MONTH(Table9[[#This Row],[OrderDate ]])</f>
        <v>1</v>
      </c>
      <c r="M1467" t="str">
        <f>TEXT(Table9[[#This Row],[OrderDate ]],"mmm")</f>
        <v>Jan</v>
      </c>
      <c r="N1467">
        <f>YEAR(Table9[[#This Row],[OrderDate ]])</f>
        <v>2015</v>
      </c>
    </row>
    <row r="1468" spans="1:14" x14ac:dyDescent="0.3">
      <c r="A1468">
        <v>10809</v>
      </c>
      <c r="B1468" s="2">
        <f>_xlfn.XLOOKUP(Table9[[#This Row],[orderID]],orders[orderID],orders[orderDate],,0)</f>
        <v>42005</v>
      </c>
      <c r="C1468">
        <f>_xlfn.XLOOKUP(A1468,order_details[orderID],order_details[productID],,0)</f>
        <v>52</v>
      </c>
      <c r="D1468" t="str">
        <f>_xlfn.XLOOKUP(C1468,products[productID],products[productName],,0)</f>
        <v>Filo Mix</v>
      </c>
      <c r="E1468" t="str">
        <f>_xlfn.XLOOKUP(_xlfn.XLOOKUP(Table9[[#This Row],[ProductName ]],products[productName],products[categoryID],,0),categories[categoryID],categories[categoryName],,0)</f>
        <v>Grains &amp; Cereals</v>
      </c>
      <c r="F1468">
        <v>20</v>
      </c>
      <c r="G1468">
        <v>7</v>
      </c>
      <c r="H1468">
        <v>0</v>
      </c>
      <c r="I1468">
        <f>Table9[[#This Row],[quantity]]*Table9[[#This Row],[unitPrice]]*(1-Table9[[#This Row],[discount]]/100)</f>
        <v>140</v>
      </c>
      <c r="J1468" t="str">
        <f>_xlfn.XLOOKUP(_xlfn.XLOOKUP(A1468,orders[orderID],orders[customerID],,0),customers__2[customerID],customers__2[companyName],,0)</f>
        <v>Wellington Importadora</v>
      </c>
      <c r="K1468" t="str">
        <f>_xlfn.XLOOKUP(Table9[[#This Row],[Company Name]],customers__2[companyName],customers__2[country],,0)</f>
        <v>Brazil</v>
      </c>
      <c r="L1468">
        <f>MONTH(Table9[[#This Row],[OrderDate ]])</f>
        <v>1</v>
      </c>
      <c r="M1468" t="str">
        <f>TEXT(Table9[[#This Row],[OrderDate ]],"mmm")</f>
        <v>Jan</v>
      </c>
      <c r="N1468">
        <f>YEAR(Table9[[#This Row],[OrderDate ]])</f>
        <v>2015</v>
      </c>
    </row>
    <row r="1469" spans="1:14" x14ac:dyDescent="0.3">
      <c r="A1469">
        <v>10810</v>
      </c>
      <c r="B1469" s="2">
        <f>_xlfn.XLOOKUP(Table9[[#This Row],[orderID]],orders[orderID],orders[orderDate],,0)</f>
        <v>42005</v>
      </c>
      <c r="C1469">
        <f>_xlfn.XLOOKUP(A1469,order_details[orderID],order_details[productID],,0)</f>
        <v>13</v>
      </c>
      <c r="D1469" t="str">
        <f>_xlfn.XLOOKUP(C1469,products[productID],products[productName],,0)</f>
        <v>Konbu</v>
      </c>
      <c r="E1469" t="str">
        <f>_xlfn.XLOOKUP(_xlfn.XLOOKUP(Table9[[#This Row],[ProductName ]],products[productName],products[categoryID],,0),categories[categoryID],categories[categoryName],,0)</f>
        <v>Seafood</v>
      </c>
      <c r="F1469">
        <v>7</v>
      </c>
      <c r="G1469">
        <v>6</v>
      </c>
      <c r="H1469">
        <v>0</v>
      </c>
      <c r="I1469">
        <f>Table9[[#This Row],[quantity]]*Table9[[#This Row],[unitPrice]]*(1-Table9[[#This Row],[discount]]/100)</f>
        <v>42</v>
      </c>
      <c r="J1469" t="str">
        <f>_xlfn.XLOOKUP(_xlfn.XLOOKUP(A1469,orders[orderID],orders[customerID],,0),customers__2[customerID],customers__2[companyName],,0)</f>
        <v>Laughing Bacchus Wine Cellars</v>
      </c>
      <c r="K1469" t="str">
        <f>_xlfn.XLOOKUP(Table9[[#This Row],[Company Name]],customers__2[companyName],customers__2[country],,0)</f>
        <v>Canada</v>
      </c>
      <c r="L1469">
        <f>MONTH(Table9[[#This Row],[OrderDate ]])</f>
        <v>1</v>
      </c>
      <c r="M1469" t="str">
        <f>TEXT(Table9[[#This Row],[OrderDate ]],"mmm")</f>
        <v>Jan</v>
      </c>
      <c r="N1469">
        <f>YEAR(Table9[[#This Row],[OrderDate ]])</f>
        <v>2015</v>
      </c>
    </row>
    <row r="1470" spans="1:14" x14ac:dyDescent="0.3">
      <c r="A1470">
        <v>10810</v>
      </c>
      <c r="B1470" s="2">
        <f>_xlfn.XLOOKUP(Table9[[#This Row],[orderID]],orders[orderID],orders[orderDate],,0)</f>
        <v>42005</v>
      </c>
      <c r="C1470">
        <f>_xlfn.XLOOKUP(A1470,order_details[orderID],order_details[productID],,0)</f>
        <v>13</v>
      </c>
      <c r="D1470" t="str">
        <f>_xlfn.XLOOKUP(C1470,products[productID],products[productName],,0)</f>
        <v>Konbu</v>
      </c>
      <c r="E1470" t="str">
        <f>_xlfn.XLOOKUP(_xlfn.XLOOKUP(Table9[[#This Row],[ProductName ]],products[productName],products[categoryID],,0),categories[categoryID],categories[categoryName],,0)</f>
        <v>Seafood</v>
      </c>
      <c r="F1470">
        <v>5</v>
      </c>
      <c r="G1470">
        <v>14</v>
      </c>
      <c r="H1470">
        <v>0</v>
      </c>
      <c r="I1470">
        <f>Table9[[#This Row],[quantity]]*Table9[[#This Row],[unitPrice]]*(1-Table9[[#This Row],[discount]]/100)</f>
        <v>70</v>
      </c>
      <c r="J1470" t="str">
        <f>_xlfn.XLOOKUP(_xlfn.XLOOKUP(A1470,orders[orderID],orders[customerID],,0),customers__2[customerID],customers__2[companyName],,0)</f>
        <v>Laughing Bacchus Wine Cellars</v>
      </c>
      <c r="K1470" t="str">
        <f>_xlfn.XLOOKUP(Table9[[#This Row],[Company Name]],customers__2[companyName],customers__2[country],,0)</f>
        <v>Canada</v>
      </c>
      <c r="L1470">
        <f>MONTH(Table9[[#This Row],[OrderDate ]])</f>
        <v>1</v>
      </c>
      <c r="M1470" t="str">
        <f>TEXT(Table9[[#This Row],[OrderDate ]],"mmm")</f>
        <v>Jan</v>
      </c>
      <c r="N1470">
        <f>YEAR(Table9[[#This Row],[OrderDate ]])</f>
        <v>2015</v>
      </c>
    </row>
    <row r="1471" spans="1:14" x14ac:dyDescent="0.3">
      <c r="A1471">
        <v>10810</v>
      </c>
      <c r="B1471" s="2">
        <f>_xlfn.XLOOKUP(Table9[[#This Row],[orderID]],orders[orderID],orders[orderDate],,0)</f>
        <v>42005</v>
      </c>
      <c r="C1471">
        <f>_xlfn.XLOOKUP(A1471,order_details[orderID],order_details[productID],,0)</f>
        <v>13</v>
      </c>
      <c r="D1471" t="str">
        <f>_xlfn.XLOOKUP(C1471,products[productID],products[productName],,0)</f>
        <v>Konbu</v>
      </c>
      <c r="E1471" t="str">
        <f>_xlfn.XLOOKUP(_xlfn.XLOOKUP(Table9[[#This Row],[ProductName ]],products[productName],products[categoryID],,0),categories[categoryID],categories[categoryName],,0)</f>
        <v>Seafood</v>
      </c>
      <c r="F1471">
        <v>5</v>
      </c>
      <c r="G1471">
        <v>15</v>
      </c>
      <c r="H1471">
        <v>0</v>
      </c>
      <c r="I1471">
        <f>Table9[[#This Row],[quantity]]*Table9[[#This Row],[unitPrice]]*(1-Table9[[#This Row],[discount]]/100)</f>
        <v>75</v>
      </c>
      <c r="J1471" t="str">
        <f>_xlfn.XLOOKUP(_xlfn.XLOOKUP(A1471,orders[orderID],orders[customerID],,0),customers__2[customerID],customers__2[companyName],,0)</f>
        <v>Laughing Bacchus Wine Cellars</v>
      </c>
      <c r="K1471" t="str">
        <f>_xlfn.XLOOKUP(Table9[[#This Row],[Company Name]],customers__2[companyName],customers__2[country],,0)</f>
        <v>Canada</v>
      </c>
      <c r="L1471">
        <f>MONTH(Table9[[#This Row],[OrderDate ]])</f>
        <v>1</v>
      </c>
      <c r="M1471" t="str">
        <f>TEXT(Table9[[#This Row],[OrderDate ]],"mmm")</f>
        <v>Jan</v>
      </c>
      <c r="N1471">
        <f>YEAR(Table9[[#This Row],[OrderDate ]])</f>
        <v>2015</v>
      </c>
    </row>
    <row r="1472" spans="1:14" x14ac:dyDescent="0.3">
      <c r="A1472">
        <v>10811</v>
      </c>
      <c r="B1472" s="2">
        <f>_xlfn.XLOOKUP(Table9[[#This Row],[orderID]],orders[orderID],orders[orderDate],,0)</f>
        <v>42006</v>
      </c>
      <c r="C1472">
        <f>_xlfn.XLOOKUP(A1472,order_details[orderID],order_details[productID],,0)</f>
        <v>19</v>
      </c>
      <c r="D1472" t="str">
        <f>_xlfn.XLOOKUP(C1472,products[productID],products[productName],,0)</f>
        <v>Teatime Chocolate Biscuits</v>
      </c>
      <c r="E1472" t="str">
        <f>_xlfn.XLOOKUP(_xlfn.XLOOKUP(Table9[[#This Row],[ProductName ]],products[productName],products[categoryID],,0),categories[categoryID],categories[categoryName],,0)</f>
        <v>Confections</v>
      </c>
      <c r="F1472">
        <v>15</v>
      </c>
      <c r="G1472">
        <v>92</v>
      </c>
      <c r="H1472">
        <v>0</v>
      </c>
      <c r="I1472">
        <f>Table9[[#This Row],[quantity]]*Table9[[#This Row],[unitPrice]]*(1-Table9[[#This Row],[discount]]/100)</f>
        <v>1380</v>
      </c>
      <c r="J1472" t="str">
        <f>_xlfn.XLOOKUP(_xlfn.XLOOKUP(A1472,orders[orderID],orders[customerID],,0),customers__2[customerID],customers__2[companyName],,0)</f>
        <v>LINO-Delicateses</v>
      </c>
      <c r="K1472" t="str">
        <f>_xlfn.XLOOKUP(Table9[[#This Row],[Company Name]],customers__2[companyName],customers__2[country],,0)</f>
        <v>Venezuela</v>
      </c>
      <c r="L1472">
        <f>MONTH(Table9[[#This Row],[OrderDate ]])</f>
        <v>1</v>
      </c>
      <c r="M1472" t="str">
        <f>TEXT(Table9[[#This Row],[OrderDate ]],"mmm")</f>
        <v>Jan</v>
      </c>
      <c r="N1472">
        <f>YEAR(Table9[[#This Row],[OrderDate ]])</f>
        <v>2015</v>
      </c>
    </row>
    <row r="1473" spans="1:14" x14ac:dyDescent="0.3">
      <c r="A1473">
        <v>10811</v>
      </c>
      <c r="B1473" s="2">
        <f>_xlfn.XLOOKUP(Table9[[#This Row],[orderID]],orders[orderID],orders[orderDate],,0)</f>
        <v>42006</v>
      </c>
      <c r="C1473">
        <f>_xlfn.XLOOKUP(A1473,order_details[orderID],order_details[productID],,0)</f>
        <v>19</v>
      </c>
      <c r="D1473" t="str">
        <f>_xlfn.XLOOKUP(C1473,products[productID],products[productName],,0)</f>
        <v>Teatime Chocolate Biscuits</v>
      </c>
      <c r="E1473" t="str">
        <f>_xlfn.XLOOKUP(_xlfn.XLOOKUP(Table9[[#This Row],[ProductName ]],products[productName],products[categoryID],,0),categories[categoryID],categories[categoryName],,0)</f>
        <v>Confections</v>
      </c>
      <c r="F1473">
        <v>18</v>
      </c>
      <c r="G1473">
        <v>9</v>
      </c>
      <c r="H1473">
        <v>0</v>
      </c>
      <c r="I1473">
        <f>Table9[[#This Row],[quantity]]*Table9[[#This Row],[unitPrice]]*(1-Table9[[#This Row],[discount]]/100)</f>
        <v>162</v>
      </c>
      <c r="J1473" t="str">
        <f>_xlfn.XLOOKUP(_xlfn.XLOOKUP(A1473,orders[orderID],orders[customerID],,0),customers__2[customerID],customers__2[companyName],,0)</f>
        <v>LINO-Delicateses</v>
      </c>
      <c r="K1473" t="str">
        <f>_xlfn.XLOOKUP(Table9[[#This Row],[Company Name]],customers__2[companyName],customers__2[country],,0)</f>
        <v>Venezuela</v>
      </c>
      <c r="L1473">
        <f>MONTH(Table9[[#This Row],[OrderDate ]])</f>
        <v>1</v>
      </c>
      <c r="M1473" t="str">
        <f>TEXT(Table9[[#This Row],[OrderDate ]],"mmm")</f>
        <v>Jan</v>
      </c>
      <c r="N1473">
        <f>YEAR(Table9[[#This Row],[OrderDate ]])</f>
        <v>2015</v>
      </c>
    </row>
    <row r="1474" spans="1:14" x14ac:dyDescent="0.3">
      <c r="A1474">
        <v>10811</v>
      </c>
      <c r="B1474" s="2">
        <f>_xlfn.XLOOKUP(Table9[[#This Row],[orderID]],orders[orderID],orders[orderDate],,0)</f>
        <v>42006</v>
      </c>
      <c r="C1474">
        <f>_xlfn.XLOOKUP(A1474,order_details[orderID],order_details[productID],,0)</f>
        <v>19</v>
      </c>
      <c r="D1474" t="str">
        <f>_xlfn.XLOOKUP(C1474,products[productID],products[productName],,0)</f>
        <v>Teatime Chocolate Biscuits</v>
      </c>
      <c r="E1474" t="str">
        <f>_xlfn.XLOOKUP(_xlfn.XLOOKUP(Table9[[#This Row],[ProductName ]],products[productName],products[categoryID],,0),categories[categoryID],categories[categoryName],,0)</f>
        <v>Confections</v>
      </c>
      <c r="F1474">
        <v>30</v>
      </c>
      <c r="G1474">
        <v>184</v>
      </c>
      <c r="H1474">
        <v>0</v>
      </c>
      <c r="I1474">
        <f>Table9[[#This Row],[quantity]]*Table9[[#This Row],[unitPrice]]*(1-Table9[[#This Row],[discount]]/100)</f>
        <v>5520</v>
      </c>
      <c r="J1474" t="str">
        <f>_xlfn.XLOOKUP(_xlfn.XLOOKUP(A1474,orders[orderID],orders[customerID],,0),customers__2[customerID],customers__2[companyName],,0)</f>
        <v>LINO-Delicateses</v>
      </c>
      <c r="K1474" t="str">
        <f>_xlfn.XLOOKUP(Table9[[#This Row],[Company Name]],customers__2[companyName],customers__2[country],,0)</f>
        <v>Venezuela</v>
      </c>
      <c r="L1474">
        <f>MONTH(Table9[[#This Row],[OrderDate ]])</f>
        <v>1</v>
      </c>
      <c r="M1474" t="str">
        <f>TEXT(Table9[[#This Row],[OrderDate ]],"mmm")</f>
        <v>Jan</v>
      </c>
      <c r="N1474">
        <f>YEAR(Table9[[#This Row],[OrderDate ]])</f>
        <v>2015</v>
      </c>
    </row>
    <row r="1475" spans="1:14" x14ac:dyDescent="0.3">
      <c r="A1475">
        <v>10812</v>
      </c>
      <c r="B1475" s="2">
        <f>_xlfn.XLOOKUP(Table9[[#This Row],[orderID]],orders[orderID],orders[orderDate],,0)</f>
        <v>42006</v>
      </c>
      <c r="C1475">
        <f>_xlfn.XLOOKUP(A1475,order_details[orderID],order_details[productID],,0)</f>
        <v>31</v>
      </c>
      <c r="D1475" t="str">
        <f>_xlfn.XLOOKUP(C1475,products[productID],products[productName],,0)</f>
        <v>Gorgonzola Telino</v>
      </c>
      <c r="E1475" t="str">
        <f>_xlfn.XLOOKUP(_xlfn.XLOOKUP(Table9[[#This Row],[ProductName ]],products[productName],products[categoryID],,0),categories[categoryID],categories[categoryName],,0)</f>
        <v>Dairy Products</v>
      </c>
      <c r="F1475">
        <v>16</v>
      </c>
      <c r="G1475">
        <v>125</v>
      </c>
      <c r="H1475">
        <v>1</v>
      </c>
      <c r="I1475">
        <f>Table9[[#This Row],[quantity]]*Table9[[#This Row],[unitPrice]]*(1-Table9[[#This Row],[discount]]/100)</f>
        <v>1980</v>
      </c>
      <c r="J1475" t="str">
        <f>_xlfn.XLOOKUP(_xlfn.XLOOKUP(A1475,orders[orderID],orders[customerID],,0),customers__2[customerID],customers__2[companyName],,0)</f>
        <v>Reggiani Caseifici</v>
      </c>
      <c r="K1475" t="str">
        <f>_xlfn.XLOOKUP(Table9[[#This Row],[Company Name]],customers__2[companyName],customers__2[country],,0)</f>
        <v>Italy</v>
      </c>
      <c r="L1475">
        <f>MONTH(Table9[[#This Row],[OrderDate ]])</f>
        <v>1</v>
      </c>
      <c r="M1475" t="str">
        <f>TEXT(Table9[[#This Row],[OrderDate ]],"mmm")</f>
        <v>Jan</v>
      </c>
      <c r="N1475">
        <f>YEAR(Table9[[#This Row],[OrderDate ]])</f>
        <v>2015</v>
      </c>
    </row>
    <row r="1476" spans="1:14" x14ac:dyDescent="0.3">
      <c r="A1476">
        <v>10812</v>
      </c>
      <c r="B1476" s="2">
        <f>_xlfn.XLOOKUP(Table9[[#This Row],[orderID]],orders[orderID],orders[orderDate],,0)</f>
        <v>42006</v>
      </c>
      <c r="C1476">
        <f>_xlfn.XLOOKUP(A1476,order_details[orderID],order_details[productID],,0)</f>
        <v>31</v>
      </c>
      <c r="D1476" t="str">
        <f>_xlfn.XLOOKUP(C1476,products[productID],products[productName],,0)</f>
        <v>Gorgonzola Telino</v>
      </c>
      <c r="E1476" t="str">
        <f>_xlfn.XLOOKUP(_xlfn.XLOOKUP(Table9[[#This Row],[ProductName ]],products[productName],products[categoryID],,0),categories[categoryID],categories[categoryName],,0)</f>
        <v>Dairy Products</v>
      </c>
      <c r="F1476">
        <v>40</v>
      </c>
      <c r="G1476">
        <v>348</v>
      </c>
      <c r="H1476">
        <v>1</v>
      </c>
      <c r="I1476">
        <f>Table9[[#This Row],[quantity]]*Table9[[#This Row],[unitPrice]]*(1-Table9[[#This Row],[discount]]/100)</f>
        <v>13780.8</v>
      </c>
      <c r="J1476" t="str">
        <f>_xlfn.XLOOKUP(_xlfn.XLOOKUP(A1476,orders[orderID],orders[customerID],,0),customers__2[customerID],customers__2[companyName],,0)</f>
        <v>Reggiani Caseifici</v>
      </c>
      <c r="K1476" t="str">
        <f>_xlfn.XLOOKUP(Table9[[#This Row],[Company Name]],customers__2[companyName],customers__2[country],,0)</f>
        <v>Italy</v>
      </c>
      <c r="L1476">
        <f>MONTH(Table9[[#This Row],[OrderDate ]])</f>
        <v>1</v>
      </c>
      <c r="M1476" t="str">
        <f>TEXT(Table9[[#This Row],[OrderDate ]],"mmm")</f>
        <v>Jan</v>
      </c>
      <c r="N1476">
        <f>YEAR(Table9[[#This Row],[OrderDate ]])</f>
        <v>2015</v>
      </c>
    </row>
    <row r="1477" spans="1:14" x14ac:dyDescent="0.3">
      <c r="A1477">
        <v>10812</v>
      </c>
      <c r="B1477" s="2">
        <f>_xlfn.XLOOKUP(Table9[[#This Row],[orderID]],orders[orderID],orders[orderDate],,0)</f>
        <v>42006</v>
      </c>
      <c r="C1477">
        <f>_xlfn.XLOOKUP(A1477,order_details[orderID],order_details[productID],,0)</f>
        <v>31</v>
      </c>
      <c r="D1477" t="str">
        <f>_xlfn.XLOOKUP(C1477,products[productID],products[productName],,0)</f>
        <v>Gorgonzola Telino</v>
      </c>
      <c r="E1477" t="str">
        <f>_xlfn.XLOOKUP(_xlfn.XLOOKUP(Table9[[#This Row],[ProductName ]],products[productName],products[categoryID],,0),categories[categoryID],categories[categoryName],,0)</f>
        <v>Dairy Products</v>
      </c>
      <c r="F1477">
        <v>20</v>
      </c>
      <c r="G1477">
        <v>13</v>
      </c>
      <c r="H1477">
        <v>0</v>
      </c>
      <c r="I1477">
        <f>Table9[[#This Row],[quantity]]*Table9[[#This Row],[unitPrice]]*(1-Table9[[#This Row],[discount]]/100)</f>
        <v>260</v>
      </c>
      <c r="J1477" t="str">
        <f>_xlfn.XLOOKUP(_xlfn.XLOOKUP(A1477,orders[orderID],orders[customerID],,0),customers__2[customerID],customers__2[companyName],,0)</f>
        <v>Reggiani Caseifici</v>
      </c>
      <c r="K1477" t="str">
        <f>_xlfn.XLOOKUP(Table9[[#This Row],[Company Name]],customers__2[companyName],customers__2[country],,0)</f>
        <v>Italy</v>
      </c>
      <c r="L1477">
        <f>MONTH(Table9[[#This Row],[OrderDate ]])</f>
        <v>1</v>
      </c>
      <c r="M1477" t="str">
        <f>TEXT(Table9[[#This Row],[OrderDate ]],"mmm")</f>
        <v>Jan</v>
      </c>
      <c r="N1477">
        <f>YEAR(Table9[[#This Row],[OrderDate ]])</f>
        <v>2015</v>
      </c>
    </row>
    <row r="1478" spans="1:14" x14ac:dyDescent="0.3">
      <c r="A1478">
        <v>10813</v>
      </c>
      <c r="B1478" s="2">
        <f>_xlfn.XLOOKUP(Table9[[#This Row],[orderID]],orders[orderID],orders[orderDate],,0)</f>
        <v>42009</v>
      </c>
      <c r="C1478">
        <f>_xlfn.XLOOKUP(A1478,order_details[orderID],order_details[productID],,0)</f>
        <v>2</v>
      </c>
      <c r="D1478" t="str">
        <f>_xlfn.XLOOKUP(C1478,products[productID],products[productName],,0)</f>
        <v>Chang</v>
      </c>
      <c r="E1478" t="str">
        <f>_xlfn.XLOOKUP(_xlfn.XLOOKUP(Table9[[#This Row],[ProductName ]],products[productName],products[categoryID],,0),categories[categoryID],categories[categoryName],,0)</f>
        <v>Beverages</v>
      </c>
      <c r="F1478">
        <v>12</v>
      </c>
      <c r="G1478">
        <v>19</v>
      </c>
      <c r="H1478">
        <v>2</v>
      </c>
      <c r="I1478">
        <f>Table9[[#This Row],[quantity]]*Table9[[#This Row],[unitPrice]]*(1-Table9[[#This Row],[discount]]/100)</f>
        <v>223.44</v>
      </c>
      <c r="J1478" t="str">
        <f>_xlfn.XLOOKUP(_xlfn.XLOOKUP(A1478,orders[orderID],orders[customerID],,0),customers__2[customerID],customers__2[companyName],,0)</f>
        <v>Ricardo Adocicados</v>
      </c>
      <c r="K1478" t="str">
        <f>_xlfn.XLOOKUP(Table9[[#This Row],[Company Name]],customers__2[companyName],customers__2[country],,0)</f>
        <v>Brazil</v>
      </c>
      <c r="L1478">
        <f>MONTH(Table9[[#This Row],[OrderDate ]])</f>
        <v>1</v>
      </c>
      <c r="M1478" t="str">
        <f>TEXT(Table9[[#This Row],[OrderDate ]],"mmm")</f>
        <v>Jan</v>
      </c>
      <c r="N1478">
        <f>YEAR(Table9[[#This Row],[OrderDate ]])</f>
        <v>2015</v>
      </c>
    </row>
    <row r="1479" spans="1:14" x14ac:dyDescent="0.3">
      <c r="A1479">
        <v>10813</v>
      </c>
      <c r="B1479" s="2">
        <f>_xlfn.XLOOKUP(Table9[[#This Row],[orderID]],orders[orderID],orders[orderDate],,0)</f>
        <v>42009</v>
      </c>
      <c r="C1479">
        <f>_xlfn.XLOOKUP(A1479,order_details[orderID],order_details[productID],,0)</f>
        <v>2</v>
      </c>
      <c r="D1479" t="str">
        <f>_xlfn.XLOOKUP(C1479,products[productID],products[productName],,0)</f>
        <v>Chang</v>
      </c>
      <c r="E1479" t="str">
        <f>_xlfn.XLOOKUP(_xlfn.XLOOKUP(Table9[[#This Row],[ProductName ]],products[productName],products[categoryID],,0),categories[categoryID],categories[categoryName],,0)</f>
        <v>Beverages</v>
      </c>
      <c r="F1479">
        <v>35</v>
      </c>
      <c r="G1479">
        <v>12</v>
      </c>
      <c r="H1479">
        <v>0</v>
      </c>
      <c r="I1479">
        <f>Table9[[#This Row],[quantity]]*Table9[[#This Row],[unitPrice]]*(1-Table9[[#This Row],[discount]]/100)</f>
        <v>420</v>
      </c>
      <c r="J1479" t="str">
        <f>_xlfn.XLOOKUP(_xlfn.XLOOKUP(A1479,orders[orderID],orders[customerID],,0),customers__2[customerID],customers__2[companyName],,0)</f>
        <v>Ricardo Adocicados</v>
      </c>
      <c r="K1479" t="str">
        <f>_xlfn.XLOOKUP(Table9[[#This Row],[Company Name]],customers__2[companyName],customers__2[country],,0)</f>
        <v>Brazil</v>
      </c>
      <c r="L1479">
        <f>MONTH(Table9[[#This Row],[OrderDate ]])</f>
        <v>1</v>
      </c>
      <c r="M1479" t="str">
        <f>TEXT(Table9[[#This Row],[OrderDate ]],"mmm")</f>
        <v>Jan</v>
      </c>
      <c r="N1479">
        <f>YEAR(Table9[[#This Row],[OrderDate ]])</f>
        <v>2015</v>
      </c>
    </row>
    <row r="1480" spans="1:14" x14ac:dyDescent="0.3">
      <c r="A1480">
        <v>10814</v>
      </c>
      <c r="B1480" s="2">
        <f>_xlfn.XLOOKUP(Table9[[#This Row],[orderID]],orders[orderID],orders[orderDate],,0)</f>
        <v>42009</v>
      </c>
      <c r="C1480">
        <f>_xlfn.XLOOKUP(A1480,order_details[orderID],order_details[productID],,0)</f>
        <v>41</v>
      </c>
      <c r="D1480" t="str">
        <f>_xlfn.XLOOKUP(C1480,products[productID],products[productName],,0)</f>
        <v>Jack's New England Clam Chowder</v>
      </c>
      <c r="E1480" t="str">
        <f>_xlfn.XLOOKUP(_xlfn.XLOOKUP(Table9[[#This Row],[ProductName ]],products[productName],products[categoryID],,0),categories[categoryID],categories[categoryName],,0)</f>
        <v>Seafood</v>
      </c>
      <c r="F1480">
        <v>20</v>
      </c>
      <c r="G1480">
        <v>965</v>
      </c>
      <c r="H1480">
        <v>0</v>
      </c>
      <c r="I1480">
        <f>Table9[[#This Row],[quantity]]*Table9[[#This Row],[unitPrice]]*(1-Table9[[#This Row],[discount]]/100)</f>
        <v>19300</v>
      </c>
      <c r="J1480" t="str">
        <f>_xlfn.XLOOKUP(_xlfn.XLOOKUP(A1480,orders[orderID],orders[customerID],,0),customers__2[customerID],customers__2[companyName],,0)</f>
        <v>Victuailles en stock</v>
      </c>
      <c r="K1480" t="str">
        <f>_xlfn.XLOOKUP(Table9[[#This Row],[Company Name]],customers__2[companyName],customers__2[country],,0)</f>
        <v>France</v>
      </c>
      <c r="L1480">
        <f>MONTH(Table9[[#This Row],[OrderDate ]])</f>
        <v>1</v>
      </c>
      <c r="M1480" t="str">
        <f>TEXT(Table9[[#This Row],[OrderDate ]],"mmm")</f>
        <v>Jan</v>
      </c>
      <c r="N1480">
        <f>YEAR(Table9[[#This Row],[OrderDate ]])</f>
        <v>2015</v>
      </c>
    </row>
    <row r="1481" spans="1:14" x14ac:dyDescent="0.3">
      <c r="A1481">
        <v>10814</v>
      </c>
      <c r="B1481" s="2">
        <f>_xlfn.XLOOKUP(Table9[[#This Row],[orderID]],orders[orderID],orders[orderDate],,0)</f>
        <v>42009</v>
      </c>
      <c r="C1481">
        <f>_xlfn.XLOOKUP(A1481,order_details[orderID],order_details[productID],,0)</f>
        <v>41</v>
      </c>
      <c r="D1481" t="str">
        <f>_xlfn.XLOOKUP(C1481,products[productID],products[productName],,0)</f>
        <v>Jack's New England Clam Chowder</v>
      </c>
      <c r="E1481" t="str">
        <f>_xlfn.XLOOKUP(_xlfn.XLOOKUP(Table9[[#This Row],[ProductName ]],products[productName],products[categoryID],,0),categories[categoryID],categories[categoryName],,0)</f>
        <v>Seafood</v>
      </c>
      <c r="F1481">
        <v>20</v>
      </c>
      <c r="G1481">
        <v>46</v>
      </c>
      <c r="H1481">
        <v>15</v>
      </c>
      <c r="I1481">
        <f>Table9[[#This Row],[quantity]]*Table9[[#This Row],[unitPrice]]*(1-Table9[[#This Row],[discount]]/100)</f>
        <v>782</v>
      </c>
      <c r="J1481" t="str">
        <f>_xlfn.XLOOKUP(_xlfn.XLOOKUP(A1481,orders[orderID],orders[customerID],,0),customers__2[customerID],customers__2[companyName],,0)</f>
        <v>Victuailles en stock</v>
      </c>
      <c r="K1481" t="str">
        <f>_xlfn.XLOOKUP(Table9[[#This Row],[Company Name]],customers__2[companyName],customers__2[country],,0)</f>
        <v>France</v>
      </c>
      <c r="L1481">
        <f>MONTH(Table9[[#This Row],[OrderDate ]])</f>
        <v>1</v>
      </c>
      <c r="M1481" t="str">
        <f>TEXT(Table9[[#This Row],[OrderDate ]],"mmm")</f>
        <v>Jan</v>
      </c>
      <c r="N1481">
        <f>YEAR(Table9[[#This Row],[OrderDate ]])</f>
        <v>2015</v>
      </c>
    </row>
    <row r="1482" spans="1:14" x14ac:dyDescent="0.3">
      <c r="A1482">
        <v>10814</v>
      </c>
      <c r="B1482" s="2">
        <f>_xlfn.XLOOKUP(Table9[[#This Row],[orderID]],orders[orderID],orders[orderDate],,0)</f>
        <v>42009</v>
      </c>
      <c r="C1482">
        <f>_xlfn.XLOOKUP(A1482,order_details[orderID],order_details[productID],,0)</f>
        <v>41</v>
      </c>
      <c r="D1482" t="str">
        <f>_xlfn.XLOOKUP(C1482,products[productID],products[productName],,0)</f>
        <v>Jack's New England Clam Chowder</v>
      </c>
      <c r="E1482" t="str">
        <f>_xlfn.XLOOKUP(_xlfn.XLOOKUP(Table9[[#This Row],[ProductName ]],products[productName],products[categoryID],,0),categories[categoryID],categories[categoryName],,0)</f>
        <v>Seafood</v>
      </c>
      <c r="F1482">
        <v>8</v>
      </c>
      <c r="G1482">
        <v>1275</v>
      </c>
      <c r="H1482">
        <v>15</v>
      </c>
      <c r="I1482">
        <f>Table9[[#This Row],[quantity]]*Table9[[#This Row],[unitPrice]]*(1-Table9[[#This Row],[discount]]/100)</f>
        <v>8670</v>
      </c>
      <c r="J1482" t="str">
        <f>_xlfn.XLOOKUP(_xlfn.XLOOKUP(A1482,orders[orderID],orders[customerID],,0),customers__2[customerID],customers__2[companyName],,0)</f>
        <v>Victuailles en stock</v>
      </c>
      <c r="K1482" t="str">
        <f>_xlfn.XLOOKUP(Table9[[#This Row],[Company Name]],customers__2[companyName],customers__2[country],,0)</f>
        <v>France</v>
      </c>
      <c r="L1482">
        <f>MONTH(Table9[[#This Row],[OrderDate ]])</f>
        <v>1</v>
      </c>
      <c r="M1482" t="str">
        <f>TEXT(Table9[[#This Row],[OrderDate ]],"mmm")</f>
        <v>Jan</v>
      </c>
      <c r="N1482">
        <f>YEAR(Table9[[#This Row],[OrderDate ]])</f>
        <v>2015</v>
      </c>
    </row>
    <row r="1483" spans="1:14" x14ac:dyDescent="0.3">
      <c r="A1483">
        <v>10814</v>
      </c>
      <c r="B1483" s="2">
        <f>_xlfn.XLOOKUP(Table9[[#This Row],[orderID]],orders[orderID],orders[orderDate],,0)</f>
        <v>42009</v>
      </c>
      <c r="C1483">
        <f>_xlfn.XLOOKUP(A1483,order_details[orderID],order_details[productID],,0)</f>
        <v>41</v>
      </c>
      <c r="D1483" t="str">
        <f>_xlfn.XLOOKUP(C1483,products[productID],products[productName],,0)</f>
        <v>Jack's New England Clam Chowder</v>
      </c>
      <c r="E1483" t="str">
        <f>_xlfn.XLOOKUP(_xlfn.XLOOKUP(Table9[[#This Row],[ProductName ]],products[productName],products[categoryID],,0),categories[categoryID],categories[categoryName],,0)</f>
        <v>Seafood</v>
      </c>
      <c r="F1483">
        <v>30</v>
      </c>
      <c r="G1483">
        <v>285</v>
      </c>
      <c r="H1483">
        <v>15</v>
      </c>
      <c r="I1483">
        <f>Table9[[#This Row],[quantity]]*Table9[[#This Row],[unitPrice]]*(1-Table9[[#This Row],[discount]]/100)</f>
        <v>7267.5</v>
      </c>
      <c r="J1483" t="str">
        <f>_xlfn.XLOOKUP(_xlfn.XLOOKUP(A1483,orders[orderID],orders[customerID],,0),customers__2[customerID],customers__2[companyName],,0)</f>
        <v>Victuailles en stock</v>
      </c>
      <c r="K1483" t="str">
        <f>_xlfn.XLOOKUP(Table9[[#This Row],[Company Name]],customers__2[companyName],customers__2[country],,0)</f>
        <v>France</v>
      </c>
      <c r="L1483">
        <f>MONTH(Table9[[#This Row],[OrderDate ]])</f>
        <v>1</v>
      </c>
      <c r="M1483" t="str">
        <f>TEXT(Table9[[#This Row],[OrderDate ]],"mmm")</f>
        <v>Jan</v>
      </c>
      <c r="N1483">
        <f>YEAR(Table9[[#This Row],[OrderDate ]])</f>
        <v>2015</v>
      </c>
    </row>
    <row r="1484" spans="1:14" x14ac:dyDescent="0.3">
      <c r="A1484">
        <v>10815</v>
      </c>
      <c r="B1484" s="2">
        <f>_xlfn.XLOOKUP(Table9[[#This Row],[orderID]],orders[orderID],orders[orderDate],,0)</f>
        <v>42009</v>
      </c>
      <c r="C1484">
        <f>_xlfn.XLOOKUP(A1484,order_details[orderID],order_details[productID],,0)</f>
        <v>33</v>
      </c>
      <c r="D1484" t="str">
        <f>_xlfn.XLOOKUP(C1484,products[productID],products[productName],,0)</f>
        <v>Geitost</v>
      </c>
      <c r="E1484" t="str">
        <f>_xlfn.XLOOKUP(_xlfn.XLOOKUP(Table9[[#This Row],[ProductName ]],products[productName],products[categoryID],,0),categories[categoryID],categories[categoryName],,0)</f>
        <v>Dairy Products</v>
      </c>
      <c r="F1484">
        <v>16</v>
      </c>
      <c r="G1484">
        <v>25</v>
      </c>
      <c r="H1484">
        <v>0</v>
      </c>
      <c r="I1484">
        <f>Table9[[#This Row],[quantity]]*Table9[[#This Row],[unitPrice]]*(1-Table9[[#This Row],[discount]]/100)</f>
        <v>400</v>
      </c>
      <c r="J1484" t="str">
        <f>_xlfn.XLOOKUP(_xlfn.XLOOKUP(A1484,orders[orderID],orders[customerID],,0),customers__2[customerID],customers__2[companyName],,0)</f>
        <v>Save-a-lot Markets</v>
      </c>
      <c r="K1484" t="str">
        <f>_xlfn.XLOOKUP(Table9[[#This Row],[Company Name]],customers__2[companyName],customers__2[country],,0)</f>
        <v>USA</v>
      </c>
      <c r="L1484">
        <f>MONTH(Table9[[#This Row],[OrderDate ]])</f>
        <v>1</v>
      </c>
      <c r="M1484" t="str">
        <f>TEXT(Table9[[#This Row],[OrderDate ]],"mmm")</f>
        <v>Jan</v>
      </c>
      <c r="N1484">
        <f>YEAR(Table9[[#This Row],[OrderDate ]])</f>
        <v>2015</v>
      </c>
    </row>
    <row r="1485" spans="1:14" x14ac:dyDescent="0.3">
      <c r="A1485">
        <v>10816</v>
      </c>
      <c r="B1485" s="2">
        <f>_xlfn.XLOOKUP(Table9[[#This Row],[orderID]],orders[orderID],orders[orderDate],,0)</f>
        <v>42010</v>
      </c>
      <c r="C1485">
        <f>_xlfn.XLOOKUP(A1485,order_details[orderID],order_details[productID],,0)</f>
        <v>38</v>
      </c>
      <c r="D1485" t="str">
        <f>_xlfn.XLOOKUP(C1485,products[productID],products[productName],,0)</f>
        <v>Côte de Blaye</v>
      </c>
      <c r="E1485" t="str">
        <f>_xlfn.XLOOKUP(_xlfn.XLOOKUP(Table9[[#This Row],[ProductName ]],products[productName],products[categoryID],,0),categories[categoryID],categories[categoryName],,0)</f>
        <v>Beverages</v>
      </c>
      <c r="F1485">
        <v>30</v>
      </c>
      <c r="G1485">
        <v>2635</v>
      </c>
      <c r="H1485">
        <v>5</v>
      </c>
      <c r="I1485">
        <f>Table9[[#This Row],[quantity]]*Table9[[#This Row],[unitPrice]]*(1-Table9[[#This Row],[discount]]/100)</f>
        <v>75097.5</v>
      </c>
      <c r="J1485" t="str">
        <f>_xlfn.XLOOKUP(_xlfn.XLOOKUP(A1485,orders[orderID],orders[customerID],,0),customers__2[customerID],customers__2[companyName],,0)</f>
        <v>Great Lakes Food Market</v>
      </c>
      <c r="K1485" t="str">
        <f>_xlfn.XLOOKUP(Table9[[#This Row],[Company Name]],customers__2[companyName],customers__2[country],,0)</f>
        <v>USA</v>
      </c>
      <c r="L1485">
        <f>MONTH(Table9[[#This Row],[OrderDate ]])</f>
        <v>1</v>
      </c>
      <c r="M1485" t="str">
        <f>TEXT(Table9[[#This Row],[OrderDate ]],"mmm")</f>
        <v>Jan</v>
      </c>
      <c r="N1485">
        <f>YEAR(Table9[[#This Row],[OrderDate ]])</f>
        <v>2015</v>
      </c>
    </row>
    <row r="1486" spans="1:14" x14ac:dyDescent="0.3">
      <c r="A1486">
        <v>10816</v>
      </c>
      <c r="B1486" s="2">
        <f>_xlfn.XLOOKUP(Table9[[#This Row],[orderID]],orders[orderID],orders[orderDate],,0)</f>
        <v>42010</v>
      </c>
      <c r="C1486">
        <f>_xlfn.XLOOKUP(A1486,order_details[orderID],order_details[productID],,0)</f>
        <v>38</v>
      </c>
      <c r="D1486" t="str">
        <f>_xlfn.XLOOKUP(C1486,products[productID],products[productName],,0)</f>
        <v>Côte de Blaye</v>
      </c>
      <c r="E1486" t="str">
        <f>_xlfn.XLOOKUP(_xlfn.XLOOKUP(Table9[[#This Row],[ProductName ]],products[productName],products[categoryID],,0),categories[categoryID],categories[categoryName],,0)</f>
        <v>Beverages</v>
      </c>
      <c r="F1486">
        <v>20</v>
      </c>
      <c r="G1486">
        <v>493</v>
      </c>
      <c r="H1486">
        <v>5</v>
      </c>
      <c r="I1486">
        <f>Table9[[#This Row],[quantity]]*Table9[[#This Row],[unitPrice]]*(1-Table9[[#This Row],[discount]]/100)</f>
        <v>9367</v>
      </c>
      <c r="J1486" t="str">
        <f>_xlfn.XLOOKUP(_xlfn.XLOOKUP(A1486,orders[orderID],orders[customerID],,0),customers__2[customerID],customers__2[companyName],,0)</f>
        <v>Great Lakes Food Market</v>
      </c>
      <c r="K1486" t="str">
        <f>_xlfn.XLOOKUP(Table9[[#This Row],[Company Name]],customers__2[companyName],customers__2[country],,0)</f>
        <v>USA</v>
      </c>
      <c r="L1486">
        <f>MONTH(Table9[[#This Row],[OrderDate ]])</f>
        <v>1</v>
      </c>
      <c r="M1486" t="str">
        <f>TEXT(Table9[[#This Row],[OrderDate ]],"mmm")</f>
        <v>Jan</v>
      </c>
      <c r="N1486">
        <f>YEAR(Table9[[#This Row],[OrderDate ]])</f>
        <v>2015</v>
      </c>
    </row>
    <row r="1487" spans="1:14" x14ac:dyDescent="0.3">
      <c r="A1487">
        <v>10817</v>
      </c>
      <c r="B1487" s="2">
        <f>_xlfn.XLOOKUP(Table9[[#This Row],[orderID]],orders[orderID],orders[orderDate],,0)</f>
        <v>42010</v>
      </c>
      <c r="C1487">
        <f>_xlfn.XLOOKUP(A1487,order_details[orderID],order_details[productID],,0)</f>
        <v>26</v>
      </c>
      <c r="D1487" t="str">
        <f>_xlfn.XLOOKUP(C1487,products[productID],products[productName],,0)</f>
        <v>Gumbär Gummibärchen</v>
      </c>
      <c r="E1487" t="str">
        <f>_xlfn.XLOOKUP(_xlfn.XLOOKUP(Table9[[#This Row],[ProductName ]],products[productName],products[categoryID],,0),categories[categoryID],categories[categoryName],,0)</f>
        <v>Confections</v>
      </c>
      <c r="F1487">
        <v>40</v>
      </c>
      <c r="G1487">
        <v>3123</v>
      </c>
      <c r="H1487">
        <v>15</v>
      </c>
      <c r="I1487">
        <f>Table9[[#This Row],[quantity]]*Table9[[#This Row],[unitPrice]]*(1-Table9[[#This Row],[discount]]/100)</f>
        <v>106182</v>
      </c>
      <c r="J1487" t="str">
        <f>_xlfn.XLOOKUP(_xlfn.XLOOKUP(A1487,orders[orderID],orders[customerID],,0),customers__2[customerID],customers__2[companyName],,0)</f>
        <v>Königlich Essen</v>
      </c>
      <c r="K1487" t="str">
        <f>_xlfn.XLOOKUP(Table9[[#This Row],[Company Name]],customers__2[companyName],customers__2[country],,0)</f>
        <v>Germany</v>
      </c>
      <c r="L1487">
        <f>MONTH(Table9[[#This Row],[OrderDate ]])</f>
        <v>1</v>
      </c>
      <c r="M1487" t="str">
        <f>TEXT(Table9[[#This Row],[OrderDate ]],"mmm")</f>
        <v>Jan</v>
      </c>
      <c r="N1487">
        <f>YEAR(Table9[[#This Row],[OrderDate ]])</f>
        <v>2015</v>
      </c>
    </row>
    <row r="1488" spans="1:14" x14ac:dyDescent="0.3">
      <c r="A1488">
        <v>10817</v>
      </c>
      <c r="B1488" s="2">
        <f>_xlfn.XLOOKUP(Table9[[#This Row],[orderID]],orders[orderID],orders[orderDate],,0)</f>
        <v>42010</v>
      </c>
      <c r="C1488">
        <f>_xlfn.XLOOKUP(A1488,order_details[orderID],order_details[productID],,0)</f>
        <v>26</v>
      </c>
      <c r="D1488" t="str">
        <f>_xlfn.XLOOKUP(C1488,products[productID],products[productName],,0)</f>
        <v>Gumbär Gummibärchen</v>
      </c>
      <c r="E1488" t="str">
        <f>_xlfn.XLOOKUP(_xlfn.XLOOKUP(Table9[[#This Row],[ProductName ]],products[productName],products[categoryID],,0),categories[categoryID],categories[categoryName],,0)</f>
        <v>Confections</v>
      </c>
      <c r="F1488">
        <v>30</v>
      </c>
      <c r="G1488">
        <v>2635</v>
      </c>
      <c r="H1488">
        <v>0</v>
      </c>
      <c r="I1488">
        <f>Table9[[#This Row],[quantity]]*Table9[[#This Row],[unitPrice]]*(1-Table9[[#This Row],[discount]]/100)</f>
        <v>79050</v>
      </c>
      <c r="J1488" t="str">
        <f>_xlfn.XLOOKUP(_xlfn.XLOOKUP(A1488,orders[orderID],orders[customerID],,0),customers__2[customerID],customers__2[companyName],,0)</f>
        <v>Königlich Essen</v>
      </c>
      <c r="K1488" t="str">
        <f>_xlfn.XLOOKUP(Table9[[#This Row],[Company Name]],customers__2[companyName],customers__2[country],,0)</f>
        <v>Germany</v>
      </c>
      <c r="L1488">
        <f>MONTH(Table9[[#This Row],[OrderDate ]])</f>
        <v>1</v>
      </c>
      <c r="M1488" t="str">
        <f>TEXT(Table9[[#This Row],[OrderDate ]],"mmm")</f>
        <v>Jan</v>
      </c>
      <c r="N1488">
        <f>YEAR(Table9[[#This Row],[OrderDate ]])</f>
        <v>2015</v>
      </c>
    </row>
    <row r="1489" spans="1:14" x14ac:dyDescent="0.3">
      <c r="A1489">
        <v>10817</v>
      </c>
      <c r="B1489" s="2">
        <f>_xlfn.XLOOKUP(Table9[[#This Row],[orderID]],orders[orderID],orders[orderDate],,0)</f>
        <v>42010</v>
      </c>
      <c r="C1489">
        <f>_xlfn.XLOOKUP(A1489,order_details[orderID],order_details[productID],,0)</f>
        <v>26</v>
      </c>
      <c r="D1489" t="str">
        <f>_xlfn.XLOOKUP(C1489,products[productID],products[productName],,0)</f>
        <v>Gumbär Gummibärchen</v>
      </c>
      <c r="E1489" t="str">
        <f>_xlfn.XLOOKUP(_xlfn.XLOOKUP(Table9[[#This Row],[ProductName ]],products[productName],products[categoryID],,0),categories[categoryID],categories[categoryName],,0)</f>
        <v>Confections</v>
      </c>
      <c r="F1489">
        <v>60</v>
      </c>
      <c r="G1489">
        <v>184</v>
      </c>
      <c r="H1489">
        <v>15</v>
      </c>
      <c r="I1489">
        <f>Table9[[#This Row],[quantity]]*Table9[[#This Row],[unitPrice]]*(1-Table9[[#This Row],[discount]]/100)</f>
        <v>9384</v>
      </c>
      <c r="J1489" t="str">
        <f>_xlfn.XLOOKUP(_xlfn.XLOOKUP(A1489,orders[orderID],orders[customerID],,0),customers__2[customerID],customers__2[companyName],,0)</f>
        <v>Königlich Essen</v>
      </c>
      <c r="K1489" t="str">
        <f>_xlfn.XLOOKUP(Table9[[#This Row],[Company Name]],customers__2[companyName],customers__2[country],,0)</f>
        <v>Germany</v>
      </c>
      <c r="L1489">
        <f>MONTH(Table9[[#This Row],[OrderDate ]])</f>
        <v>1</v>
      </c>
      <c r="M1489" t="str">
        <f>TEXT(Table9[[#This Row],[OrderDate ]],"mmm")</f>
        <v>Jan</v>
      </c>
      <c r="N1489">
        <f>YEAR(Table9[[#This Row],[OrderDate ]])</f>
        <v>2015</v>
      </c>
    </row>
    <row r="1490" spans="1:14" x14ac:dyDescent="0.3">
      <c r="A1490">
        <v>10817</v>
      </c>
      <c r="B1490" s="2">
        <f>_xlfn.XLOOKUP(Table9[[#This Row],[orderID]],orders[orderID],orders[orderDate],,0)</f>
        <v>42010</v>
      </c>
      <c r="C1490">
        <f>_xlfn.XLOOKUP(A1490,order_details[orderID],order_details[productID],,0)</f>
        <v>26</v>
      </c>
      <c r="D1490" t="str">
        <f>_xlfn.XLOOKUP(C1490,products[productID],products[productName],,0)</f>
        <v>Gumbär Gummibärchen</v>
      </c>
      <c r="E1490" t="str">
        <f>_xlfn.XLOOKUP(_xlfn.XLOOKUP(Table9[[#This Row],[ProductName ]],products[productName],products[categoryID],,0),categories[categoryID],categories[categoryName],,0)</f>
        <v>Confections</v>
      </c>
      <c r="F1490">
        <v>25</v>
      </c>
      <c r="G1490">
        <v>493</v>
      </c>
      <c r="H1490">
        <v>15</v>
      </c>
      <c r="I1490">
        <f>Table9[[#This Row],[quantity]]*Table9[[#This Row],[unitPrice]]*(1-Table9[[#This Row],[discount]]/100)</f>
        <v>10476.25</v>
      </c>
      <c r="J1490" t="str">
        <f>_xlfn.XLOOKUP(_xlfn.XLOOKUP(A1490,orders[orderID],orders[customerID],,0),customers__2[customerID],customers__2[companyName],,0)</f>
        <v>Königlich Essen</v>
      </c>
      <c r="K1490" t="str">
        <f>_xlfn.XLOOKUP(Table9[[#This Row],[Company Name]],customers__2[companyName],customers__2[country],,0)</f>
        <v>Germany</v>
      </c>
      <c r="L1490">
        <f>MONTH(Table9[[#This Row],[OrderDate ]])</f>
        <v>1</v>
      </c>
      <c r="M1490" t="str">
        <f>TEXT(Table9[[#This Row],[OrderDate ]],"mmm")</f>
        <v>Jan</v>
      </c>
      <c r="N1490">
        <f>YEAR(Table9[[#This Row],[OrderDate ]])</f>
        <v>2015</v>
      </c>
    </row>
    <row r="1491" spans="1:14" x14ac:dyDescent="0.3">
      <c r="A1491">
        <v>10818</v>
      </c>
      <c r="B1491" s="2">
        <f>_xlfn.XLOOKUP(Table9[[#This Row],[orderID]],orders[orderID],orders[orderDate],,0)</f>
        <v>42011</v>
      </c>
      <c r="C1491">
        <f>_xlfn.XLOOKUP(A1491,order_details[orderID],order_details[productID],,0)</f>
        <v>32</v>
      </c>
      <c r="D1491" t="str">
        <f>_xlfn.XLOOKUP(C1491,products[productID],products[productName],,0)</f>
        <v>Mascarpone Fabioli</v>
      </c>
      <c r="E1491" t="str">
        <f>_xlfn.XLOOKUP(_xlfn.XLOOKUP(Table9[[#This Row],[ProductName ]],products[productName],products[categoryID],,0),categories[categoryID],categories[categoryName],,0)</f>
        <v>Dairy Products</v>
      </c>
      <c r="F1491">
        <v>20</v>
      </c>
      <c r="G1491">
        <v>32</v>
      </c>
      <c r="H1491">
        <v>0</v>
      </c>
      <c r="I1491">
        <f>Table9[[#This Row],[quantity]]*Table9[[#This Row],[unitPrice]]*(1-Table9[[#This Row],[discount]]/100)</f>
        <v>640</v>
      </c>
      <c r="J1491" t="str">
        <f>_xlfn.XLOOKUP(_xlfn.XLOOKUP(A1491,orders[orderID],orders[customerID],,0),customers__2[customerID],customers__2[companyName],,0)</f>
        <v>Magazzini Alimentari Riuniti</v>
      </c>
      <c r="K1491" t="str">
        <f>_xlfn.XLOOKUP(Table9[[#This Row],[Company Name]],customers__2[companyName],customers__2[country],,0)</f>
        <v>Italy</v>
      </c>
      <c r="L1491">
        <f>MONTH(Table9[[#This Row],[OrderDate ]])</f>
        <v>1</v>
      </c>
      <c r="M1491" t="str">
        <f>TEXT(Table9[[#This Row],[OrderDate ]],"mmm")</f>
        <v>Jan</v>
      </c>
      <c r="N1491">
        <f>YEAR(Table9[[#This Row],[OrderDate ]])</f>
        <v>2015</v>
      </c>
    </row>
    <row r="1492" spans="1:14" x14ac:dyDescent="0.3">
      <c r="A1492">
        <v>10818</v>
      </c>
      <c r="B1492" s="2">
        <f>_xlfn.XLOOKUP(Table9[[#This Row],[orderID]],orders[orderID],orders[orderDate],,0)</f>
        <v>42011</v>
      </c>
      <c r="C1492">
        <f>_xlfn.XLOOKUP(A1492,order_details[orderID],order_details[productID],,0)</f>
        <v>32</v>
      </c>
      <c r="D1492" t="str">
        <f>_xlfn.XLOOKUP(C1492,products[productID],products[productName],,0)</f>
        <v>Mascarpone Fabioli</v>
      </c>
      <c r="E1492" t="str">
        <f>_xlfn.XLOOKUP(_xlfn.XLOOKUP(Table9[[#This Row],[ProductName ]],products[productName],products[categoryID],,0),categories[categoryID],categories[categoryName],,0)</f>
        <v>Dairy Products</v>
      </c>
      <c r="F1492">
        <v>20</v>
      </c>
      <c r="G1492">
        <v>965</v>
      </c>
      <c r="H1492">
        <v>0</v>
      </c>
      <c r="I1492">
        <f>Table9[[#This Row],[quantity]]*Table9[[#This Row],[unitPrice]]*(1-Table9[[#This Row],[discount]]/100)</f>
        <v>19300</v>
      </c>
      <c r="J1492" t="str">
        <f>_xlfn.XLOOKUP(_xlfn.XLOOKUP(A1492,orders[orderID],orders[customerID],,0),customers__2[customerID],customers__2[companyName],,0)</f>
        <v>Magazzini Alimentari Riuniti</v>
      </c>
      <c r="K1492" t="str">
        <f>_xlfn.XLOOKUP(Table9[[#This Row],[Company Name]],customers__2[companyName],customers__2[country],,0)</f>
        <v>Italy</v>
      </c>
      <c r="L1492">
        <f>MONTH(Table9[[#This Row],[OrderDate ]])</f>
        <v>1</v>
      </c>
      <c r="M1492" t="str">
        <f>TEXT(Table9[[#This Row],[OrderDate ]],"mmm")</f>
        <v>Jan</v>
      </c>
      <c r="N1492">
        <f>YEAR(Table9[[#This Row],[OrderDate ]])</f>
        <v>2015</v>
      </c>
    </row>
    <row r="1493" spans="1:14" x14ac:dyDescent="0.3">
      <c r="A1493">
        <v>10819</v>
      </c>
      <c r="B1493" s="2">
        <f>_xlfn.XLOOKUP(Table9[[#This Row],[orderID]],orders[orderID],orders[orderDate],,0)</f>
        <v>42011</v>
      </c>
      <c r="C1493">
        <f>_xlfn.XLOOKUP(A1493,order_details[orderID],order_details[productID],,0)</f>
        <v>43</v>
      </c>
      <c r="D1493" t="str">
        <f>_xlfn.XLOOKUP(C1493,products[productID],products[productName],,0)</f>
        <v>Ipoh Coffee</v>
      </c>
      <c r="E1493" t="str">
        <f>_xlfn.XLOOKUP(_xlfn.XLOOKUP(Table9[[#This Row],[ProductName ]],products[productName],products[categoryID],,0),categories[categoryID],categories[categoryName],,0)</f>
        <v>Beverages</v>
      </c>
      <c r="F1493">
        <v>7</v>
      </c>
      <c r="G1493">
        <v>46</v>
      </c>
      <c r="H1493">
        <v>0</v>
      </c>
      <c r="I1493">
        <f>Table9[[#This Row],[quantity]]*Table9[[#This Row],[unitPrice]]*(1-Table9[[#This Row],[discount]]/100)</f>
        <v>322</v>
      </c>
      <c r="J1493" t="str">
        <f>_xlfn.XLOOKUP(_xlfn.XLOOKUP(A1493,orders[orderID],orders[customerID],,0),customers__2[customerID],customers__2[companyName],,0)</f>
        <v>Cactus Comidas para llevar</v>
      </c>
      <c r="K1493" t="str">
        <f>_xlfn.XLOOKUP(Table9[[#This Row],[Company Name]],customers__2[companyName],customers__2[country],,0)</f>
        <v>Argentina</v>
      </c>
      <c r="L1493">
        <f>MONTH(Table9[[#This Row],[OrderDate ]])</f>
        <v>1</v>
      </c>
      <c r="M1493" t="str">
        <f>TEXT(Table9[[#This Row],[OrderDate ]],"mmm")</f>
        <v>Jan</v>
      </c>
      <c r="N1493">
        <f>YEAR(Table9[[#This Row],[OrderDate ]])</f>
        <v>2015</v>
      </c>
    </row>
    <row r="1494" spans="1:14" x14ac:dyDescent="0.3">
      <c r="A1494">
        <v>10819</v>
      </c>
      <c r="B1494" s="2">
        <f>_xlfn.XLOOKUP(Table9[[#This Row],[orderID]],orders[orderID],orders[orderDate],,0)</f>
        <v>42011</v>
      </c>
      <c r="C1494">
        <f>_xlfn.XLOOKUP(A1494,order_details[orderID],order_details[productID],,0)</f>
        <v>43</v>
      </c>
      <c r="D1494" t="str">
        <f>_xlfn.XLOOKUP(C1494,products[productID],products[productName],,0)</f>
        <v>Ipoh Coffee</v>
      </c>
      <c r="E1494" t="str">
        <f>_xlfn.XLOOKUP(_xlfn.XLOOKUP(Table9[[#This Row],[ProductName ]],products[productName],products[categoryID],,0),categories[categoryID],categories[categoryName],,0)</f>
        <v>Beverages</v>
      </c>
      <c r="F1494">
        <v>20</v>
      </c>
      <c r="G1494">
        <v>775</v>
      </c>
      <c r="H1494">
        <v>0</v>
      </c>
      <c r="I1494">
        <f>Table9[[#This Row],[quantity]]*Table9[[#This Row],[unitPrice]]*(1-Table9[[#This Row],[discount]]/100)</f>
        <v>15500</v>
      </c>
      <c r="J1494" t="str">
        <f>_xlfn.XLOOKUP(_xlfn.XLOOKUP(A1494,orders[orderID],orders[customerID],,0),customers__2[customerID],customers__2[companyName],,0)</f>
        <v>Cactus Comidas para llevar</v>
      </c>
      <c r="K1494" t="str">
        <f>_xlfn.XLOOKUP(Table9[[#This Row],[Company Name]],customers__2[companyName],customers__2[country],,0)</f>
        <v>Argentina</v>
      </c>
      <c r="L1494">
        <f>MONTH(Table9[[#This Row],[OrderDate ]])</f>
        <v>1</v>
      </c>
      <c r="M1494" t="str">
        <f>TEXT(Table9[[#This Row],[OrderDate ]],"mmm")</f>
        <v>Jan</v>
      </c>
      <c r="N1494">
        <f>YEAR(Table9[[#This Row],[OrderDate ]])</f>
        <v>2015</v>
      </c>
    </row>
    <row r="1495" spans="1:14" x14ac:dyDescent="0.3">
      <c r="A1495">
        <v>10820</v>
      </c>
      <c r="B1495" s="2">
        <f>_xlfn.XLOOKUP(Table9[[#This Row],[orderID]],orders[orderID],orders[orderDate],,0)</f>
        <v>42011</v>
      </c>
      <c r="C1495">
        <f>_xlfn.XLOOKUP(A1495,order_details[orderID],order_details[productID],,0)</f>
        <v>56</v>
      </c>
      <c r="D1495" t="str">
        <f>_xlfn.XLOOKUP(C1495,products[productID],products[productName],,0)</f>
        <v>Gnocchi di nonna Alice</v>
      </c>
      <c r="E1495" t="str">
        <f>_xlfn.XLOOKUP(_xlfn.XLOOKUP(Table9[[#This Row],[ProductName ]],products[productName],products[categoryID],,0),categories[categoryID],categories[categoryName],,0)</f>
        <v>Grains &amp; Cereals</v>
      </c>
      <c r="F1495">
        <v>30</v>
      </c>
      <c r="G1495">
        <v>38</v>
      </c>
      <c r="H1495">
        <v>0</v>
      </c>
      <c r="I1495">
        <f>Table9[[#This Row],[quantity]]*Table9[[#This Row],[unitPrice]]*(1-Table9[[#This Row],[discount]]/100)</f>
        <v>1140</v>
      </c>
      <c r="J1495" t="str">
        <f>_xlfn.XLOOKUP(_xlfn.XLOOKUP(A1495,orders[orderID],orders[customerID],,0),customers__2[customerID],customers__2[companyName],,0)</f>
        <v>Rattlesnake Canyon Grocery</v>
      </c>
      <c r="K1495" t="str">
        <f>_xlfn.XLOOKUP(Table9[[#This Row],[Company Name]],customers__2[companyName],customers__2[country],,0)</f>
        <v>USA</v>
      </c>
      <c r="L1495">
        <f>MONTH(Table9[[#This Row],[OrderDate ]])</f>
        <v>1</v>
      </c>
      <c r="M1495" t="str">
        <f>TEXT(Table9[[#This Row],[OrderDate ]],"mmm")</f>
        <v>Jan</v>
      </c>
      <c r="N1495">
        <f>YEAR(Table9[[#This Row],[OrderDate ]])</f>
        <v>2015</v>
      </c>
    </row>
    <row r="1496" spans="1:14" x14ac:dyDescent="0.3">
      <c r="A1496">
        <v>10821</v>
      </c>
      <c r="B1496" s="2">
        <f>_xlfn.XLOOKUP(Table9[[#This Row],[orderID]],orders[orderID],orders[orderDate],,0)</f>
        <v>42012</v>
      </c>
      <c r="C1496">
        <f>_xlfn.XLOOKUP(A1496,order_details[orderID],order_details[productID],,0)</f>
        <v>35</v>
      </c>
      <c r="D1496" t="str">
        <f>_xlfn.XLOOKUP(C1496,products[productID],products[productName],,0)</f>
        <v>Steeleye Stout</v>
      </c>
      <c r="E1496" t="str">
        <f>_xlfn.XLOOKUP(_xlfn.XLOOKUP(Table9[[#This Row],[ProductName ]],products[productName],products[categoryID],,0),categories[categoryID],categories[categoryName],,0)</f>
        <v>Beverages</v>
      </c>
      <c r="F1496">
        <v>20</v>
      </c>
      <c r="G1496">
        <v>18</v>
      </c>
      <c r="H1496">
        <v>0</v>
      </c>
      <c r="I1496">
        <f>Table9[[#This Row],[quantity]]*Table9[[#This Row],[unitPrice]]*(1-Table9[[#This Row],[discount]]/100)</f>
        <v>360</v>
      </c>
      <c r="J1496" t="str">
        <f>_xlfn.XLOOKUP(_xlfn.XLOOKUP(A1496,orders[orderID],orders[customerID],,0),customers__2[customerID],customers__2[companyName],,0)</f>
        <v>Split Rail Beer &amp; Ale</v>
      </c>
      <c r="K1496" t="str">
        <f>_xlfn.XLOOKUP(Table9[[#This Row],[Company Name]],customers__2[companyName],customers__2[country],,0)</f>
        <v>USA</v>
      </c>
      <c r="L1496">
        <f>MONTH(Table9[[#This Row],[OrderDate ]])</f>
        <v>1</v>
      </c>
      <c r="M1496" t="str">
        <f>TEXT(Table9[[#This Row],[OrderDate ]],"mmm")</f>
        <v>Jan</v>
      </c>
      <c r="N1496">
        <f>YEAR(Table9[[#This Row],[OrderDate ]])</f>
        <v>2015</v>
      </c>
    </row>
    <row r="1497" spans="1:14" x14ac:dyDescent="0.3">
      <c r="A1497">
        <v>10821</v>
      </c>
      <c r="B1497" s="2">
        <f>_xlfn.XLOOKUP(Table9[[#This Row],[orderID]],orders[orderID],orders[orderDate],,0)</f>
        <v>42012</v>
      </c>
      <c r="C1497">
        <f>_xlfn.XLOOKUP(A1497,order_details[orderID],order_details[productID],,0)</f>
        <v>35</v>
      </c>
      <c r="D1497" t="str">
        <f>_xlfn.XLOOKUP(C1497,products[productID],products[productName],,0)</f>
        <v>Steeleye Stout</v>
      </c>
      <c r="E1497" t="str">
        <f>_xlfn.XLOOKUP(_xlfn.XLOOKUP(Table9[[#This Row],[ProductName ]],products[productName],products[categoryID],,0),categories[categoryID],categories[categoryName],,0)</f>
        <v>Beverages</v>
      </c>
      <c r="F1497">
        <v>6</v>
      </c>
      <c r="G1497">
        <v>53</v>
      </c>
      <c r="H1497">
        <v>0</v>
      </c>
      <c r="I1497">
        <f>Table9[[#This Row],[quantity]]*Table9[[#This Row],[unitPrice]]*(1-Table9[[#This Row],[discount]]/100)</f>
        <v>318</v>
      </c>
      <c r="J1497" t="str">
        <f>_xlfn.XLOOKUP(_xlfn.XLOOKUP(A1497,orders[orderID],orders[customerID],,0),customers__2[customerID],customers__2[companyName],,0)</f>
        <v>Split Rail Beer &amp; Ale</v>
      </c>
      <c r="K1497" t="str">
        <f>_xlfn.XLOOKUP(Table9[[#This Row],[Company Name]],customers__2[companyName],customers__2[country],,0)</f>
        <v>USA</v>
      </c>
      <c r="L1497">
        <f>MONTH(Table9[[#This Row],[OrderDate ]])</f>
        <v>1</v>
      </c>
      <c r="M1497" t="str">
        <f>TEXT(Table9[[#This Row],[OrderDate ]],"mmm")</f>
        <v>Jan</v>
      </c>
      <c r="N1497">
        <f>YEAR(Table9[[#This Row],[OrderDate ]])</f>
        <v>2015</v>
      </c>
    </row>
    <row r="1498" spans="1:14" x14ac:dyDescent="0.3">
      <c r="A1498">
        <v>10822</v>
      </c>
      <c r="B1498" s="2">
        <f>_xlfn.XLOOKUP(Table9[[#This Row],[orderID]],orders[orderID],orders[orderDate],,0)</f>
        <v>42012</v>
      </c>
      <c r="C1498">
        <f>_xlfn.XLOOKUP(A1498,order_details[orderID],order_details[productID],,0)</f>
        <v>62</v>
      </c>
      <c r="D1498" t="str">
        <f>_xlfn.XLOOKUP(C1498,products[productID],products[productName],,0)</f>
        <v>Tarte au sucre</v>
      </c>
      <c r="E1498" t="str">
        <f>_xlfn.XLOOKUP(_xlfn.XLOOKUP(Table9[[#This Row],[ProductName ]],products[productName],products[categoryID],,0),categories[categoryID],categories[categoryName],,0)</f>
        <v>Confections</v>
      </c>
      <c r="F1498">
        <v>3</v>
      </c>
      <c r="G1498">
        <v>493</v>
      </c>
      <c r="H1498">
        <v>0</v>
      </c>
      <c r="I1498">
        <f>Table9[[#This Row],[quantity]]*Table9[[#This Row],[unitPrice]]*(1-Table9[[#This Row],[discount]]/100)</f>
        <v>1479</v>
      </c>
      <c r="J1498" t="str">
        <f>_xlfn.XLOOKUP(_xlfn.XLOOKUP(A1498,orders[orderID],orders[customerID],,0),customers__2[customerID],customers__2[companyName],,0)</f>
        <v>Trail's Head Gourmet Provisioners</v>
      </c>
      <c r="K1498" t="str">
        <f>_xlfn.XLOOKUP(Table9[[#This Row],[Company Name]],customers__2[companyName],customers__2[country],,0)</f>
        <v>USA</v>
      </c>
      <c r="L1498">
        <f>MONTH(Table9[[#This Row],[OrderDate ]])</f>
        <v>1</v>
      </c>
      <c r="M1498" t="str">
        <f>TEXT(Table9[[#This Row],[OrderDate ]],"mmm")</f>
        <v>Jan</v>
      </c>
      <c r="N1498">
        <f>YEAR(Table9[[#This Row],[OrderDate ]])</f>
        <v>2015</v>
      </c>
    </row>
    <row r="1499" spans="1:14" x14ac:dyDescent="0.3">
      <c r="A1499">
        <v>10822</v>
      </c>
      <c r="B1499" s="2">
        <f>_xlfn.XLOOKUP(Table9[[#This Row],[orderID]],orders[orderID],orders[orderDate],,0)</f>
        <v>42012</v>
      </c>
      <c r="C1499">
        <f>_xlfn.XLOOKUP(A1499,order_details[orderID],order_details[productID],,0)</f>
        <v>62</v>
      </c>
      <c r="D1499" t="str">
        <f>_xlfn.XLOOKUP(C1499,products[productID],products[productName],,0)</f>
        <v>Tarte au sucre</v>
      </c>
      <c r="E1499" t="str">
        <f>_xlfn.XLOOKUP(_xlfn.XLOOKUP(Table9[[#This Row],[ProductName ]],products[productName],products[categoryID],,0),categories[categoryID],categories[categoryName],,0)</f>
        <v>Confections</v>
      </c>
      <c r="F1499">
        <v>6</v>
      </c>
      <c r="G1499">
        <v>15</v>
      </c>
      <c r="H1499">
        <v>0</v>
      </c>
      <c r="I1499">
        <f>Table9[[#This Row],[quantity]]*Table9[[#This Row],[unitPrice]]*(1-Table9[[#This Row],[discount]]/100)</f>
        <v>90</v>
      </c>
      <c r="J1499" t="str">
        <f>_xlfn.XLOOKUP(_xlfn.XLOOKUP(A1499,orders[orderID],orders[customerID],,0),customers__2[customerID],customers__2[companyName],,0)</f>
        <v>Trail's Head Gourmet Provisioners</v>
      </c>
      <c r="K1499" t="str">
        <f>_xlfn.XLOOKUP(Table9[[#This Row],[Company Name]],customers__2[companyName],customers__2[country],,0)</f>
        <v>USA</v>
      </c>
      <c r="L1499">
        <f>MONTH(Table9[[#This Row],[OrderDate ]])</f>
        <v>1</v>
      </c>
      <c r="M1499" t="str">
        <f>TEXT(Table9[[#This Row],[OrderDate ]],"mmm")</f>
        <v>Jan</v>
      </c>
      <c r="N1499">
        <f>YEAR(Table9[[#This Row],[OrderDate ]])</f>
        <v>2015</v>
      </c>
    </row>
    <row r="1500" spans="1:14" x14ac:dyDescent="0.3">
      <c r="A1500">
        <v>10823</v>
      </c>
      <c r="B1500" s="2">
        <f>_xlfn.XLOOKUP(Table9[[#This Row],[orderID]],orders[orderID],orders[orderDate],,0)</f>
        <v>42013</v>
      </c>
      <c r="C1500">
        <f>_xlfn.XLOOKUP(A1500,order_details[orderID],order_details[productID],,0)</f>
        <v>11</v>
      </c>
      <c r="D1500" t="str">
        <f>_xlfn.XLOOKUP(C1500,products[productID],products[productName],,0)</f>
        <v>Queso Cabrales</v>
      </c>
      <c r="E1500" t="str">
        <f>_xlfn.XLOOKUP(_xlfn.XLOOKUP(Table9[[#This Row],[ProductName ]],products[productName],products[categoryID],,0),categories[categoryID],categories[categoryName],,0)</f>
        <v>Dairy Products</v>
      </c>
      <c r="F1500">
        <v>20</v>
      </c>
      <c r="G1500">
        <v>21</v>
      </c>
      <c r="H1500">
        <v>1</v>
      </c>
      <c r="I1500">
        <f>Table9[[#This Row],[quantity]]*Table9[[#This Row],[unitPrice]]*(1-Table9[[#This Row],[discount]]/100)</f>
        <v>415.8</v>
      </c>
      <c r="J1500" t="str">
        <f>_xlfn.XLOOKUP(_xlfn.XLOOKUP(A1500,orders[orderID],orders[customerID],,0),customers__2[customerID],customers__2[companyName],,0)</f>
        <v>LILA-Supermercado</v>
      </c>
      <c r="K1500" t="str">
        <f>_xlfn.XLOOKUP(Table9[[#This Row],[Company Name]],customers__2[companyName],customers__2[country],,0)</f>
        <v>Venezuela</v>
      </c>
      <c r="L1500">
        <f>MONTH(Table9[[#This Row],[OrderDate ]])</f>
        <v>1</v>
      </c>
      <c r="M1500" t="str">
        <f>TEXT(Table9[[#This Row],[OrderDate ]],"mmm")</f>
        <v>Jan</v>
      </c>
      <c r="N1500">
        <f>YEAR(Table9[[#This Row],[OrderDate ]])</f>
        <v>2015</v>
      </c>
    </row>
    <row r="1501" spans="1:14" x14ac:dyDescent="0.3">
      <c r="A1501">
        <v>10823</v>
      </c>
      <c r="B1501" s="2">
        <f>_xlfn.XLOOKUP(Table9[[#This Row],[orderID]],orders[orderID],orders[orderDate],,0)</f>
        <v>42013</v>
      </c>
      <c r="C1501">
        <f>_xlfn.XLOOKUP(A1501,order_details[orderID],order_details[productID],,0)</f>
        <v>11</v>
      </c>
      <c r="D1501" t="str">
        <f>_xlfn.XLOOKUP(C1501,products[productID],products[productName],,0)</f>
        <v>Queso Cabrales</v>
      </c>
      <c r="E1501" t="str">
        <f>_xlfn.XLOOKUP(_xlfn.XLOOKUP(Table9[[#This Row],[ProductName ]],products[productName],products[categoryID],,0),categories[categoryID],categories[categoryName],,0)</f>
        <v>Dairy Products</v>
      </c>
      <c r="F1501">
        <v>15</v>
      </c>
      <c r="G1501">
        <v>195</v>
      </c>
      <c r="H1501">
        <v>0</v>
      </c>
      <c r="I1501">
        <f>Table9[[#This Row],[quantity]]*Table9[[#This Row],[unitPrice]]*(1-Table9[[#This Row],[discount]]/100)</f>
        <v>2925</v>
      </c>
      <c r="J1501" t="str">
        <f>_xlfn.XLOOKUP(_xlfn.XLOOKUP(A1501,orders[orderID],orders[customerID],,0),customers__2[customerID],customers__2[companyName],,0)</f>
        <v>LILA-Supermercado</v>
      </c>
      <c r="K1501" t="str">
        <f>_xlfn.XLOOKUP(Table9[[#This Row],[Company Name]],customers__2[companyName],customers__2[country],,0)</f>
        <v>Venezuela</v>
      </c>
      <c r="L1501">
        <f>MONTH(Table9[[#This Row],[OrderDate ]])</f>
        <v>1</v>
      </c>
      <c r="M1501" t="str">
        <f>TEXT(Table9[[#This Row],[OrderDate ]],"mmm")</f>
        <v>Jan</v>
      </c>
      <c r="N1501">
        <f>YEAR(Table9[[#This Row],[OrderDate ]])</f>
        <v>2015</v>
      </c>
    </row>
    <row r="1502" spans="1:14" x14ac:dyDescent="0.3">
      <c r="A1502">
        <v>10823</v>
      </c>
      <c r="B1502" s="2">
        <f>_xlfn.XLOOKUP(Table9[[#This Row],[orderID]],orders[orderID],orders[orderDate],,0)</f>
        <v>42013</v>
      </c>
      <c r="C1502">
        <f>_xlfn.XLOOKUP(A1502,order_details[orderID],order_details[productID],,0)</f>
        <v>11</v>
      </c>
      <c r="D1502" t="str">
        <f>_xlfn.XLOOKUP(C1502,products[productID],products[productName],,0)</f>
        <v>Queso Cabrales</v>
      </c>
      <c r="E1502" t="str">
        <f>_xlfn.XLOOKUP(_xlfn.XLOOKUP(Table9[[#This Row],[ProductName ]],products[productName],products[categoryID],,0),categories[categoryID],categories[categoryName],,0)</f>
        <v>Dairy Products</v>
      </c>
      <c r="F1502">
        <v>40</v>
      </c>
      <c r="G1502">
        <v>55</v>
      </c>
      <c r="H1502">
        <v>1</v>
      </c>
      <c r="I1502">
        <f>Table9[[#This Row],[quantity]]*Table9[[#This Row],[unitPrice]]*(1-Table9[[#This Row],[discount]]/100)</f>
        <v>2178</v>
      </c>
      <c r="J1502" t="str">
        <f>_xlfn.XLOOKUP(_xlfn.XLOOKUP(A1502,orders[orderID],orders[customerID],,0),customers__2[customerID],customers__2[companyName],,0)</f>
        <v>LILA-Supermercado</v>
      </c>
      <c r="K1502" t="str">
        <f>_xlfn.XLOOKUP(Table9[[#This Row],[Company Name]],customers__2[companyName],customers__2[country],,0)</f>
        <v>Venezuela</v>
      </c>
      <c r="L1502">
        <f>MONTH(Table9[[#This Row],[OrderDate ]])</f>
        <v>1</v>
      </c>
      <c r="M1502" t="str">
        <f>TEXT(Table9[[#This Row],[OrderDate ]],"mmm")</f>
        <v>Jan</v>
      </c>
      <c r="N1502">
        <f>YEAR(Table9[[#This Row],[OrderDate ]])</f>
        <v>2015</v>
      </c>
    </row>
    <row r="1503" spans="1:14" x14ac:dyDescent="0.3">
      <c r="A1503">
        <v>10823</v>
      </c>
      <c r="B1503" s="2">
        <f>_xlfn.XLOOKUP(Table9[[#This Row],[orderID]],orders[orderID],orders[orderDate],,0)</f>
        <v>42013</v>
      </c>
      <c r="C1503">
        <f>_xlfn.XLOOKUP(A1503,order_details[orderID],order_details[productID],,0)</f>
        <v>11</v>
      </c>
      <c r="D1503" t="str">
        <f>_xlfn.XLOOKUP(C1503,products[productID],products[productName],,0)</f>
        <v>Queso Cabrales</v>
      </c>
      <c r="E1503" t="str">
        <f>_xlfn.XLOOKUP(_xlfn.XLOOKUP(Table9[[#This Row],[ProductName ]],products[productName],products[categoryID],,0),categories[categoryID],categories[categoryName],,0)</f>
        <v>Dairy Products</v>
      </c>
      <c r="F1503">
        <v>15</v>
      </c>
      <c r="G1503">
        <v>13</v>
      </c>
      <c r="H1503">
        <v>1</v>
      </c>
      <c r="I1503">
        <f>Table9[[#This Row],[quantity]]*Table9[[#This Row],[unitPrice]]*(1-Table9[[#This Row],[discount]]/100)</f>
        <v>193.05</v>
      </c>
      <c r="J1503" t="str">
        <f>_xlfn.XLOOKUP(_xlfn.XLOOKUP(A1503,orders[orderID],orders[customerID],,0),customers__2[customerID],customers__2[companyName],,0)</f>
        <v>LILA-Supermercado</v>
      </c>
      <c r="K1503" t="str">
        <f>_xlfn.XLOOKUP(Table9[[#This Row],[Company Name]],customers__2[companyName],customers__2[country],,0)</f>
        <v>Venezuela</v>
      </c>
      <c r="L1503">
        <f>MONTH(Table9[[#This Row],[OrderDate ]])</f>
        <v>1</v>
      </c>
      <c r="M1503" t="str">
        <f>TEXT(Table9[[#This Row],[OrderDate ]],"mmm")</f>
        <v>Jan</v>
      </c>
      <c r="N1503">
        <f>YEAR(Table9[[#This Row],[OrderDate ]])</f>
        <v>2015</v>
      </c>
    </row>
    <row r="1504" spans="1:14" x14ac:dyDescent="0.3">
      <c r="A1504">
        <v>10824</v>
      </c>
      <c r="B1504" s="2">
        <f>_xlfn.XLOOKUP(Table9[[#This Row],[orderID]],orders[orderID],orders[orderDate],,0)</f>
        <v>42013</v>
      </c>
      <c r="C1504">
        <f>_xlfn.XLOOKUP(A1504,order_details[orderID],order_details[productID],,0)</f>
        <v>41</v>
      </c>
      <c r="D1504" t="str">
        <f>_xlfn.XLOOKUP(C1504,products[productID],products[productName],,0)</f>
        <v>Jack's New England Clam Chowder</v>
      </c>
      <c r="E1504" t="str">
        <f>_xlfn.XLOOKUP(_xlfn.XLOOKUP(Table9[[#This Row],[ProductName ]],products[productName],products[categoryID],,0),categories[categoryID],categories[categoryName],,0)</f>
        <v>Seafood</v>
      </c>
      <c r="F1504">
        <v>12</v>
      </c>
      <c r="G1504">
        <v>965</v>
      </c>
      <c r="H1504">
        <v>0</v>
      </c>
      <c r="I1504">
        <f>Table9[[#This Row],[quantity]]*Table9[[#This Row],[unitPrice]]*(1-Table9[[#This Row],[discount]]/100)</f>
        <v>11580</v>
      </c>
      <c r="J1504" t="str">
        <f>_xlfn.XLOOKUP(_xlfn.XLOOKUP(A1504,orders[orderID],orders[customerID],,0),customers__2[customerID],customers__2[companyName],,0)</f>
        <v>Folk och fä HB</v>
      </c>
      <c r="K1504" t="str">
        <f>_xlfn.XLOOKUP(Table9[[#This Row],[Company Name]],customers__2[companyName],customers__2[country],,0)</f>
        <v>Sweden</v>
      </c>
      <c r="L1504">
        <f>MONTH(Table9[[#This Row],[OrderDate ]])</f>
        <v>1</v>
      </c>
      <c r="M1504" t="str">
        <f>TEXT(Table9[[#This Row],[OrderDate ]],"mmm")</f>
        <v>Jan</v>
      </c>
      <c r="N1504">
        <f>YEAR(Table9[[#This Row],[OrderDate ]])</f>
        <v>2015</v>
      </c>
    </row>
    <row r="1505" spans="1:14" x14ac:dyDescent="0.3">
      <c r="A1505">
        <v>10824</v>
      </c>
      <c r="B1505" s="2">
        <f>_xlfn.XLOOKUP(Table9[[#This Row],[orderID]],orders[orderID],orders[orderDate],,0)</f>
        <v>42013</v>
      </c>
      <c r="C1505">
        <f>_xlfn.XLOOKUP(A1505,order_details[orderID],order_details[productID],,0)</f>
        <v>41</v>
      </c>
      <c r="D1505" t="str">
        <f>_xlfn.XLOOKUP(C1505,products[productID],products[productName],,0)</f>
        <v>Jack's New England Clam Chowder</v>
      </c>
      <c r="E1505" t="str">
        <f>_xlfn.XLOOKUP(_xlfn.XLOOKUP(Table9[[#This Row],[ProductName ]],products[productName],products[categoryID],,0),categories[categoryID],categories[categoryName],,0)</f>
        <v>Seafood</v>
      </c>
      <c r="F1505">
        <v>9</v>
      </c>
      <c r="G1505">
        <v>15</v>
      </c>
      <c r="H1505">
        <v>0</v>
      </c>
      <c r="I1505">
        <f>Table9[[#This Row],[quantity]]*Table9[[#This Row],[unitPrice]]*(1-Table9[[#This Row],[discount]]/100)</f>
        <v>135</v>
      </c>
      <c r="J1505" t="str">
        <f>_xlfn.XLOOKUP(_xlfn.XLOOKUP(A1505,orders[orderID],orders[customerID],,0),customers__2[customerID],customers__2[companyName],,0)</f>
        <v>Folk och fä HB</v>
      </c>
      <c r="K1505" t="str">
        <f>_xlfn.XLOOKUP(Table9[[#This Row],[Company Name]],customers__2[companyName],customers__2[country],,0)</f>
        <v>Sweden</v>
      </c>
      <c r="L1505">
        <f>MONTH(Table9[[#This Row],[OrderDate ]])</f>
        <v>1</v>
      </c>
      <c r="M1505" t="str">
        <f>TEXT(Table9[[#This Row],[OrderDate ]],"mmm")</f>
        <v>Jan</v>
      </c>
      <c r="N1505">
        <f>YEAR(Table9[[#This Row],[OrderDate ]])</f>
        <v>2015</v>
      </c>
    </row>
    <row r="1506" spans="1:14" x14ac:dyDescent="0.3">
      <c r="A1506">
        <v>10825</v>
      </c>
      <c r="B1506" s="2">
        <f>_xlfn.XLOOKUP(Table9[[#This Row],[orderID]],orders[orderID],orders[orderDate],,0)</f>
        <v>42013</v>
      </c>
      <c r="C1506">
        <f>_xlfn.XLOOKUP(A1506,order_details[orderID],order_details[productID],,0)</f>
        <v>26</v>
      </c>
      <c r="D1506" t="str">
        <f>_xlfn.XLOOKUP(C1506,products[productID],products[productName],,0)</f>
        <v>Gumbär Gummibärchen</v>
      </c>
      <c r="E1506" t="str">
        <f>_xlfn.XLOOKUP(_xlfn.XLOOKUP(Table9[[#This Row],[ProductName ]],products[productName],products[categoryID],,0),categories[categoryID],categories[categoryName],,0)</f>
        <v>Confections</v>
      </c>
      <c r="F1506">
        <v>12</v>
      </c>
      <c r="G1506">
        <v>3123</v>
      </c>
      <c r="H1506">
        <v>0</v>
      </c>
      <c r="I1506">
        <f>Table9[[#This Row],[quantity]]*Table9[[#This Row],[unitPrice]]*(1-Table9[[#This Row],[discount]]/100)</f>
        <v>37476</v>
      </c>
      <c r="J1506" t="str">
        <f>_xlfn.XLOOKUP(_xlfn.XLOOKUP(A1506,orders[orderID],orders[customerID],,0),customers__2[customerID],customers__2[companyName],,0)</f>
        <v>Drachenblut Delikatessen</v>
      </c>
      <c r="K1506" t="str">
        <f>_xlfn.XLOOKUP(Table9[[#This Row],[Company Name]],customers__2[companyName],customers__2[country],,0)</f>
        <v>Germany</v>
      </c>
      <c r="L1506">
        <f>MONTH(Table9[[#This Row],[OrderDate ]])</f>
        <v>1</v>
      </c>
      <c r="M1506" t="str">
        <f>TEXT(Table9[[#This Row],[OrderDate ]],"mmm")</f>
        <v>Jan</v>
      </c>
      <c r="N1506">
        <f>YEAR(Table9[[#This Row],[OrderDate ]])</f>
        <v>2015</v>
      </c>
    </row>
    <row r="1507" spans="1:14" x14ac:dyDescent="0.3">
      <c r="A1507">
        <v>10825</v>
      </c>
      <c r="B1507" s="2">
        <f>_xlfn.XLOOKUP(Table9[[#This Row],[orderID]],orders[orderID],orders[orderDate],,0)</f>
        <v>42013</v>
      </c>
      <c r="C1507">
        <f>_xlfn.XLOOKUP(A1507,order_details[orderID],order_details[productID],,0)</f>
        <v>26</v>
      </c>
      <c r="D1507" t="str">
        <f>_xlfn.XLOOKUP(C1507,products[productID],products[productName],,0)</f>
        <v>Gumbär Gummibärchen</v>
      </c>
      <c r="E1507" t="str">
        <f>_xlfn.XLOOKUP(_xlfn.XLOOKUP(Table9[[#This Row],[ProductName ]],products[productName],products[categoryID],,0),categories[categoryID],categories[categoryName],,0)</f>
        <v>Confections</v>
      </c>
      <c r="F1507">
        <v>20</v>
      </c>
      <c r="G1507">
        <v>328</v>
      </c>
      <c r="H1507">
        <v>0</v>
      </c>
      <c r="I1507">
        <f>Table9[[#This Row],[quantity]]*Table9[[#This Row],[unitPrice]]*(1-Table9[[#This Row],[discount]]/100)</f>
        <v>6560</v>
      </c>
      <c r="J1507" t="str">
        <f>_xlfn.XLOOKUP(_xlfn.XLOOKUP(A1507,orders[orderID],orders[customerID],,0),customers__2[customerID],customers__2[companyName],,0)</f>
        <v>Drachenblut Delikatessen</v>
      </c>
      <c r="K1507" t="str">
        <f>_xlfn.XLOOKUP(Table9[[#This Row],[Company Name]],customers__2[companyName],customers__2[country],,0)</f>
        <v>Germany</v>
      </c>
      <c r="L1507">
        <f>MONTH(Table9[[#This Row],[OrderDate ]])</f>
        <v>1</v>
      </c>
      <c r="M1507" t="str">
        <f>TEXT(Table9[[#This Row],[OrderDate ]],"mmm")</f>
        <v>Jan</v>
      </c>
      <c r="N1507">
        <f>YEAR(Table9[[#This Row],[OrderDate ]])</f>
        <v>2015</v>
      </c>
    </row>
    <row r="1508" spans="1:14" x14ac:dyDescent="0.3">
      <c r="A1508">
        <v>10826</v>
      </c>
      <c r="B1508" s="2">
        <f>_xlfn.XLOOKUP(Table9[[#This Row],[orderID]],orders[orderID],orders[orderDate],,0)</f>
        <v>42016</v>
      </c>
      <c r="C1508">
        <f>_xlfn.XLOOKUP(A1508,order_details[orderID],order_details[productID],,0)</f>
        <v>31</v>
      </c>
      <c r="D1508" t="str">
        <f>_xlfn.XLOOKUP(C1508,products[productID],products[productName],,0)</f>
        <v>Gorgonzola Telino</v>
      </c>
      <c r="E1508" t="str">
        <f>_xlfn.XLOOKUP(_xlfn.XLOOKUP(Table9[[#This Row],[ProductName ]],products[productName],products[categoryID],,0),categories[categoryID],categories[categoryName],,0)</f>
        <v>Dairy Products</v>
      </c>
      <c r="F1508">
        <v>35</v>
      </c>
      <c r="G1508">
        <v>125</v>
      </c>
      <c r="H1508">
        <v>0</v>
      </c>
      <c r="I1508">
        <f>Table9[[#This Row],[quantity]]*Table9[[#This Row],[unitPrice]]*(1-Table9[[#This Row],[discount]]/100)</f>
        <v>4375</v>
      </c>
      <c r="J1508" t="str">
        <f>_xlfn.XLOOKUP(_xlfn.XLOOKUP(A1508,orders[orderID],orders[customerID],,0),customers__2[customerID],customers__2[companyName],,0)</f>
        <v>Blondesddsl père et fils</v>
      </c>
      <c r="K1508" t="str">
        <f>_xlfn.XLOOKUP(Table9[[#This Row],[Company Name]],customers__2[companyName],customers__2[country],,0)</f>
        <v>France</v>
      </c>
      <c r="L1508">
        <f>MONTH(Table9[[#This Row],[OrderDate ]])</f>
        <v>1</v>
      </c>
      <c r="M1508" t="str">
        <f>TEXT(Table9[[#This Row],[OrderDate ]],"mmm")</f>
        <v>Jan</v>
      </c>
      <c r="N1508">
        <f>YEAR(Table9[[#This Row],[OrderDate ]])</f>
        <v>2015</v>
      </c>
    </row>
    <row r="1509" spans="1:14" x14ac:dyDescent="0.3">
      <c r="A1509">
        <v>10826</v>
      </c>
      <c r="B1509" s="2">
        <f>_xlfn.XLOOKUP(Table9[[#This Row],[orderID]],orders[orderID],orders[orderDate],,0)</f>
        <v>42016</v>
      </c>
      <c r="C1509">
        <f>_xlfn.XLOOKUP(A1509,order_details[orderID],order_details[productID],,0)</f>
        <v>31</v>
      </c>
      <c r="D1509" t="str">
        <f>_xlfn.XLOOKUP(C1509,products[productID],products[productName],,0)</f>
        <v>Gorgonzola Telino</v>
      </c>
      <c r="E1509" t="str">
        <f>_xlfn.XLOOKUP(_xlfn.XLOOKUP(Table9[[#This Row],[ProductName ]],products[productName],products[categoryID],,0),categories[categoryID],categories[categoryName],,0)</f>
        <v>Dairy Products</v>
      </c>
      <c r="F1509">
        <v>15</v>
      </c>
      <c r="G1509">
        <v>195</v>
      </c>
      <c r="H1509">
        <v>0</v>
      </c>
      <c r="I1509">
        <f>Table9[[#This Row],[quantity]]*Table9[[#This Row],[unitPrice]]*(1-Table9[[#This Row],[discount]]/100)</f>
        <v>2925</v>
      </c>
      <c r="J1509" t="str">
        <f>_xlfn.XLOOKUP(_xlfn.XLOOKUP(A1509,orders[orderID],orders[customerID],,0),customers__2[customerID],customers__2[companyName],,0)</f>
        <v>Blondesddsl père et fils</v>
      </c>
      <c r="K1509" t="str">
        <f>_xlfn.XLOOKUP(Table9[[#This Row],[Company Name]],customers__2[companyName],customers__2[country],,0)</f>
        <v>France</v>
      </c>
      <c r="L1509">
        <f>MONTH(Table9[[#This Row],[OrderDate ]])</f>
        <v>1</v>
      </c>
      <c r="M1509" t="str">
        <f>TEXT(Table9[[#This Row],[OrderDate ]],"mmm")</f>
        <v>Jan</v>
      </c>
      <c r="N1509">
        <f>YEAR(Table9[[#This Row],[OrderDate ]])</f>
        <v>2015</v>
      </c>
    </row>
    <row r="1510" spans="1:14" x14ac:dyDescent="0.3">
      <c r="A1510">
        <v>10827</v>
      </c>
      <c r="B1510" s="2">
        <f>_xlfn.XLOOKUP(Table9[[#This Row],[orderID]],orders[orderID],orders[orderDate],,0)</f>
        <v>42016</v>
      </c>
      <c r="C1510">
        <f>_xlfn.XLOOKUP(A1510,order_details[orderID],order_details[productID],,0)</f>
        <v>10</v>
      </c>
      <c r="D1510" t="str">
        <f>_xlfn.XLOOKUP(C1510,products[productID],products[productName],,0)</f>
        <v>Ikura</v>
      </c>
      <c r="E1510" t="str">
        <f>_xlfn.XLOOKUP(_xlfn.XLOOKUP(Table9[[#This Row],[ProductName ]],products[productName],products[categoryID],,0),categories[categoryID],categories[categoryName],,0)</f>
        <v>Seafood</v>
      </c>
      <c r="F1510">
        <v>15</v>
      </c>
      <c r="G1510">
        <v>31</v>
      </c>
      <c r="H1510">
        <v>0</v>
      </c>
      <c r="I1510">
        <f>Table9[[#This Row],[quantity]]*Table9[[#This Row],[unitPrice]]*(1-Table9[[#This Row],[discount]]/100)</f>
        <v>465</v>
      </c>
      <c r="J1510" t="str">
        <f>_xlfn.XLOOKUP(_xlfn.XLOOKUP(A1510,orders[orderID],orders[customerID],,0),customers__2[customerID],customers__2[companyName],,0)</f>
        <v>Bon app'</v>
      </c>
      <c r="K1510" t="str">
        <f>_xlfn.XLOOKUP(Table9[[#This Row],[Company Name]],customers__2[companyName],customers__2[country],,0)</f>
        <v>France</v>
      </c>
      <c r="L1510">
        <f>MONTH(Table9[[#This Row],[OrderDate ]])</f>
        <v>1</v>
      </c>
      <c r="M1510" t="str">
        <f>TEXT(Table9[[#This Row],[OrderDate ]],"mmm")</f>
        <v>Jan</v>
      </c>
      <c r="N1510">
        <f>YEAR(Table9[[#This Row],[OrderDate ]])</f>
        <v>2015</v>
      </c>
    </row>
    <row r="1511" spans="1:14" x14ac:dyDescent="0.3">
      <c r="A1511">
        <v>10827</v>
      </c>
      <c r="B1511" s="2">
        <f>_xlfn.XLOOKUP(Table9[[#This Row],[orderID]],orders[orderID],orders[orderDate],,0)</f>
        <v>42016</v>
      </c>
      <c r="C1511">
        <f>_xlfn.XLOOKUP(A1511,order_details[orderID],order_details[productID],,0)</f>
        <v>10</v>
      </c>
      <c r="D1511" t="str">
        <f>_xlfn.XLOOKUP(C1511,products[productID],products[productName],,0)</f>
        <v>Ikura</v>
      </c>
      <c r="E1511" t="str">
        <f>_xlfn.XLOOKUP(_xlfn.XLOOKUP(Table9[[#This Row],[ProductName ]],products[productName],products[categoryID],,0),categories[categoryID],categories[categoryName],,0)</f>
        <v>Seafood</v>
      </c>
      <c r="F1511">
        <v>21</v>
      </c>
      <c r="G1511">
        <v>18</v>
      </c>
      <c r="H1511">
        <v>0</v>
      </c>
      <c r="I1511">
        <f>Table9[[#This Row],[quantity]]*Table9[[#This Row],[unitPrice]]*(1-Table9[[#This Row],[discount]]/100)</f>
        <v>378</v>
      </c>
      <c r="J1511" t="str">
        <f>_xlfn.XLOOKUP(_xlfn.XLOOKUP(A1511,orders[orderID],orders[customerID],,0),customers__2[customerID],customers__2[companyName],,0)</f>
        <v>Bon app'</v>
      </c>
      <c r="K1511" t="str">
        <f>_xlfn.XLOOKUP(Table9[[#This Row],[Company Name]],customers__2[companyName],customers__2[country],,0)</f>
        <v>France</v>
      </c>
      <c r="L1511">
        <f>MONTH(Table9[[#This Row],[OrderDate ]])</f>
        <v>1</v>
      </c>
      <c r="M1511" t="str">
        <f>TEXT(Table9[[#This Row],[OrderDate ]],"mmm")</f>
        <v>Jan</v>
      </c>
      <c r="N1511">
        <f>YEAR(Table9[[#This Row],[OrderDate ]])</f>
        <v>2015</v>
      </c>
    </row>
    <row r="1512" spans="1:14" x14ac:dyDescent="0.3">
      <c r="A1512">
        <v>10828</v>
      </c>
      <c r="B1512" s="2">
        <f>_xlfn.XLOOKUP(Table9[[#This Row],[orderID]],orders[orderID],orders[orderDate],,0)</f>
        <v>42017</v>
      </c>
      <c r="C1512">
        <f>_xlfn.XLOOKUP(A1512,order_details[orderID],order_details[productID],,0)</f>
        <v>20</v>
      </c>
      <c r="D1512" t="str">
        <f>_xlfn.XLOOKUP(C1512,products[productID],products[productName],,0)</f>
        <v>Sir Rodney's Marmalade</v>
      </c>
      <c r="E1512" t="str">
        <f>_xlfn.XLOOKUP(_xlfn.XLOOKUP(Table9[[#This Row],[ProductName ]],products[productName],products[categoryID],,0),categories[categoryID],categories[categoryName],,0)</f>
        <v>Confections</v>
      </c>
      <c r="F1512">
        <v>5</v>
      </c>
      <c r="G1512">
        <v>81</v>
      </c>
      <c r="H1512">
        <v>0</v>
      </c>
      <c r="I1512">
        <f>Table9[[#This Row],[quantity]]*Table9[[#This Row],[unitPrice]]*(1-Table9[[#This Row],[discount]]/100)</f>
        <v>405</v>
      </c>
      <c r="J1512" t="str">
        <f>_xlfn.XLOOKUP(_xlfn.XLOOKUP(A1512,orders[orderID],orders[customerID],,0),customers__2[customerID],customers__2[companyName],,0)</f>
        <v>Rancho grande</v>
      </c>
      <c r="K1512" t="str">
        <f>_xlfn.XLOOKUP(Table9[[#This Row],[Company Name]],customers__2[companyName],customers__2[country],,0)</f>
        <v>Argentina</v>
      </c>
      <c r="L1512">
        <f>MONTH(Table9[[#This Row],[OrderDate ]])</f>
        <v>1</v>
      </c>
      <c r="M1512" t="str">
        <f>TEXT(Table9[[#This Row],[OrderDate ]],"mmm")</f>
        <v>Jan</v>
      </c>
      <c r="N1512">
        <f>YEAR(Table9[[#This Row],[OrderDate ]])</f>
        <v>2015</v>
      </c>
    </row>
    <row r="1513" spans="1:14" x14ac:dyDescent="0.3">
      <c r="A1513">
        <v>10828</v>
      </c>
      <c r="B1513" s="2">
        <f>_xlfn.XLOOKUP(Table9[[#This Row],[orderID]],orders[orderID],orders[orderDate],,0)</f>
        <v>42017</v>
      </c>
      <c r="C1513">
        <f>_xlfn.XLOOKUP(A1513,order_details[orderID],order_details[productID],,0)</f>
        <v>20</v>
      </c>
      <c r="D1513" t="str">
        <f>_xlfn.XLOOKUP(C1513,products[productID],products[productName],,0)</f>
        <v>Sir Rodney's Marmalade</v>
      </c>
      <c r="E1513" t="str">
        <f>_xlfn.XLOOKUP(_xlfn.XLOOKUP(Table9[[#This Row],[ProductName ]],products[productName],products[categoryID],,0),categories[categoryID],categories[categoryName],,0)</f>
        <v>Confections</v>
      </c>
      <c r="F1513">
        <v>2</v>
      </c>
      <c r="G1513">
        <v>2635</v>
      </c>
      <c r="H1513">
        <v>0</v>
      </c>
      <c r="I1513">
        <f>Table9[[#This Row],[quantity]]*Table9[[#This Row],[unitPrice]]*(1-Table9[[#This Row],[discount]]/100)</f>
        <v>5270</v>
      </c>
      <c r="J1513" t="str">
        <f>_xlfn.XLOOKUP(_xlfn.XLOOKUP(A1513,orders[orderID],orders[customerID],,0),customers__2[customerID],customers__2[companyName],,0)</f>
        <v>Rancho grande</v>
      </c>
      <c r="K1513" t="str">
        <f>_xlfn.XLOOKUP(Table9[[#This Row],[Company Name]],customers__2[companyName],customers__2[country],,0)</f>
        <v>Argentina</v>
      </c>
      <c r="L1513">
        <f>MONTH(Table9[[#This Row],[OrderDate ]])</f>
        <v>1</v>
      </c>
      <c r="M1513" t="str">
        <f>TEXT(Table9[[#This Row],[OrderDate ]],"mmm")</f>
        <v>Jan</v>
      </c>
      <c r="N1513">
        <f>YEAR(Table9[[#This Row],[OrderDate ]])</f>
        <v>2015</v>
      </c>
    </row>
    <row r="1514" spans="1:14" x14ac:dyDescent="0.3">
      <c r="A1514">
        <v>10829</v>
      </c>
      <c r="B1514" s="2">
        <f>_xlfn.XLOOKUP(Table9[[#This Row],[orderID]],orders[orderID],orders[orderDate],,0)</f>
        <v>42017</v>
      </c>
      <c r="C1514">
        <f>_xlfn.XLOOKUP(A1514,order_details[orderID],order_details[productID],,0)</f>
        <v>2</v>
      </c>
      <c r="D1514" t="str">
        <f>_xlfn.XLOOKUP(C1514,products[productID],products[productName],,0)</f>
        <v>Chang</v>
      </c>
      <c r="E1514" t="str">
        <f>_xlfn.XLOOKUP(_xlfn.XLOOKUP(Table9[[#This Row],[ProductName ]],products[productName],products[categoryID],,0),categories[categoryID],categories[categoryName],,0)</f>
        <v>Beverages</v>
      </c>
      <c r="F1514">
        <v>10</v>
      </c>
      <c r="G1514">
        <v>19</v>
      </c>
      <c r="H1514">
        <v>0</v>
      </c>
      <c r="I1514">
        <f>Table9[[#This Row],[quantity]]*Table9[[#This Row],[unitPrice]]*(1-Table9[[#This Row],[discount]]/100)</f>
        <v>190</v>
      </c>
      <c r="J1514" t="str">
        <f>_xlfn.XLOOKUP(_xlfn.XLOOKUP(A1514,orders[orderID],orders[customerID],,0),customers__2[customerID],customers__2[companyName],,0)</f>
        <v>Island Trading</v>
      </c>
      <c r="K1514" t="str">
        <f>_xlfn.XLOOKUP(Table9[[#This Row],[Company Name]],customers__2[companyName],customers__2[country],,0)</f>
        <v>UK</v>
      </c>
      <c r="L1514">
        <f>MONTH(Table9[[#This Row],[OrderDate ]])</f>
        <v>1</v>
      </c>
      <c r="M1514" t="str">
        <f>TEXT(Table9[[#This Row],[OrderDate ]],"mmm")</f>
        <v>Jan</v>
      </c>
      <c r="N1514">
        <f>YEAR(Table9[[#This Row],[OrderDate ]])</f>
        <v>2015</v>
      </c>
    </row>
    <row r="1515" spans="1:14" x14ac:dyDescent="0.3">
      <c r="A1515">
        <v>10829</v>
      </c>
      <c r="B1515" s="2">
        <f>_xlfn.XLOOKUP(Table9[[#This Row],[orderID]],orders[orderID],orders[orderDate],,0)</f>
        <v>42017</v>
      </c>
      <c r="C1515">
        <f>_xlfn.XLOOKUP(A1515,order_details[orderID],order_details[productID],,0)</f>
        <v>2</v>
      </c>
      <c r="D1515" t="str">
        <f>_xlfn.XLOOKUP(C1515,products[productID],products[productName],,0)</f>
        <v>Chang</v>
      </c>
      <c r="E1515" t="str">
        <f>_xlfn.XLOOKUP(_xlfn.XLOOKUP(Table9[[#This Row],[ProductName ]],products[productName],products[categoryID],,0),categories[categoryID],categories[categoryName],,0)</f>
        <v>Beverages</v>
      </c>
      <c r="F1515">
        <v>20</v>
      </c>
      <c r="G1515">
        <v>40</v>
      </c>
      <c r="H1515">
        <v>0</v>
      </c>
      <c r="I1515">
        <f>Table9[[#This Row],[quantity]]*Table9[[#This Row],[unitPrice]]*(1-Table9[[#This Row],[discount]]/100)</f>
        <v>800</v>
      </c>
      <c r="J1515" t="str">
        <f>_xlfn.XLOOKUP(_xlfn.XLOOKUP(A1515,orders[orderID],orders[customerID],,0),customers__2[customerID],customers__2[companyName],,0)</f>
        <v>Island Trading</v>
      </c>
      <c r="K1515" t="str">
        <f>_xlfn.XLOOKUP(Table9[[#This Row],[Company Name]],customers__2[companyName],customers__2[country],,0)</f>
        <v>UK</v>
      </c>
      <c r="L1515">
        <f>MONTH(Table9[[#This Row],[OrderDate ]])</f>
        <v>1</v>
      </c>
      <c r="M1515" t="str">
        <f>TEXT(Table9[[#This Row],[OrderDate ]],"mmm")</f>
        <v>Jan</v>
      </c>
      <c r="N1515">
        <f>YEAR(Table9[[#This Row],[OrderDate ]])</f>
        <v>2015</v>
      </c>
    </row>
    <row r="1516" spans="1:14" x14ac:dyDescent="0.3">
      <c r="A1516">
        <v>10829</v>
      </c>
      <c r="B1516" s="2">
        <f>_xlfn.XLOOKUP(Table9[[#This Row],[orderID]],orders[orderID],orders[orderDate],,0)</f>
        <v>42017</v>
      </c>
      <c r="C1516">
        <f>_xlfn.XLOOKUP(A1516,order_details[orderID],order_details[productID],,0)</f>
        <v>2</v>
      </c>
      <c r="D1516" t="str">
        <f>_xlfn.XLOOKUP(C1516,products[productID],products[productName],,0)</f>
        <v>Chang</v>
      </c>
      <c r="E1516" t="str">
        <f>_xlfn.XLOOKUP(_xlfn.XLOOKUP(Table9[[#This Row],[ProductName ]],products[productName],products[categoryID],,0),categories[categoryID],categories[categoryName],,0)</f>
        <v>Beverages</v>
      </c>
      <c r="F1516">
        <v>10</v>
      </c>
      <c r="G1516">
        <v>6</v>
      </c>
      <c r="H1516">
        <v>0</v>
      </c>
      <c r="I1516">
        <f>Table9[[#This Row],[quantity]]*Table9[[#This Row],[unitPrice]]*(1-Table9[[#This Row],[discount]]/100)</f>
        <v>60</v>
      </c>
      <c r="J1516" t="str">
        <f>_xlfn.XLOOKUP(_xlfn.XLOOKUP(A1516,orders[orderID],orders[customerID],,0),customers__2[customerID],customers__2[companyName],,0)</f>
        <v>Island Trading</v>
      </c>
      <c r="K1516" t="str">
        <f>_xlfn.XLOOKUP(Table9[[#This Row],[Company Name]],customers__2[companyName],customers__2[country],,0)</f>
        <v>UK</v>
      </c>
      <c r="L1516">
        <f>MONTH(Table9[[#This Row],[OrderDate ]])</f>
        <v>1</v>
      </c>
      <c r="M1516" t="str">
        <f>TEXT(Table9[[#This Row],[OrderDate ]],"mmm")</f>
        <v>Jan</v>
      </c>
      <c r="N1516">
        <f>YEAR(Table9[[#This Row],[OrderDate ]])</f>
        <v>2015</v>
      </c>
    </row>
    <row r="1517" spans="1:14" x14ac:dyDescent="0.3">
      <c r="A1517">
        <v>10829</v>
      </c>
      <c r="B1517" s="2">
        <f>_xlfn.XLOOKUP(Table9[[#This Row],[orderID]],orders[orderID],orders[orderDate],,0)</f>
        <v>42017</v>
      </c>
      <c r="C1517">
        <f>_xlfn.XLOOKUP(A1517,order_details[orderID],order_details[productID],,0)</f>
        <v>2</v>
      </c>
      <c r="D1517" t="str">
        <f>_xlfn.XLOOKUP(C1517,products[productID],products[productName],,0)</f>
        <v>Chang</v>
      </c>
      <c r="E1517" t="str">
        <f>_xlfn.XLOOKUP(_xlfn.XLOOKUP(Table9[[#This Row],[ProductName ]],products[productName],products[categoryID],,0),categories[categoryID],categories[categoryName],,0)</f>
        <v>Beverages</v>
      </c>
      <c r="F1517">
        <v>21</v>
      </c>
      <c r="G1517">
        <v>34</v>
      </c>
      <c r="H1517">
        <v>0</v>
      </c>
      <c r="I1517">
        <f>Table9[[#This Row],[quantity]]*Table9[[#This Row],[unitPrice]]*(1-Table9[[#This Row],[discount]]/100)</f>
        <v>714</v>
      </c>
      <c r="J1517" t="str">
        <f>_xlfn.XLOOKUP(_xlfn.XLOOKUP(A1517,orders[orderID],orders[customerID],,0),customers__2[customerID],customers__2[companyName],,0)</f>
        <v>Island Trading</v>
      </c>
      <c r="K1517" t="str">
        <f>_xlfn.XLOOKUP(Table9[[#This Row],[Company Name]],customers__2[companyName],customers__2[country],,0)</f>
        <v>UK</v>
      </c>
      <c r="L1517">
        <f>MONTH(Table9[[#This Row],[OrderDate ]])</f>
        <v>1</v>
      </c>
      <c r="M1517" t="str">
        <f>TEXT(Table9[[#This Row],[OrderDate ]],"mmm")</f>
        <v>Jan</v>
      </c>
      <c r="N1517">
        <f>YEAR(Table9[[#This Row],[OrderDate ]])</f>
        <v>2015</v>
      </c>
    </row>
    <row r="1518" spans="1:14" x14ac:dyDescent="0.3">
      <c r="A1518">
        <v>10830</v>
      </c>
      <c r="B1518" s="2">
        <f>_xlfn.XLOOKUP(Table9[[#This Row],[orderID]],orders[orderID],orders[orderDate],,0)</f>
        <v>42017</v>
      </c>
      <c r="C1518">
        <f>_xlfn.XLOOKUP(A1518,order_details[orderID],order_details[productID],,0)</f>
        <v>6</v>
      </c>
      <c r="D1518" t="str">
        <f>_xlfn.XLOOKUP(C1518,products[productID],products[productName],,0)</f>
        <v>Grandma's Boysenberry Spread</v>
      </c>
      <c r="E1518" t="str">
        <f>_xlfn.XLOOKUP(_xlfn.XLOOKUP(Table9[[#This Row],[ProductName ]],products[productName],products[categoryID],,0),categories[categoryID],categories[categoryName],,0)</f>
        <v>Condiments</v>
      </c>
      <c r="F1518">
        <v>6</v>
      </c>
      <c r="G1518">
        <v>25</v>
      </c>
      <c r="H1518">
        <v>0</v>
      </c>
      <c r="I1518">
        <f>Table9[[#This Row],[quantity]]*Table9[[#This Row],[unitPrice]]*(1-Table9[[#This Row],[discount]]/100)</f>
        <v>150</v>
      </c>
      <c r="J1518" t="str">
        <f>_xlfn.XLOOKUP(_xlfn.XLOOKUP(A1518,orders[orderID],orders[customerID],,0),customers__2[customerID],customers__2[companyName],,0)</f>
        <v>Tradição Hipermercados</v>
      </c>
      <c r="K1518" t="str">
        <f>_xlfn.XLOOKUP(Table9[[#This Row],[Company Name]],customers__2[companyName],customers__2[country],,0)</f>
        <v>Brazil</v>
      </c>
      <c r="L1518">
        <f>MONTH(Table9[[#This Row],[OrderDate ]])</f>
        <v>1</v>
      </c>
      <c r="M1518" t="str">
        <f>TEXT(Table9[[#This Row],[OrderDate ]],"mmm")</f>
        <v>Jan</v>
      </c>
      <c r="N1518">
        <f>YEAR(Table9[[#This Row],[OrderDate ]])</f>
        <v>2015</v>
      </c>
    </row>
    <row r="1519" spans="1:14" x14ac:dyDescent="0.3">
      <c r="A1519">
        <v>10830</v>
      </c>
      <c r="B1519" s="2">
        <f>_xlfn.XLOOKUP(Table9[[#This Row],[orderID]],orders[orderID],orders[orderDate],,0)</f>
        <v>42017</v>
      </c>
      <c r="C1519">
        <f>_xlfn.XLOOKUP(A1519,order_details[orderID],order_details[productID],,0)</f>
        <v>6</v>
      </c>
      <c r="D1519" t="str">
        <f>_xlfn.XLOOKUP(C1519,products[productID],products[productName],,0)</f>
        <v>Grandma's Boysenberry Spread</v>
      </c>
      <c r="E1519" t="str">
        <f>_xlfn.XLOOKUP(_xlfn.XLOOKUP(Table9[[#This Row],[ProductName ]],products[productName],products[categoryID],,0),categories[categoryID],categories[categoryName],,0)</f>
        <v>Condiments</v>
      </c>
      <c r="F1519">
        <v>28</v>
      </c>
      <c r="G1519">
        <v>18</v>
      </c>
      <c r="H1519">
        <v>0</v>
      </c>
      <c r="I1519">
        <f>Table9[[#This Row],[quantity]]*Table9[[#This Row],[unitPrice]]*(1-Table9[[#This Row],[discount]]/100)</f>
        <v>504</v>
      </c>
      <c r="J1519" t="str">
        <f>_xlfn.XLOOKUP(_xlfn.XLOOKUP(A1519,orders[orderID],orders[customerID],,0),customers__2[customerID],customers__2[companyName],,0)</f>
        <v>Tradição Hipermercados</v>
      </c>
      <c r="K1519" t="str">
        <f>_xlfn.XLOOKUP(Table9[[#This Row],[Company Name]],customers__2[companyName],customers__2[country],,0)</f>
        <v>Brazil</v>
      </c>
      <c r="L1519">
        <f>MONTH(Table9[[#This Row],[OrderDate ]])</f>
        <v>1</v>
      </c>
      <c r="M1519" t="str">
        <f>TEXT(Table9[[#This Row],[OrderDate ]],"mmm")</f>
        <v>Jan</v>
      </c>
      <c r="N1519">
        <f>YEAR(Table9[[#This Row],[OrderDate ]])</f>
        <v>2015</v>
      </c>
    </row>
    <row r="1520" spans="1:14" x14ac:dyDescent="0.3">
      <c r="A1520">
        <v>10830</v>
      </c>
      <c r="B1520" s="2">
        <f>_xlfn.XLOOKUP(Table9[[#This Row],[orderID]],orders[orderID],orders[orderDate],,0)</f>
        <v>42017</v>
      </c>
      <c r="C1520">
        <f>_xlfn.XLOOKUP(A1520,order_details[orderID],order_details[productID],,0)</f>
        <v>6</v>
      </c>
      <c r="D1520" t="str">
        <f>_xlfn.XLOOKUP(C1520,products[productID],products[productName],,0)</f>
        <v>Grandma's Boysenberry Spread</v>
      </c>
      <c r="E1520" t="str">
        <f>_xlfn.XLOOKUP(_xlfn.XLOOKUP(Table9[[#This Row],[ProductName ]],products[productName],products[categoryID],,0),categories[categoryID],categories[categoryName],,0)</f>
        <v>Condiments</v>
      </c>
      <c r="F1520">
        <v>30</v>
      </c>
      <c r="G1520">
        <v>34</v>
      </c>
      <c r="H1520">
        <v>0</v>
      </c>
      <c r="I1520">
        <f>Table9[[#This Row],[quantity]]*Table9[[#This Row],[unitPrice]]*(1-Table9[[#This Row],[discount]]/100)</f>
        <v>1020</v>
      </c>
      <c r="J1520" t="str">
        <f>_xlfn.XLOOKUP(_xlfn.XLOOKUP(A1520,orders[orderID],orders[customerID],,0),customers__2[customerID],customers__2[companyName],,0)</f>
        <v>Tradição Hipermercados</v>
      </c>
      <c r="K1520" t="str">
        <f>_xlfn.XLOOKUP(Table9[[#This Row],[Company Name]],customers__2[companyName],customers__2[country],,0)</f>
        <v>Brazil</v>
      </c>
      <c r="L1520">
        <f>MONTH(Table9[[#This Row],[OrderDate ]])</f>
        <v>1</v>
      </c>
      <c r="M1520" t="str">
        <f>TEXT(Table9[[#This Row],[OrderDate ]],"mmm")</f>
        <v>Jan</v>
      </c>
      <c r="N1520">
        <f>YEAR(Table9[[#This Row],[OrderDate ]])</f>
        <v>2015</v>
      </c>
    </row>
    <row r="1521" spans="1:14" x14ac:dyDescent="0.3">
      <c r="A1521">
        <v>10830</v>
      </c>
      <c r="B1521" s="2">
        <f>_xlfn.XLOOKUP(Table9[[#This Row],[orderID]],orders[orderID],orders[orderDate],,0)</f>
        <v>42017</v>
      </c>
      <c r="C1521">
        <f>_xlfn.XLOOKUP(A1521,order_details[orderID],order_details[productID],,0)</f>
        <v>6</v>
      </c>
      <c r="D1521" t="str">
        <f>_xlfn.XLOOKUP(C1521,products[productID],products[productName],,0)</f>
        <v>Grandma's Boysenberry Spread</v>
      </c>
      <c r="E1521" t="str">
        <f>_xlfn.XLOOKUP(_xlfn.XLOOKUP(Table9[[#This Row],[ProductName ]],products[productName],products[categoryID],,0),categories[categoryID],categories[categoryName],,0)</f>
        <v>Condiments</v>
      </c>
      <c r="F1521">
        <v>24</v>
      </c>
      <c r="G1521">
        <v>125</v>
      </c>
      <c r="H1521">
        <v>0</v>
      </c>
      <c r="I1521">
        <f>Table9[[#This Row],[quantity]]*Table9[[#This Row],[unitPrice]]*(1-Table9[[#This Row],[discount]]/100)</f>
        <v>3000</v>
      </c>
      <c r="J1521" t="str">
        <f>_xlfn.XLOOKUP(_xlfn.XLOOKUP(A1521,orders[orderID],orders[customerID],,0),customers__2[customerID],customers__2[companyName],,0)</f>
        <v>Tradição Hipermercados</v>
      </c>
      <c r="K1521" t="str">
        <f>_xlfn.XLOOKUP(Table9[[#This Row],[Company Name]],customers__2[companyName],customers__2[country],,0)</f>
        <v>Brazil</v>
      </c>
      <c r="L1521">
        <f>MONTH(Table9[[#This Row],[OrderDate ]])</f>
        <v>1</v>
      </c>
      <c r="M1521" t="str">
        <f>TEXT(Table9[[#This Row],[OrderDate ]],"mmm")</f>
        <v>Jan</v>
      </c>
      <c r="N1521">
        <f>YEAR(Table9[[#This Row],[OrderDate ]])</f>
        <v>2015</v>
      </c>
    </row>
    <row r="1522" spans="1:14" x14ac:dyDescent="0.3">
      <c r="A1522">
        <v>10831</v>
      </c>
      <c r="B1522" s="2">
        <f>_xlfn.XLOOKUP(Table9[[#This Row],[orderID]],orders[orderID],orders[orderDate],,0)</f>
        <v>42018</v>
      </c>
      <c r="C1522">
        <f>_xlfn.XLOOKUP(A1522,order_details[orderID],order_details[productID],,0)</f>
        <v>19</v>
      </c>
      <c r="D1522" t="str">
        <f>_xlfn.XLOOKUP(C1522,products[productID],products[productName],,0)</f>
        <v>Teatime Chocolate Biscuits</v>
      </c>
      <c r="E1522" t="str">
        <f>_xlfn.XLOOKUP(_xlfn.XLOOKUP(Table9[[#This Row],[ProductName ]],products[productName],products[categoryID],,0),categories[categoryID],categories[categoryName],,0)</f>
        <v>Confections</v>
      </c>
      <c r="F1522">
        <v>2</v>
      </c>
      <c r="G1522">
        <v>92</v>
      </c>
      <c r="H1522">
        <v>0</v>
      </c>
      <c r="I1522">
        <f>Table9[[#This Row],[quantity]]*Table9[[#This Row],[unitPrice]]*(1-Table9[[#This Row],[discount]]/100)</f>
        <v>184</v>
      </c>
      <c r="J1522" t="str">
        <f>_xlfn.XLOOKUP(_xlfn.XLOOKUP(A1522,orders[orderID],orders[customerID],,0),customers__2[customerID],customers__2[companyName],,0)</f>
        <v>Santé Gourmet</v>
      </c>
      <c r="K1522" t="str">
        <f>_xlfn.XLOOKUP(Table9[[#This Row],[Company Name]],customers__2[companyName],customers__2[country],,0)</f>
        <v>Norway</v>
      </c>
      <c r="L1522">
        <f>MONTH(Table9[[#This Row],[OrderDate ]])</f>
        <v>1</v>
      </c>
      <c r="M1522" t="str">
        <f>TEXT(Table9[[#This Row],[OrderDate ]],"mmm")</f>
        <v>Jan</v>
      </c>
      <c r="N1522">
        <f>YEAR(Table9[[#This Row],[OrderDate ]])</f>
        <v>2015</v>
      </c>
    </row>
    <row r="1523" spans="1:14" x14ac:dyDescent="0.3">
      <c r="A1523">
        <v>10831</v>
      </c>
      <c r="B1523" s="2">
        <f>_xlfn.XLOOKUP(Table9[[#This Row],[orderID]],orders[orderID],orders[orderDate],,0)</f>
        <v>42018</v>
      </c>
      <c r="C1523">
        <f>_xlfn.XLOOKUP(A1523,order_details[orderID],order_details[productID],,0)</f>
        <v>19</v>
      </c>
      <c r="D1523" t="str">
        <f>_xlfn.XLOOKUP(C1523,products[productID],products[productName],,0)</f>
        <v>Teatime Chocolate Biscuits</v>
      </c>
      <c r="E1523" t="str">
        <f>_xlfn.XLOOKUP(_xlfn.XLOOKUP(Table9[[#This Row],[ProductName ]],products[productName],products[categoryID],,0),categories[categoryID],categories[categoryName],,0)</f>
        <v>Confections</v>
      </c>
      <c r="F1523">
        <v>8</v>
      </c>
      <c r="G1523">
        <v>18</v>
      </c>
      <c r="H1523">
        <v>0</v>
      </c>
      <c r="I1523">
        <f>Table9[[#This Row],[quantity]]*Table9[[#This Row],[unitPrice]]*(1-Table9[[#This Row],[discount]]/100)</f>
        <v>144</v>
      </c>
      <c r="J1523" t="str">
        <f>_xlfn.XLOOKUP(_xlfn.XLOOKUP(A1523,orders[orderID],orders[customerID],,0),customers__2[customerID],customers__2[companyName],,0)</f>
        <v>Santé Gourmet</v>
      </c>
      <c r="K1523" t="str">
        <f>_xlfn.XLOOKUP(Table9[[#This Row],[Company Name]],customers__2[companyName],customers__2[country],,0)</f>
        <v>Norway</v>
      </c>
      <c r="L1523">
        <f>MONTH(Table9[[#This Row],[OrderDate ]])</f>
        <v>1</v>
      </c>
      <c r="M1523" t="str">
        <f>TEXT(Table9[[#This Row],[OrderDate ]],"mmm")</f>
        <v>Jan</v>
      </c>
      <c r="N1523">
        <f>YEAR(Table9[[#This Row],[OrderDate ]])</f>
        <v>2015</v>
      </c>
    </row>
    <row r="1524" spans="1:14" x14ac:dyDescent="0.3">
      <c r="A1524">
        <v>10831</v>
      </c>
      <c r="B1524" s="2">
        <f>_xlfn.XLOOKUP(Table9[[#This Row],[orderID]],orders[orderID],orders[orderDate],,0)</f>
        <v>42018</v>
      </c>
      <c r="C1524">
        <f>_xlfn.XLOOKUP(A1524,order_details[orderID],order_details[productID],,0)</f>
        <v>19</v>
      </c>
      <c r="D1524" t="str">
        <f>_xlfn.XLOOKUP(C1524,products[productID],products[productName],,0)</f>
        <v>Teatime Chocolate Biscuits</v>
      </c>
      <c r="E1524" t="str">
        <f>_xlfn.XLOOKUP(_xlfn.XLOOKUP(Table9[[#This Row],[ProductName ]],products[productName],products[categoryID],,0),categories[categoryID],categories[categoryName],,0)</f>
        <v>Confections</v>
      </c>
      <c r="F1524">
        <v>8</v>
      </c>
      <c r="G1524">
        <v>2635</v>
      </c>
      <c r="H1524">
        <v>0</v>
      </c>
      <c r="I1524">
        <f>Table9[[#This Row],[quantity]]*Table9[[#This Row],[unitPrice]]*(1-Table9[[#This Row],[discount]]/100)</f>
        <v>21080</v>
      </c>
      <c r="J1524" t="str">
        <f>_xlfn.XLOOKUP(_xlfn.XLOOKUP(A1524,orders[orderID],orders[customerID],,0),customers__2[customerID],customers__2[companyName],,0)</f>
        <v>Santé Gourmet</v>
      </c>
      <c r="K1524" t="str">
        <f>_xlfn.XLOOKUP(Table9[[#This Row],[Company Name]],customers__2[companyName],customers__2[country],,0)</f>
        <v>Norway</v>
      </c>
      <c r="L1524">
        <f>MONTH(Table9[[#This Row],[OrderDate ]])</f>
        <v>1</v>
      </c>
      <c r="M1524" t="str">
        <f>TEXT(Table9[[#This Row],[OrderDate ]],"mmm")</f>
        <v>Jan</v>
      </c>
      <c r="N1524">
        <f>YEAR(Table9[[#This Row],[OrderDate ]])</f>
        <v>2015</v>
      </c>
    </row>
    <row r="1525" spans="1:14" x14ac:dyDescent="0.3">
      <c r="A1525">
        <v>10831</v>
      </c>
      <c r="B1525" s="2">
        <f>_xlfn.XLOOKUP(Table9[[#This Row],[orderID]],orders[orderID],orders[orderDate],,0)</f>
        <v>42018</v>
      </c>
      <c r="C1525">
        <f>_xlfn.XLOOKUP(A1525,order_details[orderID],order_details[productID],,0)</f>
        <v>19</v>
      </c>
      <c r="D1525" t="str">
        <f>_xlfn.XLOOKUP(C1525,products[productID],products[productName],,0)</f>
        <v>Teatime Chocolate Biscuits</v>
      </c>
      <c r="E1525" t="str">
        <f>_xlfn.XLOOKUP(_xlfn.XLOOKUP(Table9[[#This Row],[ProductName ]],products[productName],products[categoryID],,0),categories[categoryID],categories[categoryName],,0)</f>
        <v>Confections</v>
      </c>
      <c r="F1525">
        <v>9</v>
      </c>
      <c r="G1525">
        <v>46</v>
      </c>
      <c r="H1525">
        <v>0</v>
      </c>
      <c r="I1525">
        <f>Table9[[#This Row],[quantity]]*Table9[[#This Row],[unitPrice]]*(1-Table9[[#This Row],[discount]]/100)</f>
        <v>414</v>
      </c>
      <c r="J1525" t="str">
        <f>_xlfn.XLOOKUP(_xlfn.XLOOKUP(A1525,orders[orderID],orders[customerID],,0),customers__2[customerID],customers__2[companyName],,0)</f>
        <v>Santé Gourmet</v>
      </c>
      <c r="K1525" t="str">
        <f>_xlfn.XLOOKUP(Table9[[#This Row],[Company Name]],customers__2[companyName],customers__2[country],,0)</f>
        <v>Norway</v>
      </c>
      <c r="L1525">
        <f>MONTH(Table9[[#This Row],[OrderDate ]])</f>
        <v>1</v>
      </c>
      <c r="M1525" t="str">
        <f>TEXT(Table9[[#This Row],[OrderDate ]],"mmm")</f>
        <v>Jan</v>
      </c>
      <c r="N1525">
        <f>YEAR(Table9[[#This Row],[OrderDate ]])</f>
        <v>2015</v>
      </c>
    </row>
    <row r="1526" spans="1:14" x14ac:dyDescent="0.3">
      <c r="A1526">
        <v>10832</v>
      </c>
      <c r="B1526" s="2">
        <f>_xlfn.XLOOKUP(Table9[[#This Row],[orderID]],orders[orderID],orders[orderDate],,0)</f>
        <v>42018</v>
      </c>
      <c r="C1526">
        <f>_xlfn.XLOOKUP(A1526,order_details[orderID],order_details[productID],,0)</f>
        <v>13</v>
      </c>
      <c r="D1526" t="str">
        <f>_xlfn.XLOOKUP(C1526,products[productID],products[productName],,0)</f>
        <v>Konbu</v>
      </c>
      <c r="E1526" t="str">
        <f>_xlfn.XLOOKUP(_xlfn.XLOOKUP(Table9[[#This Row],[ProductName ]],products[productName],products[categoryID],,0),categories[categoryID],categories[categoryName],,0)</f>
        <v>Seafood</v>
      </c>
      <c r="F1526">
        <v>3</v>
      </c>
      <c r="G1526">
        <v>6</v>
      </c>
      <c r="H1526">
        <v>2</v>
      </c>
      <c r="I1526">
        <f>Table9[[#This Row],[quantity]]*Table9[[#This Row],[unitPrice]]*(1-Table9[[#This Row],[discount]]/100)</f>
        <v>17.64</v>
      </c>
      <c r="J1526" t="str">
        <f>_xlfn.XLOOKUP(_xlfn.XLOOKUP(A1526,orders[orderID],orders[customerID],,0),customers__2[customerID],customers__2[companyName],,0)</f>
        <v>La maison d'Asie</v>
      </c>
      <c r="K1526" t="str">
        <f>_xlfn.XLOOKUP(Table9[[#This Row],[Company Name]],customers__2[companyName],customers__2[country],,0)</f>
        <v>France</v>
      </c>
      <c r="L1526">
        <f>MONTH(Table9[[#This Row],[OrderDate ]])</f>
        <v>1</v>
      </c>
      <c r="M1526" t="str">
        <f>TEXT(Table9[[#This Row],[OrderDate ]],"mmm")</f>
        <v>Jan</v>
      </c>
      <c r="N1526">
        <f>YEAR(Table9[[#This Row],[OrderDate ]])</f>
        <v>2015</v>
      </c>
    </row>
    <row r="1527" spans="1:14" x14ac:dyDescent="0.3">
      <c r="A1527">
        <v>10832</v>
      </c>
      <c r="B1527" s="2">
        <f>_xlfn.XLOOKUP(Table9[[#This Row],[orderID]],orders[orderID],orders[orderDate],,0)</f>
        <v>42018</v>
      </c>
      <c r="C1527">
        <f>_xlfn.XLOOKUP(A1527,order_details[orderID],order_details[productID],,0)</f>
        <v>13</v>
      </c>
      <c r="D1527" t="str">
        <f>_xlfn.XLOOKUP(C1527,products[productID],products[productName],,0)</f>
        <v>Konbu</v>
      </c>
      <c r="E1527" t="str">
        <f>_xlfn.XLOOKUP(_xlfn.XLOOKUP(Table9[[#This Row],[ProductName ]],products[productName],products[categoryID],,0),categories[categoryID],categories[categoryName],,0)</f>
        <v>Seafood</v>
      </c>
      <c r="F1527">
        <v>10</v>
      </c>
      <c r="G1527">
        <v>14</v>
      </c>
      <c r="H1527">
        <v>2</v>
      </c>
      <c r="I1527">
        <f>Table9[[#This Row],[quantity]]*Table9[[#This Row],[unitPrice]]*(1-Table9[[#This Row],[discount]]/100)</f>
        <v>137.19999999999999</v>
      </c>
      <c r="J1527" t="str">
        <f>_xlfn.XLOOKUP(_xlfn.XLOOKUP(A1527,orders[orderID],orders[customerID],,0),customers__2[customerID],customers__2[companyName],,0)</f>
        <v>La maison d'Asie</v>
      </c>
      <c r="K1527" t="str">
        <f>_xlfn.XLOOKUP(Table9[[#This Row],[Company Name]],customers__2[companyName],customers__2[country],,0)</f>
        <v>France</v>
      </c>
      <c r="L1527">
        <f>MONTH(Table9[[#This Row],[OrderDate ]])</f>
        <v>1</v>
      </c>
      <c r="M1527" t="str">
        <f>TEXT(Table9[[#This Row],[OrderDate ]],"mmm")</f>
        <v>Jan</v>
      </c>
      <c r="N1527">
        <f>YEAR(Table9[[#This Row],[OrderDate ]])</f>
        <v>2015</v>
      </c>
    </row>
    <row r="1528" spans="1:14" x14ac:dyDescent="0.3">
      <c r="A1528">
        <v>10832</v>
      </c>
      <c r="B1528" s="2">
        <f>_xlfn.XLOOKUP(Table9[[#This Row],[orderID]],orders[orderID],orders[orderDate],,0)</f>
        <v>42018</v>
      </c>
      <c r="C1528">
        <f>_xlfn.XLOOKUP(A1528,order_details[orderID],order_details[productID],,0)</f>
        <v>13</v>
      </c>
      <c r="D1528" t="str">
        <f>_xlfn.XLOOKUP(C1528,products[productID],products[productName],,0)</f>
        <v>Konbu</v>
      </c>
      <c r="E1528" t="str">
        <f>_xlfn.XLOOKUP(_xlfn.XLOOKUP(Table9[[#This Row],[ProductName ]],products[productName],products[categoryID],,0),categories[categoryID],categories[categoryName],,0)</f>
        <v>Seafood</v>
      </c>
      <c r="F1528">
        <v>16</v>
      </c>
      <c r="G1528">
        <v>1945</v>
      </c>
      <c r="H1528">
        <v>2</v>
      </c>
      <c r="I1528">
        <f>Table9[[#This Row],[quantity]]*Table9[[#This Row],[unitPrice]]*(1-Table9[[#This Row],[discount]]/100)</f>
        <v>30497.599999999999</v>
      </c>
      <c r="J1528" t="str">
        <f>_xlfn.XLOOKUP(_xlfn.XLOOKUP(A1528,orders[orderID],orders[customerID],,0),customers__2[customerID],customers__2[companyName],,0)</f>
        <v>La maison d'Asie</v>
      </c>
      <c r="K1528" t="str">
        <f>_xlfn.XLOOKUP(Table9[[#This Row],[Company Name]],customers__2[companyName],customers__2[country],,0)</f>
        <v>France</v>
      </c>
      <c r="L1528">
        <f>MONTH(Table9[[#This Row],[OrderDate ]])</f>
        <v>1</v>
      </c>
      <c r="M1528" t="str">
        <f>TEXT(Table9[[#This Row],[OrderDate ]],"mmm")</f>
        <v>Jan</v>
      </c>
      <c r="N1528">
        <f>YEAR(Table9[[#This Row],[OrderDate ]])</f>
        <v>2015</v>
      </c>
    </row>
    <row r="1529" spans="1:14" x14ac:dyDescent="0.3">
      <c r="A1529">
        <v>10832</v>
      </c>
      <c r="B1529" s="2">
        <f>_xlfn.XLOOKUP(Table9[[#This Row],[orderID]],orders[orderID],orders[orderDate],,0)</f>
        <v>42018</v>
      </c>
      <c r="C1529">
        <f>_xlfn.XLOOKUP(A1529,order_details[orderID],order_details[productID],,0)</f>
        <v>13</v>
      </c>
      <c r="D1529" t="str">
        <f>_xlfn.XLOOKUP(C1529,products[productID],products[productName],,0)</f>
        <v>Konbu</v>
      </c>
      <c r="E1529" t="str">
        <f>_xlfn.XLOOKUP(_xlfn.XLOOKUP(Table9[[#This Row],[ProductName ]],products[productName],products[categoryID],,0),categories[categoryID],categories[categoryName],,0)</f>
        <v>Seafood</v>
      </c>
      <c r="F1529">
        <v>3</v>
      </c>
      <c r="G1529">
        <v>3325</v>
      </c>
      <c r="H1529">
        <v>0</v>
      </c>
      <c r="I1529">
        <f>Table9[[#This Row],[quantity]]*Table9[[#This Row],[unitPrice]]*(1-Table9[[#This Row],[discount]]/100)</f>
        <v>9975</v>
      </c>
      <c r="J1529" t="str">
        <f>_xlfn.XLOOKUP(_xlfn.XLOOKUP(A1529,orders[orderID],orders[customerID],,0),customers__2[customerID],customers__2[companyName],,0)</f>
        <v>La maison d'Asie</v>
      </c>
      <c r="K1529" t="str">
        <f>_xlfn.XLOOKUP(Table9[[#This Row],[Company Name]],customers__2[companyName],customers__2[country],,0)</f>
        <v>France</v>
      </c>
      <c r="L1529">
        <f>MONTH(Table9[[#This Row],[OrderDate ]])</f>
        <v>1</v>
      </c>
      <c r="M1529" t="str">
        <f>TEXT(Table9[[#This Row],[OrderDate ]],"mmm")</f>
        <v>Jan</v>
      </c>
      <c r="N1529">
        <f>YEAR(Table9[[#This Row],[OrderDate ]])</f>
        <v>2015</v>
      </c>
    </row>
    <row r="1530" spans="1:14" x14ac:dyDescent="0.3">
      <c r="A1530">
        <v>10833</v>
      </c>
      <c r="B1530" s="2">
        <f>_xlfn.XLOOKUP(Table9[[#This Row],[orderID]],orders[orderID],orders[orderDate],,0)</f>
        <v>42019</v>
      </c>
      <c r="C1530">
        <f>_xlfn.XLOOKUP(A1530,order_details[orderID],order_details[productID],,0)</f>
        <v>7</v>
      </c>
      <c r="D1530" t="str">
        <f>_xlfn.XLOOKUP(C1530,products[productID],products[productName],,0)</f>
        <v>Uncle Bob's Organic Dried Pears</v>
      </c>
      <c r="E1530" t="str">
        <f>_xlfn.XLOOKUP(_xlfn.XLOOKUP(Table9[[#This Row],[ProductName ]],products[productName],products[categoryID],,0),categories[categoryID],categories[categoryName],,0)</f>
        <v>Produce</v>
      </c>
      <c r="F1530">
        <v>20</v>
      </c>
      <c r="G1530">
        <v>30</v>
      </c>
      <c r="H1530">
        <v>1</v>
      </c>
      <c r="I1530">
        <f>Table9[[#This Row],[quantity]]*Table9[[#This Row],[unitPrice]]*(1-Table9[[#This Row],[discount]]/100)</f>
        <v>594</v>
      </c>
      <c r="J1530" t="str">
        <f>_xlfn.XLOOKUP(_xlfn.XLOOKUP(A1530,orders[orderID],orders[customerID],,0),customers__2[customerID],customers__2[companyName],,0)</f>
        <v>Ottilies Käseladen</v>
      </c>
      <c r="K1530" t="str">
        <f>_xlfn.XLOOKUP(Table9[[#This Row],[Company Name]],customers__2[companyName],customers__2[country],,0)</f>
        <v>Germany</v>
      </c>
      <c r="L1530">
        <f>MONTH(Table9[[#This Row],[OrderDate ]])</f>
        <v>1</v>
      </c>
      <c r="M1530" t="str">
        <f>TEXT(Table9[[#This Row],[OrderDate ]],"mmm")</f>
        <v>Jan</v>
      </c>
      <c r="N1530">
        <f>YEAR(Table9[[#This Row],[OrderDate ]])</f>
        <v>2015</v>
      </c>
    </row>
    <row r="1531" spans="1:14" x14ac:dyDescent="0.3">
      <c r="A1531">
        <v>10833</v>
      </c>
      <c r="B1531" s="2">
        <f>_xlfn.XLOOKUP(Table9[[#This Row],[orderID]],orders[orderID],orders[orderDate],,0)</f>
        <v>42019</v>
      </c>
      <c r="C1531">
        <f>_xlfn.XLOOKUP(A1531,order_details[orderID],order_details[productID],,0)</f>
        <v>7</v>
      </c>
      <c r="D1531" t="str">
        <f>_xlfn.XLOOKUP(C1531,products[productID],products[productName],,0)</f>
        <v>Uncle Bob's Organic Dried Pears</v>
      </c>
      <c r="E1531" t="str">
        <f>_xlfn.XLOOKUP(_xlfn.XLOOKUP(Table9[[#This Row],[ProductName ]],products[productName],products[categoryID],,0),categories[categoryID],categories[categoryName],,0)</f>
        <v>Produce</v>
      </c>
      <c r="F1531">
        <v>9</v>
      </c>
      <c r="G1531">
        <v>125</v>
      </c>
      <c r="H1531">
        <v>1</v>
      </c>
      <c r="I1531">
        <f>Table9[[#This Row],[quantity]]*Table9[[#This Row],[unitPrice]]*(1-Table9[[#This Row],[discount]]/100)</f>
        <v>1113.75</v>
      </c>
      <c r="J1531" t="str">
        <f>_xlfn.XLOOKUP(_xlfn.XLOOKUP(A1531,orders[orderID],orders[customerID],,0),customers__2[customerID],customers__2[companyName],,0)</f>
        <v>Ottilies Käseladen</v>
      </c>
      <c r="K1531" t="str">
        <f>_xlfn.XLOOKUP(Table9[[#This Row],[Company Name]],customers__2[companyName],customers__2[country],,0)</f>
        <v>Germany</v>
      </c>
      <c r="L1531">
        <f>MONTH(Table9[[#This Row],[OrderDate ]])</f>
        <v>1</v>
      </c>
      <c r="M1531" t="str">
        <f>TEXT(Table9[[#This Row],[OrderDate ]],"mmm")</f>
        <v>Jan</v>
      </c>
      <c r="N1531">
        <f>YEAR(Table9[[#This Row],[OrderDate ]])</f>
        <v>2015</v>
      </c>
    </row>
    <row r="1532" spans="1:14" x14ac:dyDescent="0.3">
      <c r="A1532">
        <v>10833</v>
      </c>
      <c r="B1532" s="2">
        <f>_xlfn.XLOOKUP(Table9[[#This Row],[orderID]],orders[orderID],orders[orderDate],,0)</f>
        <v>42019</v>
      </c>
      <c r="C1532">
        <f>_xlfn.XLOOKUP(A1532,order_details[orderID],order_details[productID],,0)</f>
        <v>7</v>
      </c>
      <c r="D1532" t="str">
        <f>_xlfn.XLOOKUP(C1532,products[productID],products[productName],,0)</f>
        <v>Uncle Bob's Organic Dried Pears</v>
      </c>
      <c r="E1532" t="str">
        <f>_xlfn.XLOOKUP(_xlfn.XLOOKUP(Table9[[#This Row],[ProductName ]],products[productName],products[categoryID],,0),categories[categoryID],categories[categoryName],,0)</f>
        <v>Produce</v>
      </c>
      <c r="F1532">
        <v>9</v>
      </c>
      <c r="G1532">
        <v>328</v>
      </c>
      <c r="H1532">
        <v>1</v>
      </c>
      <c r="I1532">
        <f>Table9[[#This Row],[quantity]]*Table9[[#This Row],[unitPrice]]*(1-Table9[[#This Row],[discount]]/100)</f>
        <v>2922.48</v>
      </c>
      <c r="J1532" t="str">
        <f>_xlfn.XLOOKUP(_xlfn.XLOOKUP(A1532,orders[orderID],orders[customerID],,0),customers__2[customerID],customers__2[companyName],,0)</f>
        <v>Ottilies Käseladen</v>
      </c>
      <c r="K1532" t="str">
        <f>_xlfn.XLOOKUP(Table9[[#This Row],[Company Name]],customers__2[companyName],customers__2[country],,0)</f>
        <v>Germany</v>
      </c>
      <c r="L1532">
        <f>MONTH(Table9[[#This Row],[OrderDate ]])</f>
        <v>1</v>
      </c>
      <c r="M1532" t="str">
        <f>TEXT(Table9[[#This Row],[OrderDate ]],"mmm")</f>
        <v>Jan</v>
      </c>
      <c r="N1532">
        <f>YEAR(Table9[[#This Row],[OrderDate ]])</f>
        <v>2015</v>
      </c>
    </row>
    <row r="1533" spans="1:14" x14ac:dyDescent="0.3">
      <c r="A1533">
        <v>10834</v>
      </c>
      <c r="B1533" s="2">
        <f>_xlfn.XLOOKUP(Table9[[#This Row],[orderID]],orders[orderID],orders[orderDate],,0)</f>
        <v>42019</v>
      </c>
      <c r="C1533">
        <f>_xlfn.XLOOKUP(A1533,order_details[orderID],order_details[productID],,0)</f>
        <v>29</v>
      </c>
      <c r="D1533" t="str">
        <f>_xlfn.XLOOKUP(C1533,products[productID],products[productName],,0)</f>
        <v>Thüringer Rostbratwurst</v>
      </c>
      <c r="E1533" t="str">
        <f>_xlfn.XLOOKUP(_xlfn.XLOOKUP(Table9[[#This Row],[ProductName ]],products[productName],products[categoryID],,0),categories[categoryID],categories[categoryName],,0)</f>
        <v>Meat &amp; Poultry</v>
      </c>
      <c r="F1533">
        <v>8</v>
      </c>
      <c r="G1533">
        <v>12379</v>
      </c>
      <c r="H1533">
        <v>5</v>
      </c>
      <c r="I1533">
        <f>Table9[[#This Row],[quantity]]*Table9[[#This Row],[unitPrice]]*(1-Table9[[#This Row],[discount]]/100)</f>
        <v>94080.4</v>
      </c>
      <c r="J1533" t="str">
        <f>_xlfn.XLOOKUP(_xlfn.XLOOKUP(A1533,orders[orderID],orders[customerID],,0),customers__2[customerID],customers__2[companyName],,0)</f>
        <v>Tradição Hipermercados</v>
      </c>
      <c r="K1533" t="str">
        <f>_xlfn.XLOOKUP(Table9[[#This Row],[Company Name]],customers__2[companyName],customers__2[country],,0)</f>
        <v>Brazil</v>
      </c>
      <c r="L1533">
        <f>MONTH(Table9[[#This Row],[OrderDate ]])</f>
        <v>1</v>
      </c>
      <c r="M1533" t="str">
        <f>TEXT(Table9[[#This Row],[OrderDate ]],"mmm")</f>
        <v>Jan</v>
      </c>
      <c r="N1533">
        <f>YEAR(Table9[[#This Row],[OrderDate ]])</f>
        <v>2015</v>
      </c>
    </row>
    <row r="1534" spans="1:14" x14ac:dyDescent="0.3">
      <c r="A1534">
        <v>10834</v>
      </c>
      <c r="B1534" s="2">
        <f>_xlfn.XLOOKUP(Table9[[#This Row],[orderID]],orders[orderID],orders[orderDate],,0)</f>
        <v>42019</v>
      </c>
      <c r="C1534">
        <f>_xlfn.XLOOKUP(A1534,order_details[orderID],order_details[productID],,0)</f>
        <v>29</v>
      </c>
      <c r="D1534" t="str">
        <f>_xlfn.XLOOKUP(C1534,products[productID],products[productName],,0)</f>
        <v>Thüringer Rostbratwurst</v>
      </c>
      <c r="E1534" t="str">
        <f>_xlfn.XLOOKUP(_xlfn.XLOOKUP(Table9[[#This Row],[ProductName ]],products[productName],products[categoryID],,0),categories[categoryID],categories[categoryName],,0)</f>
        <v>Meat &amp; Poultry</v>
      </c>
      <c r="F1534">
        <v>20</v>
      </c>
      <c r="G1534">
        <v>2589</v>
      </c>
      <c r="H1534">
        <v>5</v>
      </c>
      <c r="I1534">
        <f>Table9[[#This Row],[quantity]]*Table9[[#This Row],[unitPrice]]*(1-Table9[[#This Row],[discount]]/100)</f>
        <v>49191</v>
      </c>
      <c r="J1534" t="str">
        <f>_xlfn.XLOOKUP(_xlfn.XLOOKUP(A1534,orders[orderID],orders[customerID],,0),customers__2[customerID],customers__2[companyName],,0)</f>
        <v>Tradição Hipermercados</v>
      </c>
      <c r="K1534" t="str">
        <f>_xlfn.XLOOKUP(Table9[[#This Row],[Company Name]],customers__2[companyName],customers__2[country],,0)</f>
        <v>Brazil</v>
      </c>
      <c r="L1534">
        <f>MONTH(Table9[[#This Row],[OrderDate ]])</f>
        <v>1</v>
      </c>
      <c r="M1534" t="str">
        <f>TEXT(Table9[[#This Row],[OrderDate ]],"mmm")</f>
        <v>Jan</v>
      </c>
      <c r="N1534">
        <f>YEAR(Table9[[#This Row],[OrderDate ]])</f>
        <v>2015</v>
      </c>
    </row>
    <row r="1535" spans="1:14" x14ac:dyDescent="0.3">
      <c r="A1535">
        <v>10835</v>
      </c>
      <c r="B1535" s="2">
        <f>_xlfn.XLOOKUP(Table9[[#This Row],[orderID]],orders[orderID],orders[orderDate],,0)</f>
        <v>42019</v>
      </c>
      <c r="C1535">
        <f>_xlfn.XLOOKUP(A1535,order_details[orderID],order_details[productID],,0)</f>
        <v>59</v>
      </c>
      <c r="D1535" t="str">
        <f>_xlfn.XLOOKUP(C1535,products[productID],products[productName],,0)</f>
        <v>Raclette Courdavault</v>
      </c>
      <c r="E1535" t="str">
        <f>_xlfn.XLOOKUP(_xlfn.XLOOKUP(Table9[[#This Row],[ProductName ]],products[productName],products[categoryID],,0),categories[categoryID],categories[categoryName],,0)</f>
        <v>Dairy Products</v>
      </c>
      <c r="F1535">
        <v>15</v>
      </c>
      <c r="G1535">
        <v>55</v>
      </c>
      <c r="H1535">
        <v>0</v>
      </c>
      <c r="I1535">
        <f>Table9[[#This Row],[quantity]]*Table9[[#This Row],[unitPrice]]*(1-Table9[[#This Row],[discount]]/100)</f>
        <v>825</v>
      </c>
      <c r="J1535" t="str">
        <f>_xlfn.XLOOKUP(_xlfn.XLOOKUP(A1535,orders[orderID],orders[customerID],,0),customers__2[customerID],customers__2[companyName],,0)</f>
        <v>Alfreds Futterkiste</v>
      </c>
      <c r="K1535" t="str">
        <f>_xlfn.XLOOKUP(Table9[[#This Row],[Company Name]],customers__2[companyName],customers__2[country],,0)</f>
        <v>Germany</v>
      </c>
      <c r="L1535">
        <f>MONTH(Table9[[#This Row],[OrderDate ]])</f>
        <v>1</v>
      </c>
      <c r="M1535" t="str">
        <f>TEXT(Table9[[#This Row],[OrderDate ]],"mmm")</f>
        <v>Jan</v>
      </c>
      <c r="N1535">
        <f>YEAR(Table9[[#This Row],[OrderDate ]])</f>
        <v>2015</v>
      </c>
    </row>
    <row r="1536" spans="1:14" x14ac:dyDescent="0.3">
      <c r="A1536">
        <v>10835</v>
      </c>
      <c r="B1536" s="2">
        <f>_xlfn.XLOOKUP(Table9[[#This Row],[orderID]],orders[orderID],orders[orderDate],,0)</f>
        <v>42019</v>
      </c>
      <c r="C1536">
        <f>_xlfn.XLOOKUP(A1536,order_details[orderID],order_details[productID],,0)</f>
        <v>59</v>
      </c>
      <c r="D1536" t="str">
        <f>_xlfn.XLOOKUP(C1536,products[productID],products[productName],,0)</f>
        <v>Raclette Courdavault</v>
      </c>
      <c r="E1536" t="str">
        <f>_xlfn.XLOOKUP(_xlfn.XLOOKUP(Table9[[#This Row],[ProductName ]],products[productName],products[categoryID],,0),categories[categoryID],categories[categoryName],,0)</f>
        <v>Dairy Products</v>
      </c>
      <c r="F1536">
        <v>2</v>
      </c>
      <c r="G1536">
        <v>13</v>
      </c>
      <c r="H1536">
        <v>2</v>
      </c>
      <c r="I1536">
        <f>Table9[[#This Row],[quantity]]*Table9[[#This Row],[unitPrice]]*(1-Table9[[#This Row],[discount]]/100)</f>
        <v>25.48</v>
      </c>
      <c r="J1536" t="str">
        <f>_xlfn.XLOOKUP(_xlfn.XLOOKUP(A1536,orders[orderID],orders[customerID],,0),customers__2[customerID],customers__2[companyName],,0)</f>
        <v>Alfreds Futterkiste</v>
      </c>
      <c r="K1536" t="str">
        <f>_xlfn.XLOOKUP(Table9[[#This Row],[Company Name]],customers__2[companyName],customers__2[country],,0)</f>
        <v>Germany</v>
      </c>
      <c r="L1536">
        <f>MONTH(Table9[[#This Row],[OrderDate ]])</f>
        <v>1</v>
      </c>
      <c r="M1536" t="str">
        <f>TEXT(Table9[[#This Row],[OrderDate ]],"mmm")</f>
        <v>Jan</v>
      </c>
      <c r="N1536">
        <f>YEAR(Table9[[#This Row],[OrderDate ]])</f>
        <v>2015</v>
      </c>
    </row>
    <row r="1537" spans="1:14" x14ac:dyDescent="0.3">
      <c r="A1537">
        <v>10836</v>
      </c>
      <c r="B1537" s="2">
        <f>_xlfn.XLOOKUP(Table9[[#This Row],[orderID]],orders[orderID],orders[orderDate],,0)</f>
        <v>42020</v>
      </c>
      <c r="C1537">
        <f>_xlfn.XLOOKUP(A1537,order_details[orderID],order_details[productID],,0)</f>
        <v>22</v>
      </c>
      <c r="D1537" t="str">
        <f>_xlfn.XLOOKUP(C1537,products[productID],products[productName],,0)</f>
        <v>Gustaf's Knackebröd</v>
      </c>
      <c r="E1537" t="str">
        <f>_xlfn.XLOOKUP(_xlfn.XLOOKUP(Table9[[#This Row],[ProductName ]],products[productName],products[categoryID],,0),categories[categoryID],categories[categoryName],,0)</f>
        <v>Grains &amp; Cereals</v>
      </c>
      <c r="F1537">
        <v>52</v>
      </c>
      <c r="G1537">
        <v>21</v>
      </c>
      <c r="H1537">
        <v>0</v>
      </c>
      <c r="I1537">
        <f>Table9[[#This Row],[quantity]]*Table9[[#This Row],[unitPrice]]*(1-Table9[[#This Row],[discount]]/100)</f>
        <v>1092</v>
      </c>
      <c r="J1537" t="str">
        <f>_xlfn.XLOOKUP(_xlfn.XLOOKUP(A1537,orders[orderID],orders[customerID],,0),customers__2[customerID],customers__2[companyName],,0)</f>
        <v>Ernst Handel</v>
      </c>
      <c r="K1537" t="str">
        <f>_xlfn.XLOOKUP(Table9[[#This Row],[Company Name]],customers__2[companyName],customers__2[country],,0)</f>
        <v>Austria</v>
      </c>
      <c r="L1537">
        <f>MONTH(Table9[[#This Row],[OrderDate ]])</f>
        <v>1</v>
      </c>
      <c r="M1537" t="str">
        <f>TEXT(Table9[[#This Row],[OrderDate ]],"mmm")</f>
        <v>Jan</v>
      </c>
      <c r="N1537">
        <f>YEAR(Table9[[#This Row],[OrderDate ]])</f>
        <v>2015</v>
      </c>
    </row>
    <row r="1538" spans="1:14" x14ac:dyDescent="0.3">
      <c r="A1538">
        <v>10836</v>
      </c>
      <c r="B1538" s="2">
        <f>_xlfn.XLOOKUP(Table9[[#This Row],[orderID]],orders[orderID],orders[orderDate],,0)</f>
        <v>42020</v>
      </c>
      <c r="C1538">
        <f>_xlfn.XLOOKUP(A1538,order_details[orderID],order_details[productID],,0)</f>
        <v>22</v>
      </c>
      <c r="D1538" t="str">
        <f>_xlfn.XLOOKUP(C1538,products[productID],products[productName],,0)</f>
        <v>Gustaf's Knackebröd</v>
      </c>
      <c r="E1538" t="str">
        <f>_xlfn.XLOOKUP(_xlfn.XLOOKUP(Table9[[#This Row],[ProductName ]],products[productName],products[categoryID],,0),categories[categoryID],categories[categoryName],,0)</f>
        <v>Grains &amp; Cereals</v>
      </c>
      <c r="F1538">
        <v>6</v>
      </c>
      <c r="G1538">
        <v>18</v>
      </c>
      <c r="H1538">
        <v>0</v>
      </c>
      <c r="I1538">
        <f>Table9[[#This Row],[quantity]]*Table9[[#This Row],[unitPrice]]*(1-Table9[[#This Row],[discount]]/100)</f>
        <v>108</v>
      </c>
      <c r="J1538" t="str">
        <f>_xlfn.XLOOKUP(_xlfn.XLOOKUP(A1538,orders[orderID],orders[customerID],,0),customers__2[customerID],customers__2[companyName],,0)</f>
        <v>Ernst Handel</v>
      </c>
      <c r="K1538" t="str">
        <f>_xlfn.XLOOKUP(Table9[[#This Row],[Company Name]],customers__2[companyName],customers__2[country],,0)</f>
        <v>Austria</v>
      </c>
      <c r="L1538">
        <f>MONTH(Table9[[#This Row],[OrderDate ]])</f>
        <v>1</v>
      </c>
      <c r="M1538" t="str">
        <f>TEXT(Table9[[#This Row],[OrderDate ]],"mmm")</f>
        <v>Jan</v>
      </c>
      <c r="N1538">
        <f>YEAR(Table9[[#This Row],[OrderDate ]])</f>
        <v>2015</v>
      </c>
    </row>
    <row r="1539" spans="1:14" x14ac:dyDescent="0.3">
      <c r="A1539">
        <v>10836</v>
      </c>
      <c r="B1539" s="2">
        <f>_xlfn.XLOOKUP(Table9[[#This Row],[orderID]],orders[orderID],orders[orderDate],,0)</f>
        <v>42020</v>
      </c>
      <c r="C1539">
        <f>_xlfn.XLOOKUP(A1539,order_details[orderID],order_details[productID],,0)</f>
        <v>22</v>
      </c>
      <c r="D1539" t="str">
        <f>_xlfn.XLOOKUP(C1539,products[productID],products[productName],,0)</f>
        <v>Gustaf's Knackebröd</v>
      </c>
      <c r="E1539" t="str">
        <f>_xlfn.XLOOKUP(_xlfn.XLOOKUP(Table9[[#This Row],[ProductName ]],products[productName],products[categoryID],,0),categories[categoryID],categories[categoryName],,0)</f>
        <v>Grains &amp; Cereals</v>
      </c>
      <c r="F1539">
        <v>24</v>
      </c>
      <c r="G1539">
        <v>195</v>
      </c>
      <c r="H1539">
        <v>0</v>
      </c>
      <c r="I1539">
        <f>Table9[[#This Row],[quantity]]*Table9[[#This Row],[unitPrice]]*(1-Table9[[#This Row],[discount]]/100)</f>
        <v>4680</v>
      </c>
      <c r="J1539" t="str">
        <f>_xlfn.XLOOKUP(_xlfn.XLOOKUP(A1539,orders[orderID],orders[customerID],,0),customers__2[customerID],customers__2[companyName],,0)</f>
        <v>Ernst Handel</v>
      </c>
      <c r="K1539" t="str">
        <f>_xlfn.XLOOKUP(Table9[[#This Row],[Company Name]],customers__2[companyName],customers__2[country],,0)</f>
        <v>Austria</v>
      </c>
      <c r="L1539">
        <f>MONTH(Table9[[#This Row],[OrderDate ]])</f>
        <v>1</v>
      </c>
      <c r="M1539" t="str">
        <f>TEXT(Table9[[#This Row],[OrderDate ]],"mmm")</f>
        <v>Jan</v>
      </c>
      <c r="N1539">
        <f>YEAR(Table9[[#This Row],[OrderDate ]])</f>
        <v>2015</v>
      </c>
    </row>
    <row r="1540" spans="1:14" x14ac:dyDescent="0.3">
      <c r="A1540">
        <v>10836</v>
      </c>
      <c r="B1540" s="2">
        <f>_xlfn.XLOOKUP(Table9[[#This Row],[orderID]],orders[orderID],orders[orderDate],,0)</f>
        <v>42020</v>
      </c>
      <c r="C1540">
        <f>_xlfn.XLOOKUP(A1540,order_details[orderID],order_details[productID],,0)</f>
        <v>22</v>
      </c>
      <c r="D1540" t="str">
        <f>_xlfn.XLOOKUP(C1540,products[productID],products[productName],,0)</f>
        <v>Gustaf's Knackebröd</v>
      </c>
      <c r="E1540" t="str">
        <f>_xlfn.XLOOKUP(_xlfn.XLOOKUP(Table9[[#This Row],[ProductName ]],products[productName],products[categoryID],,0),categories[categoryID],categories[categoryName],,0)</f>
        <v>Grains &amp; Cereals</v>
      </c>
      <c r="F1540">
        <v>60</v>
      </c>
      <c r="G1540">
        <v>34</v>
      </c>
      <c r="H1540">
        <v>0</v>
      </c>
      <c r="I1540">
        <f>Table9[[#This Row],[quantity]]*Table9[[#This Row],[unitPrice]]*(1-Table9[[#This Row],[discount]]/100)</f>
        <v>2040</v>
      </c>
      <c r="J1540" t="str">
        <f>_xlfn.XLOOKUP(_xlfn.XLOOKUP(A1540,orders[orderID],orders[customerID],,0),customers__2[customerID],customers__2[companyName],,0)</f>
        <v>Ernst Handel</v>
      </c>
      <c r="K1540" t="str">
        <f>_xlfn.XLOOKUP(Table9[[#This Row],[Company Name]],customers__2[companyName],customers__2[country],,0)</f>
        <v>Austria</v>
      </c>
      <c r="L1540">
        <f>MONTH(Table9[[#This Row],[OrderDate ]])</f>
        <v>1</v>
      </c>
      <c r="M1540" t="str">
        <f>TEXT(Table9[[#This Row],[OrderDate ]],"mmm")</f>
        <v>Jan</v>
      </c>
      <c r="N1540">
        <f>YEAR(Table9[[#This Row],[OrderDate ]])</f>
        <v>2015</v>
      </c>
    </row>
    <row r="1541" spans="1:14" x14ac:dyDescent="0.3">
      <c r="A1541">
        <v>10836</v>
      </c>
      <c r="B1541" s="2">
        <f>_xlfn.XLOOKUP(Table9[[#This Row],[orderID]],orders[orderID],orders[orderDate],,0)</f>
        <v>42020</v>
      </c>
      <c r="C1541">
        <f>_xlfn.XLOOKUP(A1541,order_details[orderID],order_details[productID],,0)</f>
        <v>22</v>
      </c>
      <c r="D1541" t="str">
        <f>_xlfn.XLOOKUP(C1541,products[productID],products[productName],,0)</f>
        <v>Gustaf's Knackebröd</v>
      </c>
      <c r="E1541" t="str">
        <f>_xlfn.XLOOKUP(_xlfn.XLOOKUP(Table9[[#This Row],[ProductName ]],products[productName],products[categoryID],,0),categories[categoryID],categories[categoryName],,0)</f>
        <v>Grains &amp; Cereals</v>
      </c>
      <c r="F1541">
        <v>30</v>
      </c>
      <c r="G1541">
        <v>3325</v>
      </c>
      <c r="H1541">
        <v>0</v>
      </c>
      <c r="I1541">
        <f>Table9[[#This Row],[quantity]]*Table9[[#This Row],[unitPrice]]*(1-Table9[[#This Row],[discount]]/100)</f>
        <v>99750</v>
      </c>
      <c r="J1541" t="str">
        <f>_xlfn.XLOOKUP(_xlfn.XLOOKUP(A1541,orders[orderID],orders[customerID],,0),customers__2[customerID],customers__2[companyName],,0)</f>
        <v>Ernst Handel</v>
      </c>
      <c r="K1541" t="str">
        <f>_xlfn.XLOOKUP(Table9[[#This Row],[Company Name]],customers__2[companyName],customers__2[country],,0)</f>
        <v>Austria</v>
      </c>
      <c r="L1541">
        <f>MONTH(Table9[[#This Row],[OrderDate ]])</f>
        <v>1</v>
      </c>
      <c r="M1541" t="str">
        <f>TEXT(Table9[[#This Row],[OrderDate ]],"mmm")</f>
        <v>Jan</v>
      </c>
      <c r="N1541">
        <f>YEAR(Table9[[#This Row],[OrderDate ]])</f>
        <v>2015</v>
      </c>
    </row>
    <row r="1542" spans="1:14" x14ac:dyDescent="0.3">
      <c r="A1542">
        <v>10837</v>
      </c>
      <c r="B1542" s="2">
        <f>_xlfn.XLOOKUP(Table9[[#This Row],[orderID]],orders[orderID],orders[orderDate],,0)</f>
        <v>42020</v>
      </c>
      <c r="C1542">
        <f>_xlfn.XLOOKUP(A1542,order_details[orderID],order_details[productID],,0)</f>
        <v>13</v>
      </c>
      <c r="D1542" t="str">
        <f>_xlfn.XLOOKUP(C1542,products[productID],products[productName],,0)</f>
        <v>Konbu</v>
      </c>
      <c r="E1542" t="str">
        <f>_xlfn.XLOOKUP(_xlfn.XLOOKUP(Table9[[#This Row],[ProductName ]],products[productName],products[categoryID],,0),categories[categoryID],categories[categoryName],,0)</f>
        <v>Seafood</v>
      </c>
      <c r="F1542">
        <v>6</v>
      </c>
      <c r="G1542">
        <v>6</v>
      </c>
      <c r="H1542">
        <v>0</v>
      </c>
      <c r="I1542">
        <f>Table9[[#This Row],[quantity]]*Table9[[#This Row],[unitPrice]]*(1-Table9[[#This Row],[discount]]/100)</f>
        <v>36</v>
      </c>
      <c r="J1542" t="str">
        <f>_xlfn.XLOOKUP(_xlfn.XLOOKUP(A1542,orders[orderID],orders[customerID],,0),customers__2[customerID],customers__2[companyName],,0)</f>
        <v>Berglunds snabbköp</v>
      </c>
      <c r="K1542" t="str">
        <f>_xlfn.XLOOKUP(Table9[[#This Row],[Company Name]],customers__2[companyName],customers__2[country],,0)</f>
        <v>Sweden</v>
      </c>
      <c r="L1542">
        <f>MONTH(Table9[[#This Row],[OrderDate ]])</f>
        <v>1</v>
      </c>
      <c r="M1542" t="str">
        <f>TEXT(Table9[[#This Row],[OrderDate ]],"mmm")</f>
        <v>Jan</v>
      </c>
      <c r="N1542">
        <f>YEAR(Table9[[#This Row],[OrderDate ]])</f>
        <v>2015</v>
      </c>
    </row>
    <row r="1543" spans="1:14" x14ac:dyDescent="0.3">
      <c r="A1543">
        <v>10837</v>
      </c>
      <c r="B1543" s="2">
        <f>_xlfn.XLOOKUP(Table9[[#This Row],[orderID]],orders[orderID],orders[orderDate],,0)</f>
        <v>42020</v>
      </c>
      <c r="C1543">
        <f>_xlfn.XLOOKUP(A1543,order_details[orderID],order_details[productID],,0)</f>
        <v>13</v>
      </c>
      <c r="D1543" t="str">
        <f>_xlfn.XLOOKUP(C1543,products[productID],products[productName],,0)</f>
        <v>Konbu</v>
      </c>
      <c r="E1543" t="str">
        <f>_xlfn.XLOOKUP(_xlfn.XLOOKUP(Table9[[#This Row],[ProductName ]],products[productName],products[categoryID],,0),categories[categoryID],categories[categoryName],,0)</f>
        <v>Seafood</v>
      </c>
      <c r="F1543">
        <v>25</v>
      </c>
      <c r="G1543">
        <v>184</v>
      </c>
      <c r="H1543">
        <v>0</v>
      </c>
      <c r="I1543">
        <f>Table9[[#This Row],[quantity]]*Table9[[#This Row],[unitPrice]]*(1-Table9[[#This Row],[discount]]/100)</f>
        <v>4600</v>
      </c>
      <c r="J1543" t="str">
        <f>_xlfn.XLOOKUP(_xlfn.XLOOKUP(A1543,orders[orderID],orders[customerID],,0),customers__2[customerID],customers__2[companyName],,0)</f>
        <v>Berglunds snabbköp</v>
      </c>
      <c r="K1543" t="str">
        <f>_xlfn.XLOOKUP(Table9[[#This Row],[Company Name]],customers__2[companyName],customers__2[country],,0)</f>
        <v>Sweden</v>
      </c>
      <c r="L1543">
        <f>MONTH(Table9[[#This Row],[OrderDate ]])</f>
        <v>1</v>
      </c>
      <c r="M1543" t="str">
        <f>TEXT(Table9[[#This Row],[OrderDate ]],"mmm")</f>
        <v>Jan</v>
      </c>
      <c r="N1543">
        <f>YEAR(Table9[[#This Row],[OrderDate ]])</f>
        <v>2015</v>
      </c>
    </row>
    <row r="1544" spans="1:14" x14ac:dyDescent="0.3">
      <c r="A1544">
        <v>10837</v>
      </c>
      <c r="B1544" s="2">
        <f>_xlfn.XLOOKUP(Table9[[#This Row],[orderID]],orders[orderID],orders[orderDate],,0)</f>
        <v>42020</v>
      </c>
      <c r="C1544">
        <f>_xlfn.XLOOKUP(A1544,order_details[orderID],order_details[productID],,0)</f>
        <v>13</v>
      </c>
      <c r="D1544" t="str">
        <f>_xlfn.XLOOKUP(C1544,products[productID],products[productName],,0)</f>
        <v>Konbu</v>
      </c>
      <c r="E1544" t="str">
        <f>_xlfn.XLOOKUP(_xlfn.XLOOKUP(Table9[[#This Row],[ProductName ]],products[productName],products[categoryID],,0),categories[categoryID],categories[categoryName],,0)</f>
        <v>Seafood</v>
      </c>
      <c r="F1544">
        <v>40</v>
      </c>
      <c r="G1544">
        <v>95</v>
      </c>
      <c r="H1544">
        <v>25</v>
      </c>
      <c r="I1544">
        <f>Table9[[#This Row],[quantity]]*Table9[[#This Row],[unitPrice]]*(1-Table9[[#This Row],[discount]]/100)</f>
        <v>2850</v>
      </c>
      <c r="J1544" t="str">
        <f>_xlfn.XLOOKUP(_xlfn.XLOOKUP(A1544,orders[orderID],orders[customerID],,0),customers__2[customerID],customers__2[companyName],,0)</f>
        <v>Berglunds snabbköp</v>
      </c>
      <c r="K1544" t="str">
        <f>_xlfn.XLOOKUP(Table9[[#This Row],[Company Name]],customers__2[companyName],customers__2[country],,0)</f>
        <v>Sweden</v>
      </c>
      <c r="L1544">
        <f>MONTH(Table9[[#This Row],[OrderDate ]])</f>
        <v>1</v>
      </c>
      <c r="M1544" t="str">
        <f>TEXT(Table9[[#This Row],[OrderDate ]],"mmm")</f>
        <v>Jan</v>
      </c>
      <c r="N1544">
        <f>YEAR(Table9[[#This Row],[OrderDate ]])</f>
        <v>2015</v>
      </c>
    </row>
    <row r="1545" spans="1:14" x14ac:dyDescent="0.3">
      <c r="A1545">
        <v>10837</v>
      </c>
      <c r="B1545" s="2">
        <f>_xlfn.XLOOKUP(Table9[[#This Row],[orderID]],orders[orderID],orders[orderDate],,0)</f>
        <v>42020</v>
      </c>
      <c r="C1545">
        <f>_xlfn.XLOOKUP(A1545,order_details[orderID],order_details[productID],,0)</f>
        <v>13</v>
      </c>
      <c r="D1545" t="str">
        <f>_xlfn.XLOOKUP(C1545,products[productID],products[productName],,0)</f>
        <v>Konbu</v>
      </c>
      <c r="E1545" t="str">
        <f>_xlfn.XLOOKUP(_xlfn.XLOOKUP(Table9[[#This Row],[ProductName ]],products[productName],products[categoryID],,0),categories[categoryID],categories[categoryName],,0)</f>
        <v>Seafood</v>
      </c>
      <c r="F1545">
        <v>21</v>
      </c>
      <c r="G1545">
        <v>18</v>
      </c>
      <c r="H1545">
        <v>25</v>
      </c>
      <c r="I1545">
        <f>Table9[[#This Row],[quantity]]*Table9[[#This Row],[unitPrice]]*(1-Table9[[#This Row],[discount]]/100)</f>
        <v>283.5</v>
      </c>
      <c r="J1545" t="str">
        <f>_xlfn.XLOOKUP(_xlfn.XLOOKUP(A1545,orders[orderID],orders[customerID],,0),customers__2[customerID],customers__2[companyName],,0)</f>
        <v>Berglunds snabbköp</v>
      </c>
      <c r="K1545" t="str">
        <f>_xlfn.XLOOKUP(Table9[[#This Row],[Company Name]],customers__2[companyName],customers__2[country],,0)</f>
        <v>Sweden</v>
      </c>
      <c r="L1545">
        <f>MONTH(Table9[[#This Row],[OrderDate ]])</f>
        <v>1</v>
      </c>
      <c r="M1545" t="str">
        <f>TEXT(Table9[[#This Row],[OrderDate ]],"mmm")</f>
        <v>Jan</v>
      </c>
      <c r="N1545">
        <f>YEAR(Table9[[#This Row],[OrderDate ]])</f>
        <v>2015</v>
      </c>
    </row>
    <row r="1546" spans="1:14" x14ac:dyDescent="0.3">
      <c r="A1546">
        <v>10838</v>
      </c>
      <c r="B1546" s="2">
        <f>_xlfn.XLOOKUP(Table9[[#This Row],[orderID]],orders[orderID],orders[orderDate],,0)</f>
        <v>42023</v>
      </c>
      <c r="C1546">
        <f>_xlfn.XLOOKUP(A1546,order_details[orderID],order_details[productID],,0)</f>
        <v>1</v>
      </c>
      <c r="D1546" t="str">
        <f>_xlfn.XLOOKUP(C1546,products[productID],products[productName],,0)</f>
        <v>Chai</v>
      </c>
      <c r="E1546" t="str">
        <f>_xlfn.XLOOKUP(_xlfn.XLOOKUP(Table9[[#This Row],[ProductName ]],products[productName],products[categoryID],,0),categories[categoryID],categories[categoryName],,0)</f>
        <v>Beverages</v>
      </c>
      <c r="F1546">
        <v>4</v>
      </c>
      <c r="G1546">
        <v>18</v>
      </c>
      <c r="H1546">
        <v>25</v>
      </c>
      <c r="I1546">
        <f>Table9[[#This Row],[quantity]]*Table9[[#This Row],[unitPrice]]*(1-Table9[[#This Row],[discount]]/100)</f>
        <v>54</v>
      </c>
      <c r="J1546" t="str">
        <f>_xlfn.XLOOKUP(_xlfn.XLOOKUP(A1546,orders[orderID],orders[customerID],,0),customers__2[customerID],customers__2[companyName],,0)</f>
        <v>LINO-Delicateses</v>
      </c>
      <c r="K1546" t="str">
        <f>_xlfn.XLOOKUP(Table9[[#This Row],[Company Name]],customers__2[companyName],customers__2[country],,0)</f>
        <v>Venezuela</v>
      </c>
      <c r="L1546">
        <f>MONTH(Table9[[#This Row],[OrderDate ]])</f>
        <v>1</v>
      </c>
      <c r="M1546" t="str">
        <f>TEXT(Table9[[#This Row],[OrderDate ]],"mmm")</f>
        <v>Jan</v>
      </c>
      <c r="N1546">
        <f>YEAR(Table9[[#This Row],[OrderDate ]])</f>
        <v>2015</v>
      </c>
    </row>
    <row r="1547" spans="1:14" x14ac:dyDescent="0.3">
      <c r="A1547">
        <v>10838</v>
      </c>
      <c r="B1547" s="2">
        <f>_xlfn.XLOOKUP(Table9[[#This Row],[orderID]],orders[orderID],orders[orderDate],,0)</f>
        <v>42023</v>
      </c>
      <c r="C1547">
        <f>_xlfn.XLOOKUP(A1547,order_details[orderID],order_details[productID],,0)</f>
        <v>1</v>
      </c>
      <c r="D1547" t="str">
        <f>_xlfn.XLOOKUP(C1547,products[productID],products[productName],,0)</f>
        <v>Chai</v>
      </c>
      <c r="E1547" t="str">
        <f>_xlfn.XLOOKUP(_xlfn.XLOOKUP(Table9[[#This Row],[ProductName ]],products[productName],products[categoryID],,0),categories[categoryID],categories[categoryName],,0)</f>
        <v>Beverages</v>
      </c>
      <c r="F1547">
        <v>25</v>
      </c>
      <c r="G1547">
        <v>625</v>
      </c>
      <c r="H1547">
        <v>25</v>
      </c>
      <c r="I1547">
        <f>Table9[[#This Row],[quantity]]*Table9[[#This Row],[unitPrice]]*(1-Table9[[#This Row],[discount]]/100)</f>
        <v>11718.75</v>
      </c>
      <c r="J1547" t="str">
        <f>_xlfn.XLOOKUP(_xlfn.XLOOKUP(A1547,orders[orderID],orders[customerID],,0),customers__2[customerID],customers__2[companyName],,0)</f>
        <v>LINO-Delicateses</v>
      </c>
      <c r="K1547" t="str">
        <f>_xlfn.XLOOKUP(Table9[[#This Row],[Company Name]],customers__2[companyName],customers__2[country],,0)</f>
        <v>Venezuela</v>
      </c>
      <c r="L1547">
        <f>MONTH(Table9[[#This Row],[OrderDate ]])</f>
        <v>1</v>
      </c>
      <c r="M1547" t="str">
        <f>TEXT(Table9[[#This Row],[OrderDate ]],"mmm")</f>
        <v>Jan</v>
      </c>
      <c r="N1547">
        <f>YEAR(Table9[[#This Row],[OrderDate ]])</f>
        <v>2015</v>
      </c>
    </row>
    <row r="1548" spans="1:14" x14ac:dyDescent="0.3">
      <c r="A1548">
        <v>10838</v>
      </c>
      <c r="B1548" s="2">
        <f>_xlfn.XLOOKUP(Table9[[#This Row],[orderID]],orders[orderID],orders[orderDate],,0)</f>
        <v>42023</v>
      </c>
      <c r="C1548">
        <f>_xlfn.XLOOKUP(A1548,order_details[orderID],order_details[productID],,0)</f>
        <v>1</v>
      </c>
      <c r="D1548" t="str">
        <f>_xlfn.XLOOKUP(C1548,products[productID],products[productName],,0)</f>
        <v>Chai</v>
      </c>
      <c r="E1548" t="str">
        <f>_xlfn.XLOOKUP(_xlfn.XLOOKUP(Table9[[#This Row],[ProductName ]],products[productName],products[categoryID],,0),categories[categoryID],categories[categoryName],,0)</f>
        <v>Beverages</v>
      </c>
      <c r="F1548">
        <v>50</v>
      </c>
      <c r="G1548">
        <v>19</v>
      </c>
      <c r="H1548">
        <v>25</v>
      </c>
      <c r="I1548">
        <f>Table9[[#This Row],[quantity]]*Table9[[#This Row],[unitPrice]]*(1-Table9[[#This Row],[discount]]/100)</f>
        <v>712.5</v>
      </c>
      <c r="J1548" t="str">
        <f>_xlfn.XLOOKUP(_xlfn.XLOOKUP(A1548,orders[orderID],orders[customerID],,0),customers__2[customerID],customers__2[companyName],,0)</f>
        <v>LINO-Delicateses</v>
      </c>
      <c r="K1548" t="str">
        <f>_xlfn.XLOOKUP(Table9[[#This Row],[Company Name]],customers__2[companyName],customers__2[country],,0)</f>
        <v>Venezuela</v>
      </c>
      <c r="L1548">
        <f>MONTH(Table9[[#This Row],[OrderDate ]])</f>
        <v>1</v>
      </c>
      <c r="M1548" t="str">
        <f>TEXT(Table9[[#This Row],[OrderDate ]],"mmm")</f>
        <v>Jan</v>
      </c>
      <c r="N1548">
        <f>YEAR(Table9[[#This Row],[OrderDate ]])</f>
        <v>2015</v>
      </c>
    </row>
    <row r="1549" spans="1:14" x14ac:dyDescent="0.3">
      <c r="A1549">
        <v>10839</v>
      </c>
      <c r="B1549" s="2">
        <f>_xlfn.XLOOKUP(Table9[[#This Row],[orderID]],orders[orderID],orders[orderDate],,0)</f>
        <v>42023</v>
      </c>
      <c r="C1549">
        <f>_xlfn.XLOOKUP(A1549,order_details[orderID],order_details[productID],,0)</f>
        <v>58</v>
      </c>
      <c r="D1549" t="str">
        <f>_xlfn.XLOOKUP(C1549,products[productID],products[productName],,0)</f>
        <v>Escargots de Bourgogne</v>
      </c>
      <c r="E1549" t="str">
        <f>_xlfn.XLOOKUP(_xlfn.XLOOKUP(Table9[[#This Row],[ProductName ]],products[productName],products[categoryID],,0),categories[categoryID],categories[categoryName],,0)</f>
        <v>Seafood</v>
      </c>
      <c r="F1549">
        <v>30</v>
      </c>
      <c r="G1549">
        <v>1325</v>
      </c>
      <c r="H1549">
        <v>1</v>
      </c>
      <c r="I1549">
        <f>Table9[[#This Row],[quantity]]*Table9[[#This Row],[unitPrice]]*(1-Table9[[#This Row],[discount]]/100)</f>
        <v>39352.5</v>
      </c>
      <c r="J1549" t="str">
        <f>_xlfn.XLOOKUP(_xlfn.XLOOKUP(A1549,orders[orderID],orders[customerID],,0),customers__2[customerID],customers__2[companyName],,0)</f>
        <v>Tradição Hipermercados</v>
      </c>
      <c r="K1549" t="str">
        <f>_xlfn.XLOOKUP(Table9[[#This Row],[Company Name]],customers__2[companyName],customers__2[country],,0)</f>
        <v>Brazil</v>
      </c>
      <c r="L1549">
        <f>MONTH(Table9[[#This Row],[OrderDate ]])</f>
        <v>1</v>
      </c>
      <c r="M1549" t="str">
        <f>TEXT(Table9[[#This Row],[OrderDate ]],"mmm")</f>
        <v>Jan</v>
      </c>
      <c r="N1549">
        <f>YEAR(Table9[[#This Row],[OrderDate ]])</f>
        <v>2015</v>
      </c>
    </row>
    <row r="1550" spans="1:14" x14ac:dyDescent="0.3">
      <c r="A1550">
        <v>10839</v>
      </c>
      <c r="B1550" s="2">
        <f>_xlfn.XLOOKUP(Table9[[#This Row],[orderID]],orders[orderID],orders[orderDate],,0)</f>
        <v>42023</v>
      </c>
      <c r="C1550">
        <f>_xlfn.XLOOKUP(A1550,order_details[orderID],order_details[productID],,0)</f>
        <v>58</v>
      </c>
      <c r="D1550" t="str">
        <f>_xlfn.XLOOKUP(C1550,products[productID],products[productName],,0)</f>
        <v>Escargots de Bourgogne</v>
      </c>
      <c r="E1550" t="str">
        <f>_xlfn.XLOOKUP(_xlfn.XLOOKUP(Table9[[#This Row],[ProductName ]],products[productName],products[categoryID],,0),categories[categoryID],categories[categoryName],,0)</f>
        <v>Seafood</v>
      </c>
      <c r="F1550">
        <v>15</v>
      </c>
      <c r="G1550">
        <v>348</v>
      </c>
      <c r="H1550">
        <v>1</v>
      </c>
      <c r="I1550">
        <f>Table9[[#This Row],[quantity]]*Table9[[#This Row],[unitPrice]]*(1-Table9[[#This Row],[discount]]/100)</f>
        <v>5167.8</v>
      </c>
      <c r="J1550" t="str">
        <f>_xlfn.XLOOKUP(_xlfn.XLOOKUP(A1550,orders[orderID],orders[customerID],,0),customers__2[customerID],customers__2[companyName],,0)</f>
        <v>Tradição Hipermercados</v>
      </c>
      <c r="K1550" t="str">
        <f>_xlfn.XLOOKUP(Table9[[#This Row],[Company Name]],customers__2[companyName],customers__2[country],,0)</f>
        <v>Brazil</v>
      </c>
      <c r="L1550">
        <f>MONTH(Table9[[#This Row],[OrderDate ]])</f>
        <v>1</v>
      </c>
      <c r="M1550" t="str">
        <f>TEXT(Table9[[#This Row],[OrderDate ]],"mmm")</f>
        <v>Jan</v>
      </c>
      <c r="N1550">
        <f>YEAR(Table9[[#This Row],[OrderDate ]])</f>
        <v>2015</v>
      </c>
    </row>
    <row r="1551" spans="1:14" x14ac:dyDescent="0.3">
      <c r="A1551">
        <v>10840</v>
      </c>
      <c r="B1551" s="2">
        <f>_xlfn.XLOOKUP(Table9[[#This Row],[orderID]],orders[orderID],orders[orderDate],,0)</f>
        <v>42023</v>
      </c>
      <c r="C1551">
        <f>_xlfn.XLOOKUP(A1551,order_details[orderID],order_details[productID],,0)</f>
        <v>25</v>
      </c>
      <c r="D1551" t="str">
        <f>_xlfn.XLOOKUP(C1551,products[productID],products[productName],,0)</f>
        <v>NuNuCa Nuß-Nougat-Creme</v>
      </c>
      <c r="E1551" t="str">
        <f>_xlfn.XLOOKUP(_xlfn.XLOOKUP(Table9[[#This Row],[ProductName ]],products[productName],products[categoryID],,0),categories[categoryID],categories[categoryName],,0)</f>
        <v>Confections</v>
      </c>
      <c r="F1551">
        <v>6</v>
      </c>
      <c r="G1551">
        <v>14</v>
      </c>
      <c r="H1551">
        <v>2</v>
      </c>
      <c r="I1551">
        <f>Table9[[#This Row],[quantity]]*Table9[[#This Row],[unitPrice]]*(1-Table9[[#This Row],[discount]]/100)</f>
        <v>82.32</v>
      </c>
      <c r="J1551" t="str">
        <f>_xlfn.XLOOKUP(_xlfn.XLOOKUP(A1551,orders[orderID],orders[customerID],,0),customers__2[customerID],customers__2[companyName],,0)</f>
        <v>LINO-Delicateses</v>
      </c>
      <c r="K1551" t="str">
        <f>_xlfn.XLOOKUP(Table9[[#This Row],[Company Name]],customers__2[companyName],customers__2[country],,0)</f>
        <v>Venezuela</v>
      </c>
      <c r="L1551">
        <f>MONTH(Table9[[#This Row],[OrderDate ]])</f>
        <v>1</v>
      </c>
      <c r="M1551" t="str">
        <f>TEXT(Table9[[#This Row],[OrderDate ]],"mmm")</f>
        <v>Jan</v>
      </c>
      <c r="N1551">
        <f>YEAR(Table9[[#This Row],[OrderDate ]])</f>
        <v>2015</v>
      </c>
    </row>
    <row r="1552" spans="1:14" x14ac:dyDescent="0.3">
      <c r="A1552">
        <v>10840</v>
      </c>
      <c r="B1552" s="2">
        <f>_xlfn.XLOOKUP(Table9[[#This Row],[orderID]],orders[orderID],orders[orderDate],,0)</f>
        <v>42023</v>
      </c>
      <c r="C1552">
        <f>_xlfn.XLOOKUP(A1552,order_details[orderID],order_details[productID],,0)</f>
        <v>25</v>
      </c>
      <c r="D1552" t="str">
        <f>_xlfn.XLOOKUP(C1552,products[productID],products[productName],,0)</f>
        <v>NuNuCa Nuß-Nougat-Creme</v>
      </c>
      <c r="E1552" t="str">
        <f>_xlfn.XLOOKUP(_xlfn.XLOOKUP(Table9[[#This Row],[ProductName ]],products[productName],products[categoryID],,0),categories[categoryID],categories[categoryName],,0)</f>
        <v>Confections</v>
      </c>
      <c r="F1552">
        <v>10</v>
      </c>
      <c r="G1552">
        <v>18</v>
      </c>
      <c r="H1552">
        <v>2</v>
      </c>
      <c r="I1552">
        <f>Table9[[#This Row],[quantity]]*Table9[[#This Row],[unitPrice]]*(1-Table9[[#This Row],[discount]]/100)</f>
        <v>176.4</v>
      </c>
      <c r="J1552" t="str">
        <f>_xlfn.XLOOKUP(_xlfn.XLOOKUP(A1552,orders[orderID],orders[customerID],,0),customers__2[customerID],customers__2[companyName],,0)</f>
        <v>LINO-Delicateses</v>
      </c>
      <c r="K1552" t="str">
        <f>_xlfn.XLOOKUP(Table9[[#This Row],[Company Name]],customers__2[companyName],customers__2[country],,0)</f>
        <v>Venezuela</v>
      </c>
      <c r="L1552">
        <f>MONTH(Table9[[#This Row],[OrderDate ]])</f>
        <v>1</v>
      </c>
      <c r="M1552" t="str">
        <f>TEXT(Table9[[#This Row],[OrderDate ]],"mmm")</f>
        <v>Jan</v>
      </c>
      <c r="N1552">
        <f>YEAR(Table9[[#This Row],[OrderDate ]])</f>
        <v>2015</v>
      </c>
    </row>
    <row r="1553" spans="1:14" x14ac:dyDescent="0.3">
      <c r="A1553">
        <v>10841</v>
      </c>
      <c r="B1553" s="2">
        <f>_xlfn.XLOOKUP(Table9[[#This Row],[orderID]],orders[orderID],orders[orderDate],,0)</f>
        <v>42024</v>
      </c>
      <c r="C1553">
        <f>_xlfn.XLOOKUP(A1553,order_details[orderID],order_details[productID],,0)</f>
        <v>10</v>
      </c>
      <c r="D1553" t="str">
        <f>_xlfn.XLOOKUP(C1553,products[productID],products[productName],,0)</f>
        <v>Ikura</v>
      </c>
      <c r="E1553" t="str">
        <f>_xlfn.XLOOKUP(_xlfn.XLOOKUP(Table9[[#This Row],[ProductName ]],products[productName],products[categoryID],,0),categories[categoryID],categories[categoryName],,0)</f>
        <v>Seafood</v>
      </c>
      <c r="F1553">
        <v>16</v>
      </c>
      <c r="G1553">
        <v>31</v>
      </c>
      <c r="H1553">
        <v>0</v>
      </c>
      <c r="I1553">
        <f>Table9[[#This Row],[quantity]]*Table9[[#This Row],[unitPrice]]*(1-Table9[[#This Row],[discount]]/100)</f>
        <v>496</v>
      </c>
      <c r="J1553" t="str">
        <f>_xlfn.XLOOKUP(_xlfn.XLOOKUP(A1553,orders[orderID],orders[customerID],,0),customers__2[customerID],customers__2[companyName],,0)</f>
        <v>Suprêmes délices</v>
      </c>
      <c r="K1553" t="str">
        <f>_xlfn.XLOOKUP(Table9[[#This Row],[Company Name]],customers__2[companyName],customers__2[country],,0)</f>
        <v>Belgium</v>
      </c>
      <c r="L1553">
        <f>MONTH(Table9[[#This Row],[OrderDate ]])</f>
        <v>1</v>
      </c>
      <c r="M1553" t="str">
        <f>TEXT(Table9[[#This Row],[OrderDate ]],"mmm")</f>
        <v>Jan</v>
      </c>
      <c r="N1553">
        <f>YEAR(Table9[[#This Row],[OrderDate ]])</f>
        <v>2015</v>
      </c>
    </row>
    <row r="1554" spans="1:14" x14ac:dyDescent="0.3">
      <c r="A1554">
        <v>10841</v>
      </c>
      <c r="B1554" s="2">
        <f>_xlfn.XLOOKUP(Table9[[#This Row],[orderID]],orders[orderID],orders[orderDate],,0)</f>
        <v>42024</v>
      </c>
      <c r="C1554">
        <f>_xlfn.XLOOKUP(A1554,order_details[orderID],order_details[productID],,0)</f>
        <v>10</v>
      </c>
      <c r="D1554" t="str">
        <f>_xlfn.XLOOKUP(C1554,products[productID],products[productName],,0)</f>
        <v>Ikura</v>
      </c>
      <c r="E1554" t="str">
        <f>_xlfn.XLOOKUP(_xlfn.XLOOKUP(Table9[[#This Row],[ProductName ]],products[productName],products[categoryID],,0),categories[categoryID],categories[categoryName],,0)</f>
        <v>Seafood</v>
      </c>
      <c r="F1554">
        <v>30</v>
      </c>
      <c r="G1554">
        <v>38</v>
      </c>
      <c r="H1554">
        <v>0</v>
      </c>
      <c r="I1554">
        <f>Table9[[#This Row],[quantity]]*Table9[[#This Row],[unitPrice]]*(1-Table9[[#This Row],[discount]]/100)</f>
        <v>1140</v>
      </c>
      <c r="J1554" t="str">
        <f>_xlfn.XLOOKUP(_xlfn.XLOOKUP(A1554,orders[orderID],orders[customerID],,0),customers__2[customerID],customers__2[companyName],,0)</f>
        <v>Suprêmes délices</v>
      </c>
      <c r="K1554" t="str">
        <f>_xlfn.XLOOKUP(Table9[[#This Row],[Company Name]],customers__2[companyName],customers__2[country],,0)</f>
        <v>Belgium</v>
      </c>
      <c r="L1554">
        <f>MONTH(Table9[[#This Row],[OrderDate ]])</f>
        <v>1</v>
      </c>
      <c r="M1554" t="str">
        <f>TEXT(Table9[[#This Row],[OrderDate ]],"mmm")</f>
        <v>Jan</v>
      </c>
      <c r="N1554">
        <f>YEAR(Table9[[#This Row],[OrderDate ]])</f>
        <v>2015</v>
      </c>
    </row>
    <row r="1555" spans="1:14" x14ac:dyDescent="0.3">
      <c r="A1555">
        <v>10841</v>
      </c>
      <c r="B1555" s="2">
        <f>_xlfn.XLOOKUP(Table9[[#This Row],[orderID]],orders[orderID],orders[orderDate],,0)</f>
        <v>42024</v>
      </c>
      <c r="C1555">
        <f>_xlfn.XLOOKUP(A1555,order_details[orderID],order_details[productID],,0)</f>
        <v>10</v>
      </c>
      <c r="D1555" t="str">
        <f>_xlfn.XLOOKUP(C1555,products[productID],products[productName],,0)</f>
        <v>Ikura</v>
      </c>
      <c r="E1555" t="str">
        <f>_xlfn.XLOOKUP(_xlfn.XLOOKUP(Table9[[#This Row],[ProductName ]],products[productName],products[categoryID],,0),categories[categoryID],categories[categoryName],,0)</f>
        <v>Seafood</v>
      </c>
      <c r="F1555">
        <v>50</v>
      </c>
      <c r="G1555">
        <v>55</v>
      </c>
      <c r="H1555">
        <v>0</v>
      </c>
      <c r="I1555">
        <f>Table9[[#This Row],[quantity]]*Table9[[#This Row],[unitPrice]]*(1-Table9[[#This Row],[discount]]/100)</f>
        <v>2750</v>
      </c>
      <c r="J1555" t="str">
        <f>_xlfn.XLOOKUP(_xlfn.XLOOKUP(A1555,orders[orderID],orders[customerID],,0),customers__2[customerID],customers__2[companyName],,0)</f>
        <v>Suprêmes délices</v>
      </c>
      <c r="K1555" t="str">
        <f>_xlfn.XLOOKUP(Table9[[#This Row],[Company Name]],customers__2[companyName],customers__2[country],,0)</f>
        <v>Belgium</v>
      </c>
      <c r="L1555">
        <f>MONTH(Table9[[#This Row],[OrderDate ]])</f>
        <v>1</v>
      </c>
      <c r="M1555" t="str">
        <f>TEXT(Table9[[#This Row],[OrderDate ]],"mmm")</f>
        <v>Jan</v>
      </c>
      <c r="N1555">
        <f>YEAR(Table9[[#This Row],[OrderDate ]])</f>
        <v>2015</v>
      </c>
    </row>
    <row r="1556" spans="1:14" x14ac:dyDescent="0.3">
      <c r="A1556">
        <v>10841</v>
      </c>
      <c r="B1556" s="2">
        <f>_xlfn.XLOOKUP(Table9[[#This Row],[orderID]],orders[orderID],orders[orderDate],,0)</f>
        <v>42024</v>
      </c>
      <c r="C1556">
        <f>_xlfn.XLOOKUP(A1556,order_details[orderID],order_details[productID],,0)</f>
        <v>10</v>
      </c>
      <c r="D1556" t="str">
        <f>_xlfn.XLOOKUP(C1556,products[productID],products[productName],,0)</f>
        <v>Ikura</v>
      </c>
      <c r="E1556" t="str">
        <f>_xlfn.XLOOKUP(_xlfn.XLOOKUP(Table9[[#This Row],[ProductName ]],products[productName],products[categoryID],,0),categories[categoryID],categories[categoryName],,0)</f>
        <v>Seafood</v>
      </c>
      <c r="F1556">
        <v>15</v>
      </c>
      <c r="G1556">
        <v>13</v>
      </c>
      <c r="H1556">
        <v>0</v>
      </c>
      <c r="I1556">
        <f>Table9[[#This Row],[quantity]]*Table9[[#This Row],[unitPrice]]*(1-Table9[[#This Row],[discount]]/100)</f>
        <v>195</v>
      </c>
      <c r="J1556" t="str">
        <f>_xlfn.XLOOKUP(_xlfn.XLOOKUP(A1556,orders[orderID],orders[customerID],,0),customers__2[customerID],customers__2[companyName],,0)</f>
        <v>Suprêmes délices</v>
      </c>
      <c r="K1556" t="str">
        <f>_xlfn.XLOOKUP(Table9[[#This Row],[Company Name]],customers__2[companyName],customers__2[country],,0)</f>
        <v>Belgium</v>
      </c>
      <c r="L1556">
        <f>MONTH(Table9[[#This Row],[OrderDate ]])</f>
        <v>1</v>
      </c>
      <c r="M1556" t="str">
        <f>TEXT(Table9[[#This Row],[OrderDate ]],"mmm")</f>
        <v>Jan</v>
      </c>
      <c r="N1556">
        <f>YEAR(Table9[[#This Row],[OrderDate ]])</f>
        <v>2015</v>
      </c>
    </row>
    <row r="1557" spans="1:14" x14ac:dyDescent="0.3">
      <c r="A1557">
        <v>10842</v>
      </c>
      <c r="B1557" s="2">
        <f>_xlfn.XLOOKUP(Table9[[#This Row],[orderID]],orders[orderID],orders[orderDate],,0)</f>
        <v>42024</v>
      </c>
      <c r="C1557">
        <f>_xlfn.XLOOKUP(A1557,order_details[orderID],order_details[productID],,0)</f>
        <v>11</v>
      </c>
      <c r="D1557" t="str">
        <f>_xlfn.XLOOKUP(C1557,products[productID],products[productName],,0)</f>
        <v>Queso Cabrales</v>
      </c>
      <c r="E1557" t="str">
        <f>_xlfn.XLOOKUP(_xlfn.XLOOKUP(Table9[[#This Row],[ProductName ]],products[productName],products[categoryID],,0),categories[categoryID],categories[categoryName],,0)</f>
        <v>Dairy Products</v>
      </c>
      <c r="F1557">
        <v>15</v>
      </c>
      <c r="G1557">
        <v>21</v>
      </c>
      <c r="H1557">
        <v>0</v>
      </c>
      <c r="I1557">
        <f>Table9[[#This Row],[quantity]]*Table9[[#This Row],[unitPrice]]*(1-Table9[[#This Row],[discount]]/100)</f>
        <v>315</v>
      </c>
      <c r="J1557" t="str">
        <f>_xlfn.XLOOKUP(_xlfn.XLOOKUP(A1557,orders[orderID],orders[customerID],,0),customers__2[customerID],customers__2[companyName],,0)</f>
        <v>Tortuga Restaurante</v>
      </c>
      <c r="K1557" t="str">
        <f>_xlfn.XLOOKUP(Table9[[#This Row],[Company Name]],customers__2[companyName],customers__2[country],,0)</f>
        <v>Mexico</v>
      </c>
      <c r="L1557">
        <f>MONTH(Table9[[#This Row],[OrderDate ]])</f>
        <v>1</v>
      </c>
      <c r="M1557" t="str">
        <f>TEXT(Table9[[#This Row],[OrderDate ]],"mmm")</f>
        <v>Jan</v>
      </c>
      <c r="N1557">
        <f>YEAR(Table9[[#This Row],[OrderDate ]])</f>
        <v>2015</v>
      </c>
    </row>
    <row r="1558" spans="1:14" x14ac:dyDescent="0.3">
      <c r="A1558">
        <v>10842</v>
      </c>
      <c r="B1558" s="2">
        <f>_xlfn.XLOOKUP(Table9[[#This Row],[orderID]],orders[orderID],orders[orderDate],,0)</f>
        <v>42024</v>
      </c>
      <c r="C1558">
        <f>_xlfn.XLOOKUP(A1558,order_details[orderID],order_details[productID],,0)</f>
        <v>11</v>
      </c>
      <c r="D1558" t="str">
        <f>_xlfn.XLOOKUP(C1558,products[productID],products[productName],,0)</f>
        <v>Queso Cabrales</v>
      </c>
      <c r="E1558" t="str">
        <f>_xlfn.XLOOKUP(_xlfn.XLOOKUP(Table9[[#This Row],[ProductName ]],products[productName],products[categoryID],,0),categories[categoryID],categories[categoryName],,0)</f>
        <v>Dairy Products</v>
      </c>
      <c r="F1558">
        <v>5</v>
      </c>
      <c r="G1558">
        <v>46</v>
      </c>
      <c r="H1558">
        <v>0</v>
      </c>
      <c r="I1558">
        <f>Table9[[#This Row],[quantity]]*Table9[[#This Row],[unitPrice]]*(1-Table9[[#This Row],[discount]]/100)</f>
        <v>230</v>
      </c>
      <c r="J1558" t="str">
        <f>_xlfn.XLOOKUP(_xlfn.XLOOKUP(A1558,orders[orderID],orders[customerID],,0),customers__2[customerID],customers__2[companyName],,0)</f>
        <v>Tortuga Restaurante</v>
      </c>
      <c r="K1558" t="str">
        <f>_xlfn.XLOOKUP(Table9[[#This Row],[Company Name]],customers__2[companyName],customers__2[country],,0)</f>
        <v>Mexico</v>
      </c>
      <c r="L1558">
        <f>MONTH(Table9[[#This Row],[OrderDate ]])</f>
        <v>1</v>
      </c>
      <c r="M1558" t="str">
        <f>TEXT(Table9[[#This Row],[OrderDate ]],"mmm")</f>
        <v>Jan</v>
      </c>
      <c r="N1558">
        <f>YEAR(Table9[[#This Row],[OrderDate ]])</f>
        <v>2015</v>
      </c>
    </row>
    <row r="1559" spans="1:14" x14ac:dyDescent="0.3">
      <c r="A1559">
        <v>10842</v>
      </c>
      <c r="B1559" s="2">
        <f>_xlfn.XLOOKUP(Table9[[#This Row],[orderID]],orders[orderID],orders[orderDate],,0)</f>
        <v>42024</v>
      </c>
      <c r="C1559">
        <f>_xlfn.XLOOKUP(A1559,order_details[orderID],order_details[productID],,0)</f>
        <v>11</v>
      </c>
      <c r="D1559" t="str">
        <f>_xlfn.XLOOKUP(C1559,products[productID],products[productName],,0)</f>
        <v>Queso Cabrales</v>
      </c>
      <c r="E1559" t="str">
        <f>_xlfn.XLOOKUP(_xlfn.XLOOKUP(Table9[[#This Row],[ProductName ]],products[productName],products[categoryID],,0),categories[categoryID],categories[categoryName],,0)</f>
        <v>Dairy Products</v>
      </c>
      <c r="F1559">
        <v>20</v>
      </c>
      <c r="G1559">
        <v>125</v>
      </c>
      <c r="H1559">
        <v>0</v>
      </c>
      <c r="I1559">
        <f>Table9[[#This Row],[quantity]]*Table9[[#This Row],[unitPrice]]*(1-Table9[[#This Row],[discount]]/100)</f>
        <v>2500</v>
      </c>
      <c r="J1559" t="str">
        <f>_xlfn.XLOOKUP(_xlfn.XLOOKUP(A1559,orders[orderID],orders[customerID],,0),customers__2[customerID],customers__2[companyName],,0)</f>
        <v>Tortuga Restaurante</v>
      </c>
      <c r="K1559" t="str">
        <f>_xlfn.XLOOKUP(Table9[[#This Row],[Company Name]],customers__2[companyName],customers__2[country],,0)</f>
        <v>Mexico</v>
      </c>
      <c r="L1559">
        <f>MONTH(Table9[[#This Row],[OrderDate ]])</f>
        <v>1</v>
      </c>
      <c r="M1559" t="str">
        <f>TEXT(Table9[[#This Row],[OrderDate ]],"mmm")</f>
        <v>Jan</v>
      </c>
      <c r="N1559">
        <f>YEAR(Table9[[#This Row],[OrderDate ]])</f>
        <v>2015</v>
      </c>
    </row>
    <row r="1560" spans="1:14" x14ac:dyDescent="0.3">
      <c r="A1560">
        <v>10842</v>
      </c>
      <c r="B1560" s="2">
        <f>_xlfn.XLOOKUP(Table9[[#This Row],[orderID]],orders[orderID],orders[orderDate],,0)</f>
        <v>42024</v>
      </c>
      <c r="C1560">
        <f>_xlfn.XLOOKUP(A1560,order_details[orderID],order_details[productID],,0)</f>
        <v>11</v>
      </c>
      <c r="D1560" t="str">
        <f>_xlfn.XLOOKUP(C1560,products[productID],products[productName],,0)</f>
        <v>Queso Cabrales</v>
      </c>
      <c r="E1560" t="str">
        <f>_xlfn.XLOOKUP(_xlfn.XLOOKUP(Table9[[#This Row],[ProductName ]],products[productName],products[categoryID],,0),categories[categoryID],categories[categoryName],,0)</f>
        <v>Dairy Products</v>
      </c>
      <c r="F1560">
        <v>12</v>
      </c>
      <c r="G1560">
        <v>15</v>
      </c>
      <c r="H1560">
        <v>0</v>
      </c>
      <c r="I1560">
        <f>Table9[[#This Row],[quantity]]*Table9[[#This Row],[unitPrice]]*(1-Table9[[#This Row],[discount]]/100)</f>
        <v>180</v>
      </c>
      <c r="J1560" t="str">
        <f>_xlfn.XLOOKUP(_xlfn.XLOOKUP(A1560,orders[orderID],orders[customerID],,0),customers__2[customerID],customers__2[companyName],,0)</f>
        <v>Tortuga Restaurante</v>
      </c>
      <c r="K1560" t="str">
        <f>_xlfn.XLOOKUP(Table9[[#This Row],[Company Name]],customers__2[companyName],customers__2[country],,0)</f>
        <v>Mexico</v>
      </c>
      <c r="L1560">
        <f>MONTH(Table9[[#This Row],[OrderDate ]])</f>
        <v>1</v>
      </c>
      <c r="M1560" t="str">
        <f>TEXT(Table9[[#This Row],[OrderDate ]],"mmm")</f>
        <v>Jan</v>
      </c>
      <c r="N1560">
        <f>YEAR(Table9[[#This Row],[OrderDate ]])</f>
        <v>2015</v>
      </c>
    </row>
    <row r="1561" spans="1:14" x14ac:dyDescent="0.3">
      <c r="A1561">
        <v>10843</v>
      </c>
      <c r="B1561" s="2">
        <f>_xlfn.XLOOKUP(Table9[[#This Row],[orderID]],orders[orderID],orders[orderDate],,0)</f>
        <v>42025</v>
      </c>
      <c r="C1561">
        <f>_xlfn.XLOOKUP(A1561,order_details[orderID],order_details[productID],,0)</f>
        <v>51</v>
      </c>
      <c r="D1561" t="str">
        <f>_xlfn.XLOOKUP(C1561,products[productID],products[productName],,0)</f>
        <v>Manjimup Dried Apples</v>
      </c>
      <c r="E1561" t="str">
        <f>_xlfn.XLOOKUP(_xlfn.XLOOKUP(Table9[[#This Row],[ProductName ]],products[productName],products[categoryID],,0),categories[categoryID],categories[categoryName],,0)</f>
        <v>Produce</v>
      </c>
      <c r="F1561">
        <v>4</v>
      </c>
      <c r="G1561">
        <v>53</v>
      </c>
      <c r="H1561">
        <v>25</v>
      </c>
      <c r="I1561">
        <f>Table9[[#This Row],[quantity]]*Table9[[#This Row],[unitPrice]]*(1-Table9[[#This Row],[discount]]/100)</f>
        <v>159</v>
      </c>
      <c r="J1561" t="str">
        <f>_xlfn.XLOOKUP(_xlfn.XLOOKUP(A1561,orders[orderID],orders[customerID],,0),customers__2[customerID],customers__2[companyName],,0)</f>
        <v>Victuailles en stock</v>
      </c>
      <c r="K1561" t="str">
        <f>_xlfn.XLOOKUP(Table9[[#This Row],[Company Name]],customers__2[companyName],customers__2[country],,0)</f>
        <v>France</v>
      </c>
      <c r="L1561">
        <f>MONTH(Table9[[#This Row],[OrderDate ]])</f>
        <v>1</v>
      </c>
      <c r="M1561" t="str">
        <f>TEXT(Table9[[#This Row],[OrderDate ]],"mmm")</f>
        <v>Jan</v>
      </c>
      <c r="N1561">
        <f>YEAR(Table9[[#This Row],[OrderDate ]])</f>
        <v>2015</v>
      </c>
    </row>
    <row r="1562" spans="1:14" x14ac:dyDescent="0.3">
      <c r="A1562">
        <v>10844</v>
      </c>
      <c r="B1562" s="2">
        <f>_xlfn.XLOOKUP(Table9[[#This Row],[orderID]],orders[orderID],orders[orderDate],,0)</f>
        <v>42025</v>
      </c>
      <c r="C1562">
        <f>_xlfn.XLOOKUP(A1562,order_details[orderID],order_details[productID],,0)</f>
        <v>22</v>
      </c>
      <c r="D1562" t="str">
        <f>_xlfn.XLOOKUP(C1562,products[productID],products[productName],,0)</f>
        <v>Gustaf's Knackebröd</v>
      </c>
      <c r="E1562" t="str">
        <f>_xlfn.XLOOKUP(_xlfn.XLOOKUP(Table9[[#This Row],[ProductName ]],products[productName],products[categoryID],,0),categories[categoryID],categories[categoryName],,0)</f>
        <v>Grains &amp; Cereals</v>
      </c>
      <c r="F1562">
        <v>35</v>
      </c>
      <c r="G1562">
        <v>21</v>
      </c>
      <c r="H1562">
        <v>0</v>
      </c>
      <c r="I1562">
        <f>Table9[[#This Row],[quantity]]*Table9[[#This Row],[unitPrice]]*(1-Table9[[#This Row],[discount]]/100)</f>
        <v>735</v>
      </c>
      <c r="J1562" t="str">
        <f>_xlfn.XLOOKUP(_xlfn.XLOOKUP(A1562,orders[orderID],orders[customerID],,0),customers__2[customerID],customers__2[companyName],,0)</f>
        <v>Piccolo und mehr</v>
      </c>
      <c r="K1562" t="str">
        <f>_xlfn.XLOOKUP(Table9[[#This Row],[Company Name]],customers__2[companyName],customers__2[country],,0)</f>
        <v>Austria</v>
      </c>
      <c r="L1562">
        <f>MONTH(Table9[[#This Row],[OrderDate ]])</f>
        <v>1</v>
      </c>
      <c r="M1562" t="str">
        <f>TEXT(Table9[[#This Row],[OrderDate ]],"mmm")</f>
        <v>Jan</v>
      </c>
      <c r="N1562">
        <f>YEAR(Table9[[#This Row],[OrderDate ]])</f>
        <v>2015</v>
      </c>
    </row>
    <row r="1563" spans="1:14" x14ac:dyDescent="0.3">
      <c r="A1563">
        <v>10845</v>
      </c>
      <c r="B1563" s="2">
        <f>_xlfn.XLOOKUP(Table9[[#This Row],[orderID]],orders[orderID],orders[orderDate],,0)</f>
        <v>42025</v>
      </c>
      <c r="C1563">
        <f>_xlfn.XLOOKUP(A1563,order_details[orderID],order_details[productID],,0)</f>
        <v>23</v>
      </c>
      <c r="D1563" t="str">
        <f>_xlfn.XLOOKUP(C1563,products[productID],products[productName],,0)</f>
        <v>Tunnbröd</v>
      </c>
      <c r="E1563" t="str">
        <f>_xlfn.XLOOKUP(_xlfn.XLOOKUP(Table9[[#This Row],[ProductName ]],products[productName],products[categoryID],,0),categories[categoryID],categories[categoryName],,0)</f>
        <v>Grains &amp; Cereals</v>
      </c>
      <c r="F1563">
        <v>70</v>
      </c>
      <c r="G1563">
        <v>9</v>
      </c>
      <c r="H1563">
        <v>1</v>
      </c>
      <c r="I1563">
        <f>Table9[[#This Row],[quantity]]*Table9[[#This Row],[unitPrice]]*(1-Table9[[#This Row],[discount]]/100)</f>
        <v>623.70000000000005</v>
      </c>
      <c r="J1563" t="str">
        <f>_xlfn.XLOOKUP(_xlfn.XLOOKUP(A1563,orders[orderID],orders[customerID],,0),customers__2[customerID],customers__2[companyName],,0)</f>
        <v>QUICK-Stop</v>
      </c>
      <c r="K1563" t="str">
        <f>_xlfn.XLOOKUP(Table9[[#This Row],[Company Name]],customers__2[companyName],customers__2[country],,0)</f>
        <v>Germany</v>
      </c>
      <c r="L1563">
        <f>MONTH(Table9[[#This Row],[OrderDate ]])</f>
        <v>1</v>
      </c>
      <c r="M1563" t="str">
        <f>TEXT(Table9[[#This Row],[OrderDate ]],"mmm")</f>
        <v>Jan</v>
      </c>
      <c r="N1563">
        <f>YEAR(Table9[[#This Row],[OrderDate ]])</f>
        <v>2015</v>
      </c>
    </row>
    <row r="1564" spans="1:14" x14ac:dyDescent="0.3">
      <c r="A1564">
        <v>10845</v>
      </c>
      <c r="B1564" s="2">
        <f>_xlfn.XLOOKUP(Table9[[#This Row],[orderID]],orders[orderID],orders[orderDate],,0)</f>
        <v>42025</v>
      </c>
      <c r="C1564">
        <f>_xlfn.XLOOKUP(A1564,order_details[orderID],order_details[productID],,0)</f>
        <v>23</v>
      </c>
      <c r="D1564" t="str">
        <f>_xlfn.XLOOKUP(C1564,products[productID],products[productName],,0)</f>
        <v>Tunnbröd</v>
      </c>
      <c r="E1564" t="str">
        <f>_xlfn.XLOOKUP(_xlfn.XLOOKUP(Table9[[#This Row],[ProductName ]],products[productName],products[categoryID],,0),categories[categoryID],categories[categoryName],,0)</f>
        <v>Grains &amp; Cereals</v>
      </c>
      <c r="F1564">
        <v>25</v>
      </c>
      <c r="G1564">
        <v>18</v>
      </c>
      <c r="H1564">
        <v>1</v>
      </c>
      <c r="I1564">
        <f>Table9[[#This Row],[quantity]]*Table9[[#This Row],[unitPrice]]*(1-Table9[[#This Row],[discount]]/100)</f>
        <v>445.5</v>
      </c>
      <c r="J1564" t="str">
        <f>_xlfn.XLOOKUP(_xlfn.XLOOKUP(A1564,orders[orderID],orders[customerID],,0),customers__2[customerID],customers__2[companyName],,0)</f>
        <v>QUICK-Stop</v>
      </c>
      <c r="K1564" t="str">
        <f>_xlfn.XLOOKUP(Table9[[#This Row],[Company Name]],customers__2[companyName],customers__2[country],,0)</f>
        <v>Germany</v>
      </c>
      <c r="L1564">
        <f>MONTH(Table9[[#This Row],[OrderDate ]])</f>
        <v>1</v>
      </c>
      <c r="M1564" t="str">
        <f>TEXT(Table9[[#This Row],[OrderDate ]],"mmm")</f>
        <v>Jan</v>
      </c>
      <c r="N1564">
        <f>YEAR(Table9[[#This Row],[OrderDate ]])</f>
        <v>2015</v>
      </c>
    </row>
    <row r="1565" spans="1:14" x14ac:dyDescent="0.3">
      <c r="A1565">
        <v>10845</v>
      </c>
      <c r="B1565" s="2">
        <f>_xlfn.XLOOKUP(Table9[[#This Row],[orderID]],orders[orderID],orders[orderDate],,0)</f>
        <v>42025</v>
      </c>
      <c r="C1565">
        <f>_xlfn.XLOOKUP(A1565,order_details[orderID],order_details[productID],,0)</f>
        <v>23</v>
      </c>
      <c r="D1565" t="str">
        <f>_xlfn.XLOOKUP(C1565,products[productID],products[productName],,0)</f>
        <v>Tunnbröd</v>
      </c>
      <c r="E1565" t="str">
        <f>_xlfn.XLOOKUP(_xlfn.XLOOKUP(Table9[[#This Row],[ProductName ]],products[productName],products[categoryID],,0),categories[categoryID],categories[categoryName],,0)</f>
        <v>Grains &amp; Cereals</v>
      </c>
      <c r="F1565">
        <v>42</v>
      </c>
      <c r="G1565">
        <v>14</v>
      </c>
      <c r="H1565">
        <v>1</v>
      </c>
      <c r="I1565">
        <f>Table9[[#This Row],[quantity]]*Table9[[#This Row],[unitPrice]]*(1-Table9[[#This Row],[discount]]/100)</f>
        <v>582.12</v>
      </c>
      <c r="J1565" t="str">
        <f>_xlfn.XLOOKUP(_xlfn.XLOOKUP(A1565,orders[orderID],orders[customerID],,0),customers__2[customerID],customers__2[companyName],,0)</f>
        <v>QUICK-Stop</v>
      </c>
      <c r="K1565" t="str">
        <f>_xlfn.XLOOKUP(Table9[[#This Row],[Company Name]],customers__2[companyName],customers__2[country],,0)</f>
        <v>Germany</v>
      </c>
      <c r="L1565">
        <f>MONTH(Table9[[#This Row],[OrderDate ]])</f>
        <v>1</v>
      </c>
      <c r="M1565" t="str">
        <f>TEXT(Table9[[#This Row],[OrderDate ]],"mmm")</f>
        <v>Jan</v>
      </c>
      <c r="N1565">
        <f>YEAR(Table9[[#This Row],[OrderDate ]])</f>
        <v>2015</v>
      </c>
    </row>
    <row r="1566" spans="1:14" x14ac:dyDescent="0.3">
      <c r="A1566">
        <v>10845</v>
      </c>
      <c r="B1566" s="2">
        <f>_xlfn.XLOOKUP(Table9[[#This Row],[orderID]],orders[orderID],orders[orderDate],,0)</f>
        <v>42025</v>
      </c>
      <c r="C1566">
        <f>_xlfn.XLOOKUP(A1566,order_details[orderID],order_details[productID],,0)</f>
        <v>23</v>
      </c>
      <c r="D1566" t="str">
        <f>_xlfn.XLOOKUP(C1566,products[productID],products[productName],,0)</f>
        <v>Tunnbröd</v>
      </c>
      <c r="E1566" t="str">
        <f>_xlfn.XLOOKUP(_xlfn.XLOOKUP(Table9[[#This Row],[ProductName ]],products[productName],products[categoryID],,0),categories[categoryID],categories[categoryName],,0)</f>
        <v>Grains &amp; Cereals</v>
      </c>
      <c r="F1566">
        <v>60</v>
      </c>
      <c r="G1566">
        <v>1325</v>
      </c>
      <c r="H1566">
        <v>1</v>
      </c>
      <c r="I1566">
        <f>Table9[[#This Row],[quantity]]*Table9[[#This Row],[unitPrice]]*(1-Table9[[#This Row],[discount]]/100)</f>
        <v>78705</v>
      </c>
      <c r="J1566" t="str">
        <f>_xlfn.XLOOKUP(_xlfn.XLOOKUP(A1566,orders[orderID],orders[customerID],,0),customers__2[customerID],customers__2[companyName],,0)</f>
        <v>QUICK-Stop</v>
      </c>
      <c r="K1566" t="str">
        <f>_xlfn.XLOOKUP(Table9[[#This Row],[Company Name]],customers__2[companyName],customers__2[country],,0)</f>
        <v>Germany</v>
      </c>
      <c r="L1566">
        <f>MONTH(Table9[[#This Row],[OrderDate ]])</f>
        <v>1</v>
      </c>
      <c r="M1566" t="str">
        <f>TEXT(Table9[[#This Row],[OrderDate ]],"mmm")</f>
        <v>Jan</v>
      </c>
      <c r="N1566">
        <f>YEAR(Table9[[#This Row],[OrderDate ]])</f>
        <v>2015</v>
      </c>
    </row>
    <row r="1567" spans="1:14" x14ac:dyDescent="0.3">
      <c r="A1567">
        <v>10845</v>
      </c>
      <c r="B1567" s="2">
        <f>_xlfn.XLOOKUP(Table9[[#This Row],[orderID]],orders[orderID],orders[orderDate],,0)</f>
        <v>42025</v>
      </c>
      <c r="C1567">
        <f>_xlfn.XLOOKUP(A1567,order_details[orderID],order_details[productID],,0)</f>
        <v>23</v>
      </c>
      <c r="D1567" t="str">
        <f>_xlfn.XLOOKUP(C1567,products[productID],products[productName],,0)</f>
        <v>Tunnbröd</v>
      </c>
      <c r="E1567" t="str">
        <f>_xlfn.XLOOKUP(_xlfn.XLOOKUP(Table9[[#This Row],[ProductName ]],products[productName],products[categoryID],,0),categories[categoryID],categories[categoryName],,0)</f>
        <v>Grains &amp; Cereals</v>
      </c>
      <c r="F1567">
        <v>48</v>
      </c>
      <c r="G1567">
        <v>3325</v>
      </c>
      <c r="H1567">
        <v>0</v>
      </c>
      <c r="I1567">
        <f>Table9[[#This Row],[quantity]]*Table9[[#This Row],[unitPrice]]*(1-Table9[[#This Row],[discount]]/100)</f>
        <v>159600</v>
      </c>
      <c r="J1567" t="str">
        <f>_xlfn.XLOOKUP(_xlfn.XLOOKUP(A1567,orders[orderID],orders[customerID],,0),customers__2[customerID],customers__2[companyName],,0)</f>
        <v>QUICK-Stop</v>
      </c>
      <c r="K1567" t="str">
        <f>_xlfn.XLOOKUP(Table9[[#This Row],[Company Name]],customers__2[companyName],customers__2[country],,0)</f>
        <v>Germany</v>
      </c>
      <c r="L1567">
        <f>MONTH(Table9[[#This Row],[OrderDate ]])</f>
        <v>1</v>
      </c>
      <c r="M1567" t="str">
        <f>TEXT(Table9[[#This Row],[OrderDate ]],"mmm")</f>
        <v>Jan</v>
      </c>
      <c r="N1567">
        <f>YEAR(Table9[[#This Row],[OrderDate ]])</f>
        <v>2015</v>
      </c>
    </row>
    <row r="1568" spans="1:14" x14ac:dyDescent="0.3">
      <c r="A1568">
        <v>10846</v>
      </c>
      <c r="B1568" s="2">
        <f>_xlfn.XLOOKUP(Table9[[#This Row],[orderID]],orders[orderID],orders[orderDate],,0)</f>
        <v>42026</v>
      </c>
      <c r="C1568">
        <f>_xlfn.XLOOKUP(A1568,order_details[orderID],order_details[productID],,0)</f>
        <v>4</v>
      </c>
      <c r="D1568" t="str">
        <f>_xlfn.XLOOKUP(C1568,products[productID],products[productName],,0)</f>
        <v>Chef Anton's Cajun Seasoning</v>
      </c>
      <c r="E1568" t="str">
        <f>_xlfn.XLOOKUP(_xlfn.XLOOKUP(Table9[[#This Row],[ProductName ]],products[productName],products[categoryID],,0),categories[categoryID],categories[categoryName],,0)</f>
        <v>Condiments</v>
      </c>
      <c r="F1568">
        <v>21</v>
      </c>
      <c r="G1568">
        <v>22</v>
      </c>
      <c r="H1568">
        <v>0</v>
      </c>
      <c r="I1568">
        <f>Table9[[#This Row],[quantity]]*Table9[[#This Row],[unitPrice]]*(1-Table9[[#This Row],[discount]]/100)</f>
        <v>462</v>
      </c>
      <c r="J1568" t="str">
        <f>_xlfn.XLOOKUP(_xlfn.XLOOKUP(A1568,orders[orderID],orders[customerID],,0),customers__2[customerID],customers__2[companyName],,0)</f>
        <v>Suprêmes délices</v>
      </c>
      <c r="K1568" t="str">
        <f>_xlfn.XLOOKUP(Table9[[#This Row],[Company Name]],customers__2[companyName],customers__2[country],,0)</f>
        <v>Belgium</v>
      </c>
      <c r="L1568">
        <f>MONTH(Table9[[#This Row],[OrderDate ]])</f>
        <v>1</v>
      </c>
      <c r="M1568" t="str">
        <f>TEXT(Table9[[#This Row],[OrderDate ]],"mmm")</f>
        <v>Jan</v>
      </c>
      <c r="N1568">
        <f>YEAR(Table9[[#This Row],[OrderDate ]])</f>
        <v>2015</v>
      </c>
    </row>
    <row r="1569" spans="1:14" x14ac:dyDescent="0.3">
      <c r="A1569">
        <v>10846</v>
      </c>
      <c r="B1569" s="2">
        <f>_xlfn.XLOOKUP(Table9[[#This Row],[orderID]],orders[orderID],orders[orderDate],,0)</f>
        <v>42026</v>
      </c>
      <c r="C1569">
        <f>_xlfn.XLOOKUP(A1569,order_details[orderID],order_details[productID],,0)</f>
        <v>4</v>
      </c>
      <c r="D1569" t="str">
        <f>_xlfn.XLOOKUP(C1569,products[productID],products[productName],,0)</f>
        <v>Chef Anton's Cajun Seasoning</v>
      </c>
      <c r="E1569" t="str">
        <f>_xlfn.XLOOKUP(_xlfn.XLOOKUP(Table9[[#This Row],[ProductName ]],products[productName],products[categoryID],,0),categories[categoryID],categories[categoryName],,0)</f>
        <v>Condiments</v>
      </c>
      <c r="F1569">
        <v>30</v>
      </c>
      <c r="G1569">
        <v>15</v>
      </c>
      <c r="H1569">
        <v>0</v>
      </c>
      <c r="I1569">
        <f>Table9[[#This Row],[quantity]]*Table9[[#This Row],[unitPrice]]*(1-Table9[[#This Row],[discount]]/100)</f>
        <v>450</v>
      </c>
      <c r="J1569" t="str">
        <f>_xlfn.XLOOKUP(_xlfn.XLOOKUP(A1569,orders[orderID],orders[customerID],,0),customers__2[customerID],customers__2[companyName],,0)</f>
        <v>Suprêmes délices</v>
      </c>
      <c r="K1569" t="str">
        <f>_xlfn.XLOOKUP(Table9[[#This Row],[Company Name]],customers__2[companyName],customers__2[country],,0)</f>
        <v>Belgium</v>
      </c>
      <c r="L1569">
        <f>MONTH(Table9[[#This Row],[OrderDate ]])</f>
        <v>1</v>
      </c>
      <c r="M1569" t="str">
        <f>TEXT(Table9[[#This Row],[OrderDate ]],"mmm")</f>
        <v>Jan</v>
      </c>
      <c r="N1569">
        <f>YEAR(Table9[[#This Row],[OrderDate ]])</f>
        <v>2015</v>
      </c>
    </row>
    <row r="1570" spans="1:14" x14ac:dyDescent="0.3">
      <c r="A1570">
        <v>10846</v>
      </c>
      <c r="B1570" s="2">
        <f>_xlfn.XLOOKUP(Table9[[#This Row],[orderID]],orders[orderID],orders[orderDate],,0)</f>
        <v>42026</v>
      </c>
      <c r="C1570">
        <f>_xlfn.XLOOKUP(A1570,order_details[orderID],order_details[productID],,0)</f>
        <v>4</v>
      </c>
      <c r="D1570" t="str">
        <f>_xlfn.XLOOKUP(C1570,products[productID],products[productName],,0)</f>
        <v>Chef Anton's Cajun Seasoning</v>
      </c>
      <c r="E1570" t="str">
        <f>_xlfn.XLOOKUP(_xlfn.XLOOKUP(Table9[[#This Row],[ProductName ]],products[productName],products[categoryID],,0),categories[categoryID],categories[categoryName],,0)</f>
        <v>Condiments</v>
      </c>
      <c r="F1570">
        <v>20</v>
      </c>
      <c r="G1570">
        <v>10</v>
      </c>
      <c r="H1570">
        <v>0</v>
      </c>
      <c r="I1570">
        <f>Table9[[#This Row],[quantity]]*Table9[[#This Row],[unitPrice]]*(1-Table9[[#This Row],[discount]]/100)</f>
        <v>200</v>
      </c>
      <c r="J1570" t="str">
        <f>_xlfn.XLOOKUP(_xlfn.XLOOKUP(A1570,orders[orderID],orders[customerID],,0),customers__2[customerID],customers__2[companyName],,0)</f>
        <v>Suprêmes délices</v>
      </c>
      <c r="K1570" t="str">
        <f>_xlfn.XLOOKUP(Table9[[#This Row],[Company Name]],customers__2[companyName],customers__2[country],,0)</f>
        <v>Belgium</v>
      </c>
      <c r="L1570">
        <f>MONTH(Table9[[#This Row],[OrderDate ]])</f>
        <v>1</v>
      </c>
      <c r="M1570" t="str">
        <f>TEXT(Table9[[#This Row],[OrderDate ]],"mmm")</f>
        <v>Jan</v>
      </c>
      <c r="N1570">
        <f>YEAR(Table9[[#This Row],[OrderDate ]])</f>
        <v>2015</v>
      </c>
    </row>
    <row r="1571" spans="1:14" x14ac:dyDescent="0.3">
      <c r="A1571">
        <v>10847</v>
      </c>
      <c r="B1571" s="2">
        <f>_xlfn.XLOOKUP(Table9[[#This Row],[orderID]],orders[orderID],orders[orderDate],,0)</f>
        <v>42026</v>
      </c>
      <c r="C1571">
        <f>_xlfn.XLOOKUP(A1571,order_details[orderID],order_details[productID],,0)</f>
        <v>1</v>
      </c>
      <c r="D1571" t="str">
        <f>_xlfn.XLOOKUP(C1571,products[productID],products[productName],,0)</f>
        <v>Chai</v>
      </c>
      <c r="E1571" t="str">
        <f>_xlfn.XLOOKUP(_xlfn.XLOOKUP(Table9[[#This Row],[ProductName ]],products[productName],products[categoryID],,0),categories[categoryID],categories[categoryName],,0)</f>
        <v>Beverages</v>
      </c>
      <c r="F1571">
        <v>80</v>
      </c>
      <c r="G1571">
        <v>18</v>
      </c>
      <c r="H1571">
        <v>2</v>
      </c>
      <c r="I1571">
        <f>Table9[[#This Row],[quantity]]*Table9[[#This Row],[unitPrice]]*(1-Table9[[#This Row],[discount]]/100)</f>
        <v>1411.2</v>
      </c>
      <c r="J1571" t="str">
        <f>_xlfn.XLOOKUP(_xlfn.XLOOKUP(A1571,orders[orderID],orders[customerID],,0),customers__2[customerID],customers__2[companyName],,0)</f>
        <v>Save-a-lot Markets</v>
      </c>
      <c r="K1571" t="str">
        <f>_xlfn.XLOOKUP(Table9[[#This Row],[Company Name]],customers__2[companyName],customers__2[country],,0)</f>
        <v>USA</v>
      </c>
      <c r="L1571">
        <f>MONTH(Table9[[#This Row],[OrderDate ]])</f>
        <v>1</v>
      </c>
      <c r="M1571" t="str">
        <f>TEXT(Table9[[#This Row],[OrderDate ]],"mmm")</f>
        <v>Jan</v>
      </c>
      <c r="N1571">
        <f>YEAR(Table9[[#This Row],[OrderDate ]])</f>
        <v>2015</v>
      </c>
    </row>
    <row r="1572" spans="1:14" x14ac:dyDescent="0.3">
      <c r="A1572">
        <v>10847</v>
      </c>
      <c r="B1572" s="2">
        <f>_xlfn.XLOOKUP(Table9[[#This Row],[orderID]],orders[orderID],orders[orderDate],,0)</f>
        <v>42026</v>
      </c>
      <c r="C1572">
        <f>_xlfn.XLOOKUP(A1572,order_details[orderID],order_details[productID],,0)</f>
        <v>1</v>
      </c>
      <c r="D1572" t="str">
        <f>_xlfn.XLOOKUP(C1572,products[productID],products[productName],,0)</f>
        <v>Chai</v>
      </c>
      <c r="E1572" t="str">
        <f>_xlfn.XLOOKUP(_xlfn.XLOOKUP(Table9[[#This Row],[ProductName ]],products[productName],products[categoryID],,0),categories[categoryID],categories[categoryName],,0)</f>
        <v>Beverages</v>
      </c>
      <c r="F1572">
        <v>12</v>
      </c>
      <c r="G1572">
        <v>92</v>
      </c>
      <c r="H1572">
        <v>2</v>
      </c>
      <c r="I1572">
        <f>Table9[[#This Row],[quantity]]*Table9[[#This Row],[unitPrice]]*(1-Table9[[#This Row],[discount]]/100)</f>
        <v>1081.92</v>
      </c>
      <c r="J1572" t="str">
        <f>_xlfn.XLOOKUP(_xlfn.XLOOKUP(A1572,orders[orderID],orders[customerID],,0),customers__2[customerID],customers__2[companyName],,0)</f>
        <v>Save-a-lot Markets</v>
      </c>
      <c r="K1572" t="str">
        <f>_xlfn.XLOOKUP(Table9[[#This Row],[Company Name]],customers__2[companyName],customers__2[country],,0)</f>
        <v>USA</v>
      </c>
      <c r="L1572">
        <f>MONTH(Table9[[#This Row],[OrderDate ]])</f>
        <v>1</v>
      </c>
      <c r="M1572" t="str">
        <f>TEXT(Table9[[#This Row],[OrderDate ]],"mmm")</f>
        <v>Jan</v>
      </c>
      <c r="N1572">
        <f>YEAR(Table9[[#This Row],[OrderDate ]])</f>
        <v>2015</v>
      </c>
    </row>
    <row r="1573" spans="1:14" x14ac:dyDescent="0.3">
      <c r="A1573">
        <v>10847</v>
      </c>
      <c r="B1573" s="2">
        <f>_xlfn.XLOOKUP(Table9[[#This Row],[orderID]],orders[orderID],orders[orderDate],,0)</f>
        <v>42026</v>
      </c>
      <c r="C1573">
        <f>_xlfn.XLOOKUP(A1573,order_details[orderID],order_details[productID],,0)</f>
        <v>1</v>
      </c>
      <c r="D1573" t="str">
        <f>_xlfn.XLOOKUP(C1573,products[productID],products[productName],,0)</f>
        <v>Chai</v>
      </c>
      <c r="E1573" t="str">
        <f>_xlfn.XLOOKUP(_xlfn.XLOOKUP(Table9[[#This Row],[ProductName ]],products[productName],products[categoryID],,0),categories[categoryID],categories[categoryName],,0)</f>
        <v>Beverages</v>
      </c>
      <c r="F1573">
        <v>60</v>
      </c>
      <c r="G1573">
        <v>26</v>
      </c>
      <c r="H1573">
        <v>2</v>
      </c>
      <c r="I1573">
        <f>Table9[[#This Row],[quantity]]*Table9[[#This Row],[unitPrice]]*(1-Table9[[#This Row],[discount]]/100)</f>
        <v>1528.8</v>
      </c>
      <c r="J1573" t="str">
        <f>_xlfn.XLOOKUP(_xlfn.XLOOKUP(A1573,orders[orderID],orders[customerID],,0),customers__2[customerID],customers__2[companyName],,0)</f>
        <v>Save-a-lot Markets</v>
      </c>
      <c r="K1573" t="str">
        <f>_xlfn.XLOOKUP(Table9[[#This Row],[Company Name]],customers__2[companyName],customers__2[country],,0)</f>
        <v>USA</v>
      </c>
      <c r="L1573">
        <f>MONTH(Table9[[#This Row],[OrderDate ]])</f>
        <v>1</v>
      </c>
      <c r="M1573" t="str">
        <f>TEXT(Table9[[#This Row],[OrderDate ]],"mmm")</f>
        <v>Jan</v>
      </c>
      <c r="N1573">
        <f>YEAR(Table9[[#This Row],[OrderDate ]])</f>
        <v>2015</v>
      </c>
    </row>
    <row r="1574" spans="1:14" x14ac:dyDescent="0.3">
      <c r="A1574">
        <v>10847</v>
      </c>
      <c r="B1574" s="2">
        <f>_xlfn.XLOOKUP(Table9[[#This Row],[orderID]],orders[orderID],orders[orderDate],,0)</f>
        <v>42026</v>
      </c>
      <c r="C1574">
        <f>_xlfn.XLOOKUP(A1574,order_details[orderID],order_details[productID],,0)</f>
        <v>1</v>
      </c>
      <c r="D1574" t="str">
        <f>_xlfn.XLOOKUP(C1574,products[productID],products[productName],,0)</f>
        <v>Chai</v>
      </c>
      <c r="E1574" t="str">
        <f>_xlfn.XLOOKUP(_xlfn.XLOOKUP(Table9[[#This Row],[ProductName ]],products[productName],products[categoryID],,0),categories[categoryID],categories[categoryName],,0)</f>
        <v>Beverages</v>
      </c>
      <c r="F1574">
        <v>36</v>
      </c>
      <c r="G1574">
        <v>95</v>
      </c>
      <c r="H1574">
        <v>2</v>
      </c>
      <c r="I1574">
        <f>Table9[[#This Row],[quantity]]*Table9[[#This Row],[unitPrice]]*(1-Table9[[#This Row],[discount]]/100)</f>
        <v>3351.6</v>
      </c>
      <c r="J1574" t="str">
        <f>_xlfn.XLOOKUP(_xlfn.XLOOKUP(A1574,orders[orderID],orders[customerID],,0),customers__2[customerID],customers__2[companyName],,0)</f>
        <v>Save-a-lot Markets</v>
      </c>
      <c r="K1574" t="str">
        <f>_xlfn.XLOOKUP(Table9[[#This Row],[Company Name]],customers__2[companyName],customers__2[country],,0)</f>
        <v>USA</v>
      </c>
      <c r="L1574">
        <f>MONTH(Table9[[#This Row],[OrderDate ]])</f>
        <v>1</v>
      </c>
      <c r="M1574" t="str">
        <f>TEXT(Table9[[#This Row],[OrderDate ]],"mmm")</f>
        <v>Jan</v>
      </c>
      <c r="N1574">
        <f>YEAR(Table9[[#This Row],[OrderDate ]])</f>
        <v>2015</v>
      </c>
    </row>
    <row r="1575" spans="1:14" x14ac:dyDescent="0.3">
      <c r="A1575">
        <v>10847</v>
      </c>
      <c r="B1575" s="2">
        <f>_xlfn.XLOOKUP(Table9[[#This Row],[orderID]],orders[orderID],orders[orderDate],,0)</f>
        <v>42026</v>
      </c>
      <c r="C1575">
        <f>_xlfn.XLOOKUP(A1575,order_details[orderID],order_details[productID],,0)</f>
        <v>1</v>
      </c>
      <c r="D1575" t="str">
        <f>_xlfn.XLOOKUP(C1575,products[productID],products[productName],,0)</f>
        <v>Chai</v>
      </c>
      <c r="E1575" t="str">
        <f>_xlfn.XLOOKUP(_xlfn.XLOOKUP(Table9[[#This Row],[ProductName ]],products[productName],products[categoryID],,0),categories[categoryID],categories[categoryName],,0)</f>
        <v>Beverages</v>
      </c>
      <c r="F1575">
        <v>45</v>
      </c>
      <c r="G1575">
        <v>34</v>
      </c>
      <c r="H1575">
        <v>2</v>
      </c>
      <c r="I1575">
        <f>Table9[[#This Row],[quantity]]*Table9[[#This Row],[unitPrice]]*(1-Table9[[#This Row],[discount]]/100)</f>
        <v>1499.3999999999999</v>
      </c>
      <c r="J1575" t="str">
        <f>_xlfn.XLOOKUP(_xlfn.XLOOKUP(A1575,orders[orderID],orders[customerID],,0),customers__2[customerID],customers__2[companyName],,0)</f>
        <v>Save-a-lot Markets</v>
      </c>
      <c r="K1575" t="str">
        <f>_xlfn.XLOOKUP(Table9[[#This Row],[Company Name]],customers__2[companyName],customers__2[country],,0)</f>
        <v>USA</v>
      </c>
      <c r="L1575">
        <f>MONTH(Table9[[#This Row],[OrderDate ]])</f>
        <v>1</v>
      </c>
      <c r="M1575" t="str">
        <f>TEXT(Table9[[#This Row],[OrderDate ]],"mmm")</f>
        <v>Jan</v>
      </c>
      <c r="N1575">
        <f>YEAR(Table9[[#This Row],[OrderDate ]])</f>
        <v>2015</v>
      </c>
    </row>
    <row r="1576" spans="1:14" x14ac:dyDescent="0.3">
      <c r="A1576">
        <v>10847</v>
      </c>
      <c r="B1576" s="2">
        <f>_xlfn.XLOOKUP(Table9[[#This Row],[orderID]],orders[orderID],orders[orderDate],,0)</f>
        <v>42026</v>
      </c>
      <c r="C1576">
        <f>_xlfn.XLOOKUP(A1576,order_details[orderID],order_details[productID],,0)</f>
        <v>1</v>
      </c>
      <c r="D1576" t="str">
        <f>_xlfn.XLOOKUP(C1576,products[productID],products[productName],,0)</f>
        <v>Chai</v>
      </c>
      <c r="E1576" t="str">
        <f>_xlfn.XLOOKUP(_xlfn.XLOOKUP(Table9[[#This Row],[ProductName ]],products[productName],products[categoryID],,0),categories[categoryID],categories[categoryName],,0)</f>
        <v>Beverages</v>
      </c>
      <c r="F1576">
        <v>55</v>
      </c>
      <c r="G1576">
        <v>215</v>
      </c>
      <c r="H1576">
        <v>2</v>
      </c>
      <c r="I1576">
        <f>Table9[[#This Row],[quantity]]*Table9[[#This Row],[unitPrice]]*(1-Table9[[#This Row],[discount]]/100)</f>
        <v>11588.5</v>
      </c>
      <c r="J1576" t="str">
        <f>_xlfn.XLOOKUP(_xlfn.XLOOKUP(A1576,orders[orderID],orders[customerID],,0),customers__2[customerID],customers__2[companyName],,0)</f>
        <v>Save-a-lot Markets</v>
      </c>
      <c r="K1576" t="str">
        <f>_xlfn.XLOOKUP(Table9[[#This Row],[Company Name]],customers__2[companyName],customers__2[country],,0)</f>
        <v>USA</v>
      </c>
      <c r="L1576">
        <f>MONTH(Table9[[#This Row],[OrderDate ]])</f>
        <v>1</v>
      </c>
      <c r="M1576" t="str">
        <f>TEXT(Table9[[#This Row],[OrderDate ]],"mmm")</f>
        <v>Jan</v>
      </c>
      <c r="N1576">
        <f>YEAR(Table9[[#This Row],[OrderDate ]])</f>
        <v>2015</v>
      </c>
    </row>
    <row r="1577" spans="1:14" x14ac:dyDescent="0.3">
      <c r="A1577">
        <v>10848</v>
      </c>
      <c r="B1577" s="2">
        <f>_xlfn.XLOOKUP(Table9[[#This Row],[orderID]],orders[orderID],orders[orderDate],,0)</f>
        <v>42027</v>
      </c>
      <c r="C1577">
        <f>_xlfn.XLOOKUP(A1577,order_details[orderID],order_details[productID],,0)</f>
        <v>5</v>
      </c>
      <c r="D1577" t="str">
        <f>_xlfn.XLOOKUP(C1577,products[productID],products[productName],,0)</f>
        <v>Chef Anton's Gumbo Mix</v>
      </c>
      <c r="E1577" t="str">
        <f>_xlfn.XLOOKUP(_xlfn.XLOOKUP(Table9[[#This Row],[ProductName ]],products[productName],products[categoryID],,0),categories[categoryID],categories[categoryName],,0)</f>
        <v>Condiments</v>
      </c>
      <c r="F1577">
        <v>30</v>
      </c>
      <c r="G1577">
        <v>2135</v>
      </c>
      <c r="H1577">
        <v>0</v>
      </c>
      <c r="I1577">
        <f>Table9[[#This Row],[quantity]]*Table9[[#This Row],[unitPrice]]*(1-Table9[[#This Row],[discount]]/100)</f>
        <v>64050</v>
      </c>
      <c r="J1577" t="str">
        <f>_xlfn.XLOOKUP(_xlfn.XLOOKUP(A1577,orders[orderID],orders[customerID],,0),customers__2[customerID],customers__2[companyName],,0)</f>
        <v>Consolidated Holdings</v>
      </c>
      <c r="K1577" t="str">
        <f>_xlfn.XLOOKUP(Table9[[#This Row],[Company Name]],customers__2[companyName],customers__2[country],,0)</f>
        <v>UK</v>
      </c>
      <c r="L1577">
        <f>MONTH(Table9[[#This Row],[OrderDate ]])</f>
        <v>1</v>
      </c>
      <c r="M1577" t="str">
        <f>TEXT(Table9[[#This Row],[OrderDate ]],"mmm")</f>
        <v>Jan</v>
      </c>
      <c r="N1577">
        <f>YEAR(Table9[[#This Row],[OrderDate ]])</f>
        <v>2015</v>
      </c>
    </row>
    <row r="1578" spans="1:14" x14ac:dyDescent="0.3">
      <c r="A1578">
        <v>10848</v>
      </c>
      <c r="B1578" s="2">
        <f>_xlfn.XLOOKUP(Table9[[#This Row],[orderID]],orders[orderID],orders[orderDate],,0)</f>
        <v>42027</v>
      </c>
      <c r="C1578">
        <f>_xlfn.XLOOKUP(A1578,order_details[orderID],order_details[productID],,0)</f>
        <v>5</v>
      </c>
      <c r="D1578" t="str">
        <f>_xlfn.XLOOKUP(C1578,products[productID],products[productName],,0)</f>
        <v>Chef Anton's Gumbo Mix</v>
      </c>
      <c r="E1578" t="str">
        <f>_xlfn.XLOOKUP(_xlfn.XLOOKUP(Table9[[#This Row],[ProductName ]],products[productName],products[categoryID],,0),categories[categoryID],categories[categoryName],,0)</f>
        <v>Condiments</v>
      </c>
      <c r="F1578">
        <v>3</v>
      </c>
      <c r="G1578">
        <v>97</v>
      </c>
      <c r="H1578">
        <v>0</v>
      </c>
      <c r="I1578">
        <f>Table9[[#This Row],[quantity]]*Table9[[#This Row],[unitPrice]]*(1-Table9[[#This Row],[discount]]/100)</f>
        <v>291</v>
      </c>
      <c r="J1578" t="str">
        <f>_xlfn.XLOOKUP(_xlfn.XLOOKUP(A1578,orders[orderID],orders[customerID],,0),customers__2[customerID],customers__2[companyName],,0)</f>
        <v>Consolidated Holdings</v>
      </c>
      <c r="K1578" t="str">
        <f>_xlfn.XLOOKUP(Table9[[#This Row],[Company Name]],customers__2[companyName],customers__2[country],,0)</f>
        <v>UK</v>
      </c>
      <c r="L1578">
        <f>MONTH(Table9[[#This Row],[OrderDate ]])</f>
        <v>1</v>
      </c>
      <c r="M1578" t="str">
        <f>TEXT(Table9[[#This Row],[OrderDate ]],"mmm")</f>
        <v>Jan</v>
      </c>
      <c r="N1578">
        <f>YEAR(Table9[[#This Row],[OrderDate ]])</f>
        <v>2015</v>
      </c>
    </row>
    <row r="1579" spans="1:14" x14ac:dyDescent="0.3">
      <c r="A1579">
        <v>10849</v>
      </c>
      <c r="B1579" s="2">
        <f>_xlfn.XLOOKUP(Table9[[#This Row],[orderID]],orders[orderID],orders[orderDate],,0)</f>
        <v>42027</v>
      </c>
      <c r="C1579">
        <f>_xlfn.XLOOKUP(A1579,order_details[orderID],order_details[productID],,0)</f>
        <v>3</v>
      </c>
      <c r="D1579" t="str">
        <f>_xlfn.XLOOKUP(C1579,products[productID],products[productName],,0)</f>
        <v>Aniseed Syrup</v>
      </c>
      <c r="E1579" t="str">
        <f>_xlfn.XLOOKUP(_xlfn.XLOOKUP(Table9[[#This Row],[ProductName ]],products[productName],products[categoryID],,0),categories[categoryID],categories[categoryName],,0)</f>
        <v>Condiments</v>
      </c>
      <c r="F1579">
        <v>49</v>
      </c>
      <c r="G1579">
        <v>10</v>
      </c>
      <c r="H1579">
        <v>0</v>
      </c>
      <c r="I1579">
        <f>Table9[[#This Row],[quantity]]*Table9[[#This Row],[unitPrice]]*(1-Table9[[#This Row],[discount]]/100)</f>
        <v>490</v>
      </c>
      <c r="J1579" t="str">
        <f>_xlfn.XLOOKUP(_xlfn.XLOOKUP(A1579,orders[orderID],orders[customerID],,0),customers__2[customerID],customers__2[companyName],,0)</f>
        <v>Königlich Essen</v>
      </c>
      <c r="K1579" t="str">
        <f>_xlfn.XLOOKUP(Table9[[#This Row],[Company Name]],customers__2[companyName],customers__2[country],,0)</f>
        <v>Germany</v>
      </c>
      <c r="L1579">
        <f>MONTH(Table9[[#This Row],[OrderDate ]])</f>
        <v>1</v>
      </c>
      <c r="M1579" t="str">
        <f>TEXT(Table9[[#This Row],[OrderDate ]],"mmm")</f>
        <v>Jan</v>
      </c>
      <c r="N1579">
        <f>YEAR(Table9[[#This Row],[OrderDate ]])</f>
        <v>2015</v>
      </c>
    </row>
    <row r="1580" spans="1:14" x14ac:dyDescent="0.3">
      <c r="A1580">
        <v>10849</v>
      </c>
      <c r="B1580" s="2">
        <f>_xlfn.XLOOKUP(Table9[[#This Row],[orderID]],orders[orderID],orders[orderDate],,0)</f>
        <v>42027</v>
      </c>
      <c r="C1580">
        <f>_xlfn.XLOOKUP(A1580,order_details[orderID],order_details[productID],,0)</f>
        <v>3</v>
      </c>
      <c r="D1580" t="str">
        <f>_xlfn.XLOOKUP(C1580,products[productID],products[productName],,0)</f>
        <v>Aniseed Syrup</v>
      </c>
      <c r="E1580" t="str">
        <f>_xlfn.XLOOKUP(_xlfn.XLOOKUP(Table9[[#This Row],[ProductName ]],products[productName],products[categoryID],,0),categories[categoryID],categories[categoryName],,0)</f>
        <v>Condiments</v>
      </c>
      <c r="F1580">
        <v>18</v>
      </c>
      <c r="G1580">
        <v>3123</v>
      </c>
      <c r="H1580">
        <v>15</v>
      </c>
      <c r="I1580">
        <f>Table9[[#This Row],[quantity]]*Table9[[#This Row],[unitPrice]]*(1-Table9[[#This Row],[discount]]/100)</f>
        <v>47781.9</v>
      </c>
      <c r="J1580" t="str">
        <f>_xlfn.XLOOKUP(_xlfn.XLOOKUP(A1580,orders[orderID],orders[customerID],,0),customers__2[customerID],customers__2[companyName],,0)</f>
        <v>Königlich Essen</v>
      </c>
      <c r="K1580" t="str">
        <f>_xlfn.XLOOKUP(Table9[[#This Row],[Company Name]],customers__2[companyName],customers__2[country],,0)</f>
        <v>Germany</v>
      </c>
      <c r="L1580">
        <f>MONTH(Table9[[#This Row],[OrderDate ]])</f>
        <v>1</v>
      </c>
      <c r="M1580" t="str">
        <f>TEXT(Table9[[#This Row],[OrderDate ]],"mmm")</f>
        <v>Jan</v>
      </c>
      <c r="N1580">
        <f>YEAR(Table9[[#This Row],[OrderDate ]])</f>
        <v>2015</v>
      </c>
    </row>
    <row r="1581" spans="1:14" x14ac:dyDescent="0.3">
      <c r="A1581">
        <v>10850</v>
      </c>
      <c r="B1581" s="2">
        <f>_xlfn.XLOOKUP(Table9[[#This Row],[orderID]],orders[orderID],orders[orderDate],,0)</f>
        <v>42027</v>
      </c>
      <c r="C1581">
        <f>_xlfn.XLOOKUP(A1581,order_details[orderID],order_details[productID],,0)</f>
        <v>25</v>
      </c>
      <c r="D1581" t="str">
        <f>_xlfn.XLOOKUP(C1581,products[productID],products[productName],,0)</f>
        <v>NuNuCa Nuß-Nougat-Creme</v>
      </c>
      <c r="E1581" t="str">
        <f>_xlfn.XLOOKUP(_xlfn.XLOOKUP(Table9[[#This Row],[ProductName ]],products[productName],products[categoryID],,0),categories[categoryID],categories[categoryName],,0)</f>
        <v>Confections</v>
      </c>
      <c r="F1581">
        <v>20</v>
      </c>
      <c r="G1581">
        <v>14</v>
      </c>
      <c r="H1581">
        <v>15</v>
      </c>
      <c r="I1581">
        <f>Table9[[#This Row],[quantity]]*Table9[[#This Row],[unitPrice]]*(1-Table9[[#This Row],[discount]]/100)</f>
        <v>238</v>
      </c>
      <c r="J1581" t="str">
        <f>_xlfn.XLOOKUP(_xlfn.XLOOKUP(A1581,orders[orderID],orders[customerID],,0),customers__2[customerID],customers__2[companyName],,0)</f>
        <v>Victuailles en stock</v>
      </c>
      <c r="K1581" t="str">
        <f>_xlfn.XLOOKUP(Table9[[#This Row],[Company Name]],customers__2[companyName],customers__2[country],,0)</f>
        <v>France</v>
      </c>
      <c r="L1581">
        <f>MONTH(Table9[[#This Row],[OrderDate ]])</f>
        <v>1</v>
      </c>
      <c r="M1581" t="str">
        <f>TEXT(Table9[[#This Row],[OrderDate ]],"mmm")</f>
        <v>Jan</v>
      </c>
      <c r="N1581">
        <f>YEAR(Table9[[#This Row],[OrderDate ]])</f>
        <v>2015</v>
      </c>
    </row>
    <row r="1582" spans="1:14" x14ac:dyDescent="0.3">
      <c r="A1582">
        <v>10850</v>
      </c>
      <c r="B1582" s="2">
        <f>_xlfn.XLOOKUP(Table9[[#This Row],[orderID]],orders[orderID],orders[orderDate],,0)</f>
        <v>42027</v>
      </c>
      <c r="C1582">
        <f>_xlfn.XLOOKUP(A1582,order_details[orderID],order_details[productID],,0)</f>
        <v>25</v>
      </c>
      <c r="D1582" t="str">
        <f>_xlfn.XLOOKUP(C1582,products[productID],products[productName],,0)</f>
        <v>NuNuCa Nuß-Nougat-Creme</v>
      </c>
      <c r="E1582" t="str">
        <f>_xlfn.XLOOKUP(_xlfn.XLOOKUP(Table9[[#This Row],[ProductName ]],products[productName],products[categoryID],,0),categories[categoryID],categories[categoryName],,0)</f>
        <v>Confections</v>
      </c>
      <c r="F1582">
        <v>4</v>
      </c>
      <c r="G1582">
        <v>25</v>
      </c>
      <c r="H1582">
        <v>15</v>
      </c>
      <c r="I1582">
        <f>Table9[[#This Row],[quantity]]*Table9[[#This Row],[unitPrice]]*(1-Table9[[#This Row],[discount]]/100)</f>
        <v>85</v>
      </c>
      <c r="J1582" t="str">
        <f>_xlfn.XLOOKUP(_xlfn.XLOOKUP(A1582,orders[orderID],orders[customerID],,0),customers__2[customerID],customers__2[companyName],,0)</f>
        <v>Victuailles en stock</v>
      </c>
      <c r="K1582" t="str">
        <f>_xlfn.XLOOKUP(Table9[[#This Row],[Company Name]],customers__2[companyName],customers__2[country],,0)</f>
        <v>France</v>
      </c>
      <c r="L1582">
        <f>MONTH(Table9[[#This Row],[OrderDate ]])</f>
        <v>1</v>
      </c>
      <c r="M1582" t="str">
        <f>TEXT(Table9[[#This Row],[OrderDate ]],"mmm")</f>
        <v>Jan</v>
      </c>
      <c r="N1582">
        <f>YEAR(Table9[[#This Row],[OrderDate ]])</f>
        <v>2015</v>
      </c>
    </row>
    <row r="1583" spans="1:14" x14ac:dyDescent="0.3">
      <c r="A1583">
        <v>10850</v>
      </c>
      <c r="B1583" s="2">
        <f>_xlfn.XLOOKUP(Table9[[#This Row],[orderID]],orders[orderID],orders[orderDate],,0)</f>
        <v>42027</v>
      </c>
      <c r="C1583">
        <f>_xlfn.XLOOKUP(A1583,order_details[orderID],order_details[productID],,0)</f>
        <v>25</v>
      </c>
      <c r="D1583" t="str">
        <f>_xlfn.XLOOKUP(C1583,products[productID],products[productName],,0)</f>
        <v>NuNuCa Nuß-Nougat-Creme</v>
      </c>
      <c r="E1583" t="str">
        <f>_xlfn.XLOOKUP(_xlfn.XLOOKUP(Table9[[#This Row],[ProductName ]],products[productName],products[categoryID],,0),categories[categoryID],categories[categoryName],,0)</f>
        <v>Confections</v>
      </c>
      <c r="F1583">
        <v>30</v>
      </c>
      <c r="G1583">
        <v>15</v>
      </c>
      <c r="H1583">
        <v>15</v>
      </c>
      <c r="I1583">
        <f>Table9[[#This Row],[quantity]]*Table9[[#This Row],[unitPrice]]*(1-Table9[[#This Row],[discount]]/100)</f>
        <v>382.5</v>
      </c>
      <c r="J1583" t="str">
        <f>_xlfn.XLOOKUP(_xlfn.XLOOKUP(A1583,orders[orderID],orders[customerID],,0),customers__2[customerID],customers__2[companyName],,0)</f>
        <v>Victuailles en stock</v>
      </c>
      <c r="K1583" t="str">
        <f>_xlfn.XLOOKUP(Table9[[#This Row],[Company Name]],customers__2[companyName],customers__2[country],,0)</f>
        <v>France</v>
      </c>
      <c r="L1583">
        <f>MONTH(Table9[[#This Row],[OrderDate ]])</f>
        <v>1</v>
      </c>
      <c r="M1583" t="str">
        <f>TEXT(Table9[[#This Row],[OrderDate ]],"mmm")</f>
        <v>Jan</v>
      </c>
      <c r="N1583">
        <f>YEAR(Table9[[#This Row],[OrderDate ]])</f>
        <v>2015</v>
      </c>
    </row>
    <row r="1584" spans="1:14" x14ac:dyDescent="0.3">
      <c r="A1584">
        <v>10851</v>
      </c>
      <c r="B1584" s="2">
        <f>_xlfn.XLOOKUP(Table9[[#This Row],[orderID]],orders[orderID],orders[orderDate],,0)</f>
        <v>42030</v>
      </c>
      <c r="C1584">
        <f>_xlfn.XLOOKUP(A1584,order_details[orderID],order_details[productID],,0)</f>
        <v>2</v>
      </c>
      <c r="D1584" t="str">
        <f>_xlfn.XLOOKUP(C1584,products[productID],products[productName],,0)</f>
        <v>Chang</v>
      </c>
      <c r="E1584" t="str">
        <f>_xlfn.XLOOKUP(_xlfn.XLOOKUP(Table9[[#This Row],[ProductName ]],products[productName],products[categoryID],,0),categories[categoryID],categories[categoryName],,0)</f>
        <v>Beverages</v>
      </c>
      <c r="F1584">
        <v>5</v>
      </c>
      <c r="G1584">
        <v>19</v>
      </c>
      <c r="H1584">
        <v>5</v>
      </c>
      <c r="I1584">
        <f>Table9[[#This Row],[quantity]]*Table9[[#This Row],[unitPrice]]*(1-Table9[[#This Row],[discount]]/100)</f>
        <v>90.25</v>
      </c>
      <c r="J1584" t="str">
        <f>_xlfn.XLOOKUP(_xlfn.XLOOKUP(A1584,orders[orderID],orders[customerID],,0),customers__2[customerID],customers__2[companyName],,0)</f>
        <v>Ricardo Adocicados</v>
      </c>
      <c r="K1584" t="str">
        <f>_xlfn.XLOOKUP(Table9[[#This Row],[Company Name]],customers__2[companyName],customers__2[country],,0)</f>
        <v>Brazil</v>
      </c>
      <c r="L1584">
        <f>MONTH(Table9[[#This Row],[OrderDate ]])</f>
        <v>1</v>
      </c>
      <c r="M1584" t="str">
        <f>TEXT(Table9[[#This Row],[OrderDate ]],"mmm")</f>
        <v>Jan</v>
      </c>
      <c r="N1584">
        <f>YEAR(Table9[[#This Row],[OrderDate ]])</f>
        <v>2015</v>
      </c>
    </row>
    <row r="1585" spans="1:14" x14ac:dyDescent="0.3">
      <c r="A1585">
        <v>10851</v>
      </c>
      <c r="B1585" s="2">
        <f>_xlfn.XLOOKUP(Table9[[#This Row],[orderID]],orders[orderID],orders[orderDate],,0)</f>
        <v>42030</v>
      </c>
      <c r="C1585">
        <f>_xlfn.XLOOKUP(A1585,order_details[orderID],order_details[productID],,0)</f>
        <v>2</v>
      </c>
      <c r="D1585" t="str">
        <f>_xlfn.XLOOKUP(C1585,products[productID],products[productName],,0)</f>
        <v>Chang</v>
      </c>
      <c r="E1585" t="str">
        <f>_xlfn.XLOOKUP(_xlfn.XLOOKUP(Table9[[#This Row],[ProductName ]],products[productName],products[categoryID],,0),categories[categoryID],categories[categoryName],,0)</f>
        <v>Beverages</v>
      </c>
      <c r="F1585">
        <v>10</v>
      </c>
      <c r="G1585">
        <v>14</v>
      </c>
      <c r="H1585">
        <v>5</v>
      </c>
      <c r="I1585">
        <f>Table9[[#This Row],[quantity]]*Table9[[#This Row],[unitPrice]]*(1-Table9[[#This Row],[discount]]/100)</f>
        <v>133</v>
      </c>
      <c r="J1585" t="str">
        <f>_xlfn.XLOOKUP(_xlfn.XLOOKUP(A1585,orders[orderID],orders[customerID],,0),customers__2[customerID],customers__2[companyName],,0)</f>
        <v>Ricardo Adocicados</v>
      </c>
      <c r="K1585" t="str">
        <f>_xlfn.XLOOKUP(Table9[[#This Row],[Company Name]],customers__2[companyName],customers__2[country],,0)</f>
        <v>Brazil</v>
      </c>
      <c r="L1585">
        <f>MONTH(Table9[[#This Row],[OrderDate ]])</f>
        <v>1</v>
      </c>
      <c r="M1585" t="str">
        <f>TEXT(Table9[[#This Row],[OrderDate ]],"mmm")</f>
        <v>Jan</v>
      </c>
      <c r="N1585">
        <f>YEAR(Table9[[#This Row],[OrderDate ]])</f>
        <v>2015</v>
      </c>
    </row>
    <row r="1586" spans="1:14" x14ac:dyDescent="0.3">
      <c r="A1586">
        <v>10851</v>
      </c>
      <c r="B1586" s="2">
        <f>_xlfn.XLOOKUP(Table9[[#This Row],[orderID]],orders[orderID],orders[orderDate],,0)</f>
        <v>42030</v>
      </c>
      <c r="C1586">
        <f>_xlfn.XLOOKUP(A1586,order_details[orderID],order_details[productID],,0)</f>
        <v>2</v>
      </c>
      <c r="D1586" t="str">
        <f>_xlfn.XLOOKUP(C1586,products[productID],products[productName],,0)</f>
        <v>Chang</v>
      </c>
      <c r="E1586" t="str">
        <f>_xlfn.XLOOKUP(_xlfn.XLOOKUP(Table9[[#This Row],[ProductName ]],products[productName],products[categoryID],,0),categories[categoryID],categories[categoryName],,0)</f>
        <v>Beverages</v>
      </c>
      <c r="F1586">
        <v>10</v>
      </c>
      <c r="G1586">
        <v>195</v>
      </c>
      <c r="H1586">
        <v>5</v>
      </c>
      <c r="I1586">
        <f>Table9[[#This Row],[quantity]]*Table9[[#This Row],[unitPrice]]*(1-Table9[[#This Row],[discount]]/100)</f>
        <v>1852.5</v>
      </c>
      <c r="J1586" t="str">
        <f>_xlfn.XLOOKUP(_xlfn.XLOOKUP(A1586,orders[orderID],orders[customerID],,0),customers__2[customerID],customers__2[companyName],,0)</f>
        <v>Ricardo Adocicados</v>
      </c>
      <c r="K1586" t="str">
        <f>_xlfn.XLOOKUP(Table9[[#This Row],[Company Name]],customers__2[companyName],customers__2[country],,0)</f>
        <v>Brazil</v>
      </c>
      <c r="L1586">
        <f>MONTH(Table9[[#This Row],[OrderDate ]])</f>
        <v>1</v>
      </c>
      <c r="M1586" t="str">
        <f>TEXT(Table9[[#This Row],[OrderDate ]],"mmm")</f>
        <v>Jan</v>
      </c>
      <c r="N1586">
        <f>YEAR(Table9[[#This Row],[OrderDate ]])</f>
        <v>2015</v>
      </c>
    </row>
    <row r="1587" spans="1:14" x14ac:dyDescent="0.3">
      <c r="A1587">
        <v>10851</v>
      </c>
      <c r="B1587" s="2">
        <f>_xlfn.XLOOKUP(Table9[[#This Row],[orderID]],orders[orderID],orders[orderDate],,0)</f>
        <v>42030</v>
      </c>
      <c r="C1587">
        <f>_xlfn.XLOOKUP(A1587,order_details[orderID],order_details[productID],,0)</f>
        <v>2</v>
      </c>
      <c r="D1587" t="str">
        <f>_xlfn.XLOOKUP(C1587,products[productID],products[productName],,0)</f>
        <v>Chang</v>
      </c>
      <c r="E1587" t="str">
        <f>_xlfn.XLOOKUP(_xlfn.XLOOKUP(Table9[[#This Row],[ProductName ]],products[productName],products[categoryID],,0),categories[categoryID],categories[categoryName],,0)</f>
        <v>Beverages</v>
      </c>
      <c r="F1587">
        <v>42</v>
      </c>
      <c r="G1587">
        <v>55</v>
      </c>
      <c r="H1587">
        <v>5</v>
      </c>
      <c r="I1587">
        <f>Table9[[#This Row],[quantity]]*Table9[[#This Row],[unitPrice]]*(1-Table9[[#This Row],[discount]]/100)</f>
        <v>2194.5</v>
      </c>
      <c r="J1587" t="str">
        <f>_xlfn.XLOOKUP(_xlfn.XLOOKUP(A1587,orders[orderID],orders[customerID],,0),customers__2[customerID],customers__2[companyName],,0)</f>
        <v>Ricardo Adocicados</v>
      </c>
      <c r="K1587" t="str">
        <f>_xlfn.XLOOKUP(Table9[[#This Row],[Company Name]],customers__2[companyName],customers__2[country],,0)</f>
        <v>Brazil</v>
      </c>
      <c r="L1587">
        <f>MONTH(Table9[[#This Row],[OrderDate ]])</f>
        <v>1</v>
      </c>
      <c r="M1587" t="str">
        <f>TEXT(Table9[[#This Row],[OrderDate ]],"mmm")</f>
        <v>Jan</v>
      </c>
      <c r="N1587">
        <f>YEAR(Table9[[#This Row],[OrderDate ]])</f>
        <v>2015</v>
      </c>
    </row>
    <row r="1588" spans="1:14" x14ac:dyDescent="0.3">
      <c r="A1588">
        <v>10852</v>
      </c>
      <c r="B1588" s="2">
        <f>_xlfn.XLOOKUP(Table9[[#This Row],[orderID]],orders[orderID],orders[orderDate],,0)</f>
        <v>42030</v>
      </c>
      <c r="C1588">
        <f>_xlfn.XLOOKUP(A1588,order_details[orderID],order_details[productID],,0)</f>
        <v>2</v>
      </c>
      <c r="D1588" t="str">
        <f>_xlfn.XLOOKUP(C1588,products[productID],products[productName],,0)</f>
        <v>Chang</v>
      </c>
      <c r="E1588" t="str">
        <f>_xlfn.XLOOKUP(_xlfn.XLOOKUP(Table9[[#This Row],[ProductName ]],products[productName],products[categoryID],,0),categories[categoryID],categories[categoryName],,0)</f>
        <v>Beverages</v>
      </c>
      <c r="F1588">
        <v>15</v>
      </c>
      <c r="G1588">
        <v>19</v>
      </c>
      <c r="H1588">
        <v>0</v>
      </c>
      <c r="I1588">
        <f>Table9[[#This Row],[quantity]]*Table9[[#This Row],[unitPrice]]*(1-Table9[[#This Row],[discount]]/100)</f>
        <v>285</v>
      </c>
      <c r="J1588" t="str">
        <f>_xlfn.XLOOKUP(_xlfn.XLOOKUP(A1588,orders[orderID],orders[customerID],,0),customers__2[customerID],customers__2[companyName],,0)</f>
        <v>Rattlesnake Canyon Grocery</v>
      </c>
      <c r="K1588" t="str">
        <f>_xlfn.XLOOKUP(Table9[[#This Row],[Company Name]],customers__2[companyName],customers__2[country],,0)</f>
        <v>USA</v>
      </c>
      <c r="L1588">
        <f>MONTH(Table9[[#This Row],[OrderDate ]])</f>
        <v>1</v>
      </c>
      <c r="M1588" t="str">
        <f>TEXT(Table9[[#This Row],[OrderDate ]],"mmm")</f>
        <v>Jan</v>
      </c>
      <c r="N1588">
        <f>YEAR(Table9[[#This Row],[OrderDate ]])</f>
        <v>2015</v>
      </c>
    </row>
    <row r="1589" spans="1:14" x14ac:dyDescent="0.3">
      <c r="A1589">
        <v>10852</v>
      </c>
      <c r="B1589" s="2">
        <f>_xlfn.XLOOKUP(Table9[[#This Row],[orderID]],orders[orderID],orders[orderDate],,0)</f>
        <v>42030</v>
      </c>
      <c r="C1589">
        <f>_xlfn.XLOOKUP(A1589,order_details[orderID],order_details[productID],,0)</f>
        <v>2</v>
      </c>
      <c r="D1589" t="str">
        <f>_xlfn.XLOOKUP(C1589,products[productID],products[productName],,0)</f>
        <v>Chang</v>
      </c>
      <c r="E1589" t="str">
        <f>_xlfn.XLOOKUP(_xlfn.XLOOKUP(Table9[[#This Row],[ProductName ]],products[productName],products[categoryID],,0),categories[categoryID],categories[categoryName],,0)</f>
        <v>Beverages</v>
      </c>
      <c r="F1589">
        <v>6</v>
      </c>
      <c r="G1589">
        <v>39</v>
      </c>
      <c r="H1589">
        <v>0</v>
      </c>
      <c r="I1589">
        <f>Table9[[#This Row],[quantity]]*Table9[[#This Row],[unitPrice]]*(1-Table9[[#This Row],[discount]]/100)</f>
        <v>234</v>
      </c>
      <c r="J1589" t="str">
        <f>_xlfn.XLOOKUP(_xlfn.XLOOKUP(A1589,orders[orderID],orders[customerID],,0),customers__2[customerID],customers__2[companyName],,0)</f>
        <v>Rattlesnake Canyon Grocery</v>
      </c>
      <c r="K1589" t="str">
        <f>_xlfn.XLOOKUP(Table9[[#This Row],[Company Name]],customers__2[companyName],customers__2[country],,0)</f>
        <v>USA</v>
      </c>
      <c r="L1589">
        <f>MONTH(Table9[[#This Row],[OrderDate ]])</f>
        <v>1</v>
      </c>
      <c r="M1589" t="str">
        <f>TEXT(Table9[[#This Row],[OrderDate ]],"mmm")</f>
        <v>Jan</v>
      </c>
      <c r="N1589">
        <f>YEAR(Table9[[#This Row],[OrderDate ]])</f>
        <v>2015</v>
      </c>
    </row>
    <row r="1590" spans="1:14" x14ac:dyDescent="0.3">
      <c r="A1590">
        <v>10852</v>
      </c>
      <c r="B1590" s="2">
        <f>_xlfn.XLOOKUP(Table9[[#This Row],[orderID]],orders[orderID],orders[orderDate],,0)</f>
        <v>42030</v>
      </c>
      <c r="C1590">
        <f>_xlfn.XLOOKUP(A1590,order_details[orderID],order_details[productID],,0)</f>
        <v>2</v>
      </c>
      <c r="D1590" t="str">
        <f>_xlfn.XLOOKUP(C1590,products[productID],products[productName],,0)</f>
        <v>Chang</v>
      </c>
      <c r="E1590" t="str">
        <f>_xlfn.XLOOKUP(_xlfn.XLOOKUP(Table9[[#This Row],[ProductName ]],products[productName],products[categoryID],,0),categories[categoryID],categories[categoryName],,0)</f>
        <v>Beverages</v>
      </c>
      <c r="F1590">
        <v>50</v>
      </c>
      <c r="G1590">
        <v>493</v>
      </c>
      <c r="H1590">
        <v>0</v>
      </c>
      <c r="I1590">
        <f>Table9[[#This Row],[quantity]]*Table9[[#This Row],[unitPrice]]*(1-Table9[[#This Row],[discount]]/100)</f>
        <v>24650</v>
      </c>
      <c r="J1590" t="str">
        <f>_xlfn.XLOOKUP(_xlfn.XLOOKUP(A1590,orders[orderID],orders[customerID],,0),customers__2[customerID],customers__2[companyName],,0)</f>
        <v>Rattlesnake Canyon Grocery</v>
      </c>
      <c r="K1590" t="str">
        <f>_xlfn.XLOOKUP(Table9[[#This Row],[Company Name]],customers__2[companyName],customers__2[country],,0)</f>
        <v>USA</v>
      </c>
      <c r="L1590">
        <f>MONTH(Table9[[#This Row],[OrderDate ]])</f>
        <v>1</v>
      </c>
      <c r="M1590" t="str">
        <f>TEXT(Table9[[#This Row],[OrderDate ]],"mmm")</f>
        <v>Jan</v>
      </c>
      <c r="N1590">
        <f>YEAR(Table9[[#This Row],[OrderDate ]])</f>
        <v>2015</v>
      </c>
    </row>
    <row r="1591" spans="1:14" x14ac:dyDescent="0.3">
      <c r="A1591">
        <v>10853</v>
      </c>
      <c r="B1591" s="2">
        <f>_xlfn.XLOOKUP(Table9[[#This Row],[orderID]],orders[orderID],orders[orderDate],,0)</f>
        <v>42031</v>
      </c>
      <c r="C1591">
        <f>_xlfn.XLOOKUP(A1591,order_details[orderID],order_details[productID],,0)</f>
        <v>18</v>
      </c>
      <c r="D1591" t="str">
        <f>_xlfn.XLOOKUP(C1591,products[productID],products[productName],,0)</f>
        <v>Carnarvon Tigers</v>
      </c>
      <c r="E1591" t="str">
        <f>_xlfn.XLOOKUP(_xlfn.XLOOKUP(Table9[[#This Row],[ProductName ]],products[productName],products[categoryID],,0),categories[categoryID],categories[categoryName],,0)</f>
        <v>Seafood</v>
      </c>
      <c r="F1591">
        <v>10</v>
      </c>
      <c r="G1591">
        <v>625</v>
      </c>
      <c r="H1591">
        <v>0</v>
      </c>
      <c r="I1591">
        <f>Table9[[#This Row],[quantity]]*Table9[[#This Row],[unitPrice]]*(1-Table9[[#This Row],[discount]]/100)</f>
        <v>6250</v>
      </c>
      <c r="J1591" t="str">
        <f>_xlfn.XLOOKUP(_xlfn.XLOOKUP(A1591,orders[orderID],orders[customerID],,0),customers__2[customerID],customers__2[companyName],,0)</f>
        <v>Blauer See Delikatessen</v>
      </c>
      <c r="K1591" t="str">
        <f>_xlfn.XLOOKUP(Table9[[#This Row],[Company Name]],customers__2[companyName],customers__2[country],,0)</f>
        <v>Germany</v>
      </c>
      <c r="L1591">
        <f>MONTH(Table9[[#This Row],[OrderDate ]])</f>
        <v>1</v>
      </c>
      <c r="M1591" t="str">
        <f>TEXT(Table9[[#This Row],[OrderDate ]],"mmm")</f>
        <v>Jan</v>
      </c>
      <c r="N1591">
        <f>YEAR(Table9[[#This Row],[OrderDate ]])</f>
        <v>2015</v>
      </c>
    </row>
    <row r="1592" spans="1:14" x14ac:dyDescent="0.3">
      <c r="A1592">
        <v>10854</v>
      </c>
      <c r="B1592" s="2">
        <f>_xlfn.XLOOKUP(Table9[[#This Row],[orderID]],orders[orderID],orders[orderDate],,0)</f>
        <v>42031</v>
      </c>
      <c r="C1592">
        <f>_xlfn.XLOOKUP(A1592,order_details[orderID],order_details[productID],,0)</f>
        <v>10</v>
      </c>
      <c r="D1592" t="str">
        <f>_xlfn.XLOOKUP(C1592,products[productID],products[productName],,0)</f>
        <v>Ikura</v>
      </c>
      <c r="E1592" t="str">
        <f>_xlfn.XLOOKUP(_xlfn.XLOOKUP(Table9[[#This Row],[ProductName ]],products[productName],products[categoryID],,0),categories[categoryID],categories[categoryName],,0)</f>
        <v>Seafood</v>
      </c>
      <c r="F1592">
        <v>100</v>
      </c>
      <c r="G1592">
        <v>31</v>
      </c>
      <c r="H1592">
        <v>15</v>
      </c>
      <c r="I1592">
        <f>Table9[[#This Row],[quantity]]*Table9[[#This Row],[unitPrice]]*(1-Table9[[#This Row],[discount]]/100)</f>
        <v>2635</v>
      </c>
      <c r="J1592" t="str">
        <f>_xlfn.XLOOKUP(_xlfn.XLOOKUP(A1592,orders[orderID],orders[customerID],,0),customers__2[customerID],customers__2[companyName],,0)</f>
        <v>Ernst Handel</v>
      </c>
      <c r="K1592" t="str">
        <f>_xlfn.XLOOKUP(Table9[[#This Row],[Company Name]],customers__2[companyName],customers__2[country],,0)</f>
        <v>Austria</v>
      </c>
      <c r="L1592">
        <f>MONTH(Table9[[#This Row],[OrderDate ]])</f>
        <v>1</v>
      </c>
      <c r="M1592" t="str">
        <f>TEXT(Table9[[#This Row],[OrderDate ]],"mmm")</f>
        <v>Jan</v>
      </c>
      <c r="N1592">
        <f>YEAR(Table9[[#This Row],[OrderDate ]])</f>
        <v>2015</v>
      </c>
    </row>
    <row r="1593" spans="1:14" x14ac:dyDescent="0.3">
      <c r="A1593">
        <v>10854</v>
      </c>
      <c r="B1593" s="2">
        <f>_xlfn.XLOOKUP(Table9[[#This Row],[orderID]],orders[orderID],orders[orderDate],,0)</f>
        <v>42031</v>
      </c>
      <c r="C1593">
        <f>_xlfn.XLOOKUP(A1593,order_details[orderID],order_details[productID],,0)</f>
        <v>10</v>
      </c>
      <c r="D1593" t="str">
        <f>_xlfn.XLOOKUP(C1593,products[productID],products[productName],,0)</f>
        <v>Ikura</v>
      </c>
      <c r="E1593" t="str">
        <f>_xlfn.XLOOKUP(_xlfn.XLOOKUP(Table9[[#This Row],[ProductName ]],products[productName],products[categoryID],,0),categories[categoryID],categories[categoryName],,0)</f>
        <v>Seafood</v>
      </c>
      <c r="F1593">
        <v>65</v>
      </c>
      <c r="G1593">
        <v>6</v>
      </c>
      <c r="H1593">
        <v>15</v>
      </c>
      <c r="I1593">
        <f>Table9[[#This Row],[quantity]]*Table9[[#This Row],[unitPrice]]*(1-Table9[[#This Row],[discount]]/100)</f>
        <v>331.5</v>
      </c>
      <c r="J1593" t="str">
        <f>_xlfn.XLOOKUP(_xlfn.XLOOKUP(A1593,orders[orderID],orders[customerID],,0),customers__2[customerID],customers__2[companyName],,0)</f>
        <v>Ernst Handel</v>
      </c>
      <c r="K1593" t="str">
        <f>_xlfn.XLOOKUP(Table9[[#This Row],[Company Name]],customers__2[companyName],customers__2[country],,0)</f>
        <v>Austria</v>
      </c>
      <c r="L1593">
        <f>MONTH(Table9[[#This Row],[OrderDate ]])</f>
        <v>1</v>
      </c>
      <c r="M1593" t="str">
        <f>TEXT(Table9[[#This Row],[OrderDate ]],"mmm")</f>
        <v>Jan</v>
      </c>
      <c r="N1593">
        <f>YEAR(Table9[[#This Row],[OrderDate ]])</f>
        <v>2015</v>
      </c>
    </row>
    <row r="1594" spans="1:14" x14ac:dyDescent="0.3">
      <c r="A1594">
        <v>10855</v>
      </c>
      <c r="B1594" s="2">
        <f>_xlfn.XLOOKUP(Table9[[#This Row],[orderID]],orders[orderID],orders[orderDate],,0)</f>
        <v>42031</v>
      </c>
      <c r="C1594">
        <f>_xlfn.XLOOKUP(A1594,order_details[orderID],order_details[productID],,0)</f>
        <v>16</v>
      </c>
      <c r="D1594" t="str">
        <f>_xlfn.XLOOKUP(C1594,products[productID],products[productName],,0)</f>
        <v>Pavlova</v>
      </c>
      <c r="E1594" t="str">
        <f>_xlfn.XLOOKUP(_xlfn.XLOOKUP(Table9[[#This Row],[ProductName ]],products[productName],products[categoryID],,0),categories[categoryID],categories[categoryName],,0)</f>
        <v>Confections</v>
      </c>
      <c r="F1594">
        <v>50</v>
      </c>
      <c r="G1594">
        <v>1745</v>
      </c>
      <c r="H1594">
        <v>0</v>
      </c>
      <c r="I1594">
        <f>Table9[[#This Row],[quantity]]*Table9[[#This Row],[unitPrice]]*(1-Table9[[#This Row],[discount]]/100)</f>
        <v>87250</v>
      </c>
      <c r="J1594" t="str">
        <f>_xlfn.XLOOKUP(_xlfn.XLOOKUP(A1594,orders[orderID],orders[customerID],,0),customers__2[customerID],customers__2[companyName],,0)</f>
        <v>Old World Delicatessen</v>
      </c>
      <c r="K1594" t="str">
        <f>_xlfn.XLOOKUP(Table9[[#This Row],[Company Name]],customers__2[companyName],customers__2[country],,0)</f>
        <v>USA</v>
      </c>
      <c r="L1594">
        <f>MONTH(Table9[[#This Row],[OrderDate ]])</f>
        <v>1</v>
      </c>
      <c r="M1594" t="str">
        <f>TEXT(Table9[[#This Row],[OrderDate ]],"mmm")</f>
        <v>Jan</v>
      </c>
      <c r="N1594">
        <f>YEAR(Table9[[#This Row],[OrderDate ]])</f>
        <v>2015</v>
      </c>
    </row>
    <row r="1595" spans="1:14" x14ac:dyDescent="0.3">
      <c r="A1595">
        <v>10855</v>
      </c>
      <c r="B1595" s="2">
        <f>_xlfn.XLOOKUP(Table9[[#This Row],[orderID]],orders[orderID],orders[orderDate],,0)</f>
        <v>42031</v>
      </c>
      <c r="C1595">
        <f>_xlfn.XLOOKUP(A1595,order_details[orderID],order_details[productID],,0)</f>
        <v>16</v>
      </c>
      <c r="D1595" t="str">
        <f>_xlfn.XLOOKUP(C1595,products[productID],products[productName],,0)</f>
        <v>Pavlova</v>
      </c>
      <c r="E1595" t="str">
        <f>_xlfn.XLOOKUP(_xlfn.XLOOKUP(Table9[[#This Row],[ProductName ]],products[productName],products[categoryID],,0),categories[categoryID],categories[categoryName],,0)</f>
        <v>Confections</v>
      </c>
      <c r="F1595">
        <v>14</v>
      </c>
      <c r="G1595">
        <v>125</v>
      </c>
      <c r="H1595">
        <v>0</v>
      </c>
      <c r="I1595">
        <f>Table9[[#This Row],[quantity]]*Table9[[#This Row],[unitPrice]]*(1-Table9[[#This Row],[discount]]/100)</f>
        <v>1750</v>
      </c>
      <c r="J1595" t="str">
        <f>_xlfn.XLOOKUP(_xlfn.XLOOKUP(A1595,orders[orderID],orders[customerID],,0),customers__2[customerID],customers__2[companyName],,0)</f>
        <v>Old World Delicatessen</v>
      </c>
      <c r="K1595" t="str">
        <f>_xlfn.XLOOKUP(Table9[[#This Row],[Company Name]],customers__2[companyName],customers__2[country],,0)</f>
        <v>USA</v>
      </c>
      <c r="L1595">
        <f>MONTH(Table9[[#This Row],[OrderDate ]])</f>
        <v>1</v>
      </c>
      <c r="M1595" t="str">
        <f>TEXT(Table9[[#This Row],[OrderDate ]],"mmm")</f>
        <v>Jan</v>
      </c>
      <c r="N1595">
        <f>YEAR(Table9[[#This Row],[OrderDate ]])</f>
        <v>2015</v>
      </c>
    </row>
    <row r="1596" spans="1:14" x14ac:dyDescent="0.3">
      <c r="A1596">
        <v>10855</v>
      </c>
      <c r="B1596" s="2">
        <f>_xlfn.XLOOKUP(Table9[[#This Row],[orderID]],orders[orderID],orders[orderDate],,0)</f>
        <v>42031</v>
      </c>
      <c r="C1596">
        <f>_xlfn.XLOOKUP(A1596,order_details[orderID],order_details[productID],,0)</f>
        <v>16</v>
      </c>
      <c r="D1596" t="str">
        <f>_xlfn.XLOOKUP(C1596,products[productID],products[productName],,0)</f>
        <v>Pavlova</v>
      </c>
      <c r="E1596" t="str">
        <f>_xlfn.XLOOKUP(_xlfn.XLOOKUP(Table9[[#This Row],[ProductName ]],products[productName],products[categoryID],,0),categories[categoryID],categories[categoryName],,0)</f>
        <v>Confections</v>
      </c>
      <c r="F1596">
        <v>24</v>
      </c>
      <c r="G1596">
        <v>38</v>
      </c>
      <c r="H1596">
        <v>0</v>
      </c>
      <c r="I1596">
        <f>Table9[[#This Row],[quantity]]*Table9[[#This Row],[unitPrice]]*(1-Table9[[#This Row],[discount]]/100)</f>
        <v>912</v>
      </c>
      <c r="J1596" t="str">
        <f>_xlfn.XLOOKUP(_xlfn.XLOOKUP(A1596,orders[orderID],orders[customerID],,0),customers__2[customerID],customers__2[companyName],,0)</f>
        <v>Old World Delicatessen</v>
      </c>
      <c r="K1596" t="str">
        <f>_xlfn.XLOOKUP(Table9[[#This Row],[Company Name]],customers__2[companyName],customers__2[country],,0)</f>
        <v>USA</v>
      </c>
      <c r="L1596">
        <f>MONTH(Table9[[#This Row],[OrderDate ]])</f>
        <v>1</v>
      </c>
      <c r="M1596" t="str">
        <f>TEXT(Table9[[#This Row],[OrderDate ]],"mmm")</f>
        <v>Jan</v>
      </c>
      <c r="N1596">
        <f>YEAR(Table9[[#This Row],[OrderDate ]])</f>
        <v>2015</v>
      </c>
    </row>
    <row r="1597" spans="1:14" x14ac:dyDescent="0.3">
      <c r="A1597">
        <v>10855</v>
      </c>
      <c r="B1597" s="2">
        <f>_xlfn.XLOOKUP(Table9[[#This Row],[orderID]],orders[orderID],orders[orderDate],,0)</f>
        <v>42031</v>
      </c>
      <c r="C1597">
        <f>_xlfn.XLOOKUP(A1597,order_details[orderID],order_details[productID],,0)</f>
        <v>16</v>
      </c>
      <c r="D1597" t="str">
        <f>_xlfn.XLOOKUP(C1597,products[productID],products[productName],,0)</f>
        <v>Pavlova</v>
      </c>
      <c r="E1597" t="str">
        <f>_xlfn.XLOOKUP(_xlfn.XLOOKUP(Table9[[#This Row],[ProductName ]],products[productName],products[categoryID],,0),categories[categoryID],categories[categoryName],,0)</f>
        <v>Confections</v>
      </c>
      <c r="F1597">
        <v>15</v>
      </c>
      <c r="G1597">
        <v>2105</v>
      </c>
      <c r="H1597">
        <v>15</v>
      </c>
      <c r="I1597">
        <f>Table9[[#This Row],[quantity]]*Table9[[#This Row],[unitPrice]]*(1-Table9[[#This Row],[discount]]/100)</f>
        <v>26838.75</v>
      </c>
      <c r="J1597" t="str">
        <f>_xlfn.XLOOKUP(_xlfn.XLOOKUP(A1597,orders[orderID],orders[customerID],,0),customers__2[customerID],customers__2[companyName],,0)</f>
        <v>Old World Delicatessen</v>
      </c>
      <c r="K1597" t="str">
        <f>_xlfn.XLOOKUP(Table9[[#This Row],[Company Name]],customers__2[companyName],customers__2[country],,0)</f>
        <v>USA</v>
      </c>
      <c r="L1597">
        <f>MONTH(Table9[[#This Row],[OrderDate ]])</f>
        <v>1</v>
      </c>
      <c r="M1597" t="str">
        <f>TEXT(Table9[[#This Row],[OrderDate ]],"mmm")</f>
        <v>Jan</v>
      </c>
      <c r="N1597">
        <f>YEAR(Table9[[#This Row],[OrderDate ]])</f>
        <v>2015</v>
      </c>
    </row>
    <row r="1598" spans="1:14" x14ac:dyDescent="0.3">
      <c r="A1598">
        <v>10856</v>
      </c>
      <c r="B1598" s="2">
        <f>_xlfn.XLOOKUP(Table9[[#This Row],[orderID]],orders[orderID],orders[orderDate],,0)</f>
        <v>42032</v>
      </c>
      <c r="C1598">
        <f>_xlfn.XLOOKUP(A1598,order_details[orderID],order_details[productID],,0)</f>
        <v>2</v>
      </c>
      <c r="D1598" t="str">
        <f>_xlfn.XLOOKUP(C1598,products[productID],products[productName],,0)</f>
        <v>Chang</v>
      </c>
      <c r="E1598" t="str">
        <f>_xlfn.XLOOKUP(_xlfn.XLOOKUP(Table9[[#This Row],[ProductName ]],products[productName],products[categoryID],,0),categories[categoryID],categories[categoryName],,0)</f>
        <v>Beverages</v>
      </c>
      <c r="F1598">
        <v>20</v>
      </c>
      <c r="G1598">
        <v>19</v>
      </c>
      <c r="H1598">
        <v>0</v>
      </c>
      <c r="I1598">
        <f>Table9[[#This Row],[quantity]]*Table9[[#This Row],[unitPrice]]*(1-Table9[[#This Row],[discount]]/100)</f>
        <v>380</v>
      </c>
      <c r="J1598" t="str">
        <f>_xlfn.XLOOKUP(_xlfn.XLOOKUP(A1598,orders[orderID],orders[customerID],,0),customers__2[customerID],customers__2[companyName],,0)</f>
        <v>Antonio Moreno Taquería</v>
      </c>
      <c r="K1598" t="str">
        <f>_xlfn.XLOOKUP(Table9[[#This Row],[Company Name]],customers__2[companyName],customers__2[country],,0)</f>
        <v>Mexico</v>
      </c>
      <c r="L1598">
        <f>MONTH(Table9[[#This Row],[OrderDate ]])</f>
        <v>1</v>
      </c>
      <c r="M1598" t="str">
        <f>TEXT(Table9[[#This Row],[OrderDate ]],"mmm")</f>
        <v>Jan</v>
      </c>
      <c r="N1598">
        <f>YEAR(Table9[[#This Row],[OrderDate ]])</f>
        <v>2015</v>
      </c>
    </row>
    <row r="1599" spans="1:14" x14ac:dyDescent="0.3">
      <c r="A1599">
        <v>10856</v>
      </c>
      <c r="B1599" s="2">
        <f>_xlfn.XLOOKUP(Table9[[#This Row],[orderID]],orders[orderID],orders[orderDate],,0)</f>
        <v>42032</v>
      </c>
      <c r="C1599">
        <f>_xlfn.XLOOKUP(A1599,order_details[orderID],order_details[productID],,0)</f>
        <v>2</v>
      </c>
      <c r="D1599" t="str">
        <f>_xlfn.XLOOKUP(C1599,products[productID],products[productName],,0)</f>
        <v>Chang</v>
      </c>
      <c r="E1599" t="str">
        <f>_xlfn.XLOOKUP(_xlfn.XLOOKUP(Table9[[#This Row],[ProductName ]],products[productName],products[categoryID],,0),categories[categoryID],categories[categoryName],,0)</f>
        <v>Beverages</v>
      </c>
      <c r="F1599">
        <v>20</v>
      </c>
      <c r="G1599">
        <v>14</v>
      </c>
      <c r="H1599">
        <v>0</v>
      </c>
      <c r="I1599">
        <f>Table9[[#This Row],[quantity]]*Table9[[#This Row],[unitPrice]]*(1-Table9[[#This Row],[discount]]/100)</f>
        <v>280</v>
      </c>
      <c r="J1599" t="str">
        <f>_xlfn.XLOOKUP(_xlfn.XLOOKUP(A1599,orders[orderID],orders[customerID],,0),customers__2[customerID],customers__2[companyName],,0)</f>
        <v>Antonio Moreno Taquería</v>
      </c>
      <c r="K1599" t="str">
        <f>_xlfn.XLOOKUP(Table9[[#This Row],[Company Name]],customers__2[companyName],customers__2[country],,0)</f>
        <v>Mexico</v>
      </c>
      <c r="L1599">
        <f>MONTH(Table9[[#This Row],[OrderDate ]])</f>
        <v>1</v>
      </c>
      <c r="M1599" t="str">
        <f>TEXT(Table9[[#This Row],[OrderDate ]],"mmm")</f>
        <v>Jan</v>
      </c>
      <c r="N1599">
        <f>YEAR(Table9[[#This Row],[OrderDate ]])</f>
        <v>2015</v>
      </c>
    </row>
    <row r="1600" spans="1:14" x14ac:dyDescent="0.3">
      <c r="A1600">
        <v>10857</v>
      </c>
      <c r="B1600" s="2">
        <f>_xlfn.XLOOKUP(Table9[[#This Row],[orderID]],orders[orderID],orders[orderDate],,0)</f>
        <v>42032</v>
      </c>
      <c r="C1600">
        <f>_xlfn.XLOOKUP(A1600,order_details[orderID],order_details[productID],,0)</f>
        <v>3</v>
      </c>
      <c r="D1600" t="str">
        <f>_xlfn.XLOOKUP(C1600,products[productID],products[productName],,0)</f>
        <v>Aniseed Syrup</v>
      </c>
      <c r="E1600" t="str">
        <f>_xlfn.XLOOKUP(_xlfn.XLOOKUP(Table9[[#This Row],[ProductName ]],products[productName],products[categoryID],,0),categories[categoryID],categories[categoryName],,0)</f>
        <v>Condiments</v>
      </c>
      <c r="F1600">
        <v>30</v>
      </c>
      <c r="G1600">
        <v>10</v>
      </c>
      <c r="H1600">
        <v>0</v>
      </c>
      <c r="I1600">
        <f>Table9[[#This Row],[quantity]]*Table9[[#This Row],[unitPrice]]*(1-Table9[[#This Row],[discount]]/100)</f>
        <v>300</v>
      </c>
      <c r="J1600" t="str">
        <f>_xlfn.XLOOKUP(_xlfn.XLOOKUP(A1600,orders[orderID],orders[customerID],,0),customers__2[customerID],customers__2[companyName],,0)</f>
        <v>Berglunds snabbköp</v>
      </c>
      <c r="K1600" t="str">
        <f>_xlfn.XLOOKUP(Table9[[#This Row],[Company Name]],customers__2[companyName],customers__2[country],,0)</f>
        <v>Sweden</v>
      </c>
      <c r="L1600">
        <f>MONTH(Table9[[#This Row],[OrderDate ]])</f>
        <v>1</v>
      </c>
      <c r="M1600" t="str">
        <f>TEXT(Table9[[#This Row],[OrderDate ]],"mmm")</f>
        <v>Jan</v>
      </c>
      <c r="N1600">
        <f>YEAR(Table9[[#This Row],[OrderDate ]])</f>
        <v>2015</v>
      </c>
    </row>
    <row r="1601" spans="1:14" x14ac:dyDescent="0.3">
      <c r="A1601">
        <v>10857</v>
      </c>
      <c r="B1601" s="2">
        <f>_xlfn.XLOOKUP(Table9[[#This Row],[orderID]],orders[orderID],orders[orderDate],,0)</f>
        <v>42032</v>
      </c>
      <c r="C1601">
        <f>_xlfn.XLOOKUP(A1601,order_details[orderID],order_details[productID],,0)</f>
        <v>3</v>
      </c>
      <c r="D1601" t="str">
        <f>_xlfn.XLOOKUP(C1601,products[productID],products[productName],,0)</f>
        <v>Aniseed Syrup</v>
      </c>
      <c r="E1601" t="str">
        <f>_xlfn.XLOOKUP(_xlfn.XLOOKUP(Table9[[#This Row],[ProductName ]],products[productName],products[categoryID],,0),categories[categoryID],categories[categoryName],,0)</f>
        <v>Condiments</v>
      </c>
      <c r="F1601">
        <v>35</v>
      </c>
      <c r="G1601">
        <v>3123</v>
      </c>
      <c r="H1601">
        <v>25</v>
      </c>
      <c r="I1601">
        <f>Table9[[#This Row],[quantity]]*Table9[[#This Row],[unitPrice]]*(1-Table9[[#This Row],[discount]]/100)</f>
        <v>81978.75</v>
      </c>
      <c r="J1601" t="str">
        <f>_xlfn.XLOOKUP(_xlfn.XLOOKUP(A1601,orders[orderID],orders[customerID],,0),customers__2[customerID],customers__2[companyName],,0)</f>
        <v>Berglunds snabbköp</v>
      </c>
      <c r="K1601" t="str">
        <f>_xlfn.XLOOKUP(Table9[[#This Row],[Company Name]],customers__2[companyName],customers__2[country],,0)</f>
        <v>Sweden</v>
      </c>
      <c r="L1601">
        <f>MONTH(Table9[[#This Row],[OrderDate ]])</f>
        <v>1</v>
      </c>
      <c r="M1601" t="str">
        <f>TEXT(Table9[[#This Row],[OrderDate ]],"mmm")</f>
        <v>Jan</v>
      </c>
      <c r="N1601">
        <f>YEAR(Table9[[#This Row],[OrderDate ]])</f>
        <v>2015</v>
      </c>
    </row>
    <row r="1602" spans="1:14" x14ac:dyDescent="0.3">
      <c r="A1602">
        <v>10857</v>
      </c>
      <c r="B1602" s="2">
        <f>_xlfn.XLOOKUP(Table9[[#This Row],[orderID]],orders[orderID],orders[orderDate],,0)</f>
        <v>42032</v>
      </c>
      <c r="C1602">
        <f>_xlfn.XLOOKUP(A1602,order_details[orderID],order_details[productID],,0)</f>
        <v>3</v>
      </c>
      <c r="D1602" t="str">
        <f>_xlfn.XLOOKUP(C1602,products[productID],products[productName],,0)</f>
        <v>Aniseed Syrup</v>
      </c>
      <c r="E1602" t="str">
        <f>_xlfn.XLOOKUP(_xlfn.XLOOKUP(Table9[[#This Row],[ProductName ]],products[productName],products[categoryID],,0),categories[categoryID],categories[categoryName],,0)</f>
        <v>Condiments</v>
      </c>
      <c r="F1602">
        <v>10</v>
      </c>
      <c r="G1602">
        <v>12379</v>
      </c>
      <c r="H1602">
        <v>25</v>
      </c>
      <c r="I1602">
        <f>Table9[[#This Row],[quantity]]*Table9[[#This Row],[unitPrice]]*(1-Table9[[#This Row],[discount]]/100)</f>
        <v>92842.5</v>
      </c>
      <c r="J1602" t="str">
        <f>_xlfn.XLOOKUP(_xlfn.XLOOKUP(A1602,orders[orderID],orders[customerID],,0),customers__2[customerID],customers__2[companyName],,0)</f>
        <v>Berglunds snabbköp</v>
      </c>
      <c r="K1602" t="str">
        <f>_xlfn.XLOOKUP(Table9[[#This Row],[Company Name]],customers__2[companyName],customers__2[country],,0)</f>
        <v>Sweden</v>
      </c>
      <c r="L1602">
        <f>MONTH(Table9[[#This Row],[OrderDate ]])</f>
        <v>1</v>
      </c>
      <c r="M1602" t="str">
        <f>TEXT(Table9[[#This Row],[OrderDate ]],"mmm")</f>
        <v>Jan</v>
      </c>
      <c r="N1602">
        <f>YEAR(Table9[[#This Row],[OrderDate ]])</f>
        <v>2015</v>
      </c>
    </row>
    <row r="1603" spans="1:14" x14ac:dyDescent="0.3">
      <c r="A1603">
        <v>10858</v>
      </c>
      <c r="B1603" s="2">
        <f>_xlfn.XLOOKUP(Table9[[#This Row],[orderID]],orders[orderID],orders[orderDate],,0)</f>
        <v>42033</v>
      </c>
      <c r="C1603">
        <f>_xlfn.XLOOKUP(A1603,order_details[orderID],order_details[productID],,0)</f>
        <v>7</v>
      </c>
      <c r="D1603" t="str">
        <f>_xlfn.XLOOKUP(C1603,products[productID],products[productName],,0)</f>
        <v>Uncle Bob's Organic Dried Pears</v>
      </c>
      <c r="E1603" t="str">
        <f>_xlfn.XLOOKUP(_xlfn.XLOOKUP(Table9[[#This Row],[ProductName ]],products[productName],products[categoryID],,0),categories[categoryID],categories[categoryName],,0)</f>
        <v>Produce</v>
      </c>
      <c r="F1603">
        <v>5</v>
      </c>
      <c r="G1603">
        <v>30</v>
      </c>
      <c r="H1603">
        <v>0</v>
      </c>
      <c r="I1603">
        <f>Table9[[#This Row],[quantity]]*Table9[[#This Row],[unitPrice]]*(1-Table9[[#This Row],[discount]]/100)</f>
        <v>150</v>
      </c>
      <c r="J1603" t="str">
        <f>_xlfn.XLOOKUP(_xlfn.XLOOKUP(A1603,orders[orderID],orders[customerID],,0),customers__2[customerID],customers__2[companyName],,0)</f>
        <v>La corne d'abondance</v>
      </c>
      <c r="K1603" t="str">
        <f>_xlfn.XLOOKUP(Table9[[#This Row],[Company Name]],customers__2[companyName],customers__2[country],,0)</f>
        <v>France</v>
      </c>
      <c r="L1603">
        <f>MONTH(Table9[[#This Row],[OrderDate ]])</f>
        <v>1</v>
      </c>
      <c r="M1603" t="str">
        <f>TEXT(Table9[[#This Row],[OrderDate ]],"mmm")</f>
        <v>Jan</v>
      </c>
      <c r="N1603">
        <f>YEAR(Table9[[#This Row],[OrderDate ]])</f>
        <v>2015</v>
      </c>
    </row>
    <row r="1604" spans="1:14" x14ac:dyDescent="0.3">
      <c r="A1604">
        <v>10858</v>
      </c>
      <c r="B1604" s="2">
        <f>_xlfn.XLOOKUP(Table9[[#This Row],[orderID]],orders[orderID],orders[orderDate],,0)</f>
        <v>42033</v>
      </c>
      <c r="C1604">
        <f>_xlfn.XLOOKUP(A1604,order_details[orderID],order_details[productID],,0)</f>
        <v>7</v>
      </c>
      <c r="D1604" t="str">
        <f>_xlfn.XLOOKUP(C1604,products[productID],products[productName],,0)</f>
        <v>Uncle Bob's Organic Dried Pears</v>
      </c>
      <c r="E1604" t="str">
        <f>_xlfn.XLOOKUP(_xlfn.XLOOKUP(Table9[[#This Row],[ProductName ]],products[productName],products[categoryID],,0),categories[categoryID],categories[categoryName],,0)</f>
        <v>Produce</v>
      </c>
      <c r="F1604">
        <v>10</v>
      </c>
      <c r="G1604">
        <v>439</v>
      </c>
      <c r="H1604">
        <v>0</v>
      </c>
      <c r="I1604">
        <f>Table9[[#This Row],[quantity]]*Table9[[#This Row],[unitPrice]]*(1-Table9[[#This Row],[discount]]/100)</f>
        <v>4390</v>
      </c>
      <c r="J1604" t="str">
        <f>_xlfn.XLOOKUP(_xlfn.XLOOKUP(A1604,orders[orderID],orders[customerID],,0),customers__2[customerID],customers__2[companyName],,0)</f>
        <v>La corne d'abondance</v>
      </c>
      <c r="K1604" t="str">
        <f>_xlfn.XLOOKUP(Table9[[#This Row],[Company Name]],customers__2[companyName],customers__2[country],,0)</f>
        <v>France</v>
      </c>
      <c r="L1604">
        <f>MONTH(Table9[[#This Row],[OrderDate ]])</f>
        <v>1</v>
      </c>
      <c r="M1604" t="str">
        <f>TEXT(Table9[[#This Row],[OrderDate ]],"mmm")</f>
        <v>Jan</v>
      </c>
      <c r="N1604">
        <f>YEAR(Table9[[#This Row],[OrderDate ]])</f>
        <v>2015</v>
      </c>
    </row>
    <row r="1605" spans="1:14" x14ac:dyDescent="0.3">
      <c r="A1605">
        <v>10858</v>
      </c>
      <c r="B1605" s="2">
        <f>_xlfn.XLOOKUP(Table9[[#This Row],[orderID]],orders[orderID],orders[orderDate],,0)</f>
        <v>42033</v>
      </c>
      <c r="C1605">
        <f>_xlfn.XLOOKUP(A1605,order_details[orderID],order_details[productID],,0)</f>
        <v>7</v>
      </c>
      <c r="D1605" t="str">
        <f>_xlfn.XLOOKUP(C1605,products[productID],products[productName],,0)</f>
        <v>Uncle Bob's Organic Dried Pears</v>
      </c>
      <c r="E1605" t="str">
        <f>_xlfn.XLOOKUP(_xlfn.XLOOKUP(Table9[[#This Row],[ProductName ]],products[productName],products[categoryID],,0),categories[categoryID],categories[categoryName],,0)</f>
        <v>Produce</v>
      </c>
      <c r="F1605">
        <v>4</v>
      </c>
      <c r="G1605">
        <v>15</v>
      </c>
      <c r="H1605">
        <v>0</v>
      </c>
      <c r="I1605">
        <f>Table9[[#This Row],[quantity]]*Table9[[#This Row],[unitPrice]]*(1-Table9[[#This Row],[discount]]/100)</f>
        <v>60</v>
      </c>
      <c r="J1605" t="str">
        <f>_xlfn.XLOOKUP(_xlfn.XLOOKUP(A1605,orders[orderID],orders[customerID],,0),customers__2[customerID],customers__2[companyName],,0)</f>
        <v>La corne d'abondance</v>
      </c>
      <c r="K1605" t="str">
        <f>_xlfn.XLOOKUP(Table9[[#This Row],[Company Name]],customers__2[companyName],customers__2[country],,0)</f>
        <v>France</v>
      </c>
      <c r="L1605">
        <f>MONTH(Table9[[#This Row],[OrderDate ]])</f>
        <v>1</v>
      </c>
      <c r="M1605" t="str">
        <f>TEXT(Table9[[#This Row],[OrderDate ]],"mmm")</f>
        <v>Jan</v>
      </c>
      <c r="N1605">
        <f>YEAR(Table9[[#This Row],[OrderDate ]])</f>
        <v>2015</v>
      </c>
    </row>
    <row r="1606" spans="1:14" x14ac:dyDescent="0.3">
      <c r="A1606">
        <v>10859</v>
      </c>
      <c r="B1606" s="2">
        <f>_xlfn.XLOOKUP(Table9[[#This Row],[orderID]],orders[orderID],orders[orderDate],,0)</f>
        <v>42033</v>
      </c>
      <c r="C1606">
        <f>_xlfn.XLOOKUP(A1606,order_details[orderID],order_details[productID],,0)</f>
        <v>24</v>
      </c>
      <c r="D1606" t="str">
        <f>_xlfn.XLOOKUP(C1606,products[productID],products[productName],,0)</f>
        <v>Guarana Fantastica</v>
      </c>
      <c r="E1606" t="str">
        <f>_xlfn.XLOOKUP(_xlfn.XLOOKUP(Table9[[#This Row],[ProductName ]],products[productName],products[categoryID],,0),categories[categoryID],categories[categoryName],,0)</f>
        <v>Beverages</v>
      </c>
      <c r="F1606">
        <v>40</v>
      </c>
      <c r="G1606">
        <v>45</v>
      </c>
      <c r="H1606">
        <v>25</v>
      </c>
      <c r="I1606">
        <f>Table9[[#This Row],[quantity]]*Table9[[#This Row],[unitPrice]]*(1-Table9[[#This Row],[discount]]/100)</f>
        <v>1350</v>
      </c>
      <c r="J1606" t="str">
        <f>_xlfn.XLOOKUP(_xlfn.XLOOKUP(A1606,orders[orderID],orders[customerID],,0),customers__2[customerID],customers__2[companyName],,0)</f>
        <v>Frankenversand</v>
      </c>
      <c r="K1606" t="str">
        <f>_xlfn.XLOOKUP(Table9[[#This Row],[Company Name]],customers__2[companyName],customers__2[country],,0)</f>
        <v>Germany</v>
      </c>
      <c r="L1606">
        <f>MONTH(Table9[[#This Row],[OrderDate ]])</f>
        <v>1</v>
      </c>
      <c r="M1606" t="str">
        <f>TEXT(Table9[[#This Row],[OrderDate ]],"mmm")</f>
        <v>Jan</v>
      </c>
      <c r="N1606">
        <f>YEAR(Table9[[#This Row],[OrderDate ]])</f>
        <v>2015</v>
      </c>
    </row>
    <row r="1607" spans="1:14" x14ac:dyDescent="0.3">
      <c r="A1607">
        <v>10859</v>
      </c>
      <c r="B1607" s="2">
        <f>_xlfn.XLOOKUP(Table9[[#This Row],[orderID]],orders[orderID],orders[orderDate],,0)</f>
        <v>42033</v>
      </c>
      <c r="C1607">
        <f>_xlfn.XLOOKUP(A1607,order_details[orderID],order_details[productID],,0)</f>
        <v>24</v>
      </c>
      <c r="D1607" t="str">
        <f>_xlfn.XLOOKUP(C1607,products[productID],products[productName],,0)</f>
        <v>Guarana Fantastica</v>
      </c>
      <c r="E1607" t="str">
        <f>_xlfn.XLOOKUP(_xlfn.XLOOKUP(Table9[[#This Row],[ProductName ]],products[productName],products[categoryID],,0),categories[categoryID],categories[categoryName],,0)</f>
        <v>Beverages</v>
      </c>
      <c r="F1607">
        <v>35</v>
      </c>
      <c r="G1607">
        <v>745</v>
      </c>
      <c r="H1607">
        <v>25</v>
      </c>
      <c r="I1607">
        <f>Table9[[#This Row],[quantity]]*Table9[[#This Row],[unitPrice]]*(1-Table9[[#This Row],[discount]]/100)</f>
        <v>19556.25</v>
      </c>
      <c r="J1607" t="str">
        <f>_xlfn.XLOOKUP(_xlfn.XLOOKUP(A1607,orders[orderID],orders[customerID],,0),customers__2[customerID],customers__2[companyName],,0)</f>
        <v>Frankenversand</v>
      </c>
      <c r="K1607" t="str">
        <f>_xlfn.XLOOKUP(Table9[[#This Row],[Company Name]],customers__2[companyName],customers__2[country],,0)</f>
        <v>Germany</v>
      </c>
      <c r="L1607">
        <f>MONTH(Table9[[#This Row],[OrderDate ]])</f>
        <v>1</v>
      </c>
      <c r="M1607" t="str">
        <f>TEXT(Table9[[#This Row],[OrderDate ]],"mmm")</f>
        <v>Jan</v>
      </c>
      <c r="N1607">
        <f>YEAR(Table9[[#This Row],[OrderDate ]])</f>
        <v>2015</v>
      </c>
    </row>
    <row r="1608" spans="1:14" x14ac:dyDescent="0.3">
      <c r="A1608">
        <v>10859</v>
      </c>
      <c r="B1608" s="2">
        <f>_xlfn.XLOOKUP(Table9[[#This Row],[orderID]],orders[orderID],orders[orderDate],,0)</f>
        <v>42033</v>
      </c>
      <c r="C1608">
        <f>_xlfn.XLOOKUP(A1608,order_details[orderID],order_details[productID],,0)</f>
        <v>24</v>
      </c>
      <c r="D1608" t="str">
        <f>_xlfn.XLOOKUP(C1608,products[productID],products[productName],,0)</f>
        <v>Guarana Fantastica</v>
      </c>
      <c r="E1608" t="str">
        <f>_xlfn.XLOOKUP(_xlfn.XLOOKUP(Table9[[#This Row],[ProductName ]],products[productName],products[categoryID],,0),categories[categoryID],categories[categoryName],,0)</f>
        <v>Beverages</v>
      </c>
      <c r="F1608">
        <v>30</v>
      </c>
      <c r="G1608">
        <v>3325</v>
      </c>
      <c r="H1608">
        <v>25</v>
      </c>
      <c r="I1608">
        <f>Table9[[#This Row],[quantity]]*Table9[[#This Row],[unitPrice]]*(1-Table9[[#This Row],[discount]]/100)</f>
        <v>74812.5</v>
      </c>
      <c r="J1608" t="str">
        <f>_xlfn.XLOOKUP(_xlfn.XLOOKUP(A1608,orders[orderID],orders[customerID],,0),customers__2[customerID],customers__2[companyName],,0)</f>
        <v>Frankenversand</v>
      </c>
      <c r="K1608" t="str">
        <f>_xlfn.XLOOKUP(Table9[[#This Row],[Company Name]],customers__2[companyName],customers__2[country],,0)</f>
        <v>Germany</v>
      </c>
      <c r="L1608">
        <f>MONTH(Table9[[#This Row],[OrderDate ]])</f>
        <v>1</v>
      </c>
      <c r="M1608" t="str">
        <f>TEXT(Table9[[#This Row],[OrderDate ]],"mmm")</f>
        <v>Jan</v>
      </c>
      <c r="N1608">
        <f>YEAR(Table9[[#This Row],[OrderDate ]])</f>
        <v>2015</v>
      </c>
    </row>
    <row r="1609" spans="1:14" x14ac:dyDescent="0.3">
      <c r="A1609">
        <v>10860</v>
      </c>
      <c r="B1609" s="2">
        <f>_xlfn.XLOOKUP(Table9[[#This Row],[orderID]],orders[orderID],orders[orderDate],,0)</f>
        <v>42033</v>
      </c>
      <c r="C1609">
        <f>_xlfn.XLOOKUP(A1609,order_details[orderID],order_details[productID],,0)</f>
        <v>51</v>
      </c>
      <c r="D1609" t="str">
        <f>_xlfn.XLOOKUP(C1609,products[productID],products[productName],,0)</f>
        <v>Manjimup Dried Apples</v>
      </c>
      <c r="E1609" t="str">
        <f>_xlfn.XLOOKUP(_xlfn.XLOOKUP(Table9[[#This Row],[ProductName ]],products[productName],products[categoryID],,0),categories[categoryID],categories[categoryName],,0)</f>
        <v>Produce</v>
      </c>
      <c r="F1609">
        <v>3</v>
      </c>
      <c r="G1609">
        <v>53</v>
      </c>
      <c r="H1609">
        <v>0</v>
      </c>
      <c r="I1609">
        <f>Table9[[#This Row],[quantity]]*Table9[[#This Row],[unitPrice]]*(1-Table9[[#This Row],[discount]]/100)</f>
        <v>159</v>
      </c>
      <c r="J1609" t="str">
        <f>_xlfn.XLOOKUP(_xlfn.XLOOKUP(A1609,orders[orderID],orders[customerID],,0),customers__2[customerID],customers__2[companyName],,0)</f>
        <v>France restauration</v>
      </c>
      <c r="K1609" t="str">
        <f>_xlfn.XLOOKUP(Table9[[#This Row],[Company Name]],customers__2[companyName],customers__2[country],,0)</f>
        <v>France</v>
      </c>
      <c r="L1609">
        <f>MONTH(Table9[[#This Row],[OrderDate ]])</f>
        <v>1</v>
      </c>
      <c r="M1609" t="str">
        <f>TEXT(Table9[[#This Row],[OrderDate ]],"mmm")</f>
        <v>Jan</v>
      </c>
      <c r="N1609">
        <f>YEAR(Table9[[#This Row],[OrderDate ]])</f>
        <v>2015</v>
      </c>
    </row>
    <row r="1610" spans="1:14" x14ac:dyDescent="0.3">
      <c r="A1610">
        <v>10860</v>
      </c>
      <c r="B1610" s="2">
        <f>_xlfn.XLOOKUP(Table9[[#This Row],[orderID]],orders[orderID],orders[orderDate],,0)</f>
        <v>42033</v>
      </c>
      <c r="C1610">
        <f>_xlfn.XLOOKUP(A1610,order_details[orderID],order_details[productID],,0)</f>
        <v>51</v>
      </c>
      <c r="D1610" t="str">
        <f>_xlfn.XLOOKUP(C1610,products[productID],products[productName],,0)</f>
        <v>Manjimup Dried Apples</v>
      </c>
      <c r="E1610" t="str">
        <f>_xlfn.XLOOKUP(_xlfn.XLOOKUP(Table9[[#This Row],[ProductName ]],products[productName],products[categoryID],,0),categories[categoryID],categories[categoryName],,0)</f>
        <v>Produce</v>
      </c>
      <c r="F1610">
        <v>20</v>
      </c>
      <c r="G1610">
        <v>18</v>
      </c>
      <c r="H1610">
        <v>0</v>
      </c>
      <c r="I1610">
        <f>Table9[[#This Row],[quantity]]*Table9[[#This Row],[unitPrice]]*(1-Table9[[#This Row],[discount]]/100)</f>
        <v>360</v>
      </c>
      <c r="J1610" t="str">
        <f>_xlfn.XLOOKUP(_xlfn.XLOOKUP(A1610,orders[orderID],orders[customerID],,0),customers__2[customerID],customers__2[companyName],,0)</f>
        <v>France restauration</v>
      </c>
      <c r="K1610" t="str">
        <f>_xlfn.XLOOKUP(Table9[[#This Row],[Company Name]],customers__2[companyName],customers__2[country],,0)</f>
        <v>France</v>
      </c>
      <c r="L1610">
        <f>MONTH(Table9[[#This Row],[OrderDate ]])</f>
        <v>1</v>
      </c>
      <c r="M1610" t="str">
        <f>TEXT(Table9[[#This Row],[OrderDate ]],"mmm")</f>
        <v>Jan</v>
      </c>
      <c r="N1610">
        <f>YEAR(Table9[[#This Row],[OrderDate ]])</f>
        <v>2015</v>
      </c>
    </row>
    <row r="1611" spans="1:14" x14ac:dyDescent="0.3">
      <c r="A1611">
        <v>10861</v>
      </c>
      <c r="B1611" s="2">
        <f>_xlfn.XLOOKUP(Table9[[#This Row],[orderID]],orders[orderID],orders[orderDate],,0)</f>
        <v>42034</v>
      </c>
      <c r="C1611">
        <f>_xlfn.XLOOKUP(A1611,order_details[orderID],order_details[productID],,0)</f>
        <v>17</v>
      </c>
      <c r="D1611" t="str">
        <f>_xlfn.XLOOKUP(C1611,products[productID],products[productName],,0)</f>
        <v>Alice Mutton</v>
      </c>
      <c r="E1611" t="str">
        <f>_xlfn.XLOOKUP(_xlfn.XLOOKUP(Table9[[#This Row],[ProductName ]],products[productName],products[categoryID],,0),categories[categoryID],categories[categoryName],,0)</f>
        <v>Meat &amp; Poultry</v>
      </c>
      <c r="F1611">
        <v>42</v>
      </c>
      <c r="G1611">
        <v>39</v>
      </c>
      <c r="H1611">
        <v>0</v>
      </c>
      <c r="I1611">
        <f>Table9[[#This Row],[quantity]]*Table9[[#This Row],[unitPrice]]*(1-Table9[[#This Row],[discount]]/100)</f>
        <v>1638</v>
      </c>
      <c r="J1611" t="str">
        <f>_xlfn.XLOOKUP(_xlfn.XLOOKUP(A1611,orders[orderID],orders[customerID],,0),customers__2[customerID],customers__2[companyName],,0)</f>
        <v>White Clover Markets</v>
      </c>
      <c r="K1611" t="str">
        <f>_xlfn.XLOOKUP(Table9[[#This Row],[Company Name]],customers__2[companyName],customers__2[country],,0)</f>
        <v>USA</v>
      </c>
      <c r="L1611">
        <f>MONTH(Table9[[#This Row],[OrderDate ]])</f>
        <v>1</v>
      </c>
      <c r="M1611" t="str">
        <f>TEXT(Table9[[#This Row],[OrderDate ]],"mmm")</f>
        <v>Jan</v>
      </c>
      <c r="N1611">
        <f>YEAR(Table9[[#This Row],[OrderDate ]])</f>
        <v>2015</v>
      </c>
    </row>
    <row r="1612" spans="1:14" x14ac:dyDescent="0.3">
      <c r="A1612">
        <v>10861</v>
      </c>
      <c r="B1612" s="2">
        <f>_xlfn.XLOOKUP(Table9[[#This Row],[orderID]],orders[orderID],orders[orderDate],,0)</f>
        <v>42034</v>
      </c>
      <c r="C1612">
        <f>_xlfn.XLOOKUP(A1612,order_details[orderID],order_details[productID],,0)</f>
        <v>17</v>
      </c>
      <c r="D1612" t="str">
        <f>_xlfn.XLOOKUP(C1612,products[productID],products[productName],,0)</f>
        <v>Alice Mutton</v>
      </c>
      <c r="E1612" t="str">
        <f>_xlfn.XLOOKUP(_xlfn.XLOOKUP(Table9[[#This Row],[ProductName ]],products[productName],products[categoryID],,0),categories[categoryID],categories[categoryName],,0)</f>
        <v>Meat &amp; Poultry</v>
      </c>
      <c r="F1612">
        <v>20</v>
      </c>
      <c r="G1612">
        <v>625</v>
      </c>
      <c r="H1612">
        <v>0</v>
      </c>
      <c r="I1612">
        <f>Table9[[#This Row],[quantity]]*Table9[[#This Row],[unitPrice]]*(1-Table9[[#This Row],[discount]]/100)</f>
        <v>12500</v>
      </c>
      <c r="J1612" t="str">
        <f>_xlfn.XLOOKUP(_xlfn.XLOOKUP(A1612,orders[orderID],orders[customerID],,0),customers__2[customerID],customers__2[companyName],,0)</f>
        <v>White Clover Markets</v>
      </c>
      <c r="K1612" t="str">
        <f>_xlfn.XLOOKUP(Table9[[#This Row],[Company Name]],customers__2[companyName],customers__2[country],,0)</f>
        <v>USA</v>
      </c>
      <c r="L1612">
        <f>MONTH(Table9[[#This Row],[OrderDate ]])</f>
        <v>1</v>
      </c>
      <c r="M1612" t="str">
        <f>TEXT(Table9[[#This Row],[OrderDate ]],"mmm")</f>
        <v>Jan</v>
      </c>
      <c r="N1612">
        <f>YEAR(Table9[[#This Row],[OrderDate ]])</f>
        <v>2015</v>
      </c>
    </row>
    <row r="1613" spans="1:14" x14ac:dyDescent="0.3">
      <c r="A1613">
        <v>10861</v>
      </c>
      <c r="B1613" s="2">
        <f>_xlfn.XLOOKUP(Table9[[#This Row],[orderID]],orders[orderID],orders[orderDate],,0)</f>
        <v>42034</v>
      </c>
      <c r="C1613">
        <f>_xlfn.XLOOKUP(A1613,order_details[orderID],order_details[productID],,0)</f>
        <v>17</v>
      </c>
      <c r="D1613" t="str">
        <f>_xlfn.XLOOKUP(C1613,products[productID],products[productName],,0)</f>
        <v>Alice Mutton</v>
      </c>
      <c r="E1613" t="str">
        <f>_xlfn.XLOOKUP(_xlfn.XLOOKUP(Table9[[#This Row],[ProductName ]],products[productName],products[categoryID],,0),categories[categoryID],categories[categoryName],,0)</f>
        <v>Meat &amp; Poultry</v>
      </c>
      <c r="F1613">
        <v>40</v>
      </c>
      <c r="G1613">
        <v>10</v>
      </c>
      <c r="H1613">
        <v>0</v>
      </c>
      <c r="I1613">
        <f>Table9[[#This Row],[quantity]]*Table9[[#This Row],[unitPrice]]*(1-Table9[[#This Row],[discount]]/100)</f>
        <v>400</v>
      </c>
      <c r="J1613" t="str">
        <f>_xlfn.XLOOKUP(_xlfn.XLOOKUP(A1613,orders[orderID],orders[customerID],,0),customers__2[customerID],customers__2[companyName],,0)</f>
        <v>White Clover Markets</v>
      </c>
      <c r="K1613" t="str">
        <f>_xlfn.XLOOKUP(Table9[[#This Row],[Company Name]],customers__2[companyName],customers__2[country],,0)</f>
        <v>USA</v>
      </c>
      <c r="L1613">
        <f>MONTH(Table9[[#This Row],[OrderDate ]])</f>
        <v>1</v>
      </c>
      <c r="M1613" t="str">
        <f>TEXT(Table9[[#This Row],[OrderDate ]],"mmm")</f>
        <v>Jan</v>
      </c>
      <c r="N1613">
        <f>YEAR(Table9[[#This Row],[OrderDate ]])</f>
        <v>2015</v>
      </c>
    </row>
    <row r="1614" spans="1:14" x14ac:dyDescent="0.3">
      <c r="A1614">
        <v>10861</v>
      </c>
      <c r="B1614" s="2">
        <f>_xlfn.XLOOKUP(Table9[[#This Row],[orderID]],orders[orderID],orders[orderDate],,0)</f>
        <v>42034</v>
      </c>
      <c r="C1614">
        <f>_xlfn.XLOOKUP(A1614,order_details[orderID],order_details[productID],,0)</f>
        <v>17</v>
      </c>
      <c r="D1614" t="str">
        <f>_xlfn.XLOOKUP(C1614,products[productID],products[productName],,0)</f>
        <v>Alice Mutton</v>
      </c>
      <c r="E1614" t="str">
        <f>_xlfn.XLOOKUP(_xlfn.XLOOKUP(Table9[[#This Row],[ProductName ]],products[productName],products[categoryID],,0),categories[categoryID],categories[categoryName],,0)</f>
        <v>Meat &amp; Poultry</v>
      </c>
      <c r="F1614">
        <v>35</v>
      </c>
      <c r="G1614">
        <v>25</v>
      </c>
      <c r="H1614">
        <v>0</v>
      </c>
      <c r="I1614">
        <f>Table9[[#This Row],[quantity]]*Table9[[#This Row],[unitPrice]]*(1-Table9[[#This Row],[discount]]/100)</f>
        <v>875</v>
      </c>
      <c r="J1614" t="str">
        <f>_xlfn.XLOOKUP(_xlfn.XLOOKUP(A1614,orders[orderID],orders[customerID],,0),customers__2[customerID],customers__2[companyName],,0)</f>
        <v>White Clover Markets</v>
      </c>
      <c r="K1614" t="str">
        <f>_xlfn.XLOOKUP(Table9[[#This Row],[Company Name]],customers__2[companyName],customers__2[country],,0)</f>
        <v>USA</v>
      </c>
      <c r="L1614">
        <f>MONTH(Table9[[#This Row],[OrderDate ]])</f>
        <v>1</v>
      </c>
      <c r="M1614" t="str">
        <f>TEXT(Table9[[#This Row],[OrderDate ]],"mmm")</f>
        <v>Jan</v>
      </c>
      <c r="N1614">
        <f>YEAR(Table9[[#This Row],[OrderDate ]])</f>
        <v>2015</v>
      </c>
    </row>
    <row r="1615" spans="1:14" x14ac:dyDescent="0.3">
      <c r="A1615">
        <v>10861</v>
      </c>
      <c r="B1615" s="2">
        <f>_xlfn.XLOOKUP(Table9[[#This Row],[orderID]],orders[orderID],orders[orderDate],,0)</f>
        <v>42034</v>
      </c>
      <c r="C1615">
        <f>_xlfn.XLOOKUP(A1615,order_details[orderID],order_details[productID],,0)</f>
        <v>17</v>
      </c>
      <c r="D1615" t="str">
        <f>_xlfn.XLOOKUP(C1615,products[productID],products[productName],,0)</f>
        <v>Alice Mutton</v>
      </c>
      <c r="E1615" t="str">
        <f>_xlfn.XLOOKUP(_xlfn.XLOOKUP(Table9[[#This Row],[ProductName ]],products[productName],products[categoryID],,0),categories[categoryID],categories[categoryName],,0)</f>
        <v>Meat &amp; Poultry</v>
      </c>
      <c r="F1615">
        <v>3</v>
      </c>
      <c r="G1615">
        <v>493</v>
      </c>
      <c r="H1615">
        <v>0</v>
      </c>
      <c r="I1615">
        <f>Table9[[#This Row],[quantity]]*Table9[[#This Row],[unitPrice]]*(1-Table9[[#This Row],[discount]]/100)</f>
        <v>1479</v>
      </c>
      <c r="J1615" t="str">
        <f>_xlfn.XLOOKUP(_xlfn.XLOOKUP(A1615,orders[orderID],orders[customerID],,0),customers__2[customerID],customers__2[companyName],,0)</f>
        <v>White Clover Markets</v>
      </c>
      <c r="K1615" t="str">
        <f>_xlfn.XLOOKUP(Table9[[#This Row],[Company Name]],customers__2[companyName],customers__2[country],,0)</f>
        <v>USA</v>
      </c>
      <c r="L1615">
        <f>MONTH(Table9[[#This Row],[OrderDate ]])</f>
        <v>1</v>
      </c>
      <c r="M1615" t="str">
        <f>TEXT(Table9[[#This Row],[OrderDate ]],"mmm")</f>
        <v>Jan</v>
      </c>
      <c r="N1615">
        <f>YEAR(Table9[[#This Row],[OrderDate ]])</f>
        <v>2015</v>
      </c>
    </row>
    <row r="1616" spans="1:14" x14ac:dyDescent="0.3">
      <c r="A1616">
        <v>10862</v>
      </c>
      <c r="B1616" s="2">
        <f>_xlfn.XLOOKUP(Table9[[#This Row],[orderID]],orders[orderID],orders[orderDate],,0)</f>
        <v>42034</v>
      </c>
      <c r="C1616">
        <f>_xlfn.XLOOKUP(A1616,order_details[orderID],order_details[productID],,0)</f>
        <v>11</v>
      </c>
      <c r="D1616" t="str">
        <f>_xlfn.XLOOKUP(C1616,products[productID],products[productName],,0)</f>
        <v>Queso Cabrales</v>
      </c>
      <c r="E1616" t="str">
        <f>_xlfn.XLOOKUP(_xlfn.XLOOKUP(Table9[[#This Row],[ProductName ]],products[productName],products[categoryID],,0),categories[categoryID],categories[categoryName],,0)</f>
        <v>Dairy Products</v>
      </c>
      <c r="F1616">
        <v>25</v>
      </c>
      <c r="G1616">
        <v>21</v>
      </c>
      <c r="H1616">
        <v>0</v>
      </c>
      <c r="I1616">
        <f>Table9[[#This Row],[quantity]]*Table9[[#This Row],[unitPrice]]*(1-Table9[[#This Row],[discount]]/100)</f>
        <v>525</v>
      </c>
      <c r="J1616" t="str">
        <f>_xlfn.XLOOKUP(_xlfn.XLOOKUP(A1616,orders[orderID],orders[customerID],,0),customers__2[customerID],customers__2[companyName],,0)</f>
        <v>Lehmanns Marktstand</v>
      </c>
      <c r="K1616" t="str">
        <f>_xlfn.XLOOKUP(Table9[[#This Row],[Company Name]],customers__2[companyName],customers__2[country],,0)</f>
        <v>Germany</v>
      </c>
      <c r="L1616">
        <f>MONTH(Table9[[#This Row],[OrderDate ]])</f>
        <v>1</v>
      </c>
      <c r="M1616" t="str">
        <f>TEXT(Table9[[#This Row],[OrderDate ]],"mmm")</f>
        <v>Jan</v>
      </c>
      <c r="N1616">
        <f>YEAR(Table9[[#This Row],[OrderDate ]])</f>
        <v>2015</v>
      </c>
    </row>
    <row r="1617" spans="1:14" x14ac:dyDescent="0.3">
      <c r="A1617">
        <v>10862</v>
      </c>
      <c r="B1617" s="2">
        <f>_xlfn.XLOOKUP(Table9[[#This Row],[orderID]],orders[orderID],orders[orderDate],,0)</f>
        <v>42034</v>
      </c>
      <c r="C1617">
        <f>_xlfn.XLOOKUP(A1617,order_details[orderID],order_details[productID],,0)</f>
        <v>11</v>
      </c>
      <c r="D1617" t="str">
        <f>_xlfn.XLOOKUP(C1617,products[productID],products[productName],,0)</f>
        <v>Queso Cabrales</v>
      </c>
      <c r="E1617" t="str">
        <f>_xlfn.XLOOKUP(_xlfn.XLOOKUP(Table9[[#This Row],[ProductName ]],products[productName],products[categoryID],,0),categories[categoryID],categories[categoryName],,0)</f>
        <v>Dairy Products</v>
      </c>
      <c r="F1617">
        <v>8</v>
      </c>
      <c r="G1617">
        <v>7</v>
      </c>
      <c r="H1617">
        <v>0</v>
      </c>
      <c r="I1617">
        <f>Table9[[#This Row],[quantity]]*Table9[[#This Row],[unitPrice]]*(1-Table9[[#This Row],[discount]]/100)</f>
        <v>56</v>
      </c>
      <c r="J1617" t="str">
        <f>_xlfn.XLOOKUP(_xlfn.XLOOKUP(A1617,orders[orderID],orders[customerID],,0),customers__2[customerID],customers__2[companyName],,0)</f>
        <v>Lehmanns Marktstand</v>
      </c>
      <c r="K1617" t="str">
        <f>_xlfn.XLOOKUP(Table9[[#This Row],[Company Name]],customers__2[companyName],customers__2[country],,0)</f>
        <v>Germany</v>
      </c>
      <c r="L1617">
        <f>MONTH(Table9[[#This Row],[OrderDate ]])</f>
        <v>1</v>
      </c>
      <c r="M1617" t="str">
        <f>TEXT(Table9[[#This Row],[OrderDate ]],"mmm")</f>
        <v>Jan</v>
      </c>
      <c r="N1617">
        <f>YEAR(Table9[[#This Row],[OrderDate ]])</f>
        <v>2015</v>
      </c>
    </row>
    <row r="1618" spans="1:14" x14ac:dyDescent="0.3">
      <c r="A1618">
        <v>10863</v>
      </c>
      <c r="B1618" s="2">
        <f>_xlfn.XLOOKUP(Table9[[#This Row],[orderID]],orders[orderID],orders[orderDate],,0)</f>
        <v>42037</v>
      </c>
      <c r="C1618">
        <f>_xlfn.XLOOKUP(A1618,order_details[orderID],order_details[productID],,0)</f>
        <v>1</v>
      </c>
      <c r="D1618" t="str">
        <f>_xlfn.XLOOKUP(C1618,products[productID],products[productName],,0)</f>
        <v>Chai</v>
      </c>
      <c r="E1618" t="str">
        <f>_xlfn.XLOOKUP(_xlfn.XLOOKUP(Table9[[#This Row],[ProductName ]],products[productName],products[categoryID],,0),categories[categoryID],categories[categoryName],,0)</f>
        <v>Beverages</v>
      </c>
      <c r="F1618">
        <v>20</v>
      </c>
      <c r="G1618">
        <v>18</v>
      </c>
      <c r="H1618">
        <v>15</v>
      </c>
      <c r="I1618">
        <f>Table9[[#This Row],[quantity]]*Table9[[#This Row],[unitPrice]]*(1-Table9[[#This Row],[discount]]/100)</f>
        <v>306</v>
      </c>
      <c r="J1618" t="str">
        <f>_xlfn.XLOOKUP(_xlfn.XLOOKUP(A1618,orders[orderID],orders[customerID],,0),customers__2[customerID],customers__2[companyName],,0)</f>
        <v>HILARION-Abastos</v>
      </c>
      <c r="K1618" t="str">
        <f>_xlfn.XLOOKUP(Table9[[#This Row],[Company Name]],customers__2[companyName],customers__2[country],,0)</f>
        <v>Venezuela</v>
      </c>
      <c r="L1618">
        <f>MONTH(Table9[[#This Row],[OrderDate ]])</f>
        <v>2</v>
      </c>
      <c r="M1618" t="str">
        <f>TEXT(Table9[[#This Row],[OrderDate ]],"mmm")</f>
        <v>Feb</v>
      </c>
      <c r="N1618">
        <f>YEAR(Table9[[#This Row],[OrderDate ]])</f>
        <v>2015</v>
      </c>
    </row>
    <row r="1619" spans="1:14" x14ac:dyDescent="0.3">
      <c r="A1619">
        <v>10863</v>
      </c>
      <c r="B1619" s="2">
        <f>_xlfn.XLOOKUP(Table9[[#This Row],[orderID]],orders[orderID],orders[orderDate],,0)</f>
        <v>42037</v>
      </c>
      <c r="C1619">
        <f>_xlfn.XLOOKUP(A1619,order_details[orderID],order_details[productID],,0)</f>
        <v>1</v>
      </c>
      <c r="D1619" t="str">
        <f>_xlfn.XLOOKUP(C1619,products[productID],products[productName],,0)</f>
        <v>Chai</v>
      </c>
      <c r="E1619" t="str">
        <f>_xlfn.XLOOKUP(_xlfn.XLOOKUP(Table9[[#This Row],[ProductName ]],products[productName],products[categoryID],,0),categories[categoryID],categories[categoryName],,0)</f>
        <v>Beverages</v>
      </c>
      <c r="F1619">
        <v>12</v>
      </c>
      <c r="G1619">
        <v>1325</v>
      </c>
      <c r="H1619">
        <v>15</v>
      </c>
      <c r="I1619">
        <f>Table9[[#This Row],[quantity]]*Table9[[#This Row],[unitPrice]]*(1-Table9[[#This Row],[discount]]/100)</f>
        <v>13515</v>
      </c>
      <c r="J1619" t="str">
        <f>_xlfn.XLOOKUP(_xlfn.XLOOKUP(A1619,orders[orderID],orders[customerID],,0),customers__2[customerID],customers__2[companyName],,0)</f>
        <v>HILARION-Abastos</v>
      </c>
      <c r="K1619" t="str">
        <f>_xlfn.XLOOKUP(Table9[[#This Row],[Company Name]],customers__2[companyName],customers__2[country],,0)</f>
        <v>Venezuela</v>
      </c>
      <c r="L1619">
        <f>MONTH(Table9[[#This Row],[OrderDate ]])</f>
        <v>2</v>
      </c>
      <c r="M1619" t="str">
        <f>TEXT(Table9[[#This Row],[OrderDate ]],"mmm")</f>
        <v>Feb</v>
      </c>
      <c r="N1619">
        <f>YEAR(Table9[[#This Row],[OrderDate ]])</f>
        <v>2015</v>
      </c>
    </row>
    <row r="1620" spans="1:14" x14ac:dyDescent="0.3">
      <c r="A1620">
        <v>10864</v>
      </c>
      <c r="B1620" s="2">
        <f>_xlfn.XLOOKUP(Table9[[#This Row],[orderID]],orders[orderID],orders[orderDate],,0)</f>
        <v>42037</v>
      </c>
      <c r="C1620">
        <f>_xlfn.XLOOKUP(A1620,order_details[orderID],order_details[productID],,0)</f>
        <v>35</v>
      </c>
      <c r="D1620" t="str">
        <f>_xlfn.XLOOKUP(C1620,products[productID],products[productName],,0)</f>
        <v>Steeleye Stout</v>
      </c>
      <c r="E1620" t="str">
        <f>_xlfn.XLOOKUP(_xlfn.XLOOKUP(Table9[[#This Row],[ProductName ]],products[productName],products[categoryID],,0),categories[categoryID],categories[categoryName],,0)</f>
        <v>Beverages</v>
      </c>
      <c r="F1620">
        <v>4</v>
      </c>
      <c r="G1620">
        <v>18</v>
      </c>
      <c r="H1620">
        <v>0</v>
      </c>
      <c r="I1620">
        <f>Table9[[#This Row],[quantity]]*Table9[[#This Row],[unitPrice]]*(1-Table9[[#This Row],[discount]]/100)</f>
        <v>72</v>
      </c>
      <c r="J1620" t="str">
        <f>_xlfn.XLOOKUP(_xlfn.XLOOKUP(A1620,orders[orderID],orders[customerID],,0),customers__2[customerID],customers__2[companyName],,0)</f>
        <v>Around the Horn</v>
      </c>
      <c r="K1620" t="str">
        <f>_xlfn.XLOOKUP(Table9[[#This Row],[Company Name]],customers__2[companyName],customers__2[country],,0)</f>
        <v>UK</v>
      </c>
      <c r="L1620">
        <f>MONTH(Table9[[#This Row],[OrderDate ]])</f>
        <v>2</v>
      </c>
      <c r="M1620" t="str">
        <f>TEXT(Table9[[#This Row],[OrderDate ]],"mmm")</f>
        <v>Feb</v>
      </c>
      <c r="N1620">
        <f>YEAR(Table9[[#This Row],[OrderDate ]])</f>
        <v>2015</v>
      </c>
    </row>
    <row r="1621" spans="1:14" x14ac:dyDescent="0.3">
      <c r="A1621">
        <v>10864</v>
      </c>
      <c r="B1621" s="2">
        <f>_xlfn.XLOOKUP(Table9[[#This Row],[orderID]],orders[orderID],orders[orderDate],,0)</f>
        <v>42037</v>
      </c>
      <c r="C1621">
        <f>_xlfn.XLOOKUP(A1621,order_details[orderID],order_details[productID],,0)</f>
        <v>35</v>
      </c>
      <c r="D1621" t="str">
        <f>_xlfn.XLOOKUP(C1621,products[productID],products[productName],,0)</f>
        <v>Steeleye Stout</v>
      </c>
      <c r="E1621" t="str">
        <f>_xlfn.XLOOKUP(_xlfn.XLOOKUP(Table9[[#This Row],[ProductName ]],products[productName],products[categoryID],,0),categories[categoryID],categories[categoryName],,0)</f>
        <v>Beverages</v>
      </c>
      <c r="F1621">
        <v>15</v>
      </c>
      <c r="G1621">
        <v>14</v>
      </c>
      <c r="H1621">
        <v>0</v>
      </c>
      <c r="I1621">
        <f>Table9[[#This Row],[quantity]]*Table9[[#This Row],[unitPrice]]*(1-Table9[[#This Row],[discount]]/100)</f>
        <v>210</v>
      </c>
      <c r="J1621" t="str">
        <f>_xlfn.XLOOKUP(_xlfn.XLOOKUP(A1621,orders[orderID],orders[customerID],,0),customers__2[customerID],customers__2[companyName],,0)</f>
        <v>Around the Horn</v>
      </c>
      <c r="K1621" t="str">
        <f>_xlfn.XLOOKUP(Table9[[#This Row],[Company Name]],customers__2[companyName],customers__2[country],,0)</f>
        <v>UK</v>
      </c>
      <c r="L1621">
        <f>MONTH(Table9[[#This Row],[OrderDate ]])</f>
        <v>2</v>
      </c>
      <c r="M1621" t="str">
        <f>TEXT(Table9[[#This Row],[OrderDate ]],"mmm")</f>
        <v>Feb</v>
      </c>
      <c r="N1621">
        <f>YEAR(Table9[[#This Row],[OrderDate ]])</f>
        <v>2015</v>
      </c>
    </row>
    <row r="1622" spans="1:14" x14ac:dyDescent="0.3">
      <c r="A1622">
        <v>10865</v>
      </c>
      <c r="B1622" s="2">
        <f>_xlfn.XLOOKUP(Table9[[#This Row],[orderID]],orders[orderID],orders[orderDate],,0)</f>
        <v>42037</v>
      </c>
      <c r="C1622">
        <f>_xlfn.XLOOKUP(A1622,order_details[orderID],order_details[productID],,0)</f>
        <v>38</v>
      </c>
      <c r="D1622" t="str">
        <f>_xlfn.XLOOKUP(C1622,products[productID],products[productName],,0)</f>
        <v>Côte de Blaye</v>
      </c>
      <c r="E1622" t="str">
        <f>_xlfn.XLOOKUP(_xlfn.XLOOKUP(Table9[[#This Row],[ProductName ]],products[productName],products[categoryID],,0),categories[categoryID],categories[categoryName],,0)</f>
        <v>Beverages</v>
      </c>
      <c r="F1622">
        <v>60</v>
      </c>
      <c r="G1622">
        <v>2635</v>
      </c>
      <c r="H1622">
        <v>5</v>
      </c>
      <c r="I1622">
        <f>Table9[[#This Row],[quantity]]*Table9[[#This Row],[unitPrice]]*(1-Table9[[#This Row],[discount]]/100)</f>
        <v>150195</v>
      </c>
      <c r="J1622" t="str">
        <f>_xlfn.XLOOKUP(_xlfn.XLOOKUP(A1622,orders[orderID],orders[customerID],,0),customers__2[customerID],customers__2[companyName],,0)</f>
        <v>QUICK-Stop</v>
      </c>
      <c r="K1622" t="str">
        <f>_xlfn.XLOOKUP(Table9[[#This Row],[Company Name]],customers__2[companyName],customers__2[country],,0)</f>
        <v>Germany</v>
      </c>
      <c r="L1622">
        <f>MONTH(Table9[[#This Row],[OrderDate ]])</f>
        <v>2</v>
      </c>
      <c r="M1622" t="str">
        <f>TEXT(Table9[[#This Row],[OrderDate ]],"mmm")</f>
        <v>Feb</v>
      </c>
      <c r="N1622">
        <f>YEAR(Table9[[#This Row],[OrderDate ]])</f>
        <v>2015</v>
      </c>
    </row>
    <row r="1623" spans="1:14" x14ac:dyDescent="0.3">
      <c r="A1623">
        <v>10865</v>
      </c>
      <c r="B1623" s="2">
        <f>_xlfn.XLOOKUP(Table9[[#This Row],[orderID]],orders[orderID],orders[orderDate],,0)</f>
        <v>42037</v>
      </c>
      <c r="C1623">
        <f>_xlfn.XLOOKUP(A1623,order_details[orderID],order_details[productID],,0)</f>
        <v>38</v>
      </c>
      <c r="D1623" t="str">
        <f>_xlfn.XLOOKUP(C1623,products[productID],products[productName],,0)</f>
        <v>Côte de Blaye</v>
      </c>
      <c r="E1623" t="str">
        <f>_xlfn.XLOOKUP(_xlfn.XLOOKUP(Table9[[#This Row],[ProductName ]],products[productName],products[categoryID],,0),categories[categoryID],categories[categoryName],,0)</f>
        <v>Beverages</v>
      </c>
      <c r="F1623">
        <v>80</v>
      </c>
      <c r="G1623">
        <v>18</v>
      </c>
      <c r="H1623">
        <v>5</v>
      </c>
      <c r="I1623">
        <f>Table9[[#This Row],[quantity]]*Table9[[#This Row],[unitPrice]]*(1-Table9[[#This Row],[discount]]/100)</f>
        <v>1368</v>
      </c>
      <c r="J1623" t="str">
        <f>_xlfn.XLOOKUP(_xlfn.XLOOKUP(A1623,orders[orderID],orders[customerID],,0),customers__2[customerID],customers__2[companyName],,0)</f>
        <v>QUICK-Stop</v>
      </c>
      <c r="K1623" t="str">
        <f>_xlfn.XLOOKUP(Table9[[#This Row],[Company Name]],customers__2[companyName],customers__2[country],,0)</f>
        <v>Germany</v>
      </c>
      <c r="L1623">
        <f>MONTH(Table9[[#This Row],[OrderDate ]])</f>
        <v>2</v>
      </c>
      <c r="M1623" t="str">
        <f>TEXT(Table9[[#This Row],[OrderDate ]],"mmm")</f>
        <v>Feb</v>
      </c>
      <c r="N1623">
        <f>YEAR(Table9[[#This Row],[OrderDate ]])</f>
        <v>2015</v>
      </c>
    </row>
    <row r="1624" spans="1:14" x14ac:dyDescent="0.3">
      <c r="A1624">
        <v>10866</v>
      </c>
      <c r="B1624" s="2">
        <f>_xlfn.XLOOKUP(Table9[[#This Row],[orderID]],orders[orderID],orders[orderDate],,0)</f>
        <v>42038</v>
      </c>
      <c r="C1624">
        <f>_xlfn.XLOOKUP(A1624,order_details[orderID],order_details[productID],,0)</f>
        <v>2</v>
      </c>
      <c r="D1624" t="str">
        <f>_xlfn.XLOOKUP(C1624,products[productID],products[productName],,0)</f>
        <v>Chang</v>
      </c>
      <c r="E1624" t="str">
        <f>_xlfn.XLOOKUP(_xlfn.XLOOKUP(Table9[[#This Row],[ProductName ]],products[productName],products[categoryID],,0),categories[categoryID],categories[categoryName],,0)</f>
        <v>Beverages</v>
      </c>
      <c r="F1624">
        <v>21</v>
      </c>
      <c r="G1624">
        <v>19</v>
      </c>
      <c r="H1624">
        <v>25</v>
      </c>
      <c r="I1624">
        <f>Table9[[#This Row],[quantity]]*Table9[[#This Row],[unitPrice]]*(1-Table9[[#This Row],[discount]]/100)</f>
        <v>299.25</v>
      </c>
      <c r="J1624" t="str">
        <f>_xlfn.XLOOKUP(_xlfn.XLOOKUP(A1624,orders[orderID],orders[customerID],,0),customers__2[customerID],customers__2[companyName],,0)</f>
        <v>Berglunds snabbköp</v>
      </c>
      <c r="K1624" t="str">
        <f>_xlfn.XLOOKUP(Table9[[#This Row],[Company Name]],customers__2[companyName],customers__2[country],,0)</f>
        <v>Sweden</v>
      </c>
      <c r="L1624">
        <f>MONTH(Table9[[#This Row],[OrderDate ]])</f>
        <v>2</v>
      </c>
      <c r="M1624" t="str">
        <f>TEXT(Table9[[#This Row],[OrderDate ]],"mmm")</f>
        <v>Feb</v>
      </c>
      <c r="N1624">
        <f>YEAR(Table9[[#This Row],[OrderDate ]])</f>
        <v>2015</v>
      </c>
    </row>
    <row r="1625" spans="1:14" x14ac:dyDescent="0.3">
      <c r="A1625">
        <v>10866</v>
      </c>
      <c r="B1625" s="2">
        <f>_xlfn.XLOOKUP(Table9[[#This Row],[orderID]],orders[orderID],orders[orderDate],,0)</f>
        <v>42038</v>
      </c>
      <c r="C1625">
        <f>_xlfn.XLOOKUP(A1625,order_details[orderID],order_details[productID],,0)</f>
        <v>2</v>
      </c>
      <c r="D1625" t="str">
        <f>_xlfn.XLOOKUP(C1625,products[productID],products[productName],,0)</f>
        <v>Chang</v>
      </c>
      <c r="E1625" t="str">
        <f>_xlfn.XLOOKUP(_xlfn.XLOOKUP(Table9[[#This Row],[ProductName ]],products[productName],products[categoryID],,0),categories[categoryID],categories[categoryName],,0)</f>
        <v>Beverages</v>
      </c>
      <c r="F1625">
        <v>6</v>
      </c>
      <c r="G1625">
        <v>45</v>
      </c>
      <c r="H1625">
        <v>25</v>
      </c>
      <c r="I1625">
        <f>Table9[[#This Row],[quantity]]*Table9[[#This Row],[unitPrice]]*(1-Table9[[#This Row],[discount]]/100)</f>
        <v>202.5</v>
      </c>
      <c r="J1625" t="str">
        <f>_xlfn.XLOOKUP(_xlfn.XLOOKUP(A1625,orders[orderID],orders[customerID],,0),customers__2[customerID],customers__2[companyName],,0)</f>
        <v>Berglunds snabbköp</v>
      </c>
      <c r="K1625" t="str">
        <f>_xlfn.XLOOKUP(Table9[[#This Row],[Company Name]],customers__2[companyName],customers__2[country],,0)</f>
        <v>Sweden</v>
      </c>
      <c r="L1625">
        <f>MONTH(Table9[[#This Row],[OrderDate ]])</f>
        <v>2</v>
      </c>
      <c r="M1625" t="str">
        <f>TEXT(Table9[[#This Row],[OrderDate ]],"mmm")</f>
        <v>Feb</v>
      </c>
      <c r="N1625">
        <f>YEAR(Table9[[#This Row],[OrderDate ]])</f>
        <v>2015</v>
      </c>
    </row>
    <row r="1626" spans="1:14" x14ac:dyDescent="0.3">
      <c r="A1626">
        <v>10866</v>
      </c>
      <c r="B1626" s="2">
        <f>_xlfn.XLOOKUP(Table9[[#This Row],[orderID]],orders[orderID],orders[orderDate],,0)</f>
        <v>42038</v>
      </c>
      <c r="C1626">
        <f>_xlfn.XLOOKUP(A1626,order_details[orderID],order_details[productID],,0)</f>
        <v>2</v>
      </c>
      <c r="D1626" t="str">
        <f>_xlfn.XLOOKUP(C1626,products[productID],products[productName],,0)</f>
        <v>Chang</v>
      </c>
      <c r="E1626" t="str">
        <f>_xlfn.XLOOKUP(_xlfn.XLOOKUP(Table9[[#This Row],[ProductName ]],products[productName],products[categoryID],,0),categories[categoryID],categories[categoryName],,0)</f>
        <v>Beverages</v>
      </c>
      <c r="F1626">
        <v>40</v>
      </c>
      <c r="G1626">
        <v>2589</v>
      </c>
      <c r="H1626">
        <v>25</v>
      </c>
      <c r="I1626">
        <f>Table9[[#This Row],[quantity]]*Table9[[#This Row],[unitPrice]]*(1-Table9[[#This Row],[discount]]/100)</f>
        <v>77670</v>
      </c>
      <c r="J1626" t="str">
        <f>_xlfn.XLOOKUP(_xlfn.XLOOKUP(A1626,orders[orderID],orders[customerID],,0),customers__2[customerID],customers__2[companyName],,0)</f>
        <v>Berglunds snabbköp</v>
      </c>
      <c r="K1626" t="str">
        <f>_xlfn.XLOOKUP(Table9[[#This Row],[Company Name]],customers__2[companyName],customers__2[country],,0)</f>
        <v>Sweden</v>
      </c>
      <c r="L1626">
        <f>MONTH(Table9[[#This Row],[OrderDate ]])</f>
        <v>2</v>
      </c>
      <c r="M1626" t="str">
        <f>TEXT(Table9[[#This Row],[OrderDate ]],"mmm")</f>
        <v>Feb</v>
      </c>
      <c r="N1626">
        <f>YEAR(Table9[[#This Row],[OrderDate ]])</f>
        <v>2015</v>
      </c>
    </row>
    <row r="1627" spans="1:14" x14ac:dyDescent="0.3">
      <c r="A1627">
        <v>10867</v>
      </c>
      <c r="B1627" s="2">
        <f>_xlfn.XLOOKUP(Table9[[#This Row],[orderID]],orders[orderID],orders[orderDate],,0)</f>
        <v>42038</v>
      </c>
      <c r="C1627">
        <f>_xlfn.XLOOKUP(A1627,order_details[orderID],order_details[productID],,0)</f>
        <v>53</v>
      </c>
      <c r="D1627" t="str">
        <f>_xlfn.XLOOKUP(C1627,products[productID],products[productName],,0)</f>
        <v>Perth Pasties</v>
      </c>
      <c r="E1627" t="str">
        <f>_xlfn.XLOOKUP(_xlfn.XLOOKUP(Table9[[#This Row],[ProductName ]],products[productName],products[categoryID],,0),categories[categoryID],categories[categoryName],,0)</f>
        <v>Meat &amp; Poultry</v>
      </c>
      <c r="F1627">
        <v>3</v>
      </c>
      <c r="G1627">
        <v>328</v>
      </c>
      <c r="H1627">
        <v>0</v>
      </c>
      <c r="I1627">
        <f>Table9[[#This Row],[quantity]]*Table9[[#This Row],[unitPrice]]*(1-Table9[[#This Row],[discount]]/100)</f>
        <v>984</v>
      </c>
      <c r="J1627" t="str">
        <f>_xlfn.XLOOKUP(_xlfn.XLOOKUP(A1627,orders[orderID],orders[customerID],,0),customers__2[customerID],customers__2[companyName],,0)</f>
        <v>Lonesome Pine Restaurant</v>
      </c>
      <c r="K1627" t="str">
        <f>_xlfn.XLOOKUP(Table9[[#This Row],[Company Name]],customers__2[companyName],customers__2[country],,0)</f>
        <v>USA</v>
      </c>
      <c r="L1627">
        <f>MONTH(Table9[[#This Row],[OrderDate ]])</f>
        <v>2</v>
      </c>
      <c r="M1627" t="str">
        <f>TEXT(Table9[[#This Row],[OrderDate ]],"mmm")</f>
        <v>Feb</v>
      </c>
      <c r="N1627">
        <f>YEAR(Table9[[#This Row],[OrderDate ]])</f>
        <v>2015</v>
      </c>
    </row>
    <row r="1628" spans="1:14" x14ac:dyDescent="0.3">
      <c r="A1628">
        <v>10868</v>
      </c>
      <c r="B1628" s="2">
        <f>_xlfn.XLOOKUP(Table9[[#This Row],[orderID]],orders[orderID],orders[orderDate],,0)</f>
        <v>42039</v>
      </c>
      <c r="C1628">
        <f>_xlfn.XLOOKUP(A1628,order_details[orderID],order_details[productID],,0)</f>
        <v>26</v>
      </c>
      <c r="D1628" t="str">
        <f>_xlfn.XLOOKUP(C1628,products[productID],products[productName],,0)</f>
        <v>Gumbär Gummibärchen</v>
      </c>
      <c r="E1628" t="str">
        <f>_xlfn.XLOOKUP(_xlfn.XLOOKUP(Table9[[#This Row],[ProductName ]],products[productName],products[categoryID],,0),categories[categoryID],categories[categoryName],,0)</f>
        <v>Confections</v>
      </c>
      <c r="F1628">
        <v>20</v>
      </c>
      <c r="G1628">
        <v>3123</v>
      </c>
      <c r="H1628">
        <v>0</v>
      </c>
      <c r="I1628">
        <f>Table9[[#This Row],[quantity]]*Table9[[#This Row],[unitPrice]]*(1-Table9[[#This Row],[discount]]/100)</f>
        <v>62460</v>
      </c>
      <c r="J1628" t="str">
        <f>_xlfn.XLOOKUP(_xlfn.XLOOKUP(A1628,orders[orderID],orders[customerID],,0),customers__2[customerID],customers__2[companyName],,0)</f>
        <v>Queen Cozinha</v>
      </c>
      <c r="K1628" t="str">
        <f>_xlfn.XLOOKUP(Table9[[#This Row],[Company Name]],customers__2[companyName],customers__2[country],,0)</f>
        <v>Brazil</v>
      </c>
      <c r="L1628">
        <f>MONTH(Table9[[#This Row],[OrderDate ]])</f>
        <v>2</v>
      </c>
      <c r="M1628" t="str">
        <f>TEXT(Table9[[#This Row],[OrderDate ]],"mmm")</f>
        <v>Feb</v>
      </c>
      <c r="N1628">
        <f>YEAR(Table9[[#This Row],[OrderDate ]])</f>
        <v>2015</v>
      </c>
    </row>
    <row r="1629" spans="1:14" x14ac:dyDescent="0.3">
      <c r="A1629">
        <v>10868</v>
      </c>
      <c r="B1629" s="2">
        <f>_xlfn.XLOOKUP(Table9[[#This Row],[orderID]],orders[orderID],orders[orderDate],,0)</f>
        <v>42039</v>
      </c>
      <c r="C1629">
        <f>_xlfn.XLOOKUP(A1629,order_details[orderID],order_details[productID],,0)</f>
        <v>26</v>
      </c>
      <c r="D1629" t="str">
        <f>_xlfn.XLOOKUP(C1629,products[productID],products[productName],,0)</f>
        <v>Gumbär Gummibärchen</v>
      </c>
      <c r="E1629" t="str">
        <f>_xlfn.XLOOKUP(_xlfn.XLOOKUP(Table9[[#This Row],[ProductName ]],products[productName],products[categoryID],,0),categories[categoryID],categories[categoryName],,0)</f>
        <v>Confections</v>
      </c>
      <c r="F1629">
        <v>30</v>
      </c>
      <c r="G1629">
        <v>18</v>
      </c>
      <c r="H1629">
        <v>0</v>
      </c>
      <c r="I1629">
        <f>Table9[[#This Row],[quantity]]*Table9[[#This Row],[unitPrice]]*(1-Table9[[#This Row],[discount]]/100)</f>
        <v>540</v>
      </c>
      <c r="J1629" t="str">
        <f>_xlfn.XLOOKUP(_xlfn.XLOOKUP(A1629,orders[orderID],orders[customerID],,0),customers__2[customerID],customers__2[companyName],,0)</f>
        <v>Queen Cozinha</v>
      </c>
      <c r="K1629" t="str">
        <f>_xlfn.XLOOKUP(Table9[[#This Row],[Company Name]],customers__2[companyName],customers__2[country],,0)</f>
        <v>Brazil</v>
      </c>
      <c r="L1629">
        <f>MONTH(Table9[[#This Row],[OrderDate ]])</f>
        <v>2</v>
      </c>
      <c r="M1629" t="str">
        <f>TEXT(Table9[[#This Row],[OrderDate ]],"mmm")</f>
        <v>Feb</v>
      </c>
      <c r="N1629">
        <f>YEAR(Table9[[#This Row],[OrderDate ]])</f>
        <v>2015</v>
      </c>
    </row>
    <row r="1630" spans="1:14" x14ac:dyDescent="0.3">
      <c r="A1630">
        <v>10868</v>
      </c>
      <c r="B1630" s="2">
        <f>_xlfn.XLOOKUP(Table9[[#This Row],[orderID]],orders[orderID],orders[orderDate],,0)</f>
        <v>42039</v>
      </c>
      <c r="C1630">
        <f>_xlfn.XLOOKUP(A1630,order_details[orderID],order_details[productID],,0)</f>
        <v>26</v>
      </c>
      <c r="D1630" t="str">
        <f>_xlfn.XLOOKUP(C1630,products[productID],products[productName],,0)</f>
        <v>Gumbär Gummibärchen</v>
      </c>
      <c r="E1630" t="str">
        <f>_xlfn.XLOOKUP(_xlfn.XLOOKUP(Table9[[#This Row],[ProductName ]],products[productName],products[categoryID],,0),categories[categoryID],categories[categoryName],,0)</f>
        <v>Confections</v>
      </c>
      <c r="F1630">
        <v>42</v>
      </c>
      <c r="G1630">
        <v>20</v>
      </c>
      <c r="H1630">
        <v>1</v>
      </c>
      <c r="I1630">
        <f>Table9[[#This Row],[quantity]]*Table9[[#This Row],[unitPrice]]*(1-Table9[[#This Row],[discount]]/100)</f>
        <v>831.6</v>
      </c>
      <c r="J1630" t="str">
        <f>_xlfn.XLOOKUP(_xlfn.XLOOKUP(A1630,orders[orderID],orders[customerID],,0),customers__2[customerID],customers__2[companyName],,0)</f>
        <v>Queen Cozinha</v>
      </c>
      <c r="K1630" t="str">
        <f>_xlfn.XLOOKUP(Table9[[#This Row],[Company Name]],customers__2[companyName],customers__2[country],,0)</f>
        <v>Brazil</v>
      </c>
      <c r="L1630">
        <f>MONTH(Table9[[#This Row],[OrderDate ]])</f>
        <v>2</v>
      </c>
      <c r="M1630" t="str">
        <f>TEXT(Table9[[#This Row],[OrderDate ]],"mmm")</f>
        <v>Feb</v>
      </c>
      <c r="N1630">
        <f>YEAR(Table9[[#This Row],[OrderDate ]])</f>
        <v>2015</v>
      </c>
    </row>
    <row r="1631" spans="1:14" x14ac:dyDescent="0.3">
      <c r="A1631">
        <v>10869</v>
      </c>
      <c r="B1631" s="2">
        <f>_xlfn.XLOOKUP(Table9[[#This Row],[orderID]],orders[orderID],orders[orderDate],,0)</f>
        <v>42039</v>
      </c>
      <c r="C1631">
        <f>_xlfn.XLOOKUP(A1631,order_details[orderID],order_details[productID],,0)</f>
        <v>1</v>
      </c>
      <c r="D1631" t="str">
        <f>_xlfn.XLOOKUP(C1631,products[productID],products[productName],,0)</f>
        <v>Chai</v>
      </c>
      <c r="E1631" t="str">
        <f>_xlfn.XLOOKUP(_xlfn.XLOOKUP(Table9[[#This Row],[ProductName ]],products[productName],products[categoryID],,0),categories[categoryID],categories[categoryName],,0)</f>
        <v>Beverages</v>
      </c>
      <c r="F1631">
        <v>40</v>
      </c>
      <c r="G1631">
        <v>18</v>
      </c>
      <c r="H1631">
        <v>0</v>
      </c>
      <c r="I1631">
        <f>Table9[[#This Row],[quantity]]*Table9[[#This Row],[unitPrice]]*(1-Table9[[#This Row],[discount]]/100)</f>
        <v>720</v>
      </c>
      <c r="J1631" t="str">
        <f>_xlfn.XLOOKUP(_xlfn.XLOOKUP(A1631,orders[orderID],orders[customerID],,0),customers__2[customerID],customers__2[companyName],,0)</f>
        <v>Seven Seas Imports</v>
      </c>
      <c r="K1631" t="str">
        <f>_xlfn.XLOOKUP(Table9[[#This Row],[Company Name]],customers__2[companyName],customers__2[country],,0)</f>
        <v>UK</v>
      </c>
      <c r="L1631">
        <f>MONTH(Table9[[#This Row],[OrderDate ]])</f>
        <v>2</v>
      </c>
      <c r="M1631" t="str">
        <f>TEXT(Table9[[#This Row],[OrderDate ]],"mmm")</f>
        <v>Feb</v>
      </c>
      <c r="N1631">
        <f>YEAR(Table9[[#This Row],[OrderDate ]])</f>
        <v>2015</v>
      </c>
    </row>
    <row r="1632" spans="1:14" x14ac:dyDescent="0.3">
      <c r="A1632">
        <v>10869</v>
      </c>
      <c r="B1632" s="2">
        <f>_xlfn.XLOOKUP(Table9[[#This Row],[orderID]],orders[orderID],orders[orderDate],,0)</f>
        <v>42039</v>
      </c>
      <c r="C1632">
        <f>_xlfn.XLOOKUP(A1632,order_details[orderID],order_details[productID],,0)</f>
        <v>1</v>
      </c>
      <c r="D1632" t="str">
        <f>_xlfn.XLOOKUP(C1632,products[productID],products[productName],,0)</f>
        <v>Chai</v>
      </c>
      <c r="E1632" t="str">
        <f>_xlfn.XLOOKUP(_xlfn.XLOOKUP(Table9[[#This Row],[ProductName ]],products[productName],products[categoryID],,0),categories[categoryID],categories[categoryName],,0)</f>
        <v>Beverages</v>
      </c>
      <c r="F1632">
        <v>10</v>
      </c>
      <c r="G1632">
        <v>21</v>
      </c>
      <c r="H1632">
        <v>0</v>
      </c>
      <c r="I1632">
        <f>Table9[[#This Row],[quantity]]*Table9[[#This Row],[unitPrice]]*(1-Table9[[#This Row],[discount]]/100)</f>
        <v>210</v>
      </c>
      <c r="J1632" t="str">
        <f>_xlfn.XLOOKUP(_xlfn.XLOOKUP(A1632,orders[orderID],orders[customerID],,0),customers__2[customerID],customers__2[companyName],,0)</f>
        <v>Seven Seas Imports</v>
      </c>
      <c r="K1632" t="str">
        <f>_xlfn.XLOOKUP(Table9[[#This Row],[Company Name]],customers__2[companyName],customers__2[country],,0)</f>
        <v>UK</v>
      </c>
      <c r="L1632">
        <f>MONTH(Table9[[#This Row],[OrderDate ]])</f>
        <v>2</v>
      </c>
      <c r="M1632" t="str">
        <f>TEXT(Table9[[#This Row],[OrderDate ]],"mmm")</f>
        <v>Feb</v>
      </c>
      <c r="N1632">
        <f>YEAR(Table9[[#This Row],[OrderDate ]])</f>
        <v>2015</v>
      </c>
    </row>
    <row r="1633" spans="1:14" x14ac:dyDescent="0.3">
      <c r="A1633">
        <v>10869</v>
      </c>
      <c r="B1633" s="2">
        <f>_xlfn.XLOOKUP(Table9[[#This Row],[orderID]],orders[orderID],orders[orderDate],,0)</f>
        <v>42039</v>
      </c>
      <c r="C1633">
        <f>_xlfn.XLOOKUP(A1633,order_details[orderID],order_details[productID],,0)</f>
        <v>1</v>
      </c>
      <c r="D1633" t="str">
        <f>_xlfn.XLOOKUP(C1633,products[productID],products[productName],,0)</f>
        <v>Chai</v>
      </c>
      <c r="E1633" t="str">
        <f>_xlfn.XLOOKUP(_xlfn.XLOOKUP(Table9[[#This Row],[ProductName ]],products[productName],products[categoryID],,0),categories[categoryID],categories[categoryName],,0)</f>
        <v>Beverages</v>
      </c>
      <c r="F1633">
        <v>50</v>
      </c>
      <c r="G1633">
        <v>9</v>
      </c>
      <c r="H1633">
        <v>0</v>
      </c>
      <c r="I1633">
        <f>Table9[[#This Row],[quantity]]*Table9[[#This Row],[unitPrice]]*(1-Table9[[#This Row],[discount]]/100)</f>
        <v>450</v>
      </c>
      <c r="J1633" t="str">
        <f>_xlfn.XLOOKUP(_xlfn.XLOOKUP(A1633,orders[orderID],orders[customerID],,0),customers__2[customerID],customers__2[companyName],,0)</f>
        <v>Seven Seas Imports</v>
      </c>
      <c r="K1633" t="str">
        <f>_xlfn.XLOOKUP(Table9[[#This Row],[Company Name]],customers__2[companyName],customers__2[country],,0)</f>
        <v>UK</v>
      </c>
      <c r="L1633">
        <f>MONTH(Table9[[#This Row],[OrderDate ]])</f>
        <v>2</v>
      </c>
      <c r="M1633" t="str">
        <f>TEXT(Table9[[#This Row],[OrderDate ]],"mmm")</f>
        <v>Feb</v>
      </c>
      <c r="N1633">
        <f>YEAR(Table9[[#This Row],[OrderDate ]])</f>
        <v>2015</v>
      </c>
    </row>
    <row r="1634" spans="1:14" x14ac:dyDescent="0.3">
      <c r="A1634">
        <v>10869</v>
      </c>
      <c r="B1634" s="2">
        <f>_xlfn.XLOOKUP(Table9[[#This Row],[orderID]],orders[orderID],orders[orderDate],,0)</f>
        <v>42039</v>
      </c>
      <c r="C1634">
        <f>_xlfn.XLOOKUP(A1634,order_details[orderID],order_details[productID],,0)</f>
        <v>1</v>
      </c>
      <c r="D1634" t="str">
        <f>_xlfn.XLOOKUP(C1634,products[productID],products[productName],,0)</f>
        <v>Chai</v>
      </c>
      <c r="E1634" t="str">
        <f>_xlfn.XLOOKUP(_xlfn.XLOOKUP(Table9[[#This Row],[ProductName ]],products[productName],products[categoryID],,0),categories[categoryID],categories[categoryName],,0)</f>
        <v>Beverages</v>
      </c>
      <c r="F1634">
        <v>20</v>
      </c>
      <c r="G1634">
        <v>125</v>
      </c>
      <c r="H1634">
        <v>0</v>
      </c>
      <c r="I1634">
        <f>Table9[[#This Row],[quantity]]*Table9[[#This Row],[unitPrice]]*(1-Table9[[#This Row],[discount]]/100)</f>
        <v>2500</v>
      </c>
      <c r="J1634" t="str">
        <f>_xlfn.XLOOKUP(_xlfn.XLOOKUP(A1634,orders[orderID],orders[customerID],,0),customers__2[customerID],customers__2[companyName],,0)</f>
        <v>Seven Seas Imports</v>
      </c>
      <c r="K1634" t="str">
        <f>_xlfn.XLOOKUP(Table9[[#This Row],[Company Name]],customers__2[companyName],customers__2[country],,0)</f>
        <v>UK</v>
      </c>
      <c r="L1634">
        <f>MONTH(Table9[[#This Row],[OrderDate ]])</f>
        <v>2</v>
      </c>
      <c r="M1634" t="str">
        <f>TEXT(Table9[[#This Row],[OrderDate ]],"mmm")</f>
        <v>Feb</v>
      </c>
      <c r="N1634">
        <f>YEAR(Table9[[#This Row],[OrderDate ]])</f>
        <v>2015</v>
      </c>
    </row>
    <row r="1635" spans="1:14" x14ac:dyDescent="0.3">
      <c r="A1635">
        <v>10870</v>
      </c>
      <c r="B1635" s="2">
        <f>_xlfn.XLOOKUP(Table9[[#This Row],[orderID]],orders[orderID],orders[orderDate],,0)</f>
        <v>42039</v>
      </c>
      <c r="C1635">
        <f>_xlfn.XLOOKUP(A1635,order_details[orderID],order_details[productID],,0)</f>
        <v>35</v>
      </c>
      <c r="D1635" t="str">
        <f>_xlfn.XLOOKUP(C1635,products[productID],products[productName],,0)</f>
        <v>Steeleye Stout</v>
      </c>
      <c r="E1635" t="str">
        <f>_xlfn.XLOOKUP(_xlfn.XLOOKUP(Table9[[#This Row],[ProductName ]],products[productName],products[categoryID],,0),categories[categoryID],categories[categoryName],,0)</f>
        <v>Beverages</v>
      </c>
      <c r="F1635">
        <v>3</v>
      </c>
      <c r="G1635">
        <v>18</v>
      </c>
      <c r="H1635">
        <v>0</v>
      </c>
      <c r="I1635">
        <f>Table9[[#This Row],[quantity]]*Table9[[#This Row],[unitPrice]]*(1-Table9[[#This Row],[discount]]/100)</f>
        <v>54</v>
      </c>
      <c r="J1635" t="str">
        <f>_xlfn.XLOOKUP(_xlfn.XLOOKUP(A1635,orders[orderID],orders[customerID],,0),customers__2[customerID],customers__2[companyName],,0)</f>
        <v>Wolski  Zajazd</v>
      </c>
      <c r="K1635" t="str">
        <f>_xlfn.XLOOKUP(Table9[[#This Row],[Company Name]],customers__2[companyName],customers__2[country],,0)</f>
        <v>Poland</v>
      </c>
      <c r="L1635">
        <f>MONTH(Table9[[#This Row],[OrderDate ]])</f>
        <v>2</v>
      </c>
      <c r="M1635" t="str">
        <f>TEXT(Table9[[#This Row],[OrderDate ]],"mmm")</f>
        <v>Feb</v>
      </c>
      <c r="N1635">
        <f>YEAR(Table9[[#This Row],[OrderDate ]])</f>
        <v>2015</v>
      </c>
    </row>
    <row r="1636" spans="1:14" x14ac:dyDescent="0.3">
      <c r="A1636">
        <v>10870</v>
      </c>
      <c r="B1636" s="2">
        <f>_xlfn.XLOOKUP(Table9[[#This Row],[orderID]],orders[orderID],orders[orderDate],,0)</f>
        <v>42039</v>
      </c>
      <c r="C1636">
        <f>_xlfn.XLOOKUP(A1636,order_details[orderID],order_details[productID],,0)</f>
        <v>35</v>
      </c>
      <c r="D1636" t="str">
        <f>_xlfn.XLOOKUP(C1636,products[productID],products[productName],,0)</f>
        <v>Steeleye Stout</v>
      </c>
      <c r="E1636" t="str">
        <f>_xlfn.XLOOKUP(_xlfn.XLOOKUP(Table9[[#This Row],[ProductName ]],products[productName],products[categoryID],,0),categories[categoryID],categories[categoryName],,0)</f>
        <v>Beverages</v>
      </c>
      <c r="F1636">
        <v>2</v>
      </c>
      <c r="G1636">
        <v>53</v>
      </c>
      <c r="H1636">
        <v>0</v>
      </c>
      <c r="I1636">
        <f>Table9[[#This Row],[quantity]]*Table9[[#This Row],[unitPrice]]*(1-Table9[[#This Row],[discount]]/100)</f>
        <v>106</v>
      </c>
      <c r="J1636" t="str">
        <f>_xlfn.XLOOKUP(_xlfn.XLOOKUP(A1636,orders[orderID],orders[customerID],,0),customers__2[customerID],customers__2[companyName],,0)</f>
        <v>Wolski  Zajazd</v>
      </c>
      <c r="K1636" t="str">
        <f>_xlfn.XLOOKUP(Table9[[#This Row],[Company Name]],customers__2[companyName],customers__2[country],,0)</f>
        <v>Poland</v>
      </c>
      <c r="L1636">
        <f>MONTH(Table9[[#This Row],[OrderDate ]])</f>
        <v>2</v>
      </c>
      <c r="M1636" t="str">
        <f>TEXT(Table9[[#This Row],[OrderDate ]],"mmm")</f>
        <v>Feb</v>
      </c>
      <c r="N1636">
        <f>YEAR(Table9[[#This Row],[OrderDate ]])</f>
        <v>2015</v>
      </c>
    </row>
    <row r="1637" spans="1:14" x14ac:dyDescent="0.3">
      <c r="A1637">
        <v>10871</v>
      </c>
      <c r="B1637" s="2">
        <f>_xlfn.XLOOKUP(Table9[[#This Row],[orderID]],orders[orderID],orders[orderDate],,0)</f>
        <v>42040</v>
      </c>
      <c r="C1637">
        <f>_xlfn.XLOOKUP(A1637,order_details[orderID],order_details[productID],,0)</f>
        <v>6</v>
      </c>
      <c r="D1637" t="str">
        <f>_xlfn.XLOOKUP(C1637,products[productID],products[productName],,0)</f>
        <v>Grandma's Boysenberry Spread</v>
      </c>
      <c r="E1637" t="str">
        <f>_xlfn.XLOOKUP(_xlfn.XLOOKUP(Table9[[#This Row],[ProductName ]],products[productName],products[categoryID],,0),categories[categoryID],categories[categoryName],,0)</f>
        <v>Condiments</v>
      </c>
      <c r="F1637">
        <v>50</v>
      </c>
      <c r="G1637">
        <v>25</v>
      </c>
      <c r="H1637">
        <v>5</v>
      </c>
      <c r="I1637">
        <f>Table9[[#This Row],[quantity]]*Table9[[#This Row],[unitPrice]]*(1-Table9[[#This Row],[discount]]/100)</f>
        <v>1187.5</v>
      </c>
      <c r="J1637" t="str">
        <f>_xlfn.XLOOKUP(_xlfn.XLOOKUP(A1637,orders[orderID],orders[customerID],,0),customers__2[customerID],customers__2[companyName],,0)</f>
        <v>Bon app'</v>
      </c>
      <c r="K1637" t="str">
        <f>_xlfn.XLOOKUP(Table9[[#This Row],[Company Name]],customers__2[companyName],customers__2[country],,0)</f>
        <v>France</v>
      </c>
      <c r="L1637">
        <f>MONTH(Table9[[#This Row],[OrderDate ]])</f>
        <v>2</v>
      </c>
      <c r="M1637" t="str">
        <f>TEXT(Table9[[#This Row],[OrderDate ]],"mmm")</f>
        <v>Feb</v>
      </c>
      <c r="N1637">
        <f>YEAR(Table9[[#This Row],[OrderDate ]])</f>
        <v>2015</v>
      </c>
    </row>
    <row r="1638" spans="1:14" x14ac:dyDescent="0.3">
      <c r="A1638">
        <v>10871</v>
      </c>
      <c r="B1638" s="2">
        <f>_xlfn.XLOOKUP(Table9[[#This Row],[orderID]],orders[orderID],orders[orderDate],,0)</f>
        <v>42040</v>
      </c>
      <c r="C1638">
        <f>_xlfn.XLOOKUP(A1638,order_details[orderID],order_details[productID],,0)</f>
        <v>6</v>
      </c>
      <c r="D1638" t="str">
        <f>_xlfn.XLOOKUP(C1638,products[productID],products[productName],,0)</f>
        <v>Grandma's Boysenberry Spread</v>
      </c>
      <c r="E1638" t="str">
        <f>_xlfn.XLOOKUP(_xlfn.XLOOKUP(Table9[[#This Row],[ProductName ]],products[productName],products[categoryID],,0),categories[categoryID],categories[categoryName],,0)</f>
        <v>Condiments</v>
      </c>
      <c r="F1638">
        <v>12</v>
      </c>
      <c r="G1638">
        <v>1745</v>
      </c>
      <c r="H1638">
        <v>5</v>
      </c>
      <c r="I1638">
        <f>Table9[[#This Row],[quantity]]*Table9[[#This Row],[unitPrice]]*(1-Table9[[#This Row],[discount]]/100)</f>
        <v>19893</v>
      </c>
      <c r="J1638" t="str">
        <f>_xlfn.XLOOKUP(_xlfn.XLOOKUP(A1638,orders[orderID],orders[customerID],,0),customers__2[customerID],customers__2[companyName],,0)</f>
        <v>Bon app'</v>
      </c>
      <c r="K1638" t="str">
        <f>_xlfn.XLOOKUP(Table9[[#This Row],[Company Name]],customers__2[companyName],customers__2[country],,0)</f>
        <v>France</v>
      </c>
      <c r="L1638">
        <f>MONTH(Table9[[#This Row],[OrderDate ]])</f>
        <v>2</v>
      </c>
      <c r="M1638" t="str">
        <f>TEXT(Table9[[#This Row],[OrderDate ]],"mmm")</f>
        <v>Feb</v>
      </c>
      <c r="N1638">
        <f>YEAR(Table9[[#This Row],[OrderDate ]])</f>
        <v>2015</v>
      </c>
    </row>
    <row r="1639" spans="1:14" x14ac:dyDescent="0.3">
      <c r="A1639">
        <v>10871</v>
      </c>
      <c r="B1639" s="2">
        <f>_xlfn.XLOOKUP(Table9[[#This Row],[orderID]],orders[orderID],orders[orderDate],,0)</f>
        <v>42040</v>
      </c>
      <c r="C1639">
        <f>_xlfn.XLOOKUP(A1639,order_details[orderID],order_details[productID],,0)</f>
        <v>6</v>
      </c>
      <c r="D1639" t="str">
        <f>_xlfn.XLOOKUP(C1639,products[productID],products[productName],,0)</f>
        <v>Grandma's Boysenberry Spread</v>
      </c>
      <c r="E1639" t="str">
        <f>_xlfn.XLOOKUP(_xlfn.XLOOKUP(Table9[[#This Row],[ProductName ]],products[productName],products[categoryID],,0),categories[categoryID],categories[categoryName],,0)</f>
        <v>Condiments</v>
      </c>
      <c r="F1639">
        <v>16</v>
      </c>
      <c r="G1639">
        <v>39</v>
      </c>
      <c r="H1639">
        <v>5</v>
      </c>
      <c r="I1639">
        <f>Table9[[#This Row],[quantity]]*Table9[[#This Row],[unitPrice]]*(1-Table9[[#This Row],[discount]]/100)</f>
        <v>592.79999999999995</v>
      </c>
      <c r="J1639" t="str">
        <f>_xlfn.XLOOKUP(_xlfn.XLOOKUP(A1639,orders[orderID],orders[customerID],,0),customers__2[customerID],customers__2[companyName],,0)</f>
        <v>Bon app'</v>
      </c>
      <c r="K1639" t="str">
        <f>_xlfn.XLOOKUP(Table9[[#This Row],[Company Name]],customers__2[companyName],customers__2[country],,0)</f>
        <v>France</v>
      </c>
      <c r="L1639">
        <f>MONTH(Table9[[#This Row],[OrderDate ]])</f>
        <v>2</v>
      </c>
      <c r="M1639" t="str">
        <f>TEXT(Table9[[#This Row],[OrderDate ]],"mmm")</f>
        <v>Feb</v>
      </c>
      <c r="N1639">
        <f>YEAR(Table9[[#This Row],[OrderDate ]])</f>
        <v>2015</v>
      </c>
    </row>
    <row r="1640" spans="1:14" x14ac:dyDescent="0.3">
      <c r="A1640">
        <v>10872</v>
      </c>
      <c r="B1640" s="2">
        <f>_xlfn.XLOOKUP(Table9[[#This Row],[orderID]],orders[orderID],orders[orderDate],,0)</f>
        <v>42040</v>
      </c>
      <c r="C1640">
        <f>_xlfn.XLOOKUP(A1640,order_details[orderID],order_details[productID],,0)</f>
        <v>55</v>
      </c>
      <c r="D1640" t="str">
        <f>_xlfn.XLOOKUP(C1640,products[productID],products[productName],,0)</f>
        <v>Pâté chinois</v>
      </c>
      <c r="E1640" t="str">
        <f>_xlfn.XLOOKUP(_xlfn.XLOOKUP(Table9[[#This Row],[ProductName ]],products[productName],products[categoryID],,0),categories[categoryID],categories[categoryName],,0)</f>
        <v>Meat &amp; Poultry</v>
      </c>
      <c r="F1640">
        <v>10</v>
      </c>
      <c r="G1640">
        <v>24</v>
      </c>
      <c r="H1640">
        <v>5</v>
      </c>
      <c r="I1640">
        <f>Table9[[#This Row],[quantity]]*Table9[[#This Row],[unitPrice]]*(1-Table9[[#This Row],[discount]]/100)</f>
        <v>228</v>
      </c>
      <c r="J1640" t="str">
        <f>_xlfn.XLOOKUP(_xlfn.XLOOKUP(A1640,orders[orderID],orders[customerID],,0),customers__2[customerID],customers__2[companyName],,0)</f>
        <v>Godos Cocina Típica</v>
      </c>
      <c r="K1640" t="str">
        <f>_xlfn.XLOOKUP(Table9[[#This Row],[Company Name]],customers__2[companyName],customers__2[country],,0)</f>
        <v>Spain</v>
      </c>
      <c r="L1640">
        <f>MONTH(Table9[[#This Row],[OrderDate ]])</f>
        <v>2</v>
      </c>
      <c r="M1640" t="str">
        <f>TEXT(Table9[[#This Row],[OrderDate ]],"mmm")</f>
        <v>Feb</v>
      </c>
      <c r="N1640">
        <f>YEAR(Table9[[#This Row],[OrderDate ]])</f>
        <v>2015</v>
      </c>
    </row>
    <row r="1641" spans="1:14" x14ac:dyDescent="0.3">
      <c r="A1641">
        <v>10872</v>
      </c>
      <c r="B1641" s="2">
        <f>_xlfn.XLOOKUP(Table9[[#This Row],[orderID]],orders[orderID],orders[orderDate],,0)</f>
        <v>42040</v>
      </c>
      <c r="C1641">
        <f>_xlfn.XLOOKUP(A1641,order_details[orderID],order_details[productID],,0)</f>
        <v>55</v>
      </c>
      <c r="D1641" t="str">
        <f>_xlfn.XLOOKUP(C1641,products[productID],products[productName],,0)</f>
        <v>Pâté chinois</v>
      </c>
      <c r="E1641" t="str">
        <f>_xlfn.XLOOKUP(_xlfn.XLOOKUP(Table9[[#This Row],[ProductName ]],products[productName],products[categoryID],,0),categories[categoryID],categories[categoryName],,0)</f>
        <v>Meat &amp; Poultry</v>
      </c>
      <c r="F1641">
        <v>20</v>
      </c>
      <c r="G1641">
        <v>493</v>
      </c>
      <c r="H1641">
        <v>5</v>
      </c>
      <c r="I1641">
        <f>Table9[[#This Row],[quantity]]*Table9[[#This Row],[unitPrice]]*(1-Table9[[#This Row],[discount]]/100)</f>
        <v>9367</v>
      </c>
      <c r="J1641" t="str">
        <f>_xlfn.XLOOKUP(_xlfn.XLOOKUP(A1641,orders[orderID],orders[customerID],,0),customers__2[customerID],customers__2[companyName],,0)</f>
        <v>Godos Cocina Típica</v>
      </c>
      <c r="K1641" t="str">
        <f>_xlfn.XLOOKUP(Table9[[#This Row],[Company Name]],customers__2[companyName],customers__2[country],,0)</f>
        <v>Spain</v>
      </c>
      <c r="L1641">
        <f>MONTH(Table9[[#This Row],[OrderDate ]])</f>
        <v>2</v>
      </c>
      <c r="M1641" t="str">
        <f>TEXT(Table9[[#This Row],[OrderDate ]],"mmm")</f>
        <v>Feb</v>
      </c>
      <c r="N1641">
        <f>YEAR(Table9[[#This Row],[OrderDate ]])</f>
        <v>2015</v>
      </c>
    </row>
    <row r="1642" spans="1:14" x14ac:dyDescent="0.3">
      <c r="A1642">
        <v>10872</v>
      </c>
      <c r="B1642" s="2">
        <f>_xlfn.XLOOKUP(Table9[[#This Row],[orderID]],orders[orderID],orders[orderDate],,0)</f>
        <v>42040</v>
      </c>
      <c r="C1642">
        <f>_xlfn.XLOOKUP(A1642,order_details[orderID],order_details[productID],,0)</f>
        <v>55</v>
      </c>
      <c r="D1642" t="str">
        <f>_xlfn.XLOOKUP(C1642,products[productID],products[productName],,0)</f>
        <v>Pâté chinois</v>
      </c>
      <c r="E1642" t="str">
        <f>_xlfn.XLOOKUP(_xlfn.XLOOKUP(Table9[[#This Row],[ProductName ]],products[productName],products[categoryID],,0),categories[categoryID],categories[categoryName],,0)</f>
        <v>Meat &amp; Poultry</v>
      </c>
      <c r="F1642">
        <v>15</v>
      </c>
      <c r="G1642">
        <v>3325</v>
      </c>
      <c r="H1642">
        <v>5</v>
      </c>
      <c r="I1642">
        <f>Table9[[#This Row],[quantity]]*Table9[[#This Row],[unitPrice]]*(1-Table9[[#This Row],[discount]]/100)</f>
        <v>47381.25</v>
      </c>
      <c r="J1642" t="str">
        <f>_xlfn.XLOOKUP(_xlfn.XLOOKUP(A1642,orders[orderID],orders[customerID],,0),customers__2[customerID],customers__2[companyName],,0)</f>
        <v>Godos Cocina Típica</v>
      </c>
      <c r="K1642" t="str">
        <f>_xlfn.XLOOKUP(Table9[[#This Row],[Company Name]],customers__2[companyName],customers__2[country],,0)</f>
        <v>Spain</v>
      </c>
      <c r="L1642">
        <f>MONTH(Table9[[#This Row],[OrderDate ]])</f>
        <v>2</v>
      </c>
      <c r="M1642" t="str">
        <f>TEXT(Table9[[#This Row],[OrderDate ]],"mmm")</f>
        <v>Feb</v>
      </c>
      <c r="N1642">
        <f>YEAR(Table9[[#This Row],[OrderDate ]])</f>
        <v>2015</v>
      </c>
    </row>
    <row r="1643" spans="1:14" x14ac:dyDescent="0.3">
      <c r="A1643">
        <v>10872</v>
      </c>
      <c r="B1643" s="2">
        <f>_xlfn.XLOOKUP(Table9[[#This Row],[orderID]],orders[orderID],orders[orderDate],,0)</f>
        <v>42040</v>
      </c>
      <c r="C1643">
        <f>_xlfn.XLOOKUP(A1643,order_details[orderID],order_details[productID],,0)</f>
        <v>55</v>
      </c>
      <c r="D1643" t="str">
        <f>_xlfn.XLOOKUP(C1643,products[productID],products[productName],,0)</f>
        <v>Pâté chinois</v>
      </c>
      <c r="E1643" t="str">
        <f>_xlfn.XLOOKUP(_xlfn.XLOOKUP(Table9[[#This Row],[ProductName ]],products[productName],products[categoryID],,0),categories[categoryID],categories[categoryName],,0)</f>
        <v>Meat &amp; Poultry</v>
      </c>
      <c r="F1643">
        <v>21</v>
      </c>
      <c r="G1643">
        <v>2105</v>
      </c>
      <c r="H1643">
        <v>5</v>
      </c>
      <c r="I1643">
        <f>Table9[[#This Row],[quantity]]*Table9[[#This Row],[unitPrice]]*(1-Table9[[#This Row],[discount]]/100)</f>
        <v>41994.75</v>
      </c>
      <c r="J1643" t="str">
        <f>_xlfn.XLOOKUP(_xlfn.XLOOKUP(A1643,orders[orderID],orders[customerID],,0),customers__2[customerID],customers__2[companyName],,0)</f>
        <v>Godos Cocina Típica</v>
      </c>
      <c r="K1643" t="str">
        <f>_xlfn.XLOOKUP(Table9[[#This Row],[Company Name]],customers__2[companyName],customers__2[country],,0)</f>
        <v>Spain</v>
      </c>
      <c r="L1643">
        <f>MONTH(Table9[[#This Row],[OrderDate ]])</f>
        <v>2</v>
      </c>
      <c r="M1643" t="str">
        <f>TEXT(Table9[[#This Row],[OrderDate ]],"mmm")</f>
        <v>Feb</v>
      </c>
      <c r="N1643">
        <f>YEAR(Table9[[#This Row],[OrderDate ]])</f>
        <v>2015</v>
      </c>
    </row>
    <row r="1644" spans="1:14" x14ac:dyDescent="0.3">
      <c r="A1644">
        <v>10873</v>
      </c>
      <c r="B1644" s="2">
        <f>_xlfn.XLOOKUP(Table9[[#This Row],[orderID]],orders[orderID],orders[orderDate],,0)</f>
        <v>42041</v>
      </c>
      <c r="C1644">
        <f>_xlfn.XLOOKUP(A1644,order_details[orderID],order_details[productID],,0)</f>
        <v>21</v>
      </c>
      <c r="D1644" t="str">
        <f>_xlfn.XLOOKUP(C1644,products[productID],products[productName],,0)</f>
        <v>Sir Rodney's Scones</v>
      </c>
      <c r="E1644" t="str">
        <f>_xlfn.XLOOKUP(_xlfn.XLOOKUP(Table9[[#This Row],[ProductName ]],products[productName],products[categoryID],,0),categories[categoryID],categories[categoryName],,0)</f>
        <v>Confections</v>
      </c>
      <c r="F1644">
        <v>20</v>
      </c>
      <c r="G1644">
        <v>10</v>
      </c>
      <c r="H1644">
        <v>0</v>
      </c>
      <c r="I1644">
        <f>Table9[[#This Row],[quantity]]*Table9[[#This Row],[unitPrice]]*(1-Table9[[#This Row],[discount]]/100)</f>
        <v>200</v>
      </c>
      <c r="J1644" t="str">
        <f>_xlfn.XLOOKUP(_xlfn.XLOOKUP(A1644,orders[orderID],orders[customerID],,0),customers__2[customerID],customers__2[companyName],,0)</f>
        <v>Wilman Kala</v>
      </c>
      <c r="K1644" t="str">
        <f>_xlfn.XLOOKUP(Table9[[#This Row],[Company Name]],customers__2[companyName],customers__2[country],,0)</f>
        <v>Finland</v>
      </c>
      <c r="L1644">
        <f>MONTH(Table9[[#This Row],[OrderDate ]])</f>
        <v>2</v>
      </c>
      <c r="M1644" t="str">
        <f>TEXT(Table9[[#This Row],[OrderDate ]],"mmm")</f>
        <v>Feb</v>
      </c>
      <c r="N1644">
        <f>YEAR(Table9[[#This Row],[OrderDate ]])</f>
        <v>2015</v>
      </c>
    </row>
    <row r="1645" spans="1:14" x14ac:dyDescent="0.3">
      <c r="A1645">
        <v>10873</v>
      </c>
      <c r="B1645" s="2">
        <f>_xlfn.XLOOKUP(Table9[[#This Row],[orderID]],orders[orderID],orders[orderDate],,0)</f>
        <v>42041</v>
      </c>
      <c r="C1645">
        <f>_xlfn.XLOOKUP(A1645,order_details[orderID],order_details[productID],,0)</f>
        <v>21</v>
      </c>
      <c r="D1645" t="str">
        <f>_xlfn.XLOOKUP(C1645,products[productID],products[productName],,0)</f>
        <v>Sir Rodney's Scones</v>
      </c>
      <c r="E1645" t="str">
        <f>_xlfn.XLOOKUP(_xlfn.XLOOKUP(Table9[[#This Row],[ProductName ]],products[productName],products[categoryID],,0),categories[categoryID],categories[categoryName],,0)</f>
        <v>Confections</v>
      </c>
      <c r="F1645">
        <v>3</v>
      </c>
      <c r="G1645">
        <v>456</v>
      </c>
      <c r="H1645">
        <v>0</v>
      </c>
      <c r="I1645">
        <f>Table9[[#This Row],[quantity]]*Table9[[#This Row],[unitPrice]]*(1-Table9[[#This Row],[discount]]/100)</f>
        <v>1368</v>
      </c>
      <c r="J1645" t="str">
        <f>_xlfn.XLOOKUP(_xlfn.XLOOKUP(A1645,orders[orderID],orders[customerID],,0),customers__2[customerID],customers__2[companyName],,0)</f>
        <v>Wilman Kala</v>
      </c>
      <c r="K1645" t="str">
        <f>_xlfn.XLOOKUP(Table9[[#This Row],[Company Name]],customers__2[companyName],customers__2[country],,0)</f>
        <v>Finland</v>
      </c>
      <c r="L1645">
        <f>MONTH(Table9[[#This Row],[OrderDate ]])</f>
        <v>2</v>
      </c>
      <c r="M1645" t="str">
        <f>TEXT(Table9[[#This Row],[OrderDate ]],"mmm")</f>
        <v>Feb</v>
      </c>
      <c r="N1645">
        <f>YEAR(Table9[[#This Row],[OrderDate ]])</f>
        <v>2015</v>
      </c>
    </row>
    <row r="1646" spans="1:14" x14ac:dyDescent="0.3">
      <c r="A1646">
        <v>10874</v>
      </c>
      <c r="B1646" s="2">
        <f>_xlfn.XLOOKUP(Table9[[#This Row],[orderID]],orders[orderID],orders[orderDate],,0)</f>
        <v>42041</v>
      </c>
      <c r="C1646">
        <f>_xlfn.XLOOKUP(A1646,order_details[orderID],order_details[productID],,0)</f>
        <v>10</v>
      </c>
      <c r="D1646" t="str">
        <f>_xlfn.XLOOKUP(C1646,products[productID],products[productName],,0)</f>
        <v>Ikura</v>
      </c>
      <c r="E1646" t="str">
        <f>_xlfn.XLOOKUP(_xlfn.XLOOKUP(Table9[[#This Row],[ProductName ]],products[productName],products[categoryID],,0),categories[categoryID],categories[categoryName],,0)</f>
        <v>Seafood</v>
      </c>
      <c r="F1646">
        <v>10</v>
      </c>
      <c r="G1646">
        <v>31</v>
      </c>
      <c r="H1646">
        <v>0</v>
      </c>
      <c r="I1646">
        <f>Table9[[#This Row],[quantity]]*Table9[[#This Row],[unitPrice]]*(1-Table9[[#This Row],[discount]]/100)</f>
        <v>310</v>
      </c>
      <c r="J1646" t="str">
        <f>_xlfn.XLOOKUP(_xlfn.XLOOKUP(A1646,orders[orderID],orders[customerID],,0),customers__2[customerID],customers__2[companyName],,0)</f>
        <v>Godos Cocina Típica</v>
      </c>
      <c r="K1646" t="str">
        <f>_xlfn.XLOOKUP(Table9[[#This Row],[Company Name]],customers__2[companyName],customers__2[country],,0)</f>
        <v>Spain</v>
      </c>
      <c r="L1646">
        <f>MONTH(Table9[[#This Row],[OrderDate ]])</f>
        <v>2</v>
      </c>
      <c r="M1646" t="str">
        <f>TEXT(Table9[[#This Row],[OrderDate ]],"mmm")</f>
        <v>Feb</v>
      </c>
      <c r="N1646">
        <f>YEAR(Table9[[#This Row],[OrderDate ]])</f>
        <v>2015</v>
      </c>
    </row>
    <row r="1647" spans="1:14" x14ac:dyDescent="0.3">
      <c r="A1647">
        <v>10875</v>
      </c>
      <c r="B1647" s="2">
        <f>_xlfn.XLOOKUP(Table9[[#This Row],[orderID]],orders[orderID],orders[orderDate],,0)</f>
        <v>42041</v>
      </c>
      <c r="C1647">
        <f>_xlfn.XLOOKUP(A1647,order_details[orderID],order_details[productID],,0)</f>
        <v>19</v>
      </c>
      <c r="D1647" t="str">
        <f>_xlfn.XLOOKUP(C1647,products[productID],products[productName],,0)</f>
        <v>Teatime Chocolate Biscuits</v>
      </c>
      <c r="E1647" t="str">
        <f>_xlfn.XLOOKUP(_xlfn.XLOOKUP(Table9[[#This Row],[ProductName ]],products[productName],products[categoryID],,0),categories[categoryID],categories[categoryName],,0)</f>
        <v>Confections</v>
      </c>
      <c r="F1647">
        <v>25</v>
      </c>
      <c r="G1647">
        <v>92</v>
      </c>
      <c r="H1647">
        <v>0</v>
      </c>
      <c r="I1647">
        <f>Table9[[#This Row],[quantity]]*Table9[[#This Row],[unitPrice]]*(1-Table9[[#This Row],[discount]]/100)</f>
        <v>2300</v>
      </c>
      <c r="J1647" t="str">
        <f>_xlfn.XLOOKUP(_xlfn.XLOOKUP(A1647,orders[orderID],orders[customerID],,0),customers__2[customerID],customers__2[companyName],,0)</f>
        <v>Berglunds snabbköp</v>
      </c>
      <c r="K1647" t="str">
        <f>_xlfn.XLOOKUP(Table9[[#This Row],[Company Name]],customers__2[companyName],customers__2[country],,0)</f>
        <v>Sweden</v>
      </c>
      <c r="L1647">
        <f>MONTH(Table9[[#This Row],[OrderDate ]])</f>
        <v>2</v>
      </c>
      <c r="M1647" t="str">
        <f>TEXT(Table9[[#This Row],[OrderDate ]],"mmm")</f>
        <v>Feb</v>
      </c>
      <c r="N1647">
        <f>YEAR(Table9[[#This Row],[OrderDate ]])</f>
        <v>2015</v>
      </c>
    </row>
    <row r="1648" spans="1:14" x14ac:dyDescent="0.3">
      <c r="A1648">
        <v>10875</v>
      </c>
      <c r="B1648" s="2">
        <f>_xlfn.XLOOKUP(Table9[[#This Row],[orderID]],orders[orderID],orders[orderDate],,0)</f>
        <v>42041</v>
      </c>
      <c r="C1648">
        <f>_xlfn.XLOOKUP(A1648,order_details[orderID],order_details[productID],,0)</f>
        <v>19</v>
      </c>
      <c r="D1648" t="str">
        <f>_xlfn.XLOOKUP(C1648,products[productID],products[productName],,0)</f>
        <v>Teatime Chocolate Biscuits</v>
      </c>
      <c r="E1648" t="str">
        <f>_xlfn.XLOOKUP(_xlfn.XLOOKUP(Table9[[#This Row],[ProductName ]],products[productName],products[categoryID],,0),categories[categoryID],categories[categoryName],,0)</f>
        <v>Confections</v>
      </c>
      <c r="F1648">
        <v>21</v>
      </c>
      <c r="G1648">
        <v>95</v>
      </c>
      <c r="H1648">
        <v>1</v>
      </c>
      <c r="I1648">
        <f>Table9[[#This Row],[quantity]]*Table9[[#This Row],[unitPrice]]*(1-Table9[[#This Row],[discount]]/100)</f>
        <v>1975.05</v>
      </c>
      <c r="J1648" t="str">
        <f>_xlfn.XLOOKUP(_xlfn.XLOOKUP(A1648,orders[orderID],orders[customerID],,0),customers__2[customerID],customers__2[companyName],,0)</f>
        <v>Berglunds snabbköp</v>
      </c>
      <c r="K1648" t="str">
        <f>_xlfn.XLOOKUP(Table9[[#This Row],[Company Name]],customers__2[companyName],customers__2[country],,0)</f>
        <v>Sweden</v>
      </c>
      <c r="L1648">
        <f>MONTH(Table9[[#This Row],[OrderDate ]])</f>
        <v>2</v>
      </c>
      <c r="M1648" t="str">
        <f>TEXT(Table9[[#This Row],[OrderDate ]],"mmm")</f>
        <v>Feb</v>
      </c>
      <c r="N1648">
        <f>YEAR(Table9[[#This Row],[OrderDate ]])</f>
        <v>2015</v>
      </c>
    </row>
    <row r="1649" spans="1:14" x14ac:dyDescent="0.3">
      <c r="A1649">
        <v>10875</v>
      </c>
      <c r="B1649" s="2">
        <f>_xlfn.XLOOKUP(Table9[[#This Row],[orderID]],orders[orderID],orders[orderDate],,0)</f>
        <v>42041</v>
      </c>
      <c r="C1649">
        <f>_xlfn.XLOOKUP(A1649,order_details[orderID],order_details[productID],,0)</f>
        <v>19</v>
      </c>
      <c r="D1649" t="str">
        <f>_xlfn.XLOOKUP(C1649,products[productID],products[productName],,0)</f>
        <v>Teatime Chocolate Biscuits</v>
      </c>
      <c r="E1649" t="str">
        <f>_xlfn.XLOOKUP(_xlfn.XLOOKUP(Table9[[#This Row],[ProductName ]],products[productName],products[categoryID],,0),categories[categoryID],categories[categoryName],,0)</f>
        <v>Confections</v>
      </c>
      <c r="F1649">
        <v>15</v>
      </c>
      <c r="G1649">
        <v>20</v>
      </c>
      <c r="H1649">
        <v>0</v>
      </c>
      <c r="I1649">
        <f>Table9[[#This Row],[quantity]]*Table9[[#This Row],[unitPrice]]*(1-Table9[[#This Row],[discount]]/100)</f>
        <v>300</v>
      </c>
      <c r="J1649" t="str">
        <f>_xlfn.XLOOKUP(_xlfn.XLOOKUP(A1649,orders[orderID],orders[customerID],,0),customers__2[customerID],customers__2[companyName],,0)</f>
        <v>Berglunds snabbköp</v>
      </c>
      <c r="K1649" t="str">
        <f>_xlfn.XLOOKUP(Table9[[#This Row],[Company Name]],customers__2[companyName],customers__2[country],,0)</f>
        <v>Sweden</v>
      </c>
      <c r="L1649">
        <f>MONTH(Table9[[#This Row],[OrderDate ]])</f>
        <v>2</v>
      </c>
      <c r="M1649" t="str">
        <f>TEXT(Table9[[#This Row],[OrderDate ]],"mmm")</f>
        <v>Feb</v>
      </c>
      <c r="N1649">
        <f>YEAR(Table9[[#This Row],[OrderDate ]])</f>
        <v>2015</v>
      </c>
    </row>
    <row r="1650" spans="1:14" x14ac:dyDescent="0.3">
      <c r="A1650">
        <v>10876</v>
      </c>
      <c r="B1650" s="2">
        <f>_xlfn.XLOOKUP(Table9[[#This Row],[orderID]],orders[orderID],orders[orderDate],,0)</f>
        <v>42044</v>
      </c>
      <c r="C1650">
        <f>_xlfn.XLOOKUP(A1650,order_details[orderID],order_details[productID],,0)</f>
        <v>46</v>
      </c>
      <c r="D1650" t="str">
        <f>_xlfn.XLOOKUP(C1650,products[productID],products[productName],,0)</f>
        <v>Spegesild</v>
      </c>
      <c r="E1650" t="str">
        <f>_xlfn.XLOOKUP(_xlfn.XLOOKUP(Table9[[#This Row],[ProductName ]],products[productName],products[categoryID],,0),categories[categoryID],categories[categoryName],,0)</f>
        <v>Seafood</v>
      </c>
      <c r="F1650">
        <v>21</v>
      </c>
      <c r="G1650">
        <v>12</v>
      </c>
      <c r="H1650">
        <v>0</v>
      </c>
      <c r="I1650">
        <f>Table9[[#This Row],[quantity]]*Table9[[#This Row],[unitPrice]]*(1-Table9[[#This Row],[discount]]/100)</f>
        <v>252</v>
      </c>
      <c r="J1650" t="str">
        <f>_xlfn.XLOOKUP(_xlfn.XLOOKUP(A1650,orders[orderID],orders[customerID],,0),customers__2[customerID],customers__2[companyName],,0)</f>
        <v>Bon app'</v>
      </c>
      <c r="K1650" t="str">
        <f>_xlfn.XLOOKUP(Table9[[#This Row],[Company Name]],customers__2[companyName],customers__2[country],,0)</f>
        <v>France</v>
      </c>
      <c r="L1650">
        <f>MONTH(Table9[[#This Row],[OrderDate ]])</f>
        <v>2</v>
      </c>
      <c r="M1650" t="str">
        <f>TEXT(Table9[[#This Row],[OrderDate ]],"mmm")</f>
        <v>Feb</v>
      </c>
      <c r="N1650">
        <f>YEAR(Table9[[#This Row],[OrderDate ]])</f>
        <v>2015</v>
      </c>
    </row>
    <row r="1651" spans="1:14" x14ac:dyDescent="0.3">
      <c r="A1651">
        <v>10876</v>
      </c>
      <c r="B1651" s="2">
        <f>_xlfn.XLOOKUP(Table9[[#This Row],[orderID]],orders[orderID],orders[orderDate],,0)</f>
        <v>42044</v>
      </c>
      <c r="C1651">
        <f>_xlfn.XLOOKUP(A1651,order_details[orderID],order_details[productID],,0)</f>
        <v>46</v>
      </c>
      <c r="D1651" t="str">
        <f>_xlfn.XLOOKUP(C1651,products[productID],products[productName],,0)</f>
        <v>Spegesild</v>
      </c>
      <c r="E1651" t="str">
        <f>_xlfn.XLOOKUP(_xlfn.XLOOKUP(Table9[[#This Row],[ProductName ]],products[productName],products[categoryID],,0),categories[categoryID],categories[categoryName],,0)</f>
        <v>Seafood</v>
      </c>
      <c r="F1651">
        <v>20</v>
      </c>
      <c r="G1651">
        <v>3325</v>
      </c>
      <c r="H1651">
        <v>0</v>
      </c>
      <c r="I1651">
        <f>Table9[[#This Row],[quantity]]*Table9[[#This Row],[unitPrice]]*(1-Table9[[#This Row],[discount]]/100)</f>
        <v>66500</v>
      </c>
      <c r="J1651" t="str">
        <f>_xlfn.XLOOKUP(_xlfn.XLOOKUP(A1651,orders[orderID],orders[customerID],,0),customers__2[customerID],customers__2[companyName],,0)</f>
        <v>Bon app'</v>
      </c>
      <c r="K1651" t="str">
        <f>_xlfn.XLOOKUP(Table9[[#This Row],[Company Name]],customers__2[companyName],customers__2[country],,0)</f>
        <v>France</v>
      </c>
      <c r="L1651">
        <f>MONTH(Table9[[#This Row],[OrderDate ]])</f>
        <v>2</v>
      </c>
      <c r="M1651" t="str">
        <f>TEXT(Table9[[#This Row],[OrderDate ]],"mmm")</f>
        <v>Feb</v>
      </c>
      <c r="N1651">
        <f>YEAR(Table9[[#This Row],[OrderDate ]])</f>
        <v>2015</v>
      </c>
    </row>
    <row r="1652" spans="1:14" x14ac:dyDescent="0.3">
      <c r="A1652">
        <v>10877</v>
      </c>
      <c r="B1652" s="2">
        <f>_xlfn.XLOOKUP(Table9[[#This Row],[orderID]],orders[orderID],orders[orderDate],,0)</f>
        <v>42044</v>
      </c>
      <c r="C1652">
        <f>_xlfn.XLOOKUP(A1652,order_details[orderID],order_details[productID],,0)</f>
        <v>16</v>
      </c>
      <c r="D1652" t="str">
        <f>_xlfn.XLOOKUP(C1652,products[productID],products[productName],,0)</f>
        <v>Pavlova</v>
      </c>
      <c r="E1652" t="str">
        <f>_xlfn.XLOOKUP(_xlfn.XLOOKUP(Table9[[#This Row],[ProductName ]],products[productName],products[categoryID],,0),categories[categoryID],categories[categoryName],,0)</f>
        <v>Confections</v>
      </c>
      <c r="F1652">
        <v>30</v>
      </c>
      <c r="G1652">
        <v>1745</v>
      </c>
      <c r="H1652">
        <v>25</v>
      </c>
      <c r="I1652">
        <f>Table9[[#This Row],[quantity]]*Table9[[#This Row],[unitPrice]]*(1-Table9[[#This Row],[discount]]/100)</f>
        <v>39262.5</v>
      </c>
      <c r="J1652" t="str">
        <f>_xlfn.XLOOKUP(_xlfn.XLOOKUP(A1652,orders[orderID],orders[customerID],,0),customers__2[customerID],customers__2[companyName],,0)</f>
        <v>Ricardo Adocicados</v>
      </c>
      <c r="K1652" t="str">
        <f>_xlfn.XLOOKUP(Table9[[#This Row],[Company Name]],customers__2[companyName],customers__2[country],,0)</f>
        <v>Brazil</v>
      </c>
      <c r="L1652">
        <f>MONTH(Table9[[#This Row],[OrderDate ]])</f>
        <v>2</v>
      </c>
      <c r="M1652" t="str">
        <f>TEXT(Table9[[#This Row],[OrderDate ]],"mmm")</f>
        <v>Feb</v>
      </c>
      <c r="N1652">
        <f>YEAR(Table9[[#This Row],[OrderDate ]])</f>
        <v>2015</v>
      </c>
    </row>
    <row r="1653" spans="1:14" x14ac:dyDescent="0.3">
      <c r="A1653">
        <v>10877</v>
      </c>
      <c r="B1653" s="2">
        <f>_xlfn.XLOOKUP(Table9[[#This Row],[orderID]],orders[orderID],orders[orderDate],,0)</f>
        <v>42044</v>
      </c>
      <c r="C1653">
        <f>_xlfn.XLOOKUP(A1653,order_details[orderID],order_details[productID],,0)</f>
        <v>16</v>
      </c>
      <c r="D1653" t="str">
        <f>_xlfn.XLOOKUP(C1653,products[productID],products[productName],,0)</f>
        <v>Pavlova</v>
      </c>
      <c r="E1653" t="str">
        <f>_xlfn.XLOOKUP(_xlfn.XLOOKUP(Table9[[#This Row],[ProductName ]],products[productName],products[categoryID],,0),categories[categoryID],categories[categoryName],,0)</f>
        <v>Confections</v>
      </c>
      <c r="F1653">
        <v>25</v>
      </c>
      <c r="G1653">
        <v>625</v>
      </c>
      <c r="H1653">
        <v>0</v>
      </c>
      <c r="I1653">
        <f>Table9[[#This Row],[quantity]]*Table9[[#This Row],[unitPrice]]*(1-Table9[[#This Row],[discount]]/100)</f>
        <v>15625</v>
      </c>
      <c r="J1653" t="str">
        <f>_xlfn.XLOOKUP(_xlfn.XLOOKUP(A1653,orders[orderID],orders[customerID],,0),customers__2[customerID],customers__2[companyName],,0)</f>
        <v>Ricardo Adocicados</v>
      </c>
      <c r="K1653" t="str">
        <f>_xlfn.XLOOKUP(Table9[[#This Row],[Company Name]],customers__2[companyName],customers__2[country],,0)</f>
        <v>Brazil</v>
      </c>
      <c r="L1653">
        <f>MONTH(Table9[[#This Row],[OrderDate ]])</f>
        <v>2</v>
      </c>
      <c r="M1653" t="str">
        <f>TEXT(Table9[[#This Row],[OrderDate ]],"mmm")</f>
        <v>Feb</v>
      </c>
      <c r="N1653">
        <f>YEAR(Table9[[#This Row],[OrderDate ]])</f>
        <v>2015</v>
      </c>
    </row>
    <row r="1654" spans="1:14" x14ac:dyDescent="0.3">
      <c r="A1654">
        <v>10878</v>
      </c>
      <c r="B1654" s="2">
        <f>_xlfn.XLOOKUP(Table9[[#This Row],[orderID]],orders[orderID],orders[orderDate],,0)</f>
        <v>42045</v>
      </c>
      <c r="C1654">
        <f>_xlfn.XLOOKUP(A1654,order_details[orderID],order_details[productID],,0)</f>
        <v>20</v>
      </c>
      <c r="D1654" t="str">
        <f>_xlfn.XLOOKUP(C1654,products[productID],products[productName],,0)</f>
        <v>Sir Rodney's Marmalade</v>
      </c>
      <c r="E1654" t="str">
        <f>_xlfn.XLOOKUP(_xlfn.XLOOKUP(Table9[[#This Row],[ProductName ]],products[productName],products[categoryID],,0),categories[categoryID],categories[categoryName],,0)</f>
        <v>Confections</v>
      </c>
      <c r="F1654">
        <v>20</v>
      </c>
      <c r="G1654">
        <v>81</v>
      </c>
      <c r="H1654">
        <v>5</v>
      </c>
      <c r="I1654">
        <f>Table9[[#This Row],[quantity]]*Table9[[#This Row],[unitPrice]]*(1-Table9[[#This Row],[discount]]/100)</f>
        <v>1539</v>
      </c>
      <c r="J1654" t="str">
        <f>_xlfn.XLOOKUP(_xlfn.XLOOKUP(A1654,orders[orderID],orders[customerID],,0),customers__2[customerID],customers__2[companyName],,0)</f>
        <v>QUICK-Stop</v>
      </c>
      <c r="K1654" t="str">
        <f>_xlfn.XLOOKUP(Table9[[#This Row],[Company Name]],customers__2[companyName],customers__2[country],,0)</f>
        <v>Germany</v>
      </c>
      <c r="L1654">
        <f>MONTH(Table9[[#This Row],[OrderDate ]])</f>
        <v>2</v>
      </c>
      <c r="M1654" t="str">
        <f>TEXT(Table9[[#This Row],[OrderDate ]],"mmm")</f>
        <v>Feb</v>
      </c>
      <c r="N1654">
        <f>YEAR(Table9[[#This Row],[OrderDate ]])</f>
        <v>2015</v>
      </c>
    </row>
    <row r="1655" spans="1:14" x14ac:dyDescent="0.3">
      <c r="A1655">
        <v>10879</v>
      </c>
      <c r="B1655" s="2">
        <f>_xlfn.XLOOKUP(Table9[[#This Row],[orderID]],orders[orderID],orders[orderDate],,0)</f>
        <v>42045</v>
      </c>
      <c r="C1655">
        <f>_xlfn.XLOOKUP(A1655,order_details[orderID],order_details[productID],,0)</f>
        <v>40</v>
      </c>
      <c r="D1655" t="str">
        <f>_xlfn.XLOOKUP(C1655,products[productID],products[productName],,0)</f>
        <v>Boston Crab Meat</v>
      </c>
      <c r="E1655" t="str">
        <f>_xlfn.XLOOKUP(_xlfn.XLOOKUP(Table9[[#This Row],[ProductName ]],products[productName],products[categoryID],,0),categories[categoryID],categories[categoryName],,0)</f>
        <v>Seafood</v>
      </c>
      <c r="F1655">
        <v>12</v>
      </c>
      <c r="G1655">
        <v>184</v>
      </c>
      <c r="H1655">
        <v>0</v>
      </c>
      <c r="I1655">
        <f>Table9[[#This Row],[quantity]]*Table9[[#This Row],[unitPrice]]*(1-Table9[[#This Row],[discount]]/100)</f>
        <v>2208</v>
      </c>
      <c r="J1655" t="str">
        <f>_xlfn.XLOOKUP(_xlfn.XLOOKUP(A1655,orders[orderID],orders[customerID],,0),customers__2[customerID],customers__2[companyName],,0)</f>
        <v>Wilman Kala</v>
      </c>
      <c r="K1655" t="str">
        <f>_xlfn.XLOOKUP(Table9[[#This Row],[Company Name]],customers__2[companyName],customers__2[country],,0)</f>
        <v>Finland</v>
      </c>
      <c r="L1655">
        <f>MONTH(Table9[[#This Row],[OrderDate ]])</f>
        <v>2</v>
      </c>
      <c r="M1655" t="str">
        <f>TEXT(Table9[[#This Row],[OrderDate ]],"mmm")</f>
        <v>Feb</v>
      </c>
      <c r="N1655">
        <f>YEAR(Table9[[#This Row],[OrderDate ]])</f>
        <v>2015</v>
      </c>
    </row>
    <row r="1656" spans="1:14" x14ac:dyDescent="0.3">
      <c r="A1656">
        <v>10879</v>
      </c>
      <c r="B1656" s="2">
        <f>_xlfn.XLOOKUP(Table9[[#This Row],[orderID]],orders[orderID],orders[orderDate],,0)</f>
        <v>42045</v>
      </c>
      <c r="C1656">
        <f>_xlfn.XLOOKUP(A1656,order_details[orderID],order_details[productID],,0)</f>
        <v>40</v>
      </c>
      <c r="D1656" t="str">
        <f>_xlfn.XLOOKUP(C1656,products[productID],products[productName],,0)</f>
        <v>Boston Crab Meat</v>
      </c>
      <c r="E1656" t="str">
        <f>_xlfn.XLOOKUP(_xlfn.XLOOKUP(Table9[[#This Row],[ProductName ]],products[productName],products[categoryID],,0),categories[categoryID],categories[categoryName],,0)</f>
        <v>Seafood</v>
      </c>
      <c r="F1656">
        <v>10</v>
      </c>
      <c r="G1656">
        <v>2105</v>
      </c>
      <c r="H1656">
        <v>0</v>
      </c>
      <c r="I1656">
        <f>Table9[[#This Row],[quantity]]*Table9[[#This Row],[unitPrice]]*(1-Table9[[#This Row],[discount]]/100)</f>
        <v>21050</v>
      </c>
      <c r="J1656" t="str">
        <f>_xlfn.XLOOKUP(_xlfn.XLOOKUP(A1656,orders[orderID],orders[customerID],,0),customers__2[customerID],customers__2[companyName],,0)</f>
        <v>Wilman Kala</v>
      </c>
      <c r="K1656" t="str">
        <f>_xlfn.XLOOKUP(Table9[[#This Row],[Company Name]],customers__2[companyName],customers__2[country],,0)</f>
        <v>Finland</v>
      </c>
      <c r="L1656">
        <f>MONTH(Table9[[#This Row],[OrderDate ]])</f>
        <v>2</v>
      </c>
      <c r="M1656" t="str">
        <f>TEXT(Table9[[#This Row],[OrderDate ]],"mmm")</f>
        <v>Feb</v>
      </c>
      <c r="N1656">
        <f>YEAR(Table9[[#This Row],[OrderDate ]])</f>
        <v>2015</v>
      </c>
    </row>
    <row r="1657" spans="1:14" x14ac:dyDescent="0.3">
      <c r="A1657">
        <v>10879</v>
      </c>
      <c r="B1657" s="2">
        <f>_xlfn.XLOOKUP(Table9[[#This Row],[orderID]],orders[orderID],orders[orderDate],,0)</f>
        <v>42045</v>
      </c>
      <c r="C1657">
        <f>_xlfn.XLOOKUP(A1657,order_details[orderID],order_details[productID],,0)</f>
        <v>40</v>
      </c>
      <c r="D1657" t="str">
        <f>_xlfn.XLOOKUP(C1657,products[productID],products[productName],,0)</f>
        <v>Boston Crab Meat</v>
      </c>
      <c r="E1657" t="str">
        <f>_xlfn.XLOOKUP(_xlfn.XLOOKUP(Table9[[#This Row],[ProductName ]],products[productName],products[categoryID],,0),categories[categoryID],categories[categoryName],,0)</f>
        <v>Seafood</v>
      </c>
      <c r="F1657">
        <v>10</v>
      </c>
      <c r="G1657">
        <v>18</v>
      </c>
      <c r="H1657">
        <v>0</v>
      </c>
      <c r="I1657">
        <f>Table9[[#This Row],[quantity]]*Table9[[#This Row],[unitPrice]]*(1-Table9[[#This Row],[discount]]/100)</f>
        <v>180</v>
      </c>
      <c r="J1657" t="str">
        <f>_xlfn.XLOOKUP(_xlfn.XLOOKUP(A1657,orders[orderID],orders[customerID],,0),customers__2[customerID],customers__2[companyName],,0)</f>
        <v>Wilman Kala</v>
      </c>
      <c r="K1657" t="str">
        <f>_xlfn.XLOOKUP(Table9[[#This Row],[Company Name]],customers__2[companyName],customers__2[country],,0)</f>
        <v>Finland</v>
      </c>
      <c r="L1657">
        <f>MONTH(Table9[[#This Row],[OrderDate ]])</f>
        <v>2</v>
      </c>
      <c r="M1657" t="str">
        <f>TEXT(Table9[[#This Row],[OrderDate ]],"mmm")</f>
        <v>Feb</v>
      </c>
      <c r="N1657">
        <f>YEAR(Table9[[#This Row],[OrderDate ]])</f>
        <v>2015</v>
      </c>
    </row>
    <row r="1658" spans="1:14" x14ac:dyDescent="0.3">
      <c r="A1658">
        <v>10880</v>
      </c>
      <c r="B1658" s="2">
        <f>_xlfn.XLOOKUP(Table9[[#This Row],[orderID]],orders[orderID],orders[orderDate],,0)</f>
        <v>42045</v>
      </c>
      <c r="C1658">
        <f>_xlfn.XLOOKUP(A1658,order_details[orderID],order_details[productID],,0)</f>
        <v>23</v>
      </c>
      <c r="D1658" t="str">
        <f>_xlfn.XLOOKUP(C1658,products[productID],products[productName],,0)</f>
        <v>Tunnbröd</v>
      </c>
      <c r="E1658" t="str">
        <f>_xlfn.XLOOKUP(_xlfn.XLOOKUP(Table9[[#This Row],[ProductName ]],products[productName],products[categoryID],,0),categories[categoryID],categories[categoryName],,0)</f>
        <v>Grains &amp; Cereals</v>
      </c>
      <c r="F1658">
        <v>30</v>
      </c>
      <c r="G1658">
        <v>9</v>
      </c>
      <c r="H1658">
        <v>2</v>
      </c>
      <c r="I1658">
        <f>Table9[[#This Row],[quantity]]*Table9[[#This Row],[unitPrice]]*(1-Table9[[#This Row],[discount]]/100)</f>
        <v>264.60000000000002</v>
      </c>
      <c r="J1658" t="str">
        <f>_xlfn.XLOOKUP(_xlfn.XLOOKUP(A1658,orders[orderID],orders[customerID],,0),customers__2[customerID],customers__2[companyName],,0)</f>
        <v>Folk och fä HB</v>
      </c>
      <c r="K1658" t="str">
        <f>_xlfn.XLOOKUP(Table9[[#This Row],[Company Name]],customers__2[companyName],customers__2[country],,0)</f>
        <v>Sweden</v>
      </c>
      <c r="L1658">
        <f>MONTH(Table9[[#This Row],[OrderDate ]])</f>
        <v>2</v>
      </c>
      <c r="M1658" t="str">
        <f>TEXT(Table9[[#This Row],[OrderDate ]],"mmm")</f>
        <v>Feb</v>
      </c>
      <c r="N1658">
        <f>YEAR(Table9[[#This Row],[OrderDate ]])</f>
        <v>2015</v>
      </c>
    </row>
    <row r="1659" spans="1:14" x14ac:dyDescent="0.3">
      <c r="A1659">
        <v>10880</v>
      </c>
      <c r="B1659" s="2">
        <f>_xlfn.XLOOKUP(Table9[[#This Row],[orderID]],orders[orderID],orders[orderDate],,0)</f>
        <v>42045</v>
      </c>
      <c r="C1659">
        <f>_xlfn.XLOOKUP(A1659,order_details[orderID],order_details[productID],,0)</f>
        <v>23</v>
      </c>
      <c r="D1659" t="str">
        <f>_xlfn.XLOOKUP(C1659,products[productID],products[productName],,0)</f>
        <v>Tunnbröd</v>
      </c>
      <c r="E1659" t="str">
        <f>_xlfn.XLOOKUP(_xlfn.XLOOKUP(Table9[[#This Row],[ProductName ]],products[productName],products[categoryID],,0),categories[categoryID],categories[categoryName],,0)</f>
        <v>Grains &amp; Cereals</v>
      </c>
      <c r="F1659">
        <v>30</v>
      </c>
      <c r="G1659">
        <v>285</v>
      </c>
      <c r="H1659">
        <v>2</v>
      </c>
      <c r="I1659">
        <f>Table9[[#This Row],[quantity]]*Table9[[#This Row],[unitPrice]]*(1-Table9[[#This Row],[discount]]/100)</f>
        <v>8379</v>
      </c>
      <c r="J1659" t="str">
        <f>_xlfn.XLOOKUP(_xlfn.XLOOKUP(A1659,orders[orderID],orders[customerID],,0),customers__2[customerID],customers__2[companyName],,0)</f>
        <v>Folk och fä HB</v>
      </c>
      <c r="K1659" t="str">
        <f>_xlfn.XLOOKUP(Table9[[#This Row],[Company Name]],customers__2[companyName],customers__2[country],,0)</f>
        <v>Sweden</v>
      </c>
      <c r="L1659">
        <f>MONTH(Table9[[#This Row],[OrderDate ]])</f>
        <v>2</v>
      </c>
      <c r="M1659" t="str">
        <f>TEXT(Table9[[#This Row],[OrderDate ]],"mmm")</f>
        <v>Feb</v>
      </c>
      <c r="N1659">
        <f>YEAR(Table9[[#This Row],[OrderDate ]])</f>
        <v>2015</v>
      </c>
    </row>
    <row r="1660" spans="1:14" x14ac:dyDescent="0.3">
      <c r="A1660">
        <v>10880</v>
      </c>
      <c r="B1660" s="2">
        <f>_xlfn.XLOOKUP(Table9[[#This Row],[orderID]],orders[orderID],orders[orderDate],,0)</f>
        <v>42045</v>
      </c>
      <c r="C1660">
        <f>_xlfn.XLOOKUP(A1660,order_details[orderID],order_details[productID],,0)</f>
        <v>23</v>
      </c>
      <c r="D1660" t="str">
        <f>_xlfn.XLOOKUP(C1660,products[productID],products[productName],,0)</f>
        <v>Tunnbröd</v>
      </c>
      <c r="E1660" t="str">
        <f>_xlfn.XLOOKUP(_xlfn.XLOOKUP(Table9[[#This Row],[ProductName ]],products[productName],products[categoryID],,0),categories[categoryID],categories[categoryName],,0)</f>
        <v>Grains &amp; Cereals</v>
      </c>
      <c r="F1660">
        <v>50</v>
      </c>
      <c r="G1660">
        <v>15</v>
      </c>
      <c r="H1660">
        <v>2</v>
      </c>
      <c r="I1660">
        <f>Table9[[#This Row],[quantity]]*Table9[[#This Row],[unitPrice]]*(1-Table9[[#This Row],[discount]]/100)</f>
        <v>735</v>
      </c>
      <c r="J1660" t="str">
        <f>_xlfn.XLOOKUP(_xlfn.XLOOKUP(A1660,orders[orderID],orders[customerID],,0),customers__2[customerID],customers__2[companyName],,0)</f>
        <v>Folk och fä HB</v>
      </c>
      <c r="K1660" t="str">
        <f>_xlfn.XLOOKUP(Table9[[#This Row],[Company Name]],customers__2[companyName],customers__2[country],,0)</f>
        <v>Sweden</v>
      </c>
      <c r="L1660">
        <f>MONTH(Table9[[#This Row],[OrderDate ]])</f>
        <v>2</v>
      </c>
      <c r="M1660" t="str">
        <f>TEXT(Table9[[#This Row],[OrderDate ]],"mmm")</f>
        <v>Feb</v>
      </c>
      <c r="N1660">
        <f>YEAR(Table9[[#This Row],[OrderDate ]])</f>
        <v>2015</v>
      </c>
    </row>
    <row r="1661" spans="1:14" x14ac:dyDescent="0.3">
      <c r="A1661">
        <v>10881</v>
      </c>
      <c r="B1661" s="2">
        <f>_xlfn.XLOOKUP(Table9[[#This Row],[orderID]],orders[orderID],orders[orderDate],,0)</f>
        <v>42046</v>
      </c>
      <c r="C1661">
        <f>_xlfn.XLOOKUP(A1661,order_details[orderID],order_details[productID],,0)</f>
        <v>73</v>
      </c>
      <c r="D1661" t="str">
        <f>_xlfn.XLOOKUP(C1661,products[productID],products[productName],,0)</f>
        <v>Röd Kaviar</v>
      </c>
      <c r="E1661" t="str">
        <f>_xlfn.XLOOKUP(_xlfn.XLOOKUP(Table9[[#This Row],[ProductName ]],products[productName],products[categoryID],,0),categories[categoryID],categories[categoryName],,0)</f>
        <v>Seafood</v>
      </c>
      <c r="F1661">
        <v>10</v>
      </c>
      <c r="G1661">
        <v>15</v>
      </c>
      <c r="H1661">
        <v>0</v>
      </c>
      <c r="I1661">
        <f>Table9[[#This Row],[quantity]]*Table9[[#This Row],[unitPrice]]*(1-Table9[[#This Row],[discount]]/100)</f>
        <v>150</v>
      </c>
      <c r="J1661" t="str">
        <f>_xlfn.XLOOKUP(_xlfn.XLOOKUP(A1661,orders[orderID],orders[customerID],,0),customers__2[customerID],customers__2[companyName],,0)</f>
        <v>Cactus Comidas para llevar</v>
      </c>
      <c r="K1661" t="str">
        <f>_xlfn.XLOOKUP(Table9[[#This Row],[Company Name]],customers__2[companyName],customers__2[country],,0)</f>
        <v>Argentina</v>
      </c>
      <c r="L1661">
        <f>MONTH(Table9[[#This Row],[OrderDate ]])</f>
        <v>2</v>
      </c>
      <c r="M1661" t="str">
        <f>TEXT(Table9[[#This Row],[OrderDate ]],"mmm")</f>
        <v>Feb</v>
      </c>
      <c r="N1661">
        <f>YEAR(Table9[[#This Row],[OrderDate ]])</f>
        <v>2015</v>
      </c>
    </row>
    <row r="1662" spans="1:14" x14ac:dyDescent="0.3">
      <c r="A1662">
        <v>10882</v>
      </c>
      <c r="B1662" s="2">
        <f>_xlfn.XLOOKUP(Table9[[#This Row],[orderID]],orders[orderID],orders[orderDate],,0)</f>
        <v>42046</v>
      </c>
      <c r="C1662">
        <f>_xlfn.XLOOKUP(A1662,order_details[orderID],order_details[productID],,0)</f>
        <v>42</v>
      </c>
      <c r="D1662" t="str">
        <f>_xlfn.XLOOKUP(C1662,products[productID],products[productName],,0)</f>
        <v>Singaporean Hokkien Fried Mee</v>
      </c>
      <c r="E1662" t="str">
        <f>_xlfn.XLOOKUP(_xlfn.XLOOKUP(Table9[[#This Row],[ProductName ]],products[productName],products[categoryID],,0),categories[categoryID],categories[categoryName],,0)</f>
        <v>Grains &amp; Cereals</v>
      </c>
      <c r="F1662">
        <v>25</v>
      </c>
      <c r="G1662">
        <v>14</v>
      </c>
      <c r="H1662">
        <v>0</v>
      </c>
      <c r="I1662">
        <f>Table9[[#This Row],[quantity]]*Table9[[#This Row],[unitPrice]]*(1-Table9[[#This Row],[discount]]/100)</f>
        <v>350</v>
      </c>
      <c r="J1662" t="str">
        <f>_xlfn.XLOOKUP(_xlfn.XLOOKUP(A1662,orders[orderID],orders[customerID],,0),customers__2[customerID],customers__2[companyName],,0)</f>
        <v>Save-a-lot Markets</v>
      </c>
      <c r="K1662" t="str">
        <f>_xlfn.XLOOKUP(Table9[[#This Row],[Company Name]],customers__2[companyName],customers__2[country],,0)</f>
        <v>USA</v>
      </c>
      <c r="L1662">
        <f>MONTH(Table9[[#This Row],[OrderDate ]])</f>
        <v>2</v>
      </c>
      <c r="M1662" t="str">
        <f>TEXT(Table9[[#This Row],[OrderDate ]],"mmm")</f>
        <v>Feb</v>
      </c>
      <c r="N1662">
        <f>YEAR(Table9[[#This Row],[OrderDate ]])</f>
        <v>2015</v>
      </c>
    </row>
    <row r="1663" spans="1:14" x14ac:dyDescent="0.3">
      <c r="A1663">
        <v>10882</v>
      </c>
      <c r="B1663" s="2">
        <f>_xlfn.XLOOKUP(Table9[[#This Row],[orderID]],orders[orderID],orders[orderDate],,0)</f>
        <v>42046</v>
      </c>
      <c r="C1663">
        <f>_xlfn.XLOOKUP(A1663,order_details[orderID],order_details[productID],,0)</f>
        <v>42</v>
      </c>
      <c r="D1663" t="str">
        <f>_xlfn.XLOOKUP(C1663,products[productID],products[productName],,0)</f>
        <v>Singaporean Hokkien Fried Mee</v>
      </c>
      <c r="E1663" t="str">
        <f>_xlfn.XLOOKUP(_xlfn.XLOOKUP(Table9[[#This Row],[ProductName ]],products[productName],products[categoryID],,0),categories[categoryID],categories[categoryName],,0)</f>
        <v>Grains &amp; Cereals</v>
      </c>
      <c r="F1663">
        <v>20</v>
      </c>
      <c r="G1663">
        <v>20</v>
      </c>
      <c r="H1663">
        <v>15</v>
      </c>
      <c r="I1663">
        <f>Table9[[#This Row],[quantity]]*Table9[[#This Row],[unitPrice]]*(1-Table9[[#This Row],[discount]]/100)</f>
        <v>340</v>
      </c>
      <c r="J1663" t="str">
        <f>_xlfn.XLOOKUP(_xlfn.XLOOKUP(A1663,orders[orderID],orders[customerID],,0),customers__2[customerID],customers__2[companyName],,0)</f>
        <v>Save-a-lot Markets</v>
      </c>
      <c r="K1663" t="str">
        <f>_xlfn.XLOOKUP(Table9[[#This Row],[Company Name]],customers__2[companyName],customers__2[country],,0)</f>
        <v>USA</v>
      </c>
      <c r="L1663">
        <f>MONTH(Table9[[#This Row],[OrderDate ]])</f>
        <v>2</v>
      </c>
      <c r="M1663" t="str">
        <f>TEXT(Table9[[#This Row],[OrderDate ]],"mmm")</f>
        <v>Feb</v>
      </c>
      <c r="N1663">
        <f>YEAR(Table9[[#This Row],[OrderDate ]])</f>
        <v>2015</v>
      </c>
    </row>
    <row r="1664" spans="1:14" x14ac:dyDescent="0.3">
      <c r="A1664">
        <v>10882</v>
      </c>
      <c r="B1664" s="2">
        <f>_xlfn.XLOOKUP(Table9[[#This Row],[orderID]],orders[orderID],orders[orderDate],,0)</f>
        <v>42046</v>
      </c>
      <c r="C1664">
        <f>_xlfn.XLOOKUP(A1664,order_details[orderID],order_details[productID],,0)</f>
        <v>42</v>
      </c>
      <c r="D1664" t="str">
        <f>_xlfn.XLOOKUP(C1664,products[productID],products[productName],,0)</f>
        <v>Singaporean Hokkien Fried Mee</v>
      </c>
      <c r="E1664" t="str">
        <f>_xlfn.XLOOKUP(_xlfn.XLOOKUP(Table9[[#This Row],[ProductName ]],products[productName],products[categoryID],,0),categories[categoryID],categories[categoryName],,0)</f>
        <v>Grains &amp; Cereals</v>
      </c>
      <c r="F1664">
        <v>32</v>
      </c>
      <c r="G1664">
        <v>745</v>
      </c>
      <c r="H1664">
        <v>15</v>
      </c>
      <c r="I1664">
        <f>Table9[[#This Row],[quantity]]*Table9[[#This Row],[unitPrice]]*(1-Table9[[#This Row],[discount]]/100)</f>
        <v>20264</v>
      </c>
      <c r="J1664" t="str">
        <f>_xlfn.XLOOKUP(_xlfn.XLOOKUP(A1664,orders[orderID],orders[customerID],,0),customers__2[customerID],customers__2[companyName],,0)</f>
        <v>Save-a-lot Markets</v>
      </c>
      <c r="K1664" t="str">
        <f>_xlfn.XLOOKUP(Table9[[#This Row],[Company Name]],customers__2[companyName],customers__2[country],,0)</f>
        <v>USA</v>
      </c>
      <c r="L1664">
        <f>MONTH(Table9[[#This Row],[OrderDate ]])</f>
        <v>2</v>
      </c>
      <c r="M1664" t="str">
        <f>TEXT(Table9[[#This Row],[OrderDate ]],"mmm")</f>
        <v>Feb</v>
      </c>
      <c r="N1664">
        <f>YEAR(Table9[[#This Row],[OrderDate ]])</f>
        <v>2015</v>
      </c>
    </row>
    <row r="1665" spans="1:14" x14ac:dyDescent="0.3">
      <c r="A1665">
        <v>10883</v>
      </c>
      <c r="B1665" s="2">
        <f>_xlfn.XLOOKUP(Table9[[#This Row],[orderID]],orders[orderID],orders[orderDate],,0)</f>
        <v>42047</v>
      </c>
      <c r="C1665">
        <f>_xlfn.XLOOKUP(A1665,order_details[orderID],order_details[productID],,0)</f>
        <v>24</v>
      </c>
      <c r="D1665" t="str">
        <f>_xlfn.XLOOKUP(C1665,products[productID],products[productName],,0)</f>
        <v>Guarana Fantastica</v>
      </c>
      <c r="E1665" t="str">
        <f>_xlfn.XLOOKUP(_xlfn.XLOOKUP(Table9[[#This Row],[ProductName ]],products[productName],products[categoryID],,0),categories[categoryID],categories[categoryName],,0)</f>
        <v>Beverages</v>
      </c>
      <c r="F1665">
        <v>8</v>
      </c>
      <c r="G1665">
        <v>45</v>
      </c>
      <c r="H1665">
        <v>0</v>
      </c>
      <c r="I1665">
        <f>Table9[[#This Row],[quantity]]*Table9[[#This Row],[unitPrice]]*(1-Table9[[#This Row],[discount]]/100)</f>
        <v>360</v>
      </c>
      <c r="J1665" t="str">
        <f>_xlfn.XLOOKUP(_xlfn.XLOOKUP(A1665,orders[orderID],orders[customerID],,0),customers__2[customerID],customers__2[companyName],,0)</f>
        <v>Lonesome Pine Restaurant</v>
      </c>
      <c r="K1665" t="str">
        <f>_xlfn.XLOOKUP(Table9[[#This Row],[Company Name]],customers__2[companyName],customers__2[country],,0)</f>
        <v>USA</v>
      </c>
      <c r="L1665">
        <f>MONTH(Table9[[#This Row],[OrderDate ]])</f>
        <v>2</v>
      </c>
      <c r="M1665" t="str">
        <f>TEXT(Table9[[#This Row],[OrderDate ]],"mmm")</f>
        <v>Feb</v>
      </c>
      <c r="N1665">
        <f>YEAR(Table9[[#This Row],[OrderDate ]])</f>
        <v>2015</v>
      </c>
    </row>
    <row r="1666" spans="1:14" x14ac:dyDescent="0.3">
      <c r="A1666">
        <v>10884</v>
      </c>
      <c r="B1666" s="2">
        <f>_xlfn.XLOOKUP(Table9[[#This Row],[orderID]],orders[orderID],orders[orderDate],,0)</f>
        <v>42047</v>
      </c>
      <c r="C1666">
        <f>_xlfn.XLOOKUP(A1666,order_details[orderID],order_details[productID],,0)</f>
        <v>21</v>
      </c>
      <c r="D1666" t="str">
        <f>_xlfn.XLOOKUP(C1666,products[productID],products[productName],,0)</f>
        <v>Sir Rodney's Scones</v>
      </c>
      <c r="E1666" t="str">
        <f>_xlfn.XLOOKUP(_xlfn.XLOOKUP(Table9[[#This Row],[ProductName ]],products[productName],products[categoryID],,0),categories[categoryID],categories[categoryName],,0)</f>
        <v>Confections</v>
      </c>
      <c r="F1666">
        <v>40</v>
      </c>
      <c r="G1666">
        <v>10</v>
      </c>
      <c r="H1666">
        <v>5</v>
      </c>
      <c r="I1666">
        <f>Table9[[#This Row],[quantity]]*Table9[[#This Row],[unitPrice]]*(1-Table9[[#This Row],[discount]]/100)</f>
        <v>380</v>
      </c>
      <c r="J1666" t="str">
        <f>_xlfn.XLOOKUP(_xlfn.XLOOKUP(A1666,orders[orderID],orders[customerID],,0),customers__2[customerID],customers__2[companyName],,0)</f>
        <v>Let's Stop N Shop</v>
      </c>
      <c r="K1666" t="str">
        <f>_xlfn.XLOOKUP(Table9[[#This Row],[Company Name]],customers__2[companyName],customers__2[country],,0)</f>
        <v>USA</v>
      </c>
      <c r="L1666">
        <f>MONTH(Table9[[#This Row],[OrderDate ]])</f>
        <v>2</v>
      </c>
      <c r="M1666" t="str">
        <f>TEXT(Table9[[#This Row],[OrderDate ]],"mmm")</f>
        <v>Feb</v>
      </c>
      <c r="N1666">
        <f>YEAR(Table9[[#This Row],[OrderDate ]])</f>
        <v>2015</v>
      </c>
    </row>
    <row r="1667" spans="1:14" x14ac:dyDescent="0.3">
      <c r="A1667">
        <v>10884</v>
      </c>
      <c r="B1667" s="2">
        <f>_xlfn.XLOOKUP(Table9[[#This Row],[orderID]],orders[orderID],orders[orderDate],,0)</f>
        <v>42047</v>
      </c>
      <c r="C1667">
        <f>_xlfn.XLOOKUP(A1667,order_details[orderID],order_details[productID],,0)</f>
        <v>21</v>
      </c>
      <c r="D1667" t="str">
        <f>_xlfn.XLOOKUP(C1667,products[productID],products[productName],,0)</f>
        <v>Sir Rodney's Scones</v>
      </c>
      <c r="E1667" t="str">
        <f>_xlfn.XLOOKUP(_xlfn.XLOOKUP(Table9[[#This Row],[ProductName ]],products[productName],products[categoryID],,0),categories[categoryID],categories[categoryName],,0)</f>
        <v>Confections</v>
      </c>
      <c r="F1667">
        <v>21</v>
      </c>
      <c r="G1667">
        <v>38</v>
      </c>
      <c r="H1667">
        <v>5</v>
      </c>
      <c r="I1667">
        <f>Table9[[#This Row],[quantity]]*Table9[[#This Row],[unitPrice]]*(1-Table9[[#This Row],[discount]]/100)</f>
        <v>758.09999999999991</v>
      </c>
      <c r="J1667" t="str">
        <f>_xlfn.XLOOKUP(_xlfn.XLOOKUP(A1667,orders[orderID],orders[customerID],,0),customers__2[customerID],customers__2[companyName],,0)</f>
        <v>Let's Stop N Shop</v>
      </c>
      <c r="K1667" t="str">
        <f>_xlfn.XLOOKUP(Table9[[#This Row],[Company Name]],customers__2[companyName],customers__2[country],,0)</f>
        <v>USA</v>
      </c>
      <c r="L1667">
        <f>MONTH(Table9[[#This Row],[OrderDate ]])</f>
        <v>2</v>
      </c>
      <c r="M1667" t="str">
        <f>TEXT(Table9[[#This Row],[OrderDate ]],"mmm")</f>
        <v>Feb</v>
      </c>
      <c r="N1667">
        <f>YEAR(Table9[[#This Row],[OrderDate ]])</f>
        <v>2015</v>
      </c>
    </row>
    <row r="1668" spans="1:14" x14ac:dyDescent="0.3">
      <c r="A1668">
        <v>10884</v>
      </c>
      <c r="B1668" s="2">
        <f>_xlfn.XLOOKUP(Table9[[#This Row],[orderID]],orders[orderID],orders[orderDate],,0)</f>
        <v>42047</v>
      </c>
      <c r="C1668">
        <f>_xlfn.XLOOKUP(A1668,order_details[orderID],order_details[productID],,0)</f>
        <v>21</v>
      </c>
      <c r="D1668" t="str">
        <f>_xlfn.XLOOKUP(C1668,products[productID],products[productName],,0)</f>
        <v>Sir Rodney's Scones</v>
      </c>
      <c r="E1668" t="str">
        <f>_xlfn.XLOOKUP(_xlfn.XLOOKUP(Table9[[#This Row],[ProductName ]],products[productName],products[categoryID],,0),categories[categoryID],categories[categoryName],,0)</f>
        <v>Confections</v>
      </c>
      <c r="F1668">
        <v>12</v>
      </c>
      <c r="G1668">
        <v>2105</v>
      </c>
      <c r="H1668">
        <v>5</v>
      </c>
      <c r="I1668">
        <f>Table9[[#This Row],[quantity]]*Table9[[#This Row],[unitPrice]]*(1-Table9[[#This Row],[discount]]/100)</f>
        <v>23997</v>
      </c>
      <c r="J1668" t="str">
        <f>_xlfn.XLOOKUP(_xlfn.XLOOKUP(A1668,orders[orderID],orders[customerID],,0),customers__2[customerID],customers__2[companyName],,0)</f>
        <v>Let's Stop N Shop</v>
      </c>
      <c r="K1668" t="str">
        <f>_xlfn.XLOOKUP(Table9[[#This Row],[Company Name]],customers__2[companyName],customers__2[country],,0)</f>
        <v>USA</v>
      </c>
      <c r="L1668">
        <f>MONTH(Table9[[#This Row],[OrderDate ]])</f>
        <v>2</v>
      </c>
      <c r="M1668" t="str">
        <f>TEXT(Table9[[#This Row],[OrderDate ]],"mmm")</f>
        <v>Feb</v>
      </c>
      <c r="N1668">
        <f>YEAR(Table9[[#This Row],[OrderDate ]])</f>
        <v>2015</v>
      </c>
    </row>
    <row r="1669" spans="1:14" x14ac:dyDescent="0.3">
      <c r="A1669">
        <v>10885</v>
      </c>
      <c r="B1669" s="2">
        <f>_xlfn.XLOOKUP(Table9[[#This Row],[orderID]],orders[orderID],orders[orderDate],,0)</f>
        <v>42047</v>
      </c>
      <c r="C1669">
        <f>_xlfn.XLOOKUP(A1669,order_details[orderID],order_details[productID],,0)</f>
        <v>2</v>
      </c>
      <c r="D1669" t="str">
        <f>_xlfn.XLOOKUP(C1669,products[productID],products[productName],,0)</f>
        <v>Chang</v>
      </c>
      <c r="E1669" t="str">
        <f>_xlfn.XLOOKUP(_xlfn.XLOOKUP(Table9[[#This Row],[ProductName ]],products[productName],products[categoryID],,0),categories[categoryID],categories[categoryName],,0)</f>
        <v>Beverages</v>
      </c>
      <c r="F1669">
        <v>20</v>
      </c>
      <c r="G1669">
        <v>19</v>
      </c>
      <c r="H1669">
        <v>0</v>
      </c>
      <c r="I1669">
        <f>Table9[[#This Row],[quantity]]*Table9[[#This Row],[unitPrice]]*(1-Table9[[#This Row],[discount]]/100)</f>
        <v>380</v>
      </c>
      <c r="J1669" t="str">
        <f>_xlfn.XLOOKUP(_xlfn.XLOOKUP(A1669,orders[orderID],orders[customerID],,0),customers__2[customerID],customers__2[companyName],,0)</f>
        <v>Suprêmes délices</v>
      </c>
      <c r="K1669" t="str">
        <f>_xlfn.XLOOKUP(Table9[[#This Row],[Company Name]],customers__2[companyName],customers__2[country],,0)</f>
        <v>Belgium</v>
      </c>
      <c r="L1669">
        <f>MONTH(Table9[[#This Row],[OrderDate ]])</f>
        <v>2</v>
      </c>
      <c r="M1669" t="str">
        <f>TEXT(Table9[[#This Row],[OrderDate ]],"mmm")</f>
        <v>Feb</v>
      </c>
      <c r="N1669">
        <f>YEAR(Table9[[#This Row],[OrderDate ]])</f>
        <v>2015</v>
      </c>
    </row>
    <row r="1670" spans="1:14" x14ac:dyDescent="0.3">
      <c r="A1670">
        <v>10885</v>
      </c>
      <c r="B1670" s="2">
        <f>_xlfn.XLOOKUP(Table9[[#This Row],[orderID]],orders[orderID],orders[orderDate],,0)</f>
        <v>42047</v>
      </c>
      <c r="C1670">
        <f>_xlfn.XLOOKUP(A1670,order_details[orderID],order_details[productID],,0)</f>
        <v>2</v>
      </c>
      <c r="D1670" t="str">
        <f>_xlfn.XLOOKUP(C1670,products[productID],products[productName],,0)</f>
        <v>Chang</v>
      </c>
      <c r="E1670" t="str">
        <f>_xlfn.XLOOKUP(_xlfn.XLOOKUP(Table9[[#This Row],[ProductName ]],products[productName],products[categoryID],,0),categories[categoryID],categories[categoryName],,0)</f>
        <v>Beverages</v>
      </c>
      <c r="F1670">
        <v>12</v>
      </c>
      <c r="G1670">
        <v>45</v>
      </c>
      <c r="H1670">
        <v>0</v>
      </c>
      <c r="I1670">
        <f>Table9[[#This Row],[quantity]]*Table9[[#This Row],[unitPrice]]*(1-Table9[[#This Row],[discount]]/100)</f>
        <v>540</v>
      </c>
      <c r="J1670" t="str">
        <f>_xlfn.XLOOKUP(_xlfn.XLOOKUP(A1670,orders[orderID],orders[customerID],,0),customers__2[customerID],customers__2[companyName],,0)</f>
        <v>Suprêmes délices</v>
      </c>
      <c r="K1670" t="str">
        <f>_xlfn.XLOOKUP(Table9[[#This Row],[Company Name]],customers__2[companyName],customers__2[country],,0)</f>
        <v>Belgium</v>
      </c>
      <c r="L1670">
        <f>MONTH(Table9[[#This Row],[OrderDate ]])</f>
        <v>2</v>
      </c>
      <c r="M1670" t="str">
        <f>TEXT(Table9[[#This Row],[OrderDate ]],"mmm")</f>
        <v>Feb</v>
      </c>
      <c r="N1670">
        <f>YEAR(Table9[[#This Row],[OrderDate ]])</f>
        <v>2015</v>
      </c>
    </row>
    <row r="1671" spans="1:14" x14ac:dyDescent="0.3">
      <c r="A1671">
        <v>10885</v>
      </c>
      <c r="B1671" s="2">
        <f>_xlfn.XLOOKUP(Table9[[#This Row],[orderID]],orders[orderID],orders[orderDate],,0)</f>
        <v>42047</v>
      </c>
      <c r="C1671">
        <f>_xlfn.XLOOKUP(A1671,order_details[orderID],order_details[productID],,0)</f>
        <v>2</v>
      </c>
      <c r="D1671" t="str">
        <f>_xlfn.XLOOKUP(C1671,products[productID],products[productName],,0)</f>
        <v>Chang</v>
      </c>
      <c r="E1671" t="str">
        <f>_xlfn.XLOOKUP(_xlfn.XLOOKUP(Table9[[#This Row],[ProductName ]],products[productName],products[categoryID],,0),categories[categoryID],categories[categoryName],,0)</f>
        <v>Beverages</v>
      </c>
      <c r="F1671">
        <v>30</v>
      </c>
      <c r="G1671">
        <v>15</v>
      </c>
      <c r="H1671">
        <v>0</v>
      </c>
      <c r="I1671">
        <f>Table9[[#This Row],[quantity]]*Table9[[#This Row],[unitPrice]]*(1-Table9[[#This Row],[discount]]/100)</f>
        <v>450</v>
      </c>
      <c r="J1671" t="str">
        <f>_xlfn.XLOOKUP(_xlfn.XLOOKUP(A1671,orders[orderID],orders[customerID],,0),customers__2[customerID],customers__2[companyName],,0)</f>
        <v>Suprêmes délices</v>
      </c>
      <c r="K1671" t="str">
        <f>_xlfn.XLOOKUP(Table9[[#This Row],[Company Name]],customers__2[companyName],customers__2[country],,0)</f>
        <v>Belgium</v>
      </c>
      <c r="L1671">
        <f>MONTH(Table9[[#This Row],[OrderDate ]])</f>
        <v>2</v>
      </c>
      <c r="M1671" t="str">
        <f>TEXT(Table9[[#This Row],[OrderDate ]],"mmm")</f>
        <v>Feb</v>
      </c>
      <c r="N1671">
        <f>YEAR(Table9[[#This Row],[OrderDate ]])</f>
        <v>2015</v>
      </c>
    </row>
    <row r="1672" spans="1:14" x14ac:dyDescent="0.3">
      <c r="A1672">
        <v>10885</v>
      </c>
      <c r="B1672" s="2">
        <f>_xlfn.XLOOKUP(Table9[[#This Row],[orderID]],orders[orderID],orders[orderDate],,0)</f>
        <v>42047</v>
      </c>
      <c r="C1672">
        <f>_xlfn.XLOOKUP(A1672,order_details[orderID],order_details[productID],,0)</f>
        <v>2</v>
      </c>
      <c r="D1672" t="str">
        <f>_xlfn.XLOOKUP(C1672,products[productID],products[productName],,0)</f>
        <v>Chang</v>
      </c>
      <c r="E1672" t="str">
        <f>_xlfn.XLOOKUP(_xlfn.XLOOKUP(Table9[[#This Row],[ProductName ]],products[productName],products[categoryID],,0),categories[categoryID],categories[categoryName],,0)</f>
        <v>Beverages</v>
      </c>
      <c r="F1672">
        <v>25</v>
      </c>
      <c r="G1672">
        <v>13</v>
      </c>
      <c r="H1672">
        <v>0</v>
      </c>
      <c r="I1672">
        <f>Table9[[#This Row],[quantity]]*Table9[[#This Row],[unitPrice]]*(1-Table9[[#This Row],[discount]]/100)</f>
        <v>325</v>
      </c>
      <c r="J1672" t="str">
        <f>_xlfn.XLOOKUP(_xlfn.XLOOKUP(A1672,orders[orderID],orders[customerID],,0),customers__2[customerID],customers__2[companyName],,0)</f>
        <v>Suprêmes délices</v>
      </c>
      <c r="K1672" t="str">
        <f>_xlfn.XLOOKUP(Table9[[#This Row],[Company Name]],customers__2[companyName],customers__2[country],,0)</f>
        <v>Belgium</v>
      </c>
      <c r="L1672">
        <f>MONTH(Table9[[#This Row],[OrderDate ]])</f>
        <v>2</v>
      </c>
      <c r="M1672" t="str">
        <f>TEXT(Table9[[#This Row],[OrderDate ]],"mmm")</f>
        <v>Feb</v>
      </c>
      <c r="N1672">
        <f>YEAR(Table9[[#This Row],[OrderDate ]])</f>
        <v>2015</v>
      </c>
    </row>
    <row r="1673" spans="1:14" x14ac:dyDescent="0.3">
      <c r="A1673">
        <v>10886</v>
      </c>
      <c r="B1673" s="2">
        <f>_xlfn.XLOOKUP(Table9[[#This Row],[orderID]],orders[orderID],orders[orderDate],,0)</f>
        <v>42048</v>
      </c>
      <c r="C1673">
        <f>_xlfn.XLOOKUP(A1673,order_details[orderID],order_details[productID],,0)</f>
        <v>10</v>
      </c>
      <c r="D1673" t="str">
        <f>_xlfn.XLOOKUP(C1673,products[productID],products[productName],,0)</f>
        <v>Ikura</v>
      </c>
      <c r="E1673" t="str">
        <f>_xlfn.XLOOKUP(_xlfn.XLOOKUP(Table9[[#This Row],[ProductName ]],products[productName],products[categoryID],,0),categories[categoryID],categories[categoryName],,0)</f>
        <v>Seafood</v>
      </c>
      <c r="F1673">
        <v>70</v>
      </c>
      <c r="G1673">
        <v>31</v>
      </c>
      <c r="H1673">
        <v>0</v>
      </c>
      <c r="I1673">
        <f>Table9[[#This Row],[quantity]]*Table9[[#This Row],[unitPrice]]*(1-Table9[[#This Row],[discount]]/100)</f>
        <v>2170</v>
      </c>
      <c r="J1673" t="str">
        <f>_xlfn.XLOOKUP(_xlfn.XLOOKUP(A1673,orders[orderID],orders[customerID],,0),customers__2[customerID],customers__2[companyName],,0)</f>
        <v>Hanari Carnes</v>
      </c>
      <c r="K1673" t="str">
        <f>_xlfn.XLOOKUP(Table9[[#This Row],[Company Name]],customers__2[companyName],customers__2[country],,0)</f>
        <v>Brazil</v>
      </c>
      <c r="L1673">
        <f>MONTH(Table9[[#This Row],[OrderDate ]])</f>
        <v>2</v>
      </c>
      <c r="M1673" t="str">
        <f>TEXT(Table9[[#This Row],[OrderDate ]],"mmm")</f>
        <v>Feb</v>
      </c>
      <c r="N1673">
        <f>YEAR(Table9[[#This Row],[OrderDate ]])</f>
        <v>2015</v>
      </c>
    </row>
    <row r="1674" spans="1:14" x14ac:dyDescent="0.3">
      <c r="A1674">
        <v>10886</v>
      </c>
      <c r="B1674" s="2">
        <f>_xlfn.XLOOKUP(Table9[[#This Row],[orderID]],orders[orderID],orders[orderDate],,0)</f>
        <v>42048</v>
      </c>
      <c r="C1674">
        <f>_xlfn.XLOOKUP(A1674,order_details[orderID],order_details[productID],,0)</f>
        <v>10</v>
      </c>
      <c r="D1674" t="str">
        <f>_xlfn.XLOOKUP(C1674,products[productID],products[productName],,0)</f>
        <v>Ikura</v>
      </c>
      <c r="E1674" t="str">
        <f>_xlfn.XLOOKUP(_xlfn.XLOOKUP(Table9[[#This Row],[ProductName ]],products[productName],products[categoryID],,0),categories[categoryID],categories[categoryName],,0)</f>
        <v>Seafood</v>
      </c>
      <c r="F1674">
        <v>35</v>
      </c>
      <c r="G1674">
        <v>125</v>
      </c>
      <c r="H1674">
        <v>0</v>
      </c>
      <c r="I1674">
        <f>Table9[[#This Row],[quantity]]*Table9[[#This Row],[unitPrice]]*(1-Table9[[#This Row],[discount]]/100)</f>
        <v>4375</v>
      </c>
      <c r="J1674" t="str">
        <f>_xlfn.XLOOKUP(_xlfn.XLOOKUP(A1674,orders[orderID],orders[customerID],,0),customers__2[customerID],customers__2[companyName],,0)</f>
        <v>Hanari Carnes</v>
      </c>
      <c r="K1674" t="str">
        <f>_xlfn.XLOOKUP(Table9[[#This Row],[Company Name]],customers__2[companyName],customers__2[country],,0)</f>
        <v>Brazil</v>
      </c>
      <c r="L1674">
        <f>MONTH(Table9[[#This Row],[OrderDate ]])</f>
        <v>2</v>
      </c>
      <c r="M1674" t="str">
        <f>TEXT(Table9[[#This Row],[OrderDate ]],"mmm")</f>
        <v>Feb</v>
      </c>
      <c r="N1674">
        <f>YEAR(Table9[[#This Row],[OrderDate ]])</f>
        <v>2015</v>
      </c>
    </row>
    <row r="1675" spans="1:14" x14ac:dyDescent="0.3">
      <c r="A1675">
        <v>10886</v>
      </c>
      <c r="B1675" s="2">
        <f>_xlfn.XLOOKUP(Table9[[#This Row],[orderID]],orders[orderID],orders[orderDate],,0)</f>
        <v>42048</v>
      </c>
      <c r="C1675">
        <f>_xlfn.XLOOKUP(A1675,order_details[orderID],order_details[productID],,0)</f>
        <v>10</v>
      </c>
      <c r="D1675" t="str">
        <f>_xlfn.XLOOKUP(C1675,products[productID],products[productName],,0)</f>
        <v>Ikura</v>
      </c>
      <c r="E1675" t="str">
        <f>_xlfn.XLOOKUP(_xlfn.XLOOKUP(Table9[[#This Row],[ProductName ]],products[productName],products[categoryID],,0),categories[categoryID],categories[categoryName],,0)</f>
        <v>Seafood</v>
      </c>
      <c r="F1675">
        <v>40</v>
      </c>
      <c r="G1675">
        <v>13</v>
      </c>
      <c r="H1675">
        <v>0</v>
      </c>
      <c r="I1675">
        <f>Table9[[#This Row],[quantity]]*Table9[[#This Row],[unitPrice]]*(1-Table9[[#This Row],[discount]]/100)</f>
        <v>520</v>
      </c>
      <c r="J1675" t="str">
        <f>_xlfn.XLOOKUP(_xlfn.XLOOKUP(A1675,orders[orderID],orders[customerID],,0),customers__2[customerID],customers__2[companyName],,0)</f>
        <v>Hanari Carnes</v>
      </c>
      <c r="K1675" t="str">
        <f>_xlfn.XLOOKUP(Table9[[#This Row],[Company Name]],customers__2[companyName],customers__2[country],,0)</f>
        <v>Brazil</v>
      </c>
      <c r="L1675">
        <f>MONTH(Table9[[#This Row],[OrderDate ]])</f>
        <v>2</v>
      </c>
      <c r="M1675" t="str">
        <f>TEXT(Table9[[#This Row],[OrderDate ]],"mmm")</f>
        <v>Feb</v>
      </c>
      <c r="N1675">
        <f>YEAR(Table9[[#This Row],[OrderDate ]])</f>
        <v>2015</v>
      </c>
    </row>
    <row r="1676" spans="1:14" x14ac:dyDescent="0.3">
      <c r="A1676">
        <v>10887</v>
      </c>
      <c r="B1676" s="2">
        <f>_xlfn.XLOOKUP(Table9[[#This Row],[orderID]],orders[orderID],orders[orderDate],,0)</f>
        <v>42048</v>
      </c>
      <c r="C1676">
        <f>_xlfn.XLOOKUP(A1676,order_details[orderID],order_details[productID],,0)</f>
        <v>25</v>
      </c>
      <c r="D1676" t="str">
        <f>_xlfn.XLOOKUP(C1676,products[productID],products[productName],,0)</f>
        <v>NuNuCa Nuß-Nougat-Creme</v>
      </c>
      <c r="E1676" t="str">
        <f>_xlfn.XLOOKUP(_xlfn.XLOOKUP(Table9[[#This Row],[ProductName ]],products[productName],products[categoryID],,0),categories[categoryID],categories[categoryName],,0)</f>
        <v>Confections</v>
      </c>
      <c r="F1676">
        <v>5</v>
      </c>
      <c r="G1676">
        <v>14</v>
      </c>
      <c r="H1676">
        <v>0</v>
      </c>
      <c r="I1676">
        <f>Table9[[#This Row],[quantity]]*Table9[[#This Row],[unitPrice]]*(1-Table9[[#This Row],[discount]]/100)</f>
        <v>70</v>
      </c>
      <c r="J1676" t="str">
        <f>_xlfn.XLOOKUP(_xlfn.XLOOKUP(A1676,orders[orderID],orders[customerID],,0),customers__2[customerID],customers__2[companyName],,0)</f>
        <v>Galería del gastrónomo</v>
      </c>
      <c r="K1676" t="str">
        <f>_xlfn.XLOOKUP(Table9[[#This Row],[Company Name]],customers__2[companyName],customers__2[country],,0)</f>
        <v>Spain</v>
      </c>
      <c r="L1676">
        <f>MONTH(Table9[[#This Row],[OrderDate ]])</f>
        <v>2</v>
      </c>
      <c r="M1676" t="str">
        <f>TEXT(Table9[[#This Row],[OrderDate ]],"mmm")</f>
        <v>Feb</v>
      </c>
      <c r="N1676">
        <f>YEAR(Table9[[#This Row],[OrderDate ]])</f>
        <v>2015</v>
      </c>
    </row>
    <row r="1677" spans="1:14" x14ac:dyDescent="0.3">
      <c r="A1677">
        <v>10888</v>
      </c>
      <c r="B1677" s="2">
        <f>_xlfn.XLOOKUP(Table9[[#This Row],[orderID]],orders[orderID],orders[orderDate],,0)</f>
        <v>42051</v>
      </c>
      <c r="C1677">
        <f>_xlfn.XLOOKUP(A1677,order_details[orderID],order_details[productID],,0)</f>
        <v>2</v>
      </c>
      <c r="D1677" t="str">
        <f>_xlfn.XLOOKUP(C1677,products[productID],products[productName],,0)</f>
        <v>Chang</v>
      </c>
      <c r="E1677" t="str">
        <f>_xlfn.XLOOKUP(_xlfn.XLOOKUP(Table9[[#This Row],[ProductName ]],products[productName],products[categoryID],,0),categories[categoryID],categories[categoryName],,0)</f>
        <v>Beverages</v>
      </c>
      <c r="F1677">
        <v>20</v>
      </c>
      <c r="G1677">
        <v>19</v>
      </c>
      <c r="H1677">
        <v>0</v>
      </c>
      <c r="I1677">
        <f>Table9[[#This Row],[quantity]]*Table9[[#This Row],[unitPrice]]*(1-Table9[[#This Row],[discount]]/100)</f>
        <v>380</v>
      </c>
      <c r="J1677" t="str">
        <f>_xlfn.XLOOKUP(_xlfn.XLOOKUP(A1677,orders[orderID],orders[customerID],,0),customers__2[customerID],customers__2[companyName],,0)</f>
        <v>Godos Cocina Típica</v>
      </c>
      <c r="K1677" t="str">
        <f>_xlfn.XLOOKUP(Table9[[#This Row],[Company Name]],customers__2[companyName],customers__2[country],,0)</f>
        <v>Spain</v>
      </c>
      <c r="L1677">
        <f>MONTH(Table9[[#This Row],[OrderDate ]])</f>
        <v>2</v>
      </c>
      <c r="M1677" t="str">
        <f>TEXT(Table9[[#This Row],[OrderDate ]],"mmm")</f>
        <v>Feb</v>
      </c>
      <c r="N1677">
        <f>YEAR(Table9[[#This Row],[OrderDate ]])</f>
        <v>2015</v>
      </c>
    </row>
    <row r="1678" spans="1:14" x14ac:dyDescent="0.3">
      <c r="A1678">
        <v>10888</v>
      </c>
      <c r="B1678" s="2">
        <f>_xlfn.XLOOKUP(Table9[[#This Row],[orderID]],orders[orderID],orders[orderDate],,0)</f>
        <v>42051</v>
      </c>
      <c r="C1678">
        <f>_xlfn.XLOOKUP(A1678,order_details[orderID],order_details[productID],,0)</f>
        <v>2</v>
      </c>
      <c r="D1678" t="str">
        <f>_xlfn.XLOOKUP(C1678,products[productID],products[productName],,0)</f>
        <v>Chang</v>
      </c>
      <c r="E1678" t="str">
        <f>_xlfn.XLOOKUP(_xlfn.XLOOKUP(Table9[[#This Row],[ProductName ]],products[productName],products[categoryID],,0),categories[categoryID],categories[categoryName],,0)</f>
        <v>Beverages</v>
      </c>
      <c r="F1678">
        <v>18</v>
      </c>
      <c r="G1678">
        <v>125</v>
      </c>
      <c r="H1678">
        <v>0</v>
      </c>
      <c r="I1678">
        <f>Table9[[#This Row],[quantity]]*Table9[[#This Row],[unitPrice]]*(1-Table9[[#This Row],[discount]]/100)</f>
        <v>2250</v>
      </c>
      <c r="J1678" t="str">
        <f>_xlfn.XLOOKUP(_xlfn.XLOOKUP(A1678,orders[orderID],orders[customerID],,0),customers__2[customerID],customers__2[companyName],,0)</f>
        <v>Godos Cocina Típica</v>
      </c>
      <c r="K1678" t="str">
        <f>_xlfn.XLOOKUP(Table9[[#This Row],[Company Name]],customers__2[companyName],customers__2[country],,0)</f>
        <v>Spain</v>
      </c>
      <c r="L1678">
        <f>MONTH(Table9[[#This Row],[OrderDate ]])</f>
        <v>2</v>
      </c>
      <c r="M1678" t="str">
        <f>TEXT(Table9[[#This Row],[OrderDate ]],"mmm")</f>
        <v>Feb</v>
      </c>
      <c r="N1678">
        <f>YEAR(Table9[[#This Row],[OrderDate ]])</f>
        <v>2015</v>
      </c>
    </row>
    <row r="1679" spans="1:14" x14ac:dyDescent="0.3">
      <c r="A1679">
        <v>10889</v>
      </c>
      <c r="B1679" s="2">
        <f>_xlfn.XLOOKUP(Table9[[#This Row],[orderID]],orders[orderID],orders[orderDate],,0)</f>
        <v>42051</v>
      </c>
      <c r="C1679">
        <f>_xlfn.XLOOKUP(A1679,order_details[orderID],order_details[productID],,0)</f>
        <v>11</v>
      </c>
      <c r="D1679" t="str">
        <f>_xlfn.XLOOKUP(C1679,products[productID],products[productName],,0)</f>
        <v>Queso Cabrales</v>
      </c>
      <c r="E1679" t="str">
        <f>_xlfn.XLOOKUP(_xlfn.XLOOKUP(Table9[[#This Row],[ProductName ]],products[productName],products[categoryID],,0),categories[categoryID],categories[categoryName],,0)</f>
        <v>Dairy Products</v>
      </c>
      <c r="F1679">
        <v>40</v>
      </c>
      <c r="G1679">
        <v>21</v>
      </c>
      <c r="H1679">
        <v>0</v>
      </c>
      <c r="I1679">
        <f>Table9[[#This Row],[quantity]]*Table9[[#This Row],[unitPrice]]*(1-Table9[[#This Row],[discount]]/100)</f>
        <v>840</v>
      </c>
      <c r="J1679" t="str">
        <f>_xlfn.XLOOKUP(_xlfn.XLOOKUP(A1679,orders[orderID],orders[customerID],,0),customers__2[customerID],customers__2[companyName],,0)</f>
        <v>Rattlesnake Canyon Grocery</v>
      </c>
      <c r="K1679" t="str">
        <f>_xlfn.XLOOKUP(Table9[[#This Row],[Company Name]],customers__2[companyName],customers__2[country],,0)</f>
        <v>USA</v>
      </c>
      <c r="L1679">
        <f>MONTH(Table9[[#This Row],[OrderDate ]])</f>
        <v>2</v>
      </c>
      <c r="M1679" t="str">
        <f>TEXT(Table9[[#This Row],[OrderDate ]],"mmm")</f>
        <v>Feb</v>
      </c>
      <c r="N1679">
        <f>YEAR(Table9[[#This Row],[OrderDate ]])</f>
        <v>2015</v>
      </c>
    </row>
    <row r="1680" spans="1:14" x14ac:dyDescent="0.3">
      <c r="A1680">
        <v>10889</v>
      </c>
      <c r="B1680" s="2">
        <f>_xlfn.XLOOKUP(Table9[[#This Row],[orderID]],orders[orderID],orders[orderDate],,0)</f>
        <v>42051</v>
      </c>
      <c r="C1680">
        <f>_xlfn.XLOOKUP(A1680,order_details[orderID],order_details[productID],,0)</f>
        <v>11</v>
      </c>
      <c r="D1680" t="str">
        <f>_xlfn.XLOOKUP(C1680,products[productID],products[productName],,0)</f>
        <v>Queso Cabrales</v>
      </c>
      <c r="E1680" t="str">
        <f>_xlfn.XLOOKUP(_xlfn.XLOOKUP(Table9[[#This Row],[ProductName ]],products[productName],products[categoryID],,0),categories[categoryID],categories[categoryName],,0)</f>
        <v>Dairy Products</v>
      </c>
      <c r="F1680">
        <v>40</v>
      </c>
      <c r="G1680">
        <v>2635</v>
      </c>
      <c r="H1680">
        <v>0</v>
      </c>
      <c r="I1680">
        <f>Table9[[#This Row],[quantity]]*Table9[[#This Row],[unitPrice]]*(1-Table9[[#This Row],[discount]]/100)</f>
        <v>105400</v>
      </c>
      <c r="J1680" t="str">
        <f>_xlfn.XLOOKUP(_xlfn.XLOOKUP(A1680,orders[orderID],orders[customerID],,0),customers__2[customerID],customers__2[companyName],,0)</f>
        <v>Rattlesnake Canyon Grocery</v>
      </c>
      <c r="K1680" t="str">
        <f>_xlfn.XLOOKUP(Table9[[#This Row],[Company Name]],customers__2[companyName],customers__2[country],,0)</f>
        <v>USA</v>
      </c>
      <c r="L1680">
        <f>MONTH(Table9[[#This Row],[OrderDate ]])</f>
        <v>2</v>
      </c>
      <c r="M1680" t="str">
        <f>TEXT(Table9[[#This Row],[OrderDate ]],"mmm")</f>
        <v>Feb</v>
      </c>
      <c r="N1680">
        <f>YEAR(Table9[[#This Row],[OrderDate ]])</f>
        <v>2015</v>
      </c>
    </row>
    <row r="1681" spans="1:14" x14ac:dyDescent="0.3">
      <c r="A1681">
        <v>10890</v>
      </c>
      <c r="B1681" s="2">
        <f>_xlfn.XLOOKUP(Table9[[#This Row],[orderID]],orders[orderID],orders[orderDate],,0)</f>
        <v>42051</v>
      </c>
      <c r="C1681">
        <f>_xlfn.XLOOKUP(A1681,order_details[orderID],order_details[productID],,0)</f>
        <v>17</v>
      </c>
      <c r="D1681" t="str">
        <f>_xlfn.XLOOKUP(C1681,products[productID],products[productName],,0)</f>
        <v>Alice Mutton</v>
      </c>
      <c r="E1681" t="str">
        <f>_xlfn.XLOOKUP(_xlfn.XLOOKUP(Table9[[#This Row],[ProductName ]],products[productName],products[categoryID],,0),categories[categoryID],categories[categoryName],,0)</f>
        <v>Meat &amp; Poultry</v>
      </c>
      <c r="F1681">
        <v>15</v>
      </c>
      <c r="G1681">
        <v>39</v>
      </c>
      <c r="H1681">
        <v>0</v>
      </c>
      <c r="I1681">
        <f>Table9[[#This Row],[quantity]]*Table9[[#This Row],[unitPrice]]*(1-Table9[[#This Row],[discount]]/100)</f>
        <v>585</v>
      </c>
      <c r="J1681" t="str">
        <f>_xlfn.XLOOKUP(_xlfn.XLOOKUP(A1681,orders[orderID],orders[customerID],,0),customers__2[customerID],customers__2[companyName],,0)</f>
        <v>Du monde entier</v>
      </c>
      <c r="K1681" t="str">
        <f>_xlfn.XLOOKUP(Table9[[#This Row],[Company Name]],customers__2[companyName],customers__2[country],,0)</f>
        <v>France</v>
      </c>
      <c r="L1681">
        <f>MONTH(Table9[[#This Row],[OrderDate ]])</f>
        <v>2</v>
      </c>
      <c r="M1681" t="str">
        <f>TEXT(Table9[[#This Row],[OrderDate ]],"mmm")</f>
        <v>Feb</v>
      </c>
      <c r="N1681">
        <f>YEAR(Table9[[#This Row],[OrderDate ]])</f>
        <v>2015</v>
      </c>
    </row>
    <row r="1682" spans="1:14" x14ac:dyDescent="0.3">
      <c r="A1682">
        <v>10890</v>
      </c>
      <c r="B1682" s="2">
        <f>_xlfn.XLOOKUP(Table9[[#This Row],[orderID]],orders[orderID],orders[orderDate],,0)</f>
        <v>42051</v>
      </c>
      <c r="C1682">
        <f>_xlfn.XLOOKUP(A1682,order_details[orderID],order_details[productID],,0)</f>
        <v>17</v>
      </c>
      <c r="D1682" t="str">
        <f>_xlfn.XLOOKUP(C1682,products[productID],products[productName],,0)</f>
        <v>Alice Mutton</v>
      </c>
      <c r="E1682" t="str">
        <f>_xlfn.XLOOKUP(_xlfn.XLOOKUP(Table9[[#This Row],[ProductName ]],products[productName],products[categoryID],,0),categories[categoryID],categories[categoryName],,0)</f>
        <v>Meat &amp; Poultry</v>
      </c>
      <c r="F1682">
        <v>10</v>
      </c>
      <c r="G1682">
        <v>14</v>
      </c>
      <c r="H1682">
        <v>0</v>
      </c>
      <c r="I1682">
        <f>Table9[[#This Row],[quantity]]*Table9[[#This Row],[unitPrice]]*(1-Table9[[#This Row],[discount]]/100)</f>
        <v>140</v>
      </c>
      <c r="J1682" t="str">
        <f>_xlfn.XLOOKUP(_xlfn.XLOOKUP(A1682,orders[orderID],orders[customerID],,0),customers__2[customerID],customers__2[companyName],,0)</f>
        <v>Du monde entier</v>
      </c>
      <c r="K1682" t="str">
        <f>_xlfn.XLOOKUP(Table9[[#This Row],[Company Name]],customers__2[companyName],customers__2[country],,0)</f>
        <v>France</v>
      </c>
      <c r="L1682">
        <f>MONTH(Table9[[#This Row],[OrderDate ]])</f>
        <v>2</v>
      </c>
      <c r="M1682" t="str">
        <f>TEXT(Table9[[#This Row],[OrderDate ]],"mmm")</f>
        <v>Feb</v>
      </c>
      <c r="N1682">
        <f>YEAR(Table9[[#This Row],[OrderDate ]])</f>
        <v>2015</v>
      </c>
    </row>
    <row r="1683" spans="1:14" x14ac:dyDescent="0.3">
      <c r="A1683">
        <v>10890</v>
      </c>
      <c r="B1683" s="2">
        <f>_xlfn.XLOOKUP(Table9[[#This Row],[orderID]],orders[orderID],orders[orderDate],,0)</f>
        <v>42051</v>
      </c>
      <c r="C1683">
        <f>_xlfn.XLOOKUP(A1683,order_details[orderID],order_details[productID],,0)</f>
        <v>17</v>
      </c>
      <c r="D1683" t="str">
        <f>_xlfn.XLOOKUP(C1683,products[productID],products[productName],,0)</f>
        <v>Alice Mutton</v>
      </c>
      <c r="E1683" t="str">
        <f>_xlfn.XLOOKUP(_xlfn.XLOOKUP(Table9[[#This Row],[ProductName ]],products[productName],products[categoryID],,0),categories[categoryID],categories[categoryName],,0)</f>
        <v>Meat &amp; Poultry</v>
      </c>
      <c r="F1683">
        <v>14</v>
      </c>
      <c r="G1683">
        <v>965</v>
      </c>
      <c r="H1683">
        <v>0</v>
      </c>
      <c r="I1683">
        <f>Table9[[#This Row],[quantity]]*Table9[[#This Row],[unitPrice]]*(1-Table9[[#This Row],[discount]]/100)</f>
        <v>13510</v>
      </c>
      <c r="J1683" t="str">
        <f>_xlfn.XLOOKUP(_xlfn.XLOOKUP(A1683,orders[orderID],orders[customerID],,0),customers__2[customerID],customers__2[companyName],,0)</f>
        <v>Du monde entier</v>
      </c>
      <c r="K1683" t="str">
        <f>_xlfn.XLOOKUP(Table9[[#This Row],[Company Name]],customers__2[companyName],customers__2[country],,0)</f>
        <v>France</v>
      </c>
      <c r="L1683">
        <f>MONTH(Table9[[#This Row],[OrderDate ]])</f>
        <v>2</v>
      </c>
      <c r="M1683" t="str">
        <f>TEXT(Table9[[#This Row],[OrderDate ]],"mmm")</f>
        <v>Feb</v>
      </c>
      <c r="N1683">
        <f>YEAR(Table9[[#This Row],[OrderDate ]])</f>
        <v>2015</v>
      </c>
    </row>
    <row r="1684" spans="1:14" x14ac:dyDescent="0.3">
      <c r="A1684">
        <v>10891</v>
      </c>
      <c r="B1684" s="2">
        <f>_xlfn.XLOOKUP(Table9[[#This Row],[orderID]],orders[orderID],orders[orderDate],,0)</f>
        <v>42052</v>
      </c>
      <c r="C1684">
        <f>_xlfn.XLOOKUP(A1684,order_details[orderID],order_details[productID],,0)</f>
        <v>30</v>
      </c>
      <c r="D1684" t="str">
        <f>_xlfn.XLOOKUP(C1684,products[productID],products[productName],,0)</f>
        <v>Nord-Ost Matjeshering</v>
      </c>
      <c r="E1684" t="str">
        <f>_xlfn.XLOOKUP(_xlfn.XLOOKUP(Table9[[#This Row],[ProductName ]],products[productName],products[categoryID],,0),categories[categoryID],categories[categoryName],,0)</f>
        <v>Seafood</v>
      </c>
      <c r="F1684">
        <v>15</v>
      </c>
      <c r="G1684">
        <v>2589</v>
      </c>
      <c r="H1684">
        <v>5</v>
      </c>
      <c r="I1684">
        <f>Table9[[#This Row],[quantity]]*Table9[[#This Row],[unitPrice]]*(1-Table9[[#This Row],[discount]]/100)</f>
        <v>36893.25</v>
      </c>
      <c r="J1684" t="str">
        <f>_xlfn.XLOOKUP(_xlfn.XLOOKUP(A1684,orders[orderID],orders[customerID],,0),customers__2[customerID],customers__2[companyName],,0)</f>
        <v>Lehmanns Marktstand</v>
      </c>
      <c r="K1684" t="str">
        <f>_xlfn.XLOOKUP(Table9[[#This Row],[Company Name]],customers__2[companyName],customers__2[country],,0)</f>
        <v>Germany</v>
      </c>
      <c r="L1684">
        <f>MONTH(Table9[[#This Row],[OrderDate ]])</f>
        <v>2</v>
      </c>
      <c r="M1684" t="str">
        <f>TEXT(Table9[[#This Row],[OrderDate ]],"mmm")</f>
        <v>Feb</v>
      </c>
      <c r="N1684">
        <f>YEAR(Table9[[#This Row],[OrderDate ]])</f>
        <v>2015</v>
      </c>
    </row>
    <row r="1685" spans="1:14" x14ac:dyDescent="0.3">
      <c r="A1685">
        <v>10892</v>
      </c>
      <c r="B1685" s="2">
        <f>_xlfn.XLOOKUP(Table9[[#This Row],[orderID]],orders[orderID],orders[orderDate],,0)</f>
        <v>42052</v>
      </c>
      <c r="C1685">
        <f>_xlfn.XLOOKUP(A1685,order_details[orderID],order_details[productID],,0)</f>
        <v>59</v>
      </c>
      <c r="D1685" t="str">
        <f>_xlfn.XLOOKUP(C1685,products[productID],products[productName],,0)</f>
        <v>Raclette Courdavault</v>
      </c>
      <c r="E1685" t="str">
        <f>_xlfn.XLOOKUP(_xlfn.XLOOKUP(Table9[[#This Row],[ProductName ]],products[productName],products[categoryID],,0),categories[categoryID],categories[categoryName],,0)</f>
        <v>Dairy Products</v>
      </c>
      <c r="F1685">
        <v>40</v>
      </c>
      <c r="G1685">
        <v>55</v>
      </c>
      <c r="H1685">
        <v>5</v>
      </c>
      <c r="I1685">
        <f>Table9[[#This Row],[quantity]]*Table9[[#This Row],[unitPrice]]*(1-Table9[[#This Row],[discount]]/100)</f>
        <v>2090</v>
      </c>
      <c r="J1685" t="str">
        <f>_xlfn.XLOOKUP(_xlfn.XLOOKUP(A1685,orders[orderID],orders[customerID],,0),customers__2[customerID],customers__2[companyName],,0)</f>
        <v>Maison Dewey</v>
      </c>
      <c r="K1685" t="str">
        <f>_xlfn.XLOOKUP(Table9[[#This Row],[Company Name]],customers__2[companyName],customers__2[country],,0)</f>
        <v>Belgium</v>
      </c>
      <c r="L1685">
        <f>MONTH(Table9[[#This Row],[OrderDate ]])</f>
        <v>2</v>
      </c>
      <c r="M1685" t="str">
        <f>TEXT(Table9[[#This Row],[OrderDate ]],"mmm")</f>
        <v>Feb</v>
      </c>
      <c r="N1685">
        <f>YEAR(Table9[[#This Row],[OrderDate ]])</f>
        <v>2015</v>
      </c>
    </row>
    <row r="1686" spans="1:14" x14ac:dyDescent="0.3">
      <c r="A1686">
        <v>10893</v>
      </c>
      <c r="B1686" s="2">
        <f>_xlfn.XLOOKUP(Table9[[#This Row],[orderID]],orders[orderID],orders[orderDate],,0)</f>
        <v>42053</v>
      </c>
      <c r="C1686">
        <f>_xlfn.XLOOKUP(A1686,order_details[orderID],order_details[productID],,0)</f>
        <v>8</v>
      </c>
      <c r="D1686" t="str">
        <f>_xlfn.XLOOKUP(C1686,products[productID],products[productName],,0)</f>
        <v>Northwoods Cranberry Sauce</v>
      </c>
      <c r="E1686" t="str">
        <f>_xlfn.XLOOKUP(_xlfn.XLOOKUP(Table9[[#This Row],[ProductName ]],products[productName],products[categoryID],,0),categories[categoryID],categories[categoryName],,0)</f>
        <v>Condiments</v>
      </c>
      <c r="F1686">
        <v>30</v>
      </c>
      <c r="G1686">
        <v>40</v>
      </c>
      <c r="H1686">
        <v>0</v>
      </c>
      <c r="I1686">
        <f>Table9[[#This Row],[quantity]]*Table9[[#This Row],[unitPrice]]*(1-Table9[[#This Row],[discount]]/100)</f>
        <v>1200</v>
      </c>
      <c r="J1686" t="str">
        <f>_xlfn.XLOOKUP(_xlfn.XLOOKUP(A1686,orders[orderID],orders[customerID],,0),customers__2[customerID],customers__2[companyName],,0)</f>
        <v>Königlich Essen</v>
      </c>
      <c r="K1686" t="str">
        <f>_xlfn.XLOOKUP(Table9[[#This Row],[Company Name]],customers__2[companyName],customers__2[country],,0)</f>
        <v>Germany</v>
      </c>
      <c r="L1686">
        <f>MONTH(Table9[[#This Row],[OrderDate ]])</f>
        <v>2</v>
      </c>
      <c r="M1686" t="str">
        <f>TEXT(Table9[[#This Row],[OrderDate ]],"mmm")</f>
        <v>Feb</v>
      </c>
      <c r="N1686">
        <f>YEAR(Table9[[#This Row],[OrderDate ]])</f>
        <v>2015</v>
      </c>
    </row>
    <row r="1687" spans="1:14" x14ac:dyDescent="0.3">
      <c r="A1687">
        <v>10893</v>
      </c>
      <c r="B1687" s="2">
        <f>_xlfn.XLOOKUP(Table9[[#This Row],[orderID]],orders[orderID],orders[orderDate],,0)</f>
        <v>42053</v>
      </c>
      <c r="C1687">
        <f>_xlfn.XLOOKUP(A1687,order_details[orderID],order_details[productID],,0)</f>
        <v>8</v>
      </c>
      <c r="D1687" t="str">
        <f>_xlfn.XLOOKUP(C1687,products[productID],products[productName],,0)</f>
        <v>Northwoods Cranberry Sauce</v>
      </c>
      <c r="E1687" t="str">
        <f>_xlfn.XLOOKUP(_xlfn.XLOOKUP(Table9[[#This Row],[ProductName ]],products[productName],products[categoryID],,0),categories[categoryID],categories[categoryName],,0)</f>
        <v>Condiments</v>
      </c>
      <c r="F1687">
        <v>10</v>
      </c>
      <c r="G1687">
        <v>45</v>
      </c>
      <c r="H1687">
        <v>0</v>
      </c>
      <c r="I1687">
        <f>Table9[[#This Row],[quantity]]*Table9[[#This Row],[unitPrice]]*(1-Table9[[#This Row],[discount]]/100)</f>
        <v>450</v>
      </c>
      <c r="J1687" t="str">
        <f>_xlfn.XLOOKUP(_xlfn.XLOOKUP(A1687,orders[orderID],orders[customerID],,0),customers__2[customerID],customers__2[companyName],,0)</f>
        <v>Königlich Essen</v>
      </c>
      <c r="K1687" t="str">
        <f>_xlfn.XLOOKUP(Table9[[#This Row],[Company Name]],customers__2[companyName],customers__2[country],,0)</f>
        <v>Germany</v>
      </c>
      <c r="L1687">
        <f>MONTH(Table9[[#This Row],[OrderDate ]])</f>
        <v>2</v>
      </c>
      <c r="M1687" t="str">
        <f>TEXT(Table9[[#This Row],[OrderDate ]],"mmm")</f>
        <v>Feb</v>
      </c>
      <c r="N1687">
        <f>YEAR(Table9[[#This Row],[OrderDate ]])</f>
        <v>2015</v>
      </c>
    </row>
    <row r="1688" spans="1:14" x14ac:dyDescent="0.3">
      <c r="A1688">
        <v>10893</v>
      </c>
      <c r="B1688" s="2">
        <f>_xlfn.XLOOKUP(Table9[[#This Row],[orderID]],orders[orderID],orders[orderDate],,0)</f>
        <v>42053</v>
      </c>
      <c r="C1688">
        <f>_xlfn.XLOOKUP(A1688,order_details[orderID],order_details[productID],,0)</f>
        <v>8</v>
      </c>
      <c r="D1688" t="str">
        <f>_xlfn.XLOOKUP(C1688,products[productID],products[productName],,0)</f>
        <v>Northwoods Cranberry Sauce</v>
      </c>
      <c r="E1688" t="str">
        <f>_xlfn.XLOOKUP(_xlfn.XLOOKUP(Table9[[#This Row],[ProductName ]],products[productName],products[categoryID],,0),categories[categoryID],categories[categoryName],,0)</f>
        <v>Condiments</v>
      </c>
      <c r="F1688">
        <v>24</v>
      </c>
      <c r="G1688">
        <v>12379</v>
      </c>
      <c r="H1688">
        <v>0</v>
      </c>
      <c r="I1688">
        <f>Table9[[#This Row],[quantity]]*Table9[[#This Row],[unitPrice]]*(1-Table9[[#This Row],[discount]]/100)</f>
        <v>297096</v>
      </c>
      <c r="J1688" t="str">
        <f>_xlfn.XLOOKUP(_xlfn.XLOOKUP(A1688,orders[orderID],orders[customerID],,0),customers__2[customerID],customers__2[companyName],,0)</f>
        <v>Königlich Essen</v>
      </c>
      <c r="K1688" t="str">
        <f>_xlfn.XLOOKUP(Table9[[#This Row],[Company Name]],customers__2[companyName],customers__2[country],,0)</f>
        <v>Germany</v>
      </c>
      <c r="L1688">
        <f>MONTH(Table9[[#This Row],[OrderDate ]])</f>
        <v>2</v>
      </c>
      <c r="M1688" t="str">
        <f>TEXT(Table9[[#This Row],[OrderDate ]],"mmm")</f>
        <v>Feb</v>
      </c>
      <c r="N1688">
        <f>YEAR(Table9[[#This Row],[OrderDate ]])</f>
        <v>2015</v>
      </c>
    </row>
    <row r="1689" spans="1:14" x14ac:dyDescent="0.3">
      <c r="A1689">
        <v>10893</v>
      </c>
      <c r="B1689" s="2">
        <f>_xlfn.XLOOKUP(Table9[[#This Row],[orderID]],orders[orderID],orders[orderDate],,0)</f>
        <v>42053</v>
      </c>
      <c r="C1689">
        <f>_xlfn.XLOOKUP(A1689,order_details[orderID],order_details[productID],,0)</f>
        <v>8</v>
      </c>
      <c r="D1689" t="str">
        <f>_xlfn.XLOOKUP(C1689,products[productID],products[productName],,0)</f>
        <v>Northwoods Cranberry Sauce</v>
      </c>
      <c r="E1689" t="str">
        <f>_xlfn.XLOOKUP(_xlfn.XLOOKUP(Table9[[#This Row],[ProductName ]],products[productName],products[categoryID],,0),categories[categoryID],categories[categoryName],,0)</f>
        <v>Condiments</v>
      </c>
      <c r="F1689">
        <v>35</v>
      </c>
      <c r="G1689">
        <v>2589</v>
      </c>
      <c r="H1689">
        <v>0</v>
      </c>
      <c r="I1689">
        <f>Table9[[#This Row],[quantity]]*Table9[[#This Row],[unitPrice]]*(1-Table9[[#This Row],[discount]]/100)</f>
        <v>90615</v>
      </c>
      <c r="J1689" t="str">
        <f>_xlfn.XLOOKUP(_xlfn.XLOOKUP(A1689,orders[orderID],orders[customerID],,0),customers__2[customerID],customers__2[companyName],,0)</f>
        <v>Königlich Essen</v>
      </c>
      <c r="K1689" t="str">
        <f>_xlfn.XLOOKUP(Table9[[#This Row],[Company Name]],customers__2[companyName],customers__2[country],,0)</f>
        <v>Germany</v>
      </c>
      <c r="L1689">
        <f>MONTH(Table9[[#This Row],[OrderDate ]])</f>
        <v>2</v>
      </c>
      <c r="M1689" t="str">
        <f>TEXT(Table9[[#This Row],[OrderDate ]],"mmm")</f>
        <v>Feb</v>
      </c>
      <c r="N1689">
        <f>YEAR(Table9[[#This Row],[OrderDate ]])</f>
        <v>2015</v>
      </c>
    </row>
    <row r="1690" spans="1:14" x14ac:dyDescent="0.3">
      <c r="A1690">
        <v>10893</v>
      </c>
      <c r="B1690" s="2">
        <f>_xlfn.XLOOKUP(Table9[[#This Row],[orderID]],orders[orderID],orders[orderDate],,0)</f>
        <v>42053</v>
      </c>
      <c r="C1690">
        <f>_xlfn.XLOOKUP(A1690,order_details[orderID],order_details[productID],,0)</f>
        <v>8</v>
      </c>
      <c r="D1690" t="str">
        <f>_xlfn.XLOOKUP(C1690,products[productID],products[productName],,0)</f>
        <v>Northwoods Cranberry Sauce</v>
      </c>
      <c r="E1690" t="str">
        <f>_xlfn.XLOOKUP(_xlfn.XLOOKUP(Table9[[#This Row],[ProductName ]],products[productName],products[categoryID],,0),categories[categoryID],categories[categoryName],,0)</f>
        <v>Condiments</v>
      </c>
      <c r="F1690">
        <v>20</v>
      </c>
      <c r="G1690">
        <v>19</v>
      </c>
      <c r="H1690">
        <v>0</v>
      </c>
      <c r="I1690">
        <f>Table9[[#This Row],[quantity]]*Table9[[#This Row],[unitPrice]]*(1-Table9[[#This Row],[discount]]/100)</f>
        <v>380</v>
      </c>
      <c r="J1690" t="str">
        <f>_xlfn.XLOOKUP(_xlfn.XLOOKUP(A1690,orders[orderID],orders[customerID],,0),customers__2[customerID],customers__2[companyName],,0)</f>
        <v>Königlich Essen</v>
      </c>
      <c r="K1690" t="str">
        <f>_xlfn.XLOOKUP(Table9[[#This Row],[Company Name]],customers__2[companyName],customers__2[country],,0)</f>
        <v>Germany</v>
      </c>
      <c r="L1690">
        <f>MONTH(Table9[[#This Row],[OrderDate ]])</f>
        <v>2</v>
      </c>
      <c r="M1690" t="str">
        <f>TEXT(Table9[[#This Row],[OrderDate ]],"mmm")</f>
        <v>Feb</v>
      </c>
      <c r="N1690">
        <f>YEAR(Table9[[#This Row],[OrderDate ]])</f>
        <v>2015</v>
      </c>
    </row>
    <row r="1691" spans="1:14" x14ac:dyDescent="0.3">
      <c r="A1691">
        <v>10894</v>
      </c>
      <c r="B1691" s="2">
        <f>_xlfn.XLOOKUP(Table9[[#This Row],[orderID]],orders[orderID],orders[orderDate],,0)</f>
        <v>42053</v>
      </c>
      <c r="C1691">
        <f>_xlfn.XLOOKUP(A1691,order_details[orderID],order_details[productID],,0)</f>
        <v>13</v>
      </c>
      <c r="D1691" t="str">
        <f>_xlfn.XLOOKUP(C1691,products[productID],products[productName],,0)</f>
        <v>Konbu</v>
      </c>
      <c r="E1691" t="str">
        <f>_xlfn.XLOOKUP(_xlfn.XLOOKUP(Table9[[#This Row],[ProductName ]],products[productName],products[categoryID],,0),categories[categoryID],categories[categoryName],,0)</f>
        <v>Seafood</v>
      </c>
      <c r="F1691">
        <v>28</v>
      </c>
      <c r="G1691">
        <v>6</v>
      </c>
      <c r="H1691">
        <v>5</v>
      </c>
      <c r="I1691">
        <f>Table9[[#This Row],[quantity]]*Table9[[#This Row],[unitPrice]]*(1-Table9[[#This Row],[discount]]/100)</f>
        <v>159.6</v>
      </c>
      <c r="J1691" t="str">
        <f>_xlfn.XLOOKUP(_xlfn.XLOOKUP(A1691,orders[orderID],orders[customerID],,0),customers__2[customerID],customers__2[companyName],,0)</f>
        <v>Save-a-lot Markets</v>
      </c>
      <c r="K1691" t="str">
        <f>_xlfn.XLOOKUP(Table9[[#This Row],[Company Name]],customers__2[companyName],customers__2[country],,0)</f>
        <v>USA</v>
      </c>
      <c r="L1691">
        <f>MONTH(Table9[[#This Row],[OrderDate ]])</f>
        <v>2</v>
      </c>
      <c r="M1691" t="str">
        <f>TEXT(Table9[[#This Row],[OrderDate ]],"mmm")</f>
        <v>Feb</v>
      </c>
      <c r="N1691">
        <f>YEAR(Table9[[#This Row],[OrderDate ]])</f>
        <v>2015</v>
      </c>
    </row>
    <row r="1692" spans="1:14" x14ac:dyDescent="0.3">
      <c r="A1692">
        <v>10894</v>
      </c>
      <c r="B1692" s="2">
        <f>_xlfn.XLOOKUP(Table9[[#This Row],[orderID]],orders[orderID],orders[orderDate],,0)</f>
        <v>42053</v>
      </c>
      <c r="C1692">
        <f>_xlfn.XLOOKUP(A1692,order_details[orderID],order_details[productID],,0)</f>
        <v>13</v>
      </c>
      <c r="D1692" t="str">
        <f>_xlfn.XLOOKUP(C1692,products[productID],products[productName],,0)</f>
        <v>Konbu</v>
      </c>
      <c r="E1692" t="str">
        <f>_xlfn.XLOOKUP(_xlfn.XLOOKUP(Table9[[#This Row],[ProductName ]],products[productName],products[categoryID],,0),categories[categoryID],categories[categoryName],,0)</f>
        <v>Seafood</v>
      </c>
      <c r="F1692">
        <v>50</v>
      </c>
      <c r="G1692">
        <v>36</v>
      </c>
      <c r="H1692">
        <v>5</v>
      </c>
      <c r="I1692">
        <f>Table9[[#This Row],[quantity]]*Table9[[#This Row],[unitPrice]]*(1-Table9[[#This Row],[discount]]/100)</f>
        <v>1710</v>
      </c>
      <c r="J1692" t="str">
        <f>_xlfn.XLOOKUP(_xlfn.XLOOKUP(A1692,orders[orderID],orders[customerID],,0),customers__2[customerID],customers__2[companyName],,0)</f>
        <v>Save-a-lot Markets</v>
      </c>
      <c r="K1692" t="str">
        <f>_xlfn.XLOOKUP(Table9[[#This Row],[Company Name]],customers__2[companyName],customers__2[country],,0)</f>
        <v>USA</v>
      </c>
      <c r="L1692">
        <f>MONTH(Table9[[#This Row],[OrderDate ]])</f>
        <v>2</v>
      </c>
      <c r="M1692" t="str">
        <f>TEXT(Table9[[#This Row],[OrderDate ]],"mmm")</f>
        <v>Feb</v>
      </c>
      <c r="N1692">
        <f>YEAR(Table9[[#This Row],[OrderDate ]])</f>
        <v>2015</v>
      </c>
    </row>
    <row r="1693" spans="1:14" x14ac:dyDescent="0.3">
      <c r="A1693">
        <v>10894</v>
      </c>
      <c r="B1693" s="2">
        <f>_xlfn.XLOOKUP(Table9[[#This Row],[orderID]],orders[orderID],orders[orderDate],,0)</f>
        <v>42053</v>
      </c>
      <c r="C1693">
        <f>_xlfn.XLOOKUP(A1693,order_details[orderID],order_details[productID],,0)</f>
        <v>13</v>
      </c>
      <c r="D1693" t="str">
        <f>_xlfn.XLOOKUP(C1693,products[productID],products[productName],,0)</f>
        <v>Konbu</v>
      </c>
      <c r="E1693" t="str">
        <f>_xlfn.XLOOKUP(_xlfn.XLOOKUP(Table9[[#This Row],[ProductName ]],products[productName],products[categoryID],,0),categories[categoryID],categories[categoryName],,0)</f>
        <v>Seafood</v>
      </c>
      <c r="F1693">
        <v>120</v>
      </c>
      <c r="G1693">
        <v>775</v>
      </c>
      <c r="H1693">
        <v>5</v>
      </c>
      <c r="I1693">
        <f>Table9[[#This Row],[quantity]]*Table9[[#This Row],[unitPrice]]*(1-Table9[[#This Row],[discount]]/100)</f>
        <v>88350</v>
      </c>
      <c r="J1693" t="str">
        <f>_xlfn.XLOOKUP(_xlfn.XLOOKUP(A1693,orders[orderID],orders[customerID],,0),customers__2[customerID],customers__2[companyName],,0)</f>
        <v>Save-a-lot Markets</v>
      </c>
      <c r="K1693" t="str">
        <f>_xlfn.XLOOKUP(Table9[[#This Row],[Company Name]],customers__2[companyName],customers__2[country],,0)</f>
        <v>USA</v>
      </c>
      <c r="L1693">
        <f>MONTH(Table9[[#This Row],[OrderDate ]])</f>
        <v>2</v>
      </c>
      <c r="M1693" t="str">
        <f>TEXT(Table9[[#This Row],[OrderDate ]],"mmm")</f>
        <v>Feb</v>
      </c>
      <c r="N1693">
        <f>YEAR(Table9[[#This Row],[OrderDate ]])</f>
        <v>2015</v>
      </c>
    </row>
    <row r="1694" spans="1:14" x14ac:dyDescent="0.3">
      <c r="A1694">
        <v>10895</v>
      </c>
      <c r="B1694" s="2">
        <f>_xlfn.XLOOKUP(Table9[[#This Row],[orderID]],orders[orderID],orders[orderDate],,0)</f>
        <v>42053</v>
      </c>
      <c r="C1694">
        <f>_xlfn.XLOOKUP(A1694,order_details[orderID],order_details[productID],,0)</f>
        <v>24</v>
      </c>
      <c r="D1694" t="str">
        <f>_xlfn.XLOOKUP(C1694,products[productID],products[productName],,0)</f>
        <v>Guarana Fantastica</v>
      </c>
      <c r="E1694" t="str">
        <f>_xlfn.XLOOKUP(_xlfn.XLOOKUP(Table9[[#This Row],[ProductName ]],products[productName],products[categoryID],,0),categories[categoryID],categories[categoryName],,0)</f>
        <v>Beverages</v>
      </c>
      <c r="F1694">
        <v>110</v>
      </c>
      <c r="G1694">
        <v>45</v>
      </c>
      <c r="H1694">
        <v>0</v>
      </c>
      <c r="I1694">
        <f>Table9[[#This Row],[quantity]]*Table9[[#This Row],[unitPrice]]*(1-Table9[[#This Row],[discount]]/100)</f>
        <v>4950</v>
      </c>
      <c r="J1694" t="str">
        <f>_xlfn.XLOOKUP(_xlfn.XLOOKUP(A1694,orders[orderID],orders[customerID],,0),customers__2[customerID],customers__2[companyName],,0)</f>
        <v>Ernst Handel</v>
      </c>
      <c r="K1694" t="str">
        <f>_xlfn.XLOOKUP(Table9[[#This Row],[Company Name]],customers__2[companyName],customers__2[country],,0)</f>
        <v>Austria</v>
      </c>
      <c r="L1694">
        <f>MONTH(Table9[[#This Row],[OrderDate ]])</f>
        <v>2</v>
      </c>
      <c r="M1694" t="str">
        <f>TEXT(Table9[[#This Row],[OrderDate ]],"mmm")</f>
        <v>Feb</v>
      </c>
      <c r="N1694">
        <f>YEAR(Table9[[#This Row],[OrderDate ]])</f>
        <v>2015</v>
      </c>
    </row>
    <row r="1695" spans="1:14" x14ac:dyDescent="0.3">
      <c r="A1695">
        <v>10895</v>
      </c>
      <c r="B1695" s="2">
        <f>_xlfn.XLOOKUP(Table9[[#This Row],[orderID]],orders[orderID],orders[orderDate],,0)</f>
        <v>42053</v>
      </c>
      <c r="C1695">
        <f>_xlfn.XLOOKUP(A1695,order_details[orderID],order_details[productID],,0)</f>
        <v>24</v>
      </c>
      <c r="D1695" t="str">
        <f>_xlfn.XLOOKUP(C1695,products[productID],products[productName],,0)</f>
        <v>Guarana Fantastica</v>
      </c>
      <c r="E1695" t="str">
        <f>_xlfn.XLOOKUP(_xlfn.XLOOKUP(Table9[[#This Row],[ProductName ]],products[productName],products[categoryID],,0),categories[categoryID],categories[categoryName],,0)</f>
        <v>Beverages</v>
      </c>
      <c r="F1695">
        <v>45</v>
      </c>
      <c r="G1695">
        <v>18</v>
      </c>
      <c r="H1695">
        <v>0</v>
      </c>
      <c r="I1695">
        <f>Table9[[#This Row],[quantity]]*Table9[[#This Row],[unitPrice]]*(1-Table9[[#This Row],[discount]]/100)</f>
        <v>810</v>
      </c>
      <c r="J1695" t="str">
        <f>_xlfn.XLOOKUP(_xlfn.XLOOKUP(A1695,orders[orderID],orders[customerID],,0),customers__2[customerID],customers__2[companyName],,0)</f>
        <v>Ernst Handel</v>
      </c>
      <c r="K1695" t="str">
        <f>_xlfn.XLOOKUP(Table9[[#This Row],[Company Name]],customers__2[companyName],customers__2[country],,0)</f>
        <v>Austria</v>
      </c>
      <c r="L1695">
        <f>MONTH(Table9[[#This Row],[OrderDate ]])</f>
        <v>2</v>
      </c>
      <c r="M1695" t="str">
        <f>TEXT(Table9[[#This Row],[OrderDate ]],"mmm")</f>
        <v>Feb</v>
      </c>
      <c r="N1695">
        <f>YEAR(Table9[[#This Row],[OrderDate ]])</f>
        <v>2015</v>
      </c>
    </row>
    <row r="1696" spans="1:14" x14ac:dyDescent="0.3">
      <c r="A1696">
        <v>10895</v>
      </c>
      <c r="B1696" s="2">
        <f>_xlfn.XLOOKUP(Table9[[#This Row],[orderID]],orders[orderID],orders[orderDate],,0)</f>
        <v>42053</v>
      </c>
      <c r="C1696">
        <f>_xlfn.XLOOKUP(A1696,order_details[orderID],order_details[productID],,0)</f>
        <v>24</v>
      </c>
      <c r="D1696" t="str">
        <f>_xlfn.XLOOKUP(C1696,products[productID],products[productName],,0)</f>
        <v>Guarana Fantastica</v>
      </c>
      <c r="E1696" t="str">
        <f>_xlfn.XLOOKUP(_xlfn.XLOOKUP(Table9[[#This Row],[ProductName ]],products[productName],products[categoryID],,0),categories[categoryID],categories[categoryName],,0)</f>
        <v>Beverages</v>
      </c>
      <c r="F1696">
        <v>91</v>
      </c>
      <c r="G1696">
        <v>184</v>
      </c>
      <c r="H1696">
        <v>0</v>
      </c>
      <c r="I1696">
        <f>Table9[[#This Row],[quantity]]*Table9[[#This Row],[unitPrice]]*(1-Table9[[#This Row],[discount]]/100)</f>
        <v>16744</v>
      </c>
      <c r="J1696" t="str">
        <f>_xlfn.XLOOKUP(_xlfn.XLOOKUP(A1696,orders[orderID],orders[customerID],,0),customers__2[customerID],customers__2[companyName],,0)</f>
        <v>Ernst Handel</v>
      </c>
      <c r="K1696" t="str">
        <f>_xlfn.XLOOKUP(Table9[[#This Row],[Company Name]],customers__2[companyName],customers__2[country],,0)</f>
        <v>Austria</v>
      </c>
      <c r="L1696">
        <f>MONTH(Table9[[#This Row],[OrderDate ]])</f>
        <v>2</v>
      </c>
      <c r="M1696" t="str">
        <f>TEXT(Table9[[#This Row],[OrderDate ]],"mmm")</f>
        <v>Feb</v>
      </c>
      <c r="N1696">
        <f>YEAR(Table9[[#This Row],[OrderDate ]])</f>
        <v>2015</v>
      </c>
    </row>
    <row r="1697" spans="1:14" x14ac:dyDescent="0.3">
      <c r="A1697">
        <v>10895</v>
      </c>
      <c r="B1697" s="2">
        <f>_xlfn.XLOOKUP(Table9[[#This Row],[orderID]],orders[orderID],orders[orderDate],,0)</f>
        <v>42053</v>
      </c>
      <c r="C1697">
        <f>_xlfn.XLOOKUP(A1697,order_details[orderID],order_details[productID],,0)</f>
        <v>24</v>
      </c>
      <c r="D1697" t="str">
        <f>_xlfn.XLOOKUP(C1697,products[productID],products[productName],,0)</f>
        <v>Guarana Fantastica</v>
      </c>
      <c r="E1697" t="str">
        <f>_xlfn.XLOOKUP(_xlfn.XLOOKUP(Table9[[#This Row],[ProductName ]],products[productName],products[categoryID],,0),categories[categoryID],categories[categoryName],,0)</f>
        <v>Beverages</v>
      </c>
      <c r="F1697">
        <v>100</v>
      </c>
      <c r="G1697">
        <v>34</v>
      </c>
      <c r="H1697">
        <v>0</v>
      </c>
      <c r="I1697">
        <f>Table9[[#This Row],[quantity]]*Table9[[#This Row],[unitPrice]]*(1-Table9[[#This Row],[discount]]/100)</f>
        <v>3400</v>
      </c>
      <c r="J1697" t="str">
        <f>_xlfn.XLOOKUP(_xlfn.XLOOKUP(A1697,orders[orderID],orders[customerID],,0),customers__2[customerID],customers__2[companyName],,0)</f>
        <v>Ernst Handel</v>
      </c>
      <c r="K1697" t="str">
        <f>_xlfn.XLOOKUP(Table9[[#This Row],[Company Name]],customers__2[companyName],customers__2[country],,0)</f>
        <v>Austria</v>
      </c>
      <c r="L1697">
        <f>MONTH(Table9[[#This Row],[OrderDate ]])</f>
        <v>2</v>
      </c>
      <c r="M1697" t="str">
        <f>TEXT(Table9[[#This Row],[OrderDate ]],"mmm")</f>
        <v>Feb</v>
      </c>
      <c r="N1697">
        <f>YEAR(Table9[[#This Row],[OrderDate ]])</f>
        <v>2015</v>
      </c>
    </row>
    <row r="1698" spans="1:14" x14ac:dyDescent="0.3">
      <c r="A1698">
        <v>10896</v>
      </c>
      <c r="B1698" s="2">
        <f>_xlfn.XLOOKUP(Table9[[#This Row],[orderID]],orders[orderID],orders[orderDate],,0)</f>
        <v>42054</v>
      </c>
      <c r="C1698">
        <f>_xlfn.XLOOKUP(A1698,order_details[orderID],order_details[productID],,0)</f>
        <v>45</v>
      </c>
      <c r="D1698" t="str">
        <f>_xlfn.XLOOKUP(C1698,products[productID],products[productName],,0)</f>
        <v>Rogede sild</v>
      </c>
      <c r="E1698" t="str">
        <f>_xlfn.XLOOKUP(_xlfn.XLOOKUP(Table9[[#This Row],[ProductName ]],products[productName],products[categoryID],,0),categories[categoryID],categories[categoryName],,0)</f>
        <v>Seafood</v>
      </c>
      <c r="F1698">
        <v>15</v>
      </c>
      <c r="G1698">
        <v>95</v>
      </c>
      <c r="H1698">
        <v>0</v>
      </c>
      <c r="I1698">
        <f>Table9[[#This Row],[quantity]]*Table9[[#This Row],[unitPrice]]*(1-Table9[[#This Row],[discount]]/100)</f>
        <v>1425</v>
      </c>
      <c r="J1698" t="str">
        <f>_xlfn.XLOOKUP(_xlfn.XLOOKUP(A1698,orders[orderID],orders[customerID],,0),customers__2[customerID],customers__2[companyName],,0)</f>
        <v>Maison Dewey</v>
      </c>
      <c r="K1698" t="str">
        <f>_xlfn.XLOOKUP(Table9[[#This Row],[Company Name]],customers__2[companyName],customers__2[country],,0)</f>
        <v>Belgium</v>
      </c>
      <c r="L1698">
        <f>MONTH(Table9[[#This Row],[OrderDate ]])</f>
        <v>2</v>
      </c>
      <c r="M1698" t="str">
        <f>TEXT(Table9[[#This Row],[OrderDate ]],"mmm")</f>
        <v>Feb</v>
      </c>
      <c r="N1698">
        <f>YEAR(Table9[[#This Row],[OrderDate ]])</f>
        <v>2015</v>
      </c>
    </row>
    <row r="1699" spans="1:14" x14ac:dyDescent="0.3">
      <c r="A1699">
        <v>10896</v>
      </c>
      <c r="B1699" s="2">
        <f>_xlfn.XLOOKUP(Table9[[#This Row],[orderID]],orders[orderID],orders[orderDate],,0)</f>
        <v>42054</v>
      </c>
      <c r="C1699">
        <f>_xlfn.XLOOKUP(A1699,order_details[orderID],order_details[productID],,0)</f>
        <v>45</v>
      </c>
      <c r="D1699" t="str">
        <f>_xlfn.XLOOKUP(C1699,products[productID],products[productName],,0)</f>
        <v>Rogede sild</v>
      </c>
      <c r="E1699" t="str">
        <f>_xlfn.XLOOKUP(_xlfn.XLOOKUP(Table9[[#This Row],[ProductName ]],products[productName],products[categoryID],,0),categories[categoryID],categories[categoryName],,0)</f>
        <v>Seafood</v>
      </c>
      <c r="F1699">
        <v>16</v>
      </c>
      <c r="G1699">
        <v>38</v>
      </c>
      <c r="H1699">
        <v>0</v>
      </c>
      <c r="I1699">
        <f>Table9[[#This Row],[quantity]]*Table9[[#This Row],[unitPrice]]*(1-Table9[[#This Row],[discount]]/100)</f>
        <v>608</v>
      </c>
      <c r="J1699" t="str">
        <f>_xlfn.XLOOKUP(_xlfn.XLOOKUP(A1699,orders[orderID],orders[customerID],,0),customers__2[customerID],customers__2[companyName],,0)</f>
        <v>Maison Dewey</v>
      </c>
      <c r="K1699" t="str">
        <f>_xlfn.XLOOKUP(Table9[[#This Row],[Company Name]],customers__2[companyName],customers__2[country],,0)</f>
        <v>Belgium</v>
      </c>
      <c r="L1699">
        <f>MONTH(Table9[[#This Row],[OrderDate ]])</f>
        <v>2</v>
      </c>
      <c r="M1699" t="str">
        <f>TEXT(Table9[[#This Row],[OrderDate ]],"mmm")</f>
        <v>Feb</v>
      </c>
      <c r="N1699">
        <f>YEAR(Table9[[#This Row],[OrderDate ]])</f>
        <v>2015</v>
      </c>
    </row>
    <row r="1700" spans="1:14" x14ac:dyDescent="0.3">
      <c r="A1700">
        <v>10897</v>
      </c>
      <c r="B1700" s="2">
        <f>_xlfn.XLOOKUP(Table9[[#This Row],[orderID]],orders[orderID],orders[orderDate],,0)</f>
        <v>42054</v>
      </c>
      <c r="C1700">
        <f>_xlfn.XLOOKUP(A1700,order_details[orderID],order_details[productID],,0)</f>
        <v>29</v>
      </c>
      <c r="D1700" t="str">
        <f>_xlfn.XLOOKUP(C1700,products[productID],products[productName],,0)</f>
        <v>Thüringer Rostbratwurst</v>
      </c>
      <c r="E1700" t="str">
        <f>_xlfn.XLOOKUP(_xlfn.XLOOKUP(Table9[[#This Row],[ProductName ]],products[productName],products[categoryID],,0),categories[categoryID],categories[categoryName],,0)</f>
        <v>Meat &amp; Poultry</v>
      </c>
      <c r="F1700">
        <v>80</v>
      </c>
      <c r="G1700">
        <v>12379</v>
      </c>
      <c r="H1700">
        <v>0</v>
      </c>
      <c r="I1700">
        <f>Table9[[#This Row],[quantity]]*Table9[[#This Row],[unitPrice]]*(1-Table9[[#This Row],[discount]]/100)</f>
        <v>990320</v>
      </c>
      <c r="J1700" t="str">
        <f>_xlfn.XLOOKUP(_xlfn.XLOOKUP(A1700,orders[orderID],orders[customerID],,0),customers__2[customerID],customers__2[companyName],,0)</f>
        <v>Hungry Owl All-Night Grocers</v>
      </c>
      <c r="K1700" t="str">
        <f>_xlfn.XLOOKUP(Table9[[#This Row],[Company Name]],customers__2[companyName],customers__2[country],,0)</f>
        <v>Ireland</v>
      </c>
      <c r="L1700">
        <f>MONTH(Table9[[#This Row],[OrderDate ]])</f>
        <v>2</v>
      </c>
      <c r="M1700" t="str">
        <f>TEXT(Table9[[#This Row],[OrderDate ]],"mmm")</f>
        <v>Feb</v>
      </c>
      <c r="N1700">
        <f>YEAR(Table9[[#This Row],[OrderDate ]])</f>
        <v>2015</v>
      </c>
    </row>
    <row r="1701" spans="1:14" x14ac:dyDescent="0.3">
      <c r="A1701">
        <v>10897</v>
      </c>
      <c r="B1701" s="2">
        <f>_xlfn.XLOOKUP(Table9[[#This Row],[orderID]],orders[orderID],orders[orderDate],,0)</f>
        <v>42054</v>
      </c>
      <c r="C1701">
        <f>_xlfn.XLOOKUP(A1701,order_details[orderID],order_details[productID],,0)</f>
        <v>29</v>
      </c>
      <c r="D1701" t="str">
        <f>_xlfn.XLOOKUP(C1701,products[productID],products[productName],,0)</f>
        <v>Thüringer Rostbratwurst</v>
      </c>
      <c r="E1701" t="str">
        <f>_xlfn.XLOOKUP(_xlfn.XLOOKUP(Table9[[#This Row],[ProductName ]],products[productName],products[categoryID],,0),categories[categoryID],categories[categoryName],,0)</f>
        <v>Meat &amp; Poultry</v>
      </c>
      <c r="F1701">
        <v>36</v>
      </c>
      <c r="G1701">
        <v>2589</v>
      </c>
      <c r="H1701">
        <v>0</v>
      </c>
      <c r="I1701">
        <f>Table9[[#This Row],[quantity]]*Table9[[#This Row],[unitPrice]]*(1-Table9[[#This Row],[discount]]/100)</f>
        <v>93204</v>
      </c>
      <c r="J1701" t="str">
        <f>_xlfn.XLOOKUP(_xlfn.XLOOKUP(A1701,orders[orderID],orders[customerID],,0),customers__2[customerID],customers__2[companyName],,0)</f>
        <v>Hungry Owl All-Night Grocers</v>
      </c>
      <c r="K1701" t="str">
        <f>_xlfn.XLOOKUP(Table9[[#This Row],[Company Name]],customers__2[companyName],customers__2[country],,0)</f>
        <v>Ireland</v>
      </c>
      <c r="L1701">
        <f>MONTH(Table9[[#This Row],[OrderDate ]])</f>
        <v>2</v>
      </c>
      <c r="M1701" t="str">
        <f>TEXT(Table9[[#This Row],[OrderDate ]],"mmm")</f>
        <v>Feb</v>
      </c>
      <c r="N1701">
        <f>YEAR(Table9[[#This Row],[OrderDate ]])</f>
        <v>2015</v>
      </c>
    </row>
    <row r="1702" spans="1:14" x14ac:dyDescent="0.3">
      <c r="A1702">
        <v>10898</v>
      </c>
      <c r="B1702" s="2">
        <f>_xlfn.XLOOKUP(Table9[[#This Row],[orderID]],orders[orderID],orders[orderDate],,0)</f>
        <v>42055</v>
      </c>
      <c r="C1702">
        <f>_xlfn.XLOOKUP(A1702,order_details[orderID],order_details[productID],,0)</f>
        <v>13</v>
      </c>
      <c r="D1702" t="str">
        <f>_xlfn.XLOOKUP(C1702,products[productID],products[productName],,0)</f>
        <v>Konbu</v>
      </c>
      <c r="E1702" t="str">
        <f>_xlfn.XLOOKUP(_xlfn.XLOOKUP(Table9[[#This Row],[ProductName ]],products[productName],products[categoryID],,0),categories[categoryID],categories[categoryName],,0)</f>
        <v>Seafood</v>
      </c>
      <c r="F1702">
        <v>5</v>
      </c>
      <c r="G1702">
        <v>6</v>
      </c>
      <c r="H1702">
        <v>0</v>
      </c>
      <c r="I1702">
        <f>Table9[[#This Row],[quantity]]*Table9[[#This Row],[unitPrice]]*(1-Table9[[#This Row],[discount]]/100)</f>
        <v>30</v>
      </c>
      <c r="J1702" t="str">
        <f>_xlfn.XLOOKUP(_xlfn.XLOOKUP(A1702,orders[orderID],orders[customerID],,0),customers__2[customerID],customers__2[companyName],,0)</f>
        <v>Océano Atlántico Ltda.</v>
      </c>
      <c r="K1702" t="str">
        <f>_xlfn.XLOOKUP(Table9[[#This Row],[Company Name]],customers__2[companyName],customers__2[country],,0)</f>
        <v>Argentina</v>
      </c>
      <c r="L1702">
        <f>MONTH(Table9[[#This Row],[OrderDate ]])</f>
        <v>2</v>
      </c>
      <c r="M1702" t="str">
        <f>TEXT(Table9[[#This Row],[OrderDate ]],"mmm")</f>
        <v>Feb</v>
      </c>
      <c r="N1702">
        <f>YEAR(Table9[[#This Row],[OrderDate ]])</f>
        <v>2015</v>
      </c>
    </row>
    <row r="1703" spans="1:14" x14ac:dyDescent="0.3">
      <c r="A1703">
        <v>10899</v>
      </c>
      <c r="B1703" s="2">
        <f>_xlfn.XLOOKUP(Table9[[#This Row],[orderID]],orders[orderID],orders[orderDate],,0)</f>
        <v>42055</v>
      </c>
      <c r="C1703">
        <f>_xlfn.XLOOKUP(A1703,order_details[orderID],order_details[productID],,0)</f>
        <v>39</v>
      </c>
      <c r="D1703" t="str">
        <f>_xlfn.XLOOKUP(C1703,products[productID],products[productName],,0)</f>
        <v>Chartreuse verte</v>
      </c>
      <c r="E1703" t="str">
        <f>_xlfn.XLOOKUP(_xlfn.XLOOKUP(Table9[[#This Row],[ProductName ]],products[productName],products[categoryID],,0),categories[categoryID],categories[categoryName],,0)</f>
        <v>Beverages</v>
      </c>
      <c r="F1703">
        <v>8</v>
      </c>
      <c r="G1703">
        <v>18</v>
      </c>
      <c r="H1703">
        <v>15</v>
      </c>
      <c r="I1703">
        <f>Table9[[#This Row],[quantity]]*Table9[[#This Row],[unitPrice]]*(1-Table9[[#This Row],[discount]]/100)</f>
        <v>122.39999999999999</v>
      </c>
      <c r="J1703" t="str">
        <f>_xlfn.XLOOKUP(_xlfn.XLOOKUP(A1703,orders[orderID],orders[customerID],,0),customers__2[customerID],customers__2[companyName],,0)</f>
        <v>LILA-Supermercado</v>
      </c>
      <c r="K1703" t="str">
        <f>_xlfn.XLOOKUP(Table9[[#This Row],[Company Name]],customers__2[companyName],customers__2[country],,0)</f>
        <v>Venezuela</v>
      </c>
      <c r="L1703">
        <f>MONTH(Table9[[#This Row],[OrderDate ]])</f>
        <v>2</v>
      </c>
      <c r="M1703" t="str">
        <f>TEXT(Table9[[#This Row],[OrderDate ]],"mmm")</f>
        <v>Feb</v>
      </c>
      <c r="N1703">
        <f>YEAR(Table9[[#This Row],[OrderDate ]])</f>
        <v>2015</v>
      </c>
    </row>
    <row r="1704" spans="1:14" x14ac:dyDescent="0.3">
      <c r="A1704">
        <v>10900</v>
      </c>
      <c r="B1704" s="2">
        <f>_xlfn.XLOOKUP(Table9[[#This Row],[orderID]],orders[orderID],orders[orderDate],,0)</f>
        <v>42055</v>
      </c>
      <c r="C1704">
        <f>_xlfn.XLOOKUP(A1704,order_details[orderID],order_details[productID],,0)</f>
        <v>70</v>
      </c>
      <c r="D1704" t="str">
        <f>_xlfn.XLOOKUP(C1704,products[productID],products[productName],,0)</f>
        <v>Outback Lager</v>
      </c>
      <c r="E1704" t="str">
        <f>_xlfn.XLOOKUP(_xlfn.XLOOKUP(Table9[[#This Row],[ProductName ]],products[productName],products[categoryID],,0),categories[categoryID],categories[categoryName],,0)</f>
        <v>Beverages</v>
      </c>
      <c r="F1704">
        <v>3</v>
      </c>
      <c r="G1704">
        <v>15</v>
      </c>
      <c r="H1704">
        <v>25</v>
      </c>
      <c r="I1704">
        <f>Table9[[#This Row],[quantity]]*Table9[[#This Row],[unitPrice]]*(1-Table9[[#This Row],[discount]]/100)</f>
        <v>33.75</v>
      </c>
      <c r="J1704" t="str">
        <f>_xlfn.XLOOKUP(_xlfn.XLOOKUP(A1704,orders[orderID],orders[customerID],,0),customers__2[customerID],customers__2[companyName],,0)</f>
        <v>Wellington Importadora</v>
      </c>
      <c r="K1704" t="str">
        <f>_xlfn.XLOOKUP(Table9[[#This Row],[Company Name]],customers__2[companyName],customers__2[country],,0)</f>
        <v>Brazil</v>
      </c>
      <c r="L1704">
        <f>MONTH(Table9[[#This Row],[OrderDate ]])</f>
        <v>2</v>
      </c>
      <c r="M1704" t="str">
        <f>TEXT(Table9[[#This Row],[OrderDate ]],"mmm")</f>
        <v>Feb</v>
      </c>
      <c r="N1704">
        <f>YEAR(Table9[[#This Row],[OrderDate ]])</f>
        <v>2015</v>
      </c>
    </row>
    <row r="1705" spans="1:14" x14ac:dyDescent="0.3">
      <c r="A1705">
        <v>10901</v>
      </c>
      <c r="B1705" s="2">
        <f>_xlfn.XLOOKUP(Table9[[#This Row],[orderID]],orders[orderID],orders[orderDate],,0)</f>
        <v>42058</v>
      </c>
      <c r="C1705">
        <f>_xlfn.XLOOKUP(A1705,order_details[orderID],order_details[productID],,0)</f>
        <v>41</v>
      </c>
      <c r="D1705" t="str">
        <f>_xlfn.XLOOKUP(C1705,products[productID],products[productName],,0)</f>
        <v>Jack's New England Clam Chowder</v>
      </c>
      <c r="E1705" t="str">
        <f>_xlfn.XLOOKUP(_xlfn.XLOOKUP(Table9[[#This Row],[ProductName ]],products[productName],products[categoryID],,0),categories[categoryID],categories[categoryName],,0)</f>
        <v>Seafood</v>
      </c>
      <c r="F1705">
        <v>30</v>
      </c>
      <c r="G1705">
        <v>965</v>
      </c>
      <c r="H1705">
        <v>0</v>
      </c>
      <c r="I1705">
        <f>Table9[[#This Row],[quantity]]*Table9[[#This Row],[unitPrice]]*(1-Table9[[#This Row],[discount]]/100)</f>
        <v>28950</v>
      </c>
      <c r="J1705" t="str">
        <f>_xlfn.XLOOKUP(_xlfn.XLOOKUP(A1705,orders[orderID],orders[customerID],,0),customers__2[customerID],customers__2[companyName],,0)</f>
        <v>HILARION-Abastos</v>
      </c>
      <c r="K1705" t="str">
        <f>_xlfn.XLOOKUP(Table9[[#This Row],[Company Name]],customers__2[companyName],customers__2[country],,0)</f>
        <v>Venezuela</v>
      </c>
      <c r="L1705">
        <f>MONTH(Table9[[#This Row],[OrderDate ]])</f>
        <v>2</v>
      </c>
      <c r="M1705" t="str">
        <f>TEXT(Table9[[#This Row],[OrderDate ]],"mmm")</f>
        <v>Feb</v>
      </c>
      <c r="N1705">
        <f>YEAR(Table9[[#This Row],[OrderDate ]])</f>
        <v>2015</v>
      </c>
    </row>
    <row r="1706" spans="1:14" x14ac:dyDescent="0.3">
      <c r="A1706">
        <v>10901</v>
      </c>
      <c r="B1706" s="2">
        <f>_xlfn.XLOOKUP(Table9[[#This Row],[orderID]],orders[orderID],orders[orderDate],,0)</f>
        <v>42058</v>
      </c>
      <c r="C1706">
        <f>_xlfn.XLOOKUP(A1706,order_details[orderID],order_details[productID],,0)</f>
        <v>41</v>
      </c>
      <c r="D1706" t="str">
        <f>_xlfn.XLOOKUP(C1706,products[productID],products[productName],,0)</f>
        <v>Jack's New England Clam Chowder</v>
      </c>
      <c r="E1706" t="str">
        <f>_xlfn.XLOOKUP(_xlfn.XLOOKUP(Table9[[#This Row],[ProductName ]],products[productName],products[categoryID],,0),categories[categoryID],categories[categoryName],,0)</f>
        <v>Seafood</v>
      </c>
      <c r="F1706">
        <v>30</v>
      </c>
      <c r="G1706">
        <v>215</v>
      </c>
      <c r="H1706">
        <v>0</v>
      </c>
      <c r="I1706">
        <f>Table9[[#This Row],[quantity]]*Table9[[#This Row],[unitPrice]]*(1-Table9[[#This Row],[discount]]/100)</f>
        <v>6450</v>
      </c>
      <c r="J1706" t="str">
        <f>_xlfn.XLOOKUP(_xlfn.XLOOKUP(A1706,orders[orderID],orders[customerID],,0),customers__2[customerID],customers__2[companyName],,0)</f>
        <v>HILARION-Abastos</v>
      </c>
      <c r="K1706" t="str">
        <f>_xlfn.XLOOKUP(Table9[[#This Row],[Company Name]],customers__2[companyName],customers__2[country],,0)</f>
        <v>Venezuela</v>
      </c>
      <c r="L1706">
        <f>MONTH(Table9[[#This Row],[OrderDate ]])</f>
        <v>2</v>
      </c>
      <c r="M1706" t="str">
        <f>TEXT(Table9[[#This Row],[OrderDate ]],"mmm")</f>
        <v>Feb</v>
      </c>
      <c r="N1706">
        <f>YEAR(Table9[[#This Row],[OrderDate ]])</f>
        <v>2015</v>
      </c>
    </row>
    <row r="1707" spans="1:14" x14ac:dyDescent="0.3">
      <c r="A1707">
        <v>10902</v>
      </c>
      <c r="B1707" s="2">
        <f>_xlfn.XLOOKUP(Table9[[#This Row],[orderID]],orders[orderID],orders[orderDate],,0)</f>
        <v>42058</v>
      </c>
      <c r="C1707">
        <f>_xlfn.XLOOKUP(A1707,order_details[orderID],order_details[productID],,0)</f>
        <v>55</v>
      </c>
      <c r="D1707" t="str">
        <f>_xlfn.XLOOKUP(C1707,products[productID],products[productName],,0)</f>
        <v>Pâté chinois</v>
      </c>
      <c r="E1707" t="str">
        <f>_xlfn.XLOOKUP(_xlfn.XLOOKUP(Table9[[#This Row],[ProductName ]],products[productName],products[categoryID],,0),categories[categoryID],categories[categoryName],,0)</f>
        <v>Meat &amp; Poultry</v>
      </c>
      <c r="F1707">
        <v>30</v>
      </c>
      <c r="G1707">
        <v>24</v>
      </c>
      <c r="H1707">
        <v>15</v>
      </c>
      <c r="I1707">
        <f>Table9[[#This Row],[quantity]]*Table9[[#This Row],[unitPrice]]*(1-Table9[[#This Row],[discount]]/100)</f>
        <v>612</v>
      </c>
      <c r="J1707" t="str">
        <f>_xlfn.XLOOKUP(_xlfn.XLOOKUP(A1707,orders[orderID],orders[customerID],,0),customers__2[customerID],customers__2[companyName],,0)</f>
        <v>Folk och fä HB</v>
      </c>
      <c r="K1707" t="str">
        <f>_xlfn.XLOOKUP(Table9[[#This Row],[Company Name]],customers__2[companyName],customers__2[country],,0)</f>
        <v>Sweden</v>
      </c>
      <c r="L1707">
        <f>MONTH(Table9[[#This Row],[OrderDate ]])</f>
        <v>2</v>
      </c>
      <c r="M1707" t="str">
        <f>TEXT(Table9[[#This Row],[OrderDate ]],"mmm")</f>
        <v>Feb</v>
      </c>
      <c r="N1707">
        <f>YEAR(Table9[[#This Row],[OrderDate ]])</f>
        <v>2015</v>
      </c>
    </row>
    <row r="1708" spans="1:14" x14ac:dyDescent="0.3">
      <c r="A1708">
        <v>10902</v>
      </c>
      <c r="B1708" s="2">
        <f>_xlfn.XLOOKUP(Table9[[#This Row],[orderID]],orders[orderID],orders[orderDate],,0)</f>
        <v>42058</v>
      </c>
      <c r="C1708">
        <f>_xlfn.XLOOKUP(A1708,order_details[orderID],order_details[productID],,0)</f>
        <v>55</v>
      </c>
      <c r="D1708" t="str">
        <f>_xlfn.XLOOKUP(C1708,products[productID],products[productName],,0)</f>
        <v>Pâté chinois</v>
      </c>
      <c r="E1708" t="str">
        <f>_xlfn.XLOOKUP(_xlfn.XLOOKUP(Table9[[#This Row],[ProductName ]],products[productName],products[categoryID],,0),categories[categoryID],categories[categoryName],,0)</f>
        <v>Meat &amp; Poultry</v>
      </c>
      <c r="F1708">
        <v>6</v>
      </c>
      <c r="G1708">
        <v>493</v>
      </c>
      <c r="H1708">
        <v>15</v>
      </c>
      <c r="I1708">
        <f>Table9[[#This Row],[quantity]]*Table9[[#This Row],[unitPrice]]*(1-Table9[[#This Row],[discount]]/100)</f>
        <v>2514.2999999999997</v>
      </c>
      <c r="J1708" t="str">
        <f>_xlfn.XLOOKUP(_xlfn.XLOOKUP(A1708,orders[orderID],orders[customerID],,0),customers__2[customerID],customers__2[companyName],,0)</f>
        <v>Folk och fä HB</v>
      </c>
      <c r="K1708" t="str">
        <f>_xlfn.XLOOKUP(Table9[[#This Row],[Company Name]],customers__2[companyName],customers__2[country],,0)</f>
        <v>Sweden</v>
      </c>
      <c r="L1708">
        <f>MONTH(Table9[[#This Row],[OrderDate ]])</f>
        <v>2</v>
      </c>
      <c r="M1708" t="str">
        <f>TEXT(Table9[[#This Row],[OrderDate ]],"mmm")</f>
        <v>Feb</v>
      </c>
      <c r="N1708">
        <f>YEAR(Table9[[#This Row],[OrderDate ]])</f>
        <v>2015</v>
      </c>
    </row>
    <row r="1709" spans="1:14" x14ac:dyDescent="0.3">
      <c r="A1709">
        <v>10903</v>
      </c>
      <c r="B1709" s="2">
        <f>_xlfn.XLOOKUP(Table9[[#This Row],[orderID]],orders[orderID],orders[orderDate],,0)</f>
        <v>42059</v>
      </c>
      <c r="C1709">
        <f>_xlfn.XLOOKUP(A1709,order_details[orderID],order_details[productID],,0)</f>
        <v>13</v>
      </c>
      <c r="D1709" t="str">
        <f>_xlfn.XLOOKUP(C1709,products[productID],products[productName],,0)</f>
        <v>Konbu</v>
      </c>
      <c r="E1709" t="str">
        <f>_xlfn.XLOOKUP(_xlfn.XLOOKUP(Table9[[#This Row],[ProductName ]],products[productName],products[categoryID],,0),categories[categoryID],categories[categoryName],,0)</f>
        <v>Seafood</v>
      </c>
      <c r="F1709">
        <v>40</v>
      </c>
      <c r="G1709">
        <v>6</v>
      </c>
      <c r="H1709">
        <v>0</v>
      </c>
      <c r="I1709">
        <f>Table9[[#This Row],[quantity]]*Table9[[#This Row],[unitPrice]]*(1-Table9[[#This Row],[discount]]/100)</f>
        <v>240</v>
      </c>
      <c r="J1709" t="str">
        <f>_xlfn.XLOOKUP(_xlfn.XLOOKUP(A1709,orders[orderID],orders[customerID],,0),customers__2[customerID],customers__2[companyName],,0)</f>
        <v>Hanari Carnes</v>
      </c>
      <c r="K1709" t="str">
        <f>_xlfn.XLOOKUP(Table9[[#This Row],[Company Name]],customers__2[companyName],customers__2[country],,0)</f>
        <v>Brazil</v>
      </c>
      <c r="L1709">
        <f>MONTH(Table9[[#This Row],[OrderDate ]])</f>
        <v>2</v>
      </c>
      <c r="M1709" t="str">
        <f>TEXT(Table9[[#This Row],[OrderDate ]],"mmm")</f>
        <v>Feb</v>
      </c>
      <c r="N1709">
        <f>YEAR(Table9[[#This Row],[OrderDate ]])</f>
        <v>2015</v>
      </c>
    </row>
    <row r="1710" spans="1:14" x14ac:dyDescent="0.3">
      <c r="A1710">
        <v>10903</v>
      </c>
      <c r="B1710" s="2">
        <f>_xlfn.XLOOKUP(Table9[[#This Row],[orderID]],orders[orderID],orders[orderDate],,0)</f>
        <v>42059</v>
      </c>
      <c r="C1710">
        <f>_xlfn.XLOOKUP(A1710,order_details[orderID],order_details[productID],,0)</f>
        <v>13</v>
      </c>
      <c r="D1710" t="str">
        <f>_xlfn.XLOOKUP(C1710,products[productID],products[productName],,0)</f>
        <v>Konbu</v>
      </c>
      <c r="E1710" t="str">
        <f>_xlfn.XLOOKUP(_xlfn.XLOOKUP(Table9[[#This Row],[ProductName ]],products[productName],products[categoryID],,0),categories[categoryID],categories[categoryName],,0)</f>
        <v>Seafood</v>
      </c>
      <c r="F1710">
        <v>21</v>
      </c>
      <c r="G1710">
        <v>2105</v>
      </c>
      <c r="H1710">
        <v>0</v>
      </c>
      <c r="I1710">
        <f>Table9[[#This Row],[quantity]]*Table9[[#This Row],[unitPrice]]*(1-Table9[[#This Row],[discount]]/100)</f>
        <v>44205</v>
      </c>
      <c r="J1710" t="str">
        <f>_xlfn.XLOOKUP(_xlfn.XLOOKUP(A1710,orders[orderID],orders[customerID],,0),customers__2[customerID],customers__2[companyName],,0)</f>
        <v>Hanari Carnes</v>
      </c>
      <c r="K1710" t="str">
        <f>_xlfn.XLOOKUP(Table9[[#This Row],[Company Name]],customers__2[companyName],customers__2[country],,0)</f>
        <v>Brazil</v>
      </c>
      <c r="L1710">
        <f>MONTH(Table9[[#This Row],[OrderDate ]])</f>
        <v>2</v>
      </c>
      <c r="M1710" t="str">
        <f>TEXT(Table9[[#This Row],[OrderDate ]],"mmm")</f>
        <v>Feb</v>
      </c>
      <c r="N1710">
        <f>YEAR(Table9[[#This Row],[OrderDate ]])</f>
        <v>2015</v>
      </c>
    </row>
    <row r="1711" spans="1:14" x14ac:dyDescent="0.3">
      <c r="A1711">
        <v>10903</v>
      </c>
      <c r="B1711" s="2">
        <f>_xlfn.XLOOKUP(Table9[[#This Row],[orderID]],orders[orderID],orders[orderDate],,0)</f>
        <v>42059</v>
      </c>
      <c r="C1711">
        <f>_xlfn.XLOOKUP(A1711,order_details[orderID],order_details[productID],,0)</f>
        <v>13</v>
      </c>
      <c r="D1711" t="str">
        <f>_xlfn.XLOOKUP(C1711,products[productID],products[productName],,0)</f>
        <v>Konbu</v>
      </c>
      <c r="E1711" t="str">
        <f>_xlfn.XLOOKUP(_xlfn.XLOOKUP(Table9[[#This Row],[ProductName ]],products[productName],products[categoryID],,0),categories[categoryID],categories[categoryName],,0)</f>
        <v>Seafood</v>
      </c>
      <c r="F1711">
        <v>20</v>
      </c>
      <c r="G1711">
        <v>125</v>
      </c>
      <c r="H1711">
        <v>0</v>
      </c>
      <c r="I1711">
        <f>Table9[[#This Row],[quantity]]*Table9[[#This Row],[unitPrice]]*(1-Table9[[#This Row],[discount]]/100)</f>
        <v>2500</v>
      </c>
      <c r="J1711" t="str">
        <f>_xlfn.XLOOKUP(_xlfn.XLOOKUP(A1711,orders[orderID],orders[customerID],,0),customers__2[customerID],customers__2[companyName],,0)</f>
        <v>Hanari Carnes</v>
      </c>
      <c r="K1711" t="str">
        <f>_xlfn.XLOOKUP(Table9[[#This Row],[Company Name]],customers__2[companyName],customers__2[country],,0)</f>
        <v>Brazil</v>
      </c>
      <c r="L1711">
        <f>MONTH(Table9[[#This Row],[OrderDate ]])</f>
        <v>2</v>
      </c>
      <c r="M1711" t="str">
        <f>TEXT(Table9[[#This Row],[OrderDate ]],"mmm")</f>
        <v>Feb</v>
      </c>
      <c r="N1711">
        <f>YEAR(Table9[[#This Row],[OrderDate ]])</f>
        <v>2015</v>
      </c>
    </row>
    <row r="1712" spans="1:14" x14ac:dyDescent="0.3">
      <c r="A1712">
        <v>10904</v>
      </c>
      <c r="B1712" s="2">
        <f>_xlfn.XLOOKUP(Table9[[#This Row],[orderID]],orders[orderID],orders[orderDate],,0)</f>
        <v>42059</v>
      </c>
      <c r="C1712">
        <f>_xlfn.XLOOKUP(A1712,order_details[orderID],order_details[productID],,0)</f>
        <v>58</v>
      </c>
      <c r="D1712" t="str">
        <f>_xlfn.XLOOKUP(C1712,products[productID],products[productName],,0)</f>
        <v>Escargots de Bourgogne</v>
      </c>
      <c r="E1712" t="str">
        <f>_xlfn.XLOOKUP(_xlfn.XLOOKUP(Table9[[#This Row],[ProductName ]],products[productName],products[categoryID],,0),categories[categoryID],categories[categoryName],,0)</f>
        <v>Seafood</v>
      </c>
      <c r="F1712">
        <v>15</v>
      </c>
      <c r="G1712">
        <v>1325</v>
      </c>
      <c r="H1712">
        <v>0</v>
      </c>
      <c r="I1712">
        <f>Table9[[#This Row],[quantity]]*Table9[[#This Row],[unitPrice]]*(1-Table9[[#This Row],[discount]]/100)</f>
        <v>19875</v>
      </c>
      <c r="J1712" t="str">
        <f>_xlfn.XLOOKUP(_xlfn.XLOOKUP(A1712,orders[orderID],orders[customerID],,0),customers__2[customerID],customers__2[companyName],,0)</f>
        <v>White Clover Markets</v>
      </c>
      <c r="K1712" t="str">
        <f>_xlfn.XLOOKUP(Table9[[#This Row],[Company Name]],customers__2[companyName],customers__2[country],,0)</f>
        <v>USA</v>
      </c>
      <c r="L1712">
        <f>MONTH(Table9[[#This Row],[OrderDate ]])</f>
        <v>2</v>
      </c>
      <c r="M1712" t="str">
        <f>TEXT(Table9[[#This Row],[OrderDate ]],"mmm")</f>
        <v>Feb</v>
      </c>
      <c r="N1712">
        <f>YEAR(Table9[[#This Row],[OrderDate ]])</f>
        <v>2015</v>
      </c>
    </row>
    <row r="1713" spans="1:14" x14ac:dyDescent="0.3">
      <c r="A1713">
        <v>10904</v>
      </c>
      <c r="B1713" s="2">
        <f>_xlfn.XLOOKUP(Table9[[#This Row],[orderID]],orders[orderID],orders[orderDate],,0)</f>
        <v>42059</v>
      </c>
      <c r="C1713">
        <f>_xlfn.XLOOKUP(A1713,order_details[orderID],order_details[productID],,0)</f>
        <v>58</v>
      </c>
      <c r="D1713" t="str">
        <f>_xlfn.XLOOKUP(C1713,products[productID],products[productName],,0)</f>
        <v>Escargots de Bourgogne</v>
      </c>
      <c r="E1713" t="str">
        <f>_xlfn.XLOOKUP(_xlfn.XLOOKUP(Table9[[#This Row],[ProductName ]],products[productName],products[categoryID],,0),categories[categoryID],categories[categoryName],,0)</f>
        <v>Seafood</v>
      </c>
      <c r="F1713">
        <v>35</v>
      </c>
      <c r="G1713">
        <v>493</v>
      </c>
      <c r="H1713">
        <v>0</v>
      </c>
      <c r="I1713">
        <f>Table9[[#This Row],[quantity]]*Table9[[#This Row],[unitPrice]]*(1-Table9[[#This Row],[discount]]/100)</f>
        <v>17255</v>
      </c>
      <c r="J1713" t="str">
        <f>_xlfn.XLOOKUP(_xlfn.XLOOKUP(A1713,orders[orderID],orders[customerID],,0),customers__2[customerID],customers__2[companyName],,0)</f>
        <v>White Clover Markets</v>
      </c>
      <c r="K1713" t="str">
        <f>_xlfn.XLOOKUP(Table9[[#This Row],[Company Name]],customers__2[companyName],customers__2[country],,0)</f>
        <v>USA</v>
      </c>
      <c r="L1713">
        <f>MONTH(Table9[[#This Row],[OrderDate ]])</f>
        <v>2</v>
      </c>
      <c r="M1713" t="str">
        <f>TEXT(Table9[[#This Row],[OrderDate ]],"mmm")</f>
        <v>Feb</v>
      </c>
      <c r="N1713">
        <f>YEAR(Table9[[#This Row],[OrderDate ]])</f>
        <v>2015</v>
      </c>
    </row>
    <row r="1714" spans="1:14" x14ac:dyDescent="0.3">
      <c r="A1714">
        <v>10905</v>
      </c>
      <c r="B1714" s="2">
        <f>_xlfn.XLOOKUP(Table9[[#This Row],[orderID]],orders[orderID],orders[orderDate],,0)</f>
        <v>42059</v>
      </c>
      <c r="C1714">
        <f>_xlfn.XLOOKUP(A1714,order_details[orderID],order_details[productID],,0)</f>
        <v>1</v>
      </c>
      <c r="D1714" t="str">
        <f>_xlfn.XLOOKUP(C1714,products[productID],products[productName],,0)</f>
        <v>Chai</v>
      </c>
      <c r="E1714" t="str">
        <f>_xlfn.XLOOKUP(_xlfn.XLOOKUP(Table9[[#This Row],[ProductName ]],products[productName],products[categoryID],,0),categories[categoryID],categories[categoryName],,0)</f>
        <v>Beverages</v>
      </c>
      <c r="F1714">
        <v>20</v>
      </c>
      <c r="G1714">
        <v>18</v>
      </c>
      <c r="H1714">
        <v>5</v>
      </c>
      <c r="I1714">
        <f>Table9[[#This Row],[quantity]]*Table9[[#This Row],[unitPrice]]*(1-Table9[[#This Row],[discount]]/100)</f>
        <v>342</v>
      </c>
      <c r="J1714" t="str">
        <f>_xlfn.XLOOKUP(_xlfn.XLOOKUP(A1714,orders[orderID],orders[customerID],,0),customers__2[customerID],customers__2[companyName],,0)</f>
        <v>Wellington Importadora</v>
      </c>
      <c r="K1714" t="str">
        <f>_xlfn.XLOOKUP(Table9[[#This Row],[Company Name]],customers__2[companyName],customers__2[country],,0)</f>
        <v>Brazil</v>
      </c>
      <c r="L1714">
        <f>MONTH(Table9[[#This Row],[OrderDate ]])</f>
        <v>2</v>
      </c>
      <c r="M1714" t="str">
        <f>TEXT(Table9[[#This Row],[OrderDate ]],"mmm")</f>
        <v>Feb</v>
      </c>
      <c r="N1714">
        <f>YEAR(Table9[[#This Row],[OrderDate ]])</f>
        <v>2015</v>
      </c>
    </row>
    <row r="1715" spans="1:14" x14ac:dyDescent="0.3">
      <c r="A1715">
        <v>10906</v>
      </c>
      <c r="B1715" s="2">
        <f>_xlfn.XLOOKUP(Table9[[#This Row],[orderID]],orders[orderID],orders[orderDate],,0)</f>
        <v>42060</v>
      </c>
      <c r="C1715">
        <f>_xlfn.XLOOKUP(A1715,order_details[orderID],order_details[productID],,0)</f>
        <v>61</v>
      </c>
      <c r="D1715" t="str">
        <f>_xlfn.XLOOKUP(C1715,products[productID],products[productName],,0)</f>
        <v>Sirop d'érable</v>
      </c>
      <c r="E1715" t="str">
        <f>_xlfn.XLOOKUP(_xlfn.XLOOKUP(Table9[[#This Row],[ProductName ]],products[productName],products[categoryID],,0),categories[categoryID],categories[categoryName],,0)</f>
        <v>Condiments</v>
      </c>
      <c r="F1715">
        <v>15</v>
      </c>
      <c r="G1715">
        <v>285</v>
      </c>
      <c r="H1715">
        <v>0</v>
      </c>
      <c r="I1715">
        <f>Table9[[#This Row],[quantity]]*Table9[[#This Row],[unitPrice]]*(1-Table9[[#This Row],[discount]]/100)</f>
        <v>4275</v>
      </c>
      <c r="J1715" t="str">
        <f>_xlfn.XLOOKUP(_xlfn.XLOOKUP(A1715,orders[orderID],orders[customerID],,0),customers__2[customerID],customers__2[companyName],,0)</f>
        <v>Wolski  Zajazd</v>
      </c>
      <c r="K1715" t="str">
        <f>_xlfn.XLOOKUP(Table9[[#This Row],[Company Name]],customers__2[companyName],customers__2[country],,0)</f>
        <v>Poland</v>
      </c>
      <c r="L1715">
        <f>MONTH(Table9[[#This Row],[OrderDate ]])</f>
        <v>2</v>
      </c>
      <c r="M1715" t="str">
        <f>TEXT(Table9[[#This Row],[OrderDate ]],"mmm")</f>
        <v>Feb</v>
      </c>
      <c r="N1715">
        <f>YEAR(Table9[[#This Row],[OrderDate ]])</f>
        <v>2015</v>
      </c>
    </row>
    <row r="1716" spans="1:14" x14ac:dyDescent="0.3">
      <c r="A1716">
        <v>10907</v>
      </c>
      <c r="B1716" s="2">
        <f>_xlfn.XLOOKUP(Table9[[#This Row],[orderID]],orders[orderID],orders[orderDate],,0)</f>
        <v>42060</v>
      </c>
      <c r="C1716">
        <f>_xlfn.XLOOKUP(A1716,order_details[orderID],order_details[productID],,0)</f>
        <v>75</v>
      </c>
      <c r="D1716" t="str">
        <f>_xlfn.XLOOKUP(C1716,products[productID],products[productName],,0)</f>
        <v>Rhönbräu Klosterbier</v>
      </c>
      <c r="E1716" t="str">
        <f>_xlfn.XLOOKUP(_xlfn.XLOOKUP(Table9[[#This Row],[ProductName ]],products[productName],products[categoryID],,0),categories[categoryID],categories[categoryName],,0)</f>
        <v>Beverages</v>
      </c>
      <c r="F1716">
        <v>14</v>
      </c>
      <c r="G1716">
        <v>775</v>
      </c>
      <c r="H1716">
        <v>0</v>
      </c>
      <c r="I1716">
        <f>Table9[[#This Row],[quantity]]*Table9[[#This Row],[unitPrice]]*(1-Table9[[#This Row],[discount]]/100)</f>
        <v>10850</v>
      </c>
      <c r="J1716" t="str">
        <f>_xlfn.XLOOKUP(_xlfn.XLOOKUP(A1716,orders[orderID],orders[customerID],,0),customers__2[customerID],customers__2[companyName],,0)</f>
        <v>Spécialités du monde</v>
      </c>
      <c r="K1716" t="str">
        <f>_xlfn.XLOOKUP(Table9[[#This Row],[Company Name]],customers__2[companyName],customers__2[country],,0)</f>
        <v>France</v>
      </c>
      <c r="L1716">
        <f>MONTH(Table9[[#This Row],[OrderDate ]])</f>
        <v>2</v>
      </c>
      <c r="M1716" t="str">
        <f>TEXT(Table9[[#This Row],[OrderDate ]],"mmm")</f>
        <v>Feb</v>
      </c>
      <c r="N1716">
        <f>YEAR(Table9[[#This Row],[OrderDate ]])</f>
        <v>2015</v>
      </c>
    </row>
    <row r="1717" spans="1:14" x14ac:dyDescent="0.3">
      <c r="A1717">
        <v>10908</v>
      </c>
      <c r="B1717" s="2">
        <f>_xlfn.XLOOKUP(Table9[[#This Row],[orderID]],orders[orderID],orders[orderDate],,0)</f>
        <v>42061</v>
      </c>
      <c r="C1717">
        <f>_xlfn.XLOOKUP(A1717,order_details[orderID],order_details[productID],,0)</f>
        <v>7</v>
      </c>
      <c r="D1717" t="str">
        <f>_xlfn.XLOOKUP(C1717,products[productID],products[productName],,0)</f>
        <v>Uncle Bob's Organic Dried Pears</v>
      </c>
      <c r="E1717" t="str">
        <f>_xlfn.XLOOKUP(_xlfn.XLOOKUP(Table9[[#This Row],[ProductName ]],products[productName],products[categoryID],,0),categories[categoryID],categories[categoryName],,0)</f>
        <v>Produce</v>
      </c>
      <c r="F1717">
        <v>20</v>
      </c>
      <c r="G1717">
        <v>30</v>
      </c>
      <c r="H1717">
        <v>5</v>
      </c>
      <c r="I1717">
        <f>Table9[[#This Row],[quantity]]*Table9[[#This Row],[unitPrice]]*(1-Table9[[#This Row],[discount]]/100)</f>
        <v>570</v>
      </c>
      <c r="J1717" t="str">
        <f>_xlfn.XLOOKUP(_xlfn.XLOOKUP(A1717,orders[orderID],orders[customerID],,0),customers__2[customerID],customers__2[companyName],,0)</f>
        <v>Reggiani Caseifici</v>
      </c>
      <c r="K1717" t="str">
        <f>_xlfn.XLOOKUP(Table9[[#This Row],[Company Name]],customers__2[companyName],customers__2[country],,0)</f>
        <v>Italy</v>
      </c>
      <c r="L1717">
        <f>MONTH(Table9[[#This Row],[OrderDate ]])</f>
        <v>2</v>
      </c>
      <c r="M1717" t="str">
        <f>TEXT(Table9[[#This Row],[OrderDate ]],"mmm")</f>
        <v>Feb</v>
      </c>
      <c r="N1717">
        <f>YEAR(Table9[[#This Row],[OrderDate ]])</f>
        <v>2015</v>
      </c>
    </row>
    <row r="1718" spans="1:14" x14ac:dyDescent="0.3">
      <c r="A1718">
        <v>10908</v>
      </c>
      <c r="B1718" s="2">
        <f>_xlfn.XLOOKUP(Table9[[#This Row],[orderID]],orders[orderID],orders[orderDate],,0)</f>
        <v>42061</v>
      </c>
      <c r="C1718">
        <f>_xlfn.XLOOKUP(A1718,order_details[orderID],order_details[productID],,0)</f>
        <v>7</v>
      </c>
      <c r="D1718" t="str">
        <f>_xlfn.XLOOKUP(C1718,products[productID],products[productName],,0)</f>
        <v>Uncle Bob's Organic Dried Pears</v>
      </c>
      <c r="E1718" t="str">
        <f>_xlfn.XLOOKUP(_xlfn.XLOOKUP(Table9[[#This Row],[ProductName ]],products[productName],products[categoryID],,0),categories[categoryID],categories[categoryName],,0)</f>
        <v>Produce</v>
      </c>
      <c r="F1718">
        <v>14</v>
      </c>
      <c r="G1718">
        <v>7</v>
      </c>
      <c r="H1718">
        <v>5</v>
      </c>
      <c r="I1718">
        <f>Table9[[#This Row],[quantity]]*Table9[[#This Row],[unitPrice]]*(1-Table9[[#This Row],[discount]]/100)</f>
        <v>93.1</v>
      </c>
      <c r="J1718" t="str">
        <f>_xlfn.XLOOKUP(_xlfn.XLOOKUP(A1718,orders[orderID],orders[customerID],,0),customers__2[customerID],customers__2[companyName],,0)</f>
        <v>Reggiani Caseifici</v>
      </c>
      <c r="K1718" t="str">
        <f>_xlfn.XLOOKUP(Table9[[#This Row],[Company Name]],customers__2[companyName],customers__2[country],,0)</f>
        <v>Italy</v>
      </c>
      <c r="L1718">
        <f>MONTH(Table9[[#This Row],[OrderDate ]])</f>
        <v>2</v>
      </c>
      <c r="M1718" t="str">
        <f>TEXT(Table9[[#This Row],[OrderDate ]],"mmm")</f>
        <v>Feb</v>
      </c>
      <c r="N1718">
        <f>YEAR(Table9[[#This Row],[OrderDate ]])</f>
        <v>2015</v>
      </c>
    </row>
    <row r="1719" spans="1:14" x14ac:dyDescent="0.3">
      <c r="A1719">
        <v>10909</v>
      </c>
      <c r="B1719" s="2">
        <f>_xlfn.XLOOKUP(Table9[[#This Row],[orderID]],orders[orderID],orders[orderDate],,0)</f>
        <v>42061</v>
      </c>
      <c r="C1719">
        <f>_xlfn.XLOOKUP(A1719,order_details[orderID],order_details[productID],,0)</f>
        <v>7</v>
      </c>
      <c r="D1719" t="str">
        <f>_xlfn.XLOOKUP(C1719,products[productID],products[productName],,0)</f>
        <v>Uncle Bob's Organic Dried Pears</v>
      </c>
      <c r="E1719" t="str">
        <f>_xlfn.XLOOKUP(_xlfn.XLOOKUP(Table9[[#This Row],[ProductName ]],products[productName],products[categoryID],,0),categories[categoryID],categories[categoryName],,0)</f>
        <v>Produce</v>
      </c>
      <c r="F1719">
        <v>12</v>
      </c>
      <c r="G1719">
        <v>30</v>
      </c>
      <c r="H1719">
        <v>0</v>
      </c>
      <c r="I1719">
        <f>Table9[[#This Row],[quantity]]*Table9[[#This Row],[unitPrice]]*(1-Table9[[#This Row],[discount]]/100)</f>
        <v>360</v>
      </c>
      <c r="J1719" t="str">
        <f>_xlfn.XLOOKUP(_xlfn.XLOOKUP(A1719,orders[orderID],orders[customerID],,0),customers__2[customerID],customers__2[companyName],,0)</f>
        <v>Santé Gourmet</v>
      </c>
      <c r="K1719" t="str">
        <f>_xlfn.XLOOKUP(Table9[[#This Row],[Company Name]],customers__2[companyName],customers__2[country],,0)</f>
        <v>Norway</v>
      </c>
      <c r="L1719">
        <f>MONTH(Table9[[#This Row],[OrderDate ]])</f>
        <v>2</v>
      </c>
      <c r="M1719" t="str">
        <f>TEXT(Table9[[#This Row],[OrderDate ]],"mmm")</f>
        <v>Feb</v>
      </c>
      <c r="N1719">
        <f>YEAR(Table9[[#This Row],[OrderDate ]])</f>
        <v>2015</v>
      </c>
    </row>
    <row r="1720" spans="1:14" x14ac:dyDescent="0.3">
      <c r="A1720">
        <v>10909</v>
      </c>
      <c r="B1720" s="2">
        <f>_xlfn.XLOOKUP(Table9[[#This Row],[orderID]],orders[orderID],orders[orderDate],,0)</f>
        <v>42061</v>
      </c>
      <c r="C1720">
        <f>_xlfn.XLOOKUP(A1720,order_details[orderID],order_details[productID],,0)</f>
        <v>7</v>
      </c>
      <c r="D1720" t="str">
        <f>_xlfn.XLOOKUP(C1720,products[productID],products[productName],,0)</f>
        <v>Uncle Bob's Organic Dried Pears</v>
      </c>
      <c r="E1720" t="str">
        <f>_xlfn.XLOOKUP(_xlfn.XLOOKUP(Table9[[#This Row],[ProductName ]],products[productName],products[categoryID],,0),categories[categoryID],categories[categoryName],,0)</f>
        <v>Produce</v>
      </c>
      <c r="F1720">
        <v>15</v>
      </c>
      <c r="G1720">
        <v>1745</v>
      </c>
      <c r="H1720">
        <v>0</v>
      </c>
      <c r="I1720">
        <f>Table9[[#This Row],[quantity]]*Table9[[#This Row],[unitPrice]]*(1-Table9[[#This Row],[discount]]/100)</f>
        <v>26175</v>
      </c>
      <c r="J1720" t="str">
        <f>_xlfn.XLOOKUP(_xlfn.XLOOKUP(A1720,orders[orderID],orders[customerID],,0),customers__2[customerID],customers__2[companyName],,0)</f>
        <v>Santé Gourmet</v>
      </c>
      <c r="K1720" t="str">
        <f>_xlfn.XLOOKUP(Table9[[#This Row],[Company Name]],customers__2[companyName],customers__2[country],,0)</f>
        <v>Norway</v>
      </c>
      <c r="L1720">
        <f>MONTH(Table9[[#This Row],[OrderDate ]])</f>
        <v>2</v>
      </c>
      <c r="M1720" t="str">
        <f>TEXT(Table9[[#This Row],[OrderDate ]],"mmm")</f>
        <v>Feb</v>
      </c>
      <c r="N1720">
        <f>YEAR(Table9[[#This Row],[OrderDate ]])</f>
        <v>2015</v>
      </c>
    </row>
    <row r="1721" spans="1:14" x14ac:dyDescent="0.3">
      <c r="A1721">
        <v>10909</v>
      </c>
      <c r="B1721" s="2">
        <f>_xlfn.XLOOKUP(Table9[[#This Row],[orderID]],orders[orderID],orders[orderDate],,0)</f>
        <v>42061</v>
      </c>
      <c r="C1721">
        <f>_xlfn.XLOOKUP(A1721,order_details[orderID],order_details[productID],,0)</f>
        <v>7</v>
      </c>
      <c r="D1721" t="str">
        <f>_xlfn.XLOOKUP(C1721,products[productID],products[productName],,0)</f>
        <v>Uncle Bob's Organic Dried Pears</v>
      </c>
      <c r="E1721" t="str">
        <f>_xlfn.XLOOKUP(_xlfn.XLOOKUP(Table9[[#This Row],[ProductName ]],products[productName],products[categoryID],,0),categories[categoryID],categories[categoryName],,0)</f>
        <v>Produce</v>
      </c>
      <c r="F1721">
        <v>5</v>
      </c>
      <c r="G1721">
        <v>965</v>
      </c>
      <c r="H1721">
        <v>0</v>
      </c>
      <c r="I1721">
        <f>Table9[[#This Row],[quantity]]*Table9[[#This Row],[unitPrice]]*(1-Table9[[#This Row],[discount]]/100)</f>
        <v>4825</v>
      </c>
      <c r="J1721" t="str">
        <f>_xlfn.XLOOKUP(_xlfn.XLOOKUP(A1721,orders[orderID],orders[customerID],,0),customers__2[customerID],customers__2[companyName],,0)</f>
        <v>Santé Gourmet</v>
      </c>
      <c r="K1721" t="str">
        <f>_xlfn.XLOOKUP(Table9[[#This Row],[Company Name]],customers__2[companyName],customers__2[country],,0)</f>
        <v>Norway</v>
      </c>
      <c r="L1721">
        <f>MONTH(Table9[[#This Row],[OrderDate ]])</f>
        <v>2</v>
      </c>
      <c r="M1721" t="str">
        <f>TEXT(Table9[[#This Row],[OrderDate ]],"mmm")</f>
        <v>Feb</v>
      </c>
      <c r="N1721">
        <f>YEAR(Table9[[#This Row],[OrderDate ]])</f>
        <v>2015</v>
      </c>
    </row>
    <row r="1722" spans="1:14" x14ac:dyDescent="0.3">
      <c r="A1722">
        <v>10910</v>
      </c>
      <c r="B1722" s="2">
        <f>_xlfn.XLOOKUP(Table9[[#This Row],[orderID]],orders[orderID],orders[orderDate],,0)</f>
        <v>42061</v>
      </c>
      <c r="C1722">
        <f>_xlfn.XLOOKUP(A1722,order_details[orderID],order_details[productID],,0)</f>
        <v>19</v>
      </c>
      <c r="D1722" t="str">
        <f>_xlfn.XLOOKUP(C1722,products[productID],products[productName],,0)</f>
        <v>Teatime Chocolate Biscuits</v>
      </c>
      <c r="E1722" t="str">
        <f>_xlfn.XLOOKUP(_xlfn.XLOOKUP(Table9[[#This Row],[ProductName ]],products[productName],products[categoryID],,0),categories[categoryID],categories[categoryName],,0)</f>
        <v>Confections</v>
      </c>
      <c r="F1722">
        <v>12</v>
      </c>
      <c r="G1722">
        <v>92</v>
      </c>
      <c r="H1722">
        <v>0</v>
      </c>
      <c r="I1722">
        <f>Table9[[#This Row],[quantity]]*Table9[[#This Row],[unitPrice]]*(1-Table9[[#This Row],[discount]]/100)</f>
        <v>1104</v>
      </c>
      <c r="J1722" t="str">
        <f>_xlfn.XLOOKUP(_xlfn.XLOOKUP(A1722,orders[orderID],orders[customerID],,0),customers__2[customerID],customers__2[companyName],,0)</f>
        <v>Wilman Kala</v>
      </c>
      <c r="K1722" t="str">
        <f>_xlfn.XLOOKUP(Table9[[#This Row],[Company Name]],customers__2[companyName],customers__2[country],,0)</f>
        <v>Finland</v>
      </c>
      <c r="L1722">
        <f>MONTH(Table9[[#This Row],[OrderDate ]])</f>
        <v>2</v>
      </c>
      <c r="M1722" t="str">
        <f>TEXT(Table9[[#This Row],[OrderDate ]],"mmm")</f>
        <v>Feb</v>
      </c>
      <c r="N1722">
        <f>YEAR(Table9[[#This Row],[OrderDate ]])</f>
        <v>2015</v>
      </c>
    </row>
    <row r="1723" spans="1:14" x14ac:dyDescent="0.3">
      <c r="A1723">
        <v>10910</v>
      </c>
      <c r="B1723" s="2">
        <f>_xlfn.XLOOKUP(Table9[[#This Row],[orderID]],orders[orderID],orders[orderDate],,0)</f>
        <v>42061</v>
      </c>
      <c r="C1723">
        <f>_xlfn.XLOOKUP(A1723,order_details[orderID],order_details[productID],,0)</f>
        <v>19</v>
      </c>
      <c r="D1723" t="str">
        <f>_xlfn.XLOOKUP(C1723,products[productID],products[productName],,0)</f>
        <v>Teatime Chocolate Biscuits</v>
      </c>
      <c r="E1723" t="str">
        <f>_xlfn.XLOOKUP(_xlfn.XLOOKUP(Table9[[#This Row],[ProductName ]],products[productName],products[categoryID],,0),categories[categoryID],categories[categoryName],,0)</f>
        <v>Confections</v>
      </c>
      <c r="F1723">
        <v>10</v>
      </c>
      <c r="G1723">
        <v>20</v>
      </c>
      <c r="H1723">
        <v>0</v>
      </c>
      <c r="I1723">
        <f>Table9[[#This Row],[quantity]]*Table9[[#This Row],[unitPrice]]*(1-Table9[[#This Row],[discount]]/100)</f>
        <v>200</v>
      </c>
      <c r="J1723" t="str">
        <f>_xlfn.XLOOKUP(_xlfn.XLOOKUP(A1723,orders[orderID],orders[customerID],,0),customers__2[customerID],customers__2[companyName],,0)</f>
        <v>Wilman Kala</v>
      </c>
      <c r="K1723" t="str">
        <f>_xlfn.XLOOKUP(Table9[[#This Row],[Company Name]],customers__2[companyName],customers__2[country],,0)</f>
        <v>Finland</v>
      </c>
      <c r="L1723">
        <f>MONTH(Table9[[#This Row],[OrderDate ]])</f>
        <v>2</v>
      </c>
      <c r="M1723" t="str">
        <f>TEXT(Table9[[#This Row],[OrderDate ]],"mmm")</f>
        <v>Feb</v>
      </c>
      <c r="N1723">
        <f>YEAR(Table9[[#This Row],[OrderDate ]])</f>
        <v>2015</v>
      </c>
    </row>
    <row r="1724" spans="1:14" x14ac:dyDescent="0.3">
      <c r="A1724">
        <v>10910</v>
      </c>
      <c r="B1724" s="2">
        <f>_xlfn.XLOOKUP(Table9[[#This Row],[orderID]],orders[orderID],orders[orderDate],,0)</f>
        <v>42061</v>
      </c>
      <c r="C1724">
        <f>_xlfn.XLOOKUP(A1724,order_details[orderID],order_details[productID],,0)</f>
        <v>19</v>
      </c>
      <c r="D1724" t="str">
        <f>_xlfn.XLOOKUP(C1724,products[productID],products[productName],,0)</f>
        <v>Teatime Chocolate Biscuits</v>
      </c>
      <c r="E1724" t="str">
        <f>_xlfn.XLOOKUP(_xlfn.XLOOKUP(Table9[[#This Row],[ProductName ]],products[productName],products[categoryID],,0),categories[categoryID],categories[categoryName],,0)</f>
        <v>Confections</v>
      </c>
      <c r="F1724">
        <v>5</v>
      </c>
      <c r="G1724">
        <v>285</v>
      </c>
      <c r="H1724">
        <v>0</v>
      </c>
      <c r="I1724">
        <f>Table9[[#This Row],[quantity]]*Table9[[#This Row],[unitPrice]]*(1-Table9[[#This Row],[discount]]/100)</f>
        <v>1425</v>
      </c>
      <c r="J1724" t="str">
        <f>_xlfn.XLOOKUP(_xlfn.XLOOKUP(A1724,orders[orderID],orders[customerID],,0),customers__2[customerID],customers__2[companyName],,0)</f>
        <v>Wilman Kala</v>
      </c>
      <c r="K1724" t="str">
        <f>_xlfn.XLOOKUP(Table9[[#This Row],[Company Name]],customers__2[companyName],customers__2[country],,0)</f>
        <v>Finland</v>
      </c>
      <c r="L1724">
        <f>MONTH(Table9[[#This Row],[OrderDate ]])</f>
        <v>2</v>
      </c>
      <c r="M1724" t="str">
        <f>TEXT(Table9[[#This Row],[OrderDate ]],"mmm")</f>
        <v>Feb</v>
      </c>
      <c r="N1724">
        <f>YEAR(Table9[[#This Row],[OrderDate ]])</f>
        <v>2015</v>
      </c>
    </row>
    <row r="1725" spans="1:14" x14ac:dyDescent="0.3">
      <c r="A1725">
        <v>10911</v>
      </c>
      <c r="B1725" s="2">
        <f>_xlfn.XLOOKUP(Table9[[#This Row],[orderID]],orders[orderID],orders[orderDate],,0)</f>
        <v>42061</v>
      </c>
      <c r="C1725">
        <f>_xlfn.XLOOKUP(A1725,order_details[orderID],order_details[productID],,0)</f>
        <v>1</v>
      </c>
      <c r="D1725" t="str">
        <f>_xlfn.XLOOKUP(C1725,products[productID],products[productName],,0)</f>
        <v>Chai</v>
      </c>
      <c r="E1725" t="str">
        <f>_xlfn.XLOOKUP(_xlfn.XLOOKUP(Table9[[#This Row],[ProductName ]],products[productName],products[categoryID],,0),categories[categoryID],categories[categoryName],,0)</f>
        <v>Beverages</v>
      </c>
      <c r="F1725">
        <v>10</v>
      </c>
      <c r="G1725">
        <v>18</v>
      </c>
      <c r="H1725">
        <v>0</v>
      </c>
      <c r="I1725">
        <f>Table9[[#This Row],[quantity]]*Table9[[#This Row],[unitPrice]]*(1-Table9[[#This Row],[discount]]/100)</f>
        <v>180</v>
      </c>
      <c r="J1725" t="str">
        <f>_xlfn.XLOOKUP(_xlfn.XLOOKUP(A1725,orders[orderID],orders[customerID],,0),customers__2[customerID],customers__2[companyName],,0)</f>
        <v>Godos Cocina Típica</v>
      </c>
      <c r="K1725" t="str">
        <f>_xlfn.XLOOKUP(Table9[[#This Row],[Company Name]],customers__2[companyName],customers__2[country],,0)</f>
        <v>Spain</v>
      </c>
      <c r="L1725">
        <f>MONTH(Table9[[#This Row],[OrderDate ]])</f>
        <v>2</v>
      </c>
      <c r="M1725" t="str">
        <f>TEXT(Table9[[#This Row],[OrderDate ]],"mmm")</f>
        <v>Feb</v>
      </c>
      <c r="N1725">
        <f>YEAR(Table9[[#This Row],[OrderDate ]])</f>
        <v>2015</v>
      </c>
    </row>
    <row r="1726" spans="1:14" x14ac:dyDescent="0.3">
      <c r="A1726">
        <v>10911</v>
      </c>
      <c r="B1726" s="2">
        <f>_xlfn.XLOOKUP(Table9[[#This Row],[orderID]],orders[orderID],orders[orderDate],,0)</f>
        <v>42061</v>
      </c>
      <c r="C1726">
        <f>_xlfn.XLOOKUP(A1726,order_details[orderID],order_details[productID],,0)</f>
        <v>1</v>
      </c>
      <c r="D1726" t="str">
        <f>_xlfn.XLOOKUP(C1726,products[productID],products[productName],,0)</f>
        <v>Chai</v>
      </c>
      <c r="E1726" t="str">
        <f>_xlfn.XLOOKUP(_xlfn.XLOOKUP(Table9[[#This Row],[ProductName ]],products[productName],products[categoryID],,0),categories[categoryID],categories[categoryName],,0)</f>
        <v>Beverages</v>
      </c>
      <c r="F1726">
        <v>12</v>
      </c>
      <c r="G1726">
        <v>39</v>
      </c>
      <c r="H1726">
        <v>0</v>
      </c>
      <c r="I1726">
        <f>Table9[[#This Row],[quantity]]*Table9[[#This Row],[unitPrice]]*(1-Table9[[#This Row],[discount]]/100)</f>
        <v>468</v>
      </c>
      <c r="J1726" t="str">
        <f>_xlfn.XLOOKUP(_xlfn.XLOOKUP(A1726,orders[orderID],orders[customerID],,0),customers__2[customerID],customers__2[companyName],,0)</f>
        <v>Godos Cocina Típica</v>
      </c>
      <c r="K1726" t="str">
        <f>_xlfn.XLOOKUP(Table9[[#This Row],[Company Name]],customers__2[companyName],customers__2[country],,0)</f>
        <v>Spain</v>
      </c>
      <c r="L1726">
        <f>MONTH(Table9[[#This Row],[OrderDate ]])</f>
        <v>2</v>
      </c>
      <c r="M1726" t="str">
        <f>TEXT(Table9[[#This Row],[OrderDate ]],"mmm")</f>
        <v>Feb</v>
      </c>
      <c r="N1726">
        <f>YEAR(Table9[[#This Row],[OrderDate ]])</f>
        <v>2015</v>
      </c>
    </row>
    <row r="1727" spans="1:14" x14ac:dyDescent="0.3">
      <c r="A1727">
        <v>10911</v>
      </c>
      <c r="B1727" s="2">
        <f>_xlfn.XLOOKUP(Table9[[#This Row],[orderID]],orders[orderID],orders[orderDate],,0)</f>
        <v>42061</v>
      </c>
      <c r="C1727">
        <f>_xlfn.XLOOKUP(A1727,order_details[orderID],order_details[productID],,0)</f>
        <v>1</v>
      </c>
      <c r="D1727" t="str">
        <f>_xlfn.XLOOKUP(C1727,products[productID],products[productName],,0)</f>
        <v>Chai</v>
      </c>
      <c r="E1727" t="str">
        <f>_xlfn.XLOOKUP(_xlfn.XLOOKUP(Table9[[#This Row],[ProductName ]],products[productName],products[categoryID],,0),categories[categoryID],categories[categoryName],,0)</f>
        <v>Beverages</v>
      </c>
      <c r="F1727">
        <v>15</v>
      </c>
      <c r="G1727">
        <v>14</v>
      </c>
      <c r="H1727">
        <v>0</v>
      </c>
      <c r="I1727">
        <f>Table9[[#This Row],[quantity]]*Table9[[#This Row],[unitPrice]]*(1-Table9[[#This Row],[discount]]/100)</f>
        <v>210</v>
      </c>
      <c r="J1727" t="str">
        <f>_xlfn.XLOOKUP(_xlfn.XLOOKUP(A1727,orders[orderID],orders[customerID],,0),customers__2[customerID],customers__2[companyName],,0)</f>
        <v>Godos Cocina Típica</v>
      </c>
      <c r="K1727" t="str">
        <f>_xlfn.XLOOKUP(Table9[[#This Row],[Company Name]],customers__2[companyName],customers__2[country],,0)</f>
        <v>Spain</v>
      </c>
      <c r="L1727">
        <f>MONTH(Table9[[#This Row],[OrderDate ]])</f>
        <v>2</v>
      </c>
      <c r="M1727" t="str">
        <f>TEXT(Table9[[#This Row],[OrderDate ]],"mmm")</f>
        <v>Feb</v>
      </c>
      <c r="N1727">
        <f>YEAR(Table9[[#This Row],[OrderDate ]])</f>
        <v>2015</v>
      </c>
    </row>
    <row r="1728" spans="1:14" x14ac:dyDescent="0.3">
      <c r="A1728">
        <v>10912</v>
      </c>
      <c r="B1728" s="2">
        <f>_xlfn.XLOOKUP(Table9[[#This Row],[orderID]],orders[orderID],orders[orderDate],,0)</f>
        <v>42061</v>
      </c>
      <c r="C1728">
        <f>_xlfn.XLOOKUP(A1728,order_details[orderID],order_details[productID],,0)</f>
        <v>11</v>
      </c>
      <c r="D1728" t="str">
        <f>_xlfn.XLOOKUP(C1728,products[productID],products[productName],,0)</f>
        <v>Queso Cabrales</v>
      </c>
      <c r="E1728" t="str">
        <f>_xlfn.XLOOKUP(_xlfn.XLOOKUP(Table9[[#This Row],[ProductName ]],products[productName],products[categoryID],,0),categories[categoryID],categories[categoryName],,0)</f>
        <v>Dairy Products</v>
      </c>
      <c r="F1728">
        <v>40</v>
      </c>
      <c r="G1728">
        <v>21</v>
      </c>
      <c r="H1728">
        <v>25</v>
      </c>
      <c r="I1728">
        <f>Table9[[#This Row],[quantity]]*Table9[[#This Row],[unitPrice]]*(1-Table9[[#This Row],[discount]]/100)</f>
        <v>630</v>
      </c>
      <c r="J1728" t="str">
        <f>_xlfn.XLOOKUP(_xlfn.XLOOKUP(A1728,orders[orderID],orders[customerID],,0),customers__2[customerID],customers__2[companyName],,0)</f>
        <v>Hungry Owl All-Night Grocers</v>
      </c>
      <c r="K1728" t="str">
        <f>_xlfn.XLOOKUP(Table9[[#This Row],[Company Name]],customers__2[companyName],customers__2[country],,0)</f>
        <v>Ireland</v>
      </c>
      <c r="L1728">
        <f>MONTH(Table9[[#This Row],[OrderDate ]])</f>
        <v>2</v>
      </c>
      <c r="M1728" t="str">
        <f>TEXT(Table9[[#This Row],[OrderDate ]],"mmm")</f>
        <v>Feb</v>
      </c>
      <c r="N1728">
        <f>YEAR(Table9[[#This Row],[OrderDate ]])</f>
        <v>2015</v>
      </c>
    </row>
    <row r="1729" spans="1:14" x14ac:dyDescent="0.3">
      <c r="A1729">
        <v>10912</v>
      </c>
      <c r="B1729" s="2">
        <f>_xlfn.XLOOKUP(Table9[[#This Row],[orderID]],orders[orderID],orders[orderDate],,0)</f>
        <v>42061</v>
      </c>
      <c r="C1729">
        <f>_xlfn.XLOOKUP(A1729,order_details[orderID],order_details[productID],,0)</f>
        <v>11</v>
      </c>
      <c r="D1729" t="str">
        <f>_xlfn.XLOOKUP(C1729,products[productID],products[productName],,0)</f>
        <v>Queso Cabrales</v>
      </c>
      <c r="E1729" t="str">
        <f>_xlfn.XLOOKUP(_xlfn.XLOOKUP(Table9[[#This Row],[ProductName ]],products[productName],products[categoryID],,0),categories[categoryID],categories[categoryName],,0)</f>
        <v>Dairy Products</v>
      </c>
      <c r="F1729">
        <v>60</v>
      </c>
      <c r="G1729">
        <v>12379</v>
      </c>
      <c r="H1729">
        <v>25</v>
      </c>
      <c r="I1729">
        <f>Table9[[#This Row],[quantity]]*Table9[[#This Row],[unitPrice]]*(1-Table9[[#This Row],[discount]]/100)</f>
        <v>557055</v>
      </c>
      <c r="J1729" t="str">
        <f>_xlfn.XLOOKUP(_xlfn.XLOOKUP(A1729,orders[orderID],orders[customerID],,0),customers__2[customerID],customers__2[companyName],,0)</f>
        <v>Hungry Owl All-Night Grocers</v>
      </c>
      <c r="K1729" t="str">
        <f>_xlfn.XLOOKUP(Table9[[#This Row],[Company Name]],customers__2[companyName],customers__2[country],,0)</f>
        <v>Ireland</v>
      </c>
      <c r="L1729">
        <f>MONTH(Table9[[#This Row],[OrderDate ]])</f>
        <v>2</v>
      </c>
      <c r="M1729" t="str">
        <f>TEXT(Table9[[#This Row],[OrderDate ]],"mmm")</f>
        <v>Feb</v>
      </c>
      <c r="N1729">
        <f>YEAR(Table9[[#This Row],[OrderDate ]])</f>
        <v>2015</v>
      </c>
    </row>
    <row r="1730" spans="1:14" x14ac:dyDescent="0.3">
      <c r="A1730">
        <v>10913</v>
      </c>
      <c r="B1730" s="2">
        <f>_xlfn.XLOOKUP(Table9[[#This Row],[orderID]],orders[orderID],orders[orderDate],,0)</f>
        <v>42061</v>
      </c>
      <c r="C1730">
        <f>_xlfn.XLOOKUP(A1730,order_details[orderID],order_details[productID],,0)</f>
        <v>4</v>
      </c>
      <c r="D1730" t="str">
        <f>_xlfn.XLOOKUP(C1730,products[productID],products[productName],,0)</f>
        <v>Chef Anton's Cajun Seasoning</v>
      </c>
      <c r="E1730" t="str">
        <f>_xlfn.XLOOKUP(_xlfn.XLOOKUP(Table9[[#This Row],[ProductName ]],products[productName],products[categoryID],,0),categories[categoryID],categories[categoryName],,0)</f>
        <v>Condiments</v>
      </c>
      <c r="F1730">
        <v>30</v>
      </c>
      <c r="G1730">
        <v>22</v>
      </c>
      <c r="H1730">
        <v>25</v>
      </c>
      <c r="I1730">
        <f>Table9[[#This Row],[quantity]]*Table9[[#This Row],[unitPrice]]*(1-Table9[[#This Row],[discount]]/100)</f>
        <v>495</v>
      </c>
      <c r="J1730" t="str">
        <f>_xlfn.XLOOKUP(_xlfn.XLOOKUP(A1730,orders[orderID],orders[customerID],,0),customers__2[customerID],customers__2[companyName],,0)</f>
        <v>Queen Cozinha</v>
      </c>
      <c r="K1730" t="str">
        <f>_xlfn.XLOOKUP(Table9[[#This Row],[Company Name]],customers__2[companyName],customers__2[country],,0)</f>
        <v>Brazil</v>
      </c>
      <c r="L1730">
        <f>MONTH(Table9[[#This Row],[OrderDate ]])</f>
        <v>2</v>
      </c>
      <c r="M1730" t="str">
        <f>TEXT(Table9[[#This Row],[OrderDate ]],"mmm")</f>
        <v>Feb</v>
      </c>
      <c r="N1730">
        <f>YEAR(Table9[[#This Row],[OrderDate ]])</f>
        <v>2015</v>
      </c>
    </row>
    <row r="1731" spans="1:14" x14ac:dyDescent="0.3">
      <c r="A1731">
        <v>10913</v>
      </c>
      <c r="B1731" s="2">
        <f>_xlfn.XLOOKUP(Table9[[#This Row],[orderID]],orders[orderID],orders[orderDate],,0)</f>
        <v>42061</v>
      </c>
      <c r="C1731">
        <f>_xlfn.XLOOKUP(A1731,order_details[orderID],order_details[productID],,0)</f>
        <v>4</v>
      </c>
      <c r="D1731" t="str">
        <f>_xlfn.XLOOKUP(C1731,products[productID],products[productName],,0)</f>
        <v>Chef Anton's Cajun Seasoning</v>
      </c>
      <c r="E1731" t="str">
        <f>_xlfn.XLOOKUP(_xlfn.XLOOKUP(Table9[[#This Row],[ProductName ]],products[productName],products[categoryID],,0),categories[categoryID],categories[categoryName],,0)</f>
        <v>Condiments</v>
      </c>
      <c r="F1731">
        <v>40</v>
      </c>
      <c r="G1731">
        <v>25</v>
      </c>
      <c r="H1731">
        <v>25</v>
      </c>
      <c r="I1731">
        <f>Table9[[#This Row],[quantity]]*Table9[[#This Row],[unitPrice]]*(1-Table9[[#This Row],[discount]]/100)</f>
        <v>750</v>
      </c>
      <c r="J1731" t="str">
        <f>_xlfn.XLOOKUP(_xlfn.XLOOKUP(A1731,orders[orderID],orders[customerID],,0),customers__2[customerID],customers__2[companyName],,0)</f>
        <v>Queen Cozinha</v>
      </c>
      <c r="K1731" t="str">
        <f>_xlfn.XLOOKUP(Table9[[#This Row],[Company Name]],customers__2[companyName],customers__2[country],,0)</f>
        <v>Brazil</v>
      </c>
      <c r="L1731">
        <f>MONTH(Table9[[#This Row],[OrderDate ]])</f>
        <v>2</v>
      </c>
      <c r="M1731" t="str">
        <f>TEXT(Table9[[#This Row],[OrderDate ]],"mmm")</f>
        <v>Feb</v>
      </c>
      <c r="N1731">
        <f>YEAR(Table9[[#This Row],[OrderDate ]])</f>
        <v>2015</v>
      </c>
    </row>
    <row r="1732" spans="1:14" x14ac:dyDescent="0.3">
      <c r="A1732">
        <v>10913</v>
      </c>
      <c r="B1732" s="2">
        <f>_xlfn.XLOOKUP(Table9[[#This Row],[orderID]],orders[orderID],orders[orderDate],,0)</f>
        <v>42061</v>
      </c>
      <c r="C1732">
        <f>_xlfn.XLOOKUP(A1732,order_details[orderID],order_details[productID],,0)</f>
        <v>4</v>
      </c>
      <c r="D1732" t="str">
        <f>_xlfn.XLOOKUP(C1732,products[productID],products[productName],,0)</f>
        <v>Chef Anton's Cajun Seasoning</v>
      </c>
      <c r="E1732" t="str">
        <f>_xlfn.XLOOKUP(_xlfn.XLOOKUP(Table9[[#This Row],[ProductName ]],products[productName],products[categoryID],,0),categories[categoryID],categories[categoryName],,0)</f>
        <v>Condiments</v>
      </c>
      <c r="F1732">
        <v>15</v>
      </c>
      <c r="G1732">
        <v>1325</v>
      </c>
      <c r="H1732">
        <v>0</v>
      </c>
      <c r="I1732">
        <f>Table9[[#This Row],[quantity]]*Table9[[#This Row],[unitPrice]]*(1-Table9[[#This Row],[discount]]/100)</f>
        <v>19875</v>
      </c>
      <c r="J1732" t="str">
        <f>_xlfn.XLOOKUP(_xlfn.XLOOKUP(A1732,orders[orderID],orders[customerID],,0),customers__2[customerID],customers__2[companyName],,0)</f>
        <v>Queen Cozinha</v>
      </c>
      <c r="K1732" t="str">
        <f>_xlfn.XLOOKUP(Table9[[#This Row],[Company Name]],customers__2[companyName],customers__2[country],,0)</f>
        <v>Brazil</v>
      </c>
      <c r="L1732">
        <f>MONTH(Table9[[#This Row],[OrderDate ]])</f>
        <v>2</v>
      </c>
      <c r="M1732" t="str">
        <f>TEXT(Table9[[#This Row],[OrderDate ]],"mmm")</f>
        <v>Feb</v>
      </c>
      <c r="N1732">
        <f>YEAR(Table9[[#This Row],[OrderDate ]])</f>
        <v>2015</v>
      </c>
    </row>
    <row r="1733" spans="1:14" x14ac:dyDescent="0.3">
      <c r="A1733">
        <v>10914</v>
      </c>
      <c r="B1733" s="2">
        <f>_xlfn.XLOOKUP(Table9[[#This Row],[orderID]],orders[orderID],orders[orderDate],,0)</f>
        <v>42062</v>
      </c>
      <c r="C1733">
        <f>_xlfn.XLOOKUP(A1733,order_details[orderID],order_details[productID],,0)</f>
        <v>71</v>
      </c>
      <c r="D1733" t="str">
        <f>_xlfn.XLOOKUP(C1733,products[productID],products[productName],,0)</f>
        <v>Flotemysost</v>
      </c>
      <c r="E1733" t="str">
        <f>_xlfn.XLOOKUP(_xlfn.XLOOKUP(Table9[[#This Row],[ProductName ]],products[productName],products[categoryID],,0),categories[categoryID],categories[categoryName],,0)</f>
        <v>Dairy Products</v>
      </c>
      <c r="F1733">
        <v>25</v>
      </c>
      <c r="G1733">
        <v>215</v>
      </c>
      <c r="H1733">
        <v>0</v>
      </c>
      <c r="I1733">
        <f>Table9[[#This Row],[quantity]]*Table9[[#This Row],[unitPrice]]*(1-Table9[[#This Row],[discount]]/100)</f>
        <v>5375</v>
      </c>
      <c r="J1733" t="str">
        <f>_xlfn.XLOOKUP(_xlfn.XLOOKUP(A1733,orders[orderID],orders[customerID],,0),customers__2[customerID],customers__2[companyName],,0)</f>
        <v>Queen Cozinha</v>
      </c>
      <c r="K1733" t="str">
        <f>_xlfn.XLOOKUP(Table9[[#This Row],[Company Name]],customers__2[companyName],customers__2[country],,0)</f>
        <v>Brazil</v>
      </c>
      <c r="L1733">
        <f>MONTH(Table9[[#This Row],[OrderDate ]])</f>
        <v>2</v>
      </c>
      <c r="M1733" t="str">
        <f>TEXT(Table9[[#This Row],[OrderDate ]],"mmm")</f>
        <v>Feb</v>
      </c>
      <c r="N1733">
        <f>YEAR(Table9[[#This Row],[OrderDate ]])</f>
        <v>2015</v>
      </c>
    </row>
    <row r="1734" spans="1:14" x14ac:dyDescent="0.3">
      <c r="A1734">
        <v>10915</v>
      </c>
      <c r="B1734" s="2">
        <f>_xlfn.XLOOKUP(Table9[[#This Row],[orderID]],orders[orderID],orders[orderDate],,0)</f>
        <v>42062</v>
      </c>
      <c r="C1734">
        <f>_xlfn.XLOOKUP(A1734,order_details[orderID],order_details[productID],,0)</f>
        <v>17</v>
      </c>
      <c r="D1734" t="str">
        <f>_xlfn.XLOOKUP(C1734,products[productID],products[productName],,0)</f>
        <v>Alice Mutton</v>
      </c>
      <c r="E1734" t="str">
        <f>_xlfn.XLOOKUP(_xlfn.XLOOKUP(Table9[[#This Row],[ProductName ]],products[productName],products[categoryID],,0),categories[categoryID],categories[categoryName],,0)</f>
        <v>Meat &amp; Poultry</v>
      </c>
      <c r="F1734">
        <v>10</v>
      </c>
      <c r="G1734">
        <v>39</v>
      </c>
      <c r="H1734">
        <v>0</v>
      </c>
      <c r="I1734">
        <f>Table9[[#This Row],[quantity]]*Table9[[#This Row],[unitPrice]]*(1-Table9[[#This Row],[discount]]/100)</f>
        <v>390</v>
      </c>
      <c r="J1734" t="str">
        <f>_xlfn.XLOOKUP(_xlfn.XLOOKUP(A1734,orders[orderID],orders[customerID],,0),customers__2[customerID],customers__2[companyName],,0)</f>
        <v>Tortuga Restaurante</v>
      </c>
      <c r="K1734" t="str">
        <f>_xlfn.XLOOKUP(Table9[[#This Row],[Company Name]],customers__2[companyName],customers__2[country],,0)</f>
        <v>Mexico</v>
      </c>
      <c r="L1734">
        <f>MONTH(Table9[[#This Row],[OrderDate ]])</f>
        <v>2</v>
      </c>
      <c r="M1734" t="str">
        <f>TEXT(Table9[[#This Row],[OrderDate ]],"mmm")</f>
        <v>Feb</v>
      </c>
      <c r="N1734">
        <f>YEAR(Table9[[#This Row],[OrderDate ]])</f>
        <v>2015</v>
      </c>
    </row>
    <row r="1735" spans="1:14" x14ac:dyDescent="0.3">
      <c r="A1735">
        <v>10915</v>
      </c>
      <c r="B1735" s="2">
        <f>_xlfn.XLOOKUP(Table9[[#This Row],[orderID]],orders[orderID],orders[orderDate],,0)</f>
        <v>42062</v>
      </c>
      <c r="C1735">
        <f>_xlfn.XLOOKUP(A1735,order_details[orderID],order_details[productID],,0)</f>
        <v>17</v>
      </c>
      <c r="D1735" t="str">
        <f>_xlfn.XLOOKUP(C1735,products[productID],products[productName],,0)</f>
        <v>Alice Mutton</v>
      </c>
      <c r="E1735" t="str">
        <f>_xlfn.XLOOKUP(_xlfn.XLOOKUP(Table9[[#This Row],[ProductName ]],products[productName],products[categoryID],,0),categories[categoryID],categories[categoryName],,0)</f>
        <v>Meat &amp; Poultry</v>
      </c>
      <c r="F1735">
        <v>30</v>
      </c>
      <c r="G1735">
        <v>25</v>
      </c>
      <c r="H1735">
        <v>0</v>
      </c>
      <c r="I1735">
        <f>Table9[[#This Row],[quantity]]*Table9[[#This Row],[unitPrice]]*(1-Table9[[#This Row],[discount]]/100)</f>
        <v>750</v>
      </c>
      <c r="J1735" t="str">
        <f>_xlfn.XLOOKUP(_xlfn.XLOOKUP(A1735,orders[orderID],orders[customerID],,0),customers__2[customerID],customers__2[companyName],,0)</f>
        <v>Tortuga Restaurante</v>
      </c>
      <c r="K1735" t="str">
        <f>_xlfn.XLOOKUP(Table9[[#This Row],[Company Name]],customers__2[companyName],customers__2[country],,0)</f>
        <v>Mexico</v>
      </c>
      <c r="L1735">
        <f>MONTH(Table9[[#This Row],[OrderDate ]])</f>
        <v>2</v>
      </c>
      <c r="M1735" t="str">
        <f>TEXT(Table9[[#This Row],[OrderDate ]],"mmm")</f>
        <v>Feb</v>
      </c>
      <c r="N1735">
        <f>YEAR(Table9[[#This Row],[OrderDate ]])</f>
        <v>2015</v>
      </c>
    </row>
    <row r="1736" spans="1:14" x14ac:dyDescent="0.3">
      <c r="A1736">
        <v>10915</v>
      </c>
      <c r="B1736" s="2">
        <f>_xlfn.XLOOKUP(Table9[[#This Row],[orderID]],orders[orderID],orders[orderDate],,0)</f>
        <v>42062</v>
      </c>
      <c r="C1736">
        <f>_xlfn.XLOOKUP(A1736,order_details[orderID],order_details[productID],,0)</f>
        <v>17</v>
      </c>
      <c r="D1736" t="str">
        <f>_xlfn.XLOOKUP(C1736,products[productID],products[productName],,0)</f>
        <v>Alice Mutton</v>
      </c>
      <c r="E1736" t="str">
        <f>_xlfn.XLOOKUP(_xlfn.XLOOKUP(Table9[[#This Row],[ProductName ]],products[productName],products[categoryID],,0),categories[categoryID],categories[categoryName],,0)</f>
        <v>Meat &amp; Poultry</v>
      </c>
      <c r="F1736">
        <v>10</v>
      </c>
      <c r="G1736">
        <v>745</v>
      </c>
      <c r="H1736">
        <v>0</v>
      </c>
      <c r="I1736">
        <f>Table9[[#This Row],[quantity]]*Table9[[#This Row],[unitPrice]]*(1-Table9[[#This Row],[discount]]/100)</f>
        <v>7450</v>
      </c>
      <c r="J1736" t="str">
        <f>_xlfn.XLOOKUP(_xlfn.XLOOKUP(A1736,orders[orderID],orders[customerID],,0),customers__2[customerID],customers__2[companyName],,0)</f>
        <v>Tortuga Restaurante</v>
      </c>
      <c r="K1736" t="str">
        <f>_xlfn.XLOOKUP(Table9[[#This Row],[Company Name]],customers__2[companyName],customers__2[country],,0)</f>
        <v>Mexico</v>
      </c>
      <c r="L1736">
        <f>MONTH(Table9[[#This Row],[OrderDate ]])</f>
        <v>2</v>
      </c>
      <c r="M1736" t="str">
        <f>TEXT(Table9[[#This Row],[OrderDate ]],"mmm")</f>
        <v>Feb</v>
      </c>
      <c r="N1736">
        <f>YEAR(Table9[[#This Row],[OrderDate ]])</f>
        <v>2015</v>
      </c>
    </row>
    <row r="1737" spans="1:14" x14ac:dyDescent="0.3">
      <c r="A1737">
        <v>10916</v>
      </c>
      <c r="B1737" s="2">
        <f>_xlfn.XLOOKUP(Table9[[#This Row],[orderID]],orders[orderID],orders[orderDate],,0)</f>
        <v>42062</v>
      </c>
      <c r="C1737">
        <f>_xlfn.XLOOKUP(A1737,order_details[orderID],order_details[productID],,0)</f>
        <v>16</v>
      </c>
      <c r="D1737" t="str">
        <f>_xlfn.XLOOKUP(C1737,products[productID],products[productName],,0)</f>
        <v>Pavlova</v>
      </c>
      <c r="E1737" t="str">
        <f>_xlfn.XLOOKUP(_xlfn.XLOOKUP(Table9[[#This Row],[ProductName ]],products[productName],products[categoryID],,0),categories[categoryID],categories[categoryName],,0)</f>
        <v>Confections</v>
      </c>
      <c r="F1737">
        <v>6</v>
      </c>
      <c r="G1737">
        <v>1745</v>
      </c>
      <c r="H1737">
        <v>0</v>
      </c>
      <c r="I1737">
        <f>Table9[[#This Row],[quantity]]*Table9[[#This Row],[unitPrice]]*(1-Table9[[#This Row],[discount]]/100)</f>
        <v>10470</v>
      </c>
      <c r="J1737" t="str">
        <f>_xlfn.XLOOKUP(_xlfn.XLOOKUP(A1737,orders[orderID],orders[customerID],,0),customers__2[customerID],customers__2[companyName],,0)</f>
        <v>Rancho grande</v>
      </c>
      <c r="K1737" t="str">
        <f>_xlfn.XLOOKUP(Table9[[#This Row],[Company Name]],customers__2[companyName],customers__2[country],,0)</f>
        <v>Argentina</v>
      </c>
      <c r="L1737">
        <f>MONTH(Table9[[#This Row],[OrderDate ]])</f>
        <v>2</v>
      </c>
      <c r="M1737" t="str">
        <f>TEXT(Table9[[#This Row],[OrderDate ]],"mmm")</f>
        <v>Feb</v>
      </c>
      <c r="N1737">
        <f>YEAR(Table9[[#This Row],[OrderDate ]])</f>
        <v>2015</v>
      </c>
    </row>
    <row r="1738" spans="1:14" x14ac:dyDescent="0.3">
      <c r="A1738">
        <v>10916</v>
      </c>
      <c r="B1738" s="2">
        <f>_xlfn.XLOOKUP(Table9[[#This Row],[orderID]],orders[orderID],orders[orderDate],,0)</f>
        <v>42062</v>
      </c>
      <c r="C1738">
        <f>_xlfn.XLOOKUP(A1738,order_details[orderID],order_details[productID],,0)</f>
        <v>16</v>
      </c>
      <c r="D1738" t="str">
        <f>_xlfn.XLOOKUP(C1738,products[productID],products[productName],,0)</f>
        <v>Pavlova</v>
      </c>
      <c r="E1738" t="str">
        <f>_xlfn.XLOOKUP(_xlfn.XLOOKUP(Table9[[#This Row],[ProductName ]],products[productName],products[categoryID],,0),categories[categoryID],categories[categoryName],,0)</f>
        <v>Confections</v>
      </c>
      <c r="F1738">
        <v>6</v>
      </c>
      <c r="G1738">
        <v>32</v>
      </c>
      <c r="H1738">
        <v>0</v>
      </c>
      <c r="I1738">
        <f>Table9[[#This Row],[quantity]]*Table9[[#This Row],[unitPrice]]*(1-Table9[[#This Row],[discount]]/100)</f>
        <v>192</v>
      </c>
      <c r="J1738" t="str">
        <f>_xlfn.XLOOKUP(_xlfn.XLOOKUP(A1738,orders[orderID],orders[customerID],,0),customers__2[customerID],customers__2[companyName],,0)</f>
        <v>Rancho grande</v>
      </c>
      <c r="K1738" t="str">
        <f>_xlfn.XLOOKUP(Table9[[#This Row],[Company Name]],customers__2[companyName],customers__2[country],,0)</f>
        <v>Argentina</v>
      </c>
      <c r="L1738">
        <f>MONTH(Table9[[#This Row],[OrderDate ]])</f>
        <v>2</v>
      </c>
      <c r="M1738" t="str">
        <f>TEXT(Table9[[#This Row],[OrderDate ]],"mmm")</f>
        <v>Feb</v>
      </c>
      <c r="N1738">
        <f>YEAR(Table9[[#This Row],[OrderDate ]])</f>
        <v>2015</v>
      </c>
    </row>
    <row r="1739" spans="1:14" x14ac:dyDescent="0.3">
      <c r="A1739">
        <v>10916</v>
      </c>
      <c r="B1739" s="2">
        <f>_xlfn.XLOOKUP(Table9[[#This Row],[orderID]],orders[orderID],orders[orderDate],,0)</f>
        <v>42062</v>
      </c>
      <c r="C1739">
        <f>_xlfn.XLOOKUP(A1739,order_details[orderID],order_details[productID],,0)</f>
        <v>16</v>
      </c>
      <c r="D1739" t="str">
        <f>_xlfn.XLOOKUP(C1739,products[productID],products[productName],,0)</f>
        <v>Pavlova</v>
      </c>
      <c r="E1739" t="str">
        <f>_xlfn.XLOOKUP(_xlfn.XLOOKUP(Table9[[#This Row],[ProductName ]],products[productName],products[categoryID],,0),categories[categoryID],categories[categoryName],,0)</f>
        <v>Confections</v>
      </c>
      <c r="F1739">
        <v>20</v>
      </c>
      <c r="G1739">
        <v>195</v>
      </c>
      <c r="H1739">
        <v>0</v>
      </c>
      <c r="I1739">
        <f>Table9[[#This Row],[quantity]]*Table9[[#This Row],[unitPrice]]*(1-Table9[[#This Row],[discount]]/100)</f>
        <v>3900</v>
      </c>
      <c r="J1739" t="str">
        <f>_xlfn.XLOOKUP(_xlfn.XLOOKUP(A1739,orders[orderID],orders[customerID],,0),customers__2[customerID],customers__2[companyName],,0)</f>
        <v>Rancho grande</v>
      </c>
      <c r="K1739" t="str">
        <f>_xlfn.XLOOKUP(Table9[[#This Row],[Company Name]],customers__2[companyName],customers__2[country],,0)</f>
        <v>Argentina</v>
      </c>
      <c r="L1739">
        <f>MONTH(Table9[[#This Row],[OrderDate ]])</f>
        <v>2</v>
      </c>
      <c r="M1739" t="str">
        <f>TEXT(Table9[[#This Row],[OrderDate ]],"mmm")</f>
        <v>Feb</v>
      </c>
      <c r="N1739">
        <f>YEAR(Table9[[#This Row],[OrderDate ]])</f>
        <v>2015</v>
      </c>
    </row>
    <row r="1740" spans="1:14" x14ac:dyDescent="0.3">
      <c r="A1740">
        <v>10917</v>
      </c>
      <c r="B1740" s="2">
        <f>_xlfn.XLOOKUP(Table9[[#This Row],[orderID]],orders[orderID],orders[orderDate],,0)</f>
        <v>42065</v>
      </c>
      <c r="C1740">
        <f>_xlfn.XLOOKUP(A1740,order_details[orderID],order_details[productID],,0)</f>
        <v>30</v>
      </c>
      <c r="D1740" t="str">
        <f>_xlfn.XLOOKUP(C1740,products[productID],products[productName],,0)</f>
        <v>Nord-Ost Matjeshering</v>
      </c>
      <c r="E1740" t="str">
        <f>_xlfn.XLOOKUP(_xlfn.XLOOKUP(Table9[[#This Row],[ProductName ]],products[productName],products[categoryID],,0),categories[categoryID],categories[categoryName],,0)</f>
        <v>Seafood</v>
      </c>
      <c r="F1740">
        <v>1</v>
      </c>
      <c r="G1740">
        <v>2589</v>
      </c>
      <c r="H1740">
        <v>0</v>
      </c>
      <c r="I1740">
        <f>Table9[[#This Row],[quantity]]*Table9[[#This Row],[unitPrice]]*(1-Table9[[#This Row],[discount]]/100)</f>
        <v>2589</v>
      </c>
      <c r="J1740" t="str">
        <f>_xlfn.XLOOKUP(_xlfn.XLOOKUP(A1740,orders[orderID],orders[customerID],,0),customers__2[customerID],customers__2[companyName],,0)</f>
        <v>Romero y tomillo</v>
      </c>
      <c r="K1740" t="str">
        <f>_xlfn.XLOOKUP(Table9[[#This Row],[Company Name]],customers__2[companyName],customers__2[country],,0)</f>
        <v>Spain</v>
      </c>
      <c r="L1740">
        <f>MONTH(Table9[[#This Row],[OrderDate ]])</f>
        <v>3</v>
      </c>
      <c r="M1740" t="str">
        <f>TEXT(Table9[[#This Row],[OrderDate ]],"mmm")</f>
        <v>Mar</v>
      </c>
      <c r="N1740">
        <f>YEAR(Table9[[#This Row],[OrderDate ]])</f>
        <v>2015</v>
      </c>
    </row>
    <row r="1741" spans="1:14" x14ac:dyDescent="0.3">
      <c r="A1741">
        <v>10917</v>
      </c>
      <c r="B1741" s="2">
        <f>_xlfn.XLOOKUP(Table9[[#This Row],[orderID]],orders[orderID],orders[orderDate],,0)</f>
        <v>42065</v>
      </c>
      <c r="C1741">
        <f>_xlfn.XLOOKUP(A1741,order_details[orderID],order_details[productID],,0)</f>
        <v>30</v>
      </c>
      <c r="D1741" t="str">
        <f>_xlfn.XLOOKUP(C1741,products[productID],products[productName],,0)</f>
        <v>Nord-Ost Matjeshering</v>
      </c>
      <c r="E1741" t="str">
        <f>_xlfn.XLOOKUP(_xlfn.XLOOKUP(Table9[[#This Row],[ProductName ]],products[productName],products[categoryID],,0),categories[categoryID],categories[categoryName],,0)</f>
        <v>Seafood</v>
      </c>
      <c r="F1741">
        <v>10</v>
      </c>
      <c r="G1741">
        <v>34</v>
      </c>
      <c r="H1741">
        <v>0</v>
      </c>
      <c r="I1741">
        <f>Table9[[#This Row],[quantity]]*Table9[[#This Row],[unitPrice]]*(1-Table9[[#This Row],[discount]]/100)</f>
        <v>340</v>
      </c>
      <c r="J1741" t="str">
        <f>_xlfn.XLOOKUP(_xlfn.XLOOKUP(A1741,orders[orderID],orders[customerID],,0),customers__2[customerID],customers__2[companyName],,0)</f>
        <v>Romero y tomillo</v>
      </c>
      <c r="K1741" t="str">
        <f>_xlfn.XLOOKUP(Table9[[#This Row],[Company Name]],customers__2[companyName],customers__2[country],,0)</f>
        <v>Spain</v>
      </c>
      <c r="L1741">
        <f>MONTH(Table9[[#This Row],[OrderDate ]])</f>
        <v>3</v>
      </c>
      <c r="M1741" t="str">
        <f>TEXT(Table9[[#This Row],[OrderDate ]],"mmm")</f>
        <v>Mar</v>
      </c>
      <c r="N1741">
        <f>YEAR(Table9[[#This Row],[OrderDate ]])</f>
        <v>2015</v>
      </c>
    </row>
    <row r="1742" spans="1:14" x14ac:dyDescent="0.3">
      <c r="A1742">
        <v>10918</v>
      </c>
      <c r="B1742" s="2">
        <f>_xlfn.XLOOKUP(Table9[[#This Row],[orderID]],orders[orderID],orders[orderDate],,0)</f>
        <v>42065</v>
      </c>
      <c r="C1742">
        <f>_xlfn.XLOOKUP(A1742,order_details[orderID],order_details[productID],,0)</f>
        <v>1</v>
      </c>
      <c r="D1742" t="str">
        <f>_xlfn.XLOOKUP(C1742,products[productID],products[productName],,0)</f>
        <v>Chai</v>
      </c>
      <c r="E1742" t="str">
        <f>_xlfn.XLOOKUP(_xlfn.XLOOKUP(Table9[[#This Row],[ProductName ]],products[productName],products[categoryID],,0),categories[categoryID],categories[categoryName],,0)</f>
        <v>Beverages</v>
      </c>
      <c r="F1742">
        <v>60</v>
      </c>
      <c r="G1742">
        <v>18</v>
      </c>
      <c r="H1742">
        <v>25</v>
      </c>
      <c r="I1742">
        <f>Table9[[#This Row],[quantity]]*Table9[[#This Row],[unitPrice]]*(1-Table9[[#This Row],[discount]]/100)</f>
        <v>810</v>
      </c>
      <c r="J1742" t="str">
        <f>_xlfn.XLOOKUP(_xlfn.XLOOKUP(A1742,orders[orderID],orders[customerID],,0),customers__2[customerID],customers__2[companyName],,0)</f>
        <v>Bottom-Dollar Markets</v>
      </c>
      <c r="K1742" t="str">
        <f>_xlfn.XLOOKUP(Table9[[#This Row],[Company Name]],customers__2[companyName],customers__2[country],,0)</f>
        <v>Canada</v>
      </c>
      <c r="L1742">
        <f>MONTH(Table9[[#This Row],[OrderDate ]])</f>
        <v>3</v>
      </c>
      <c r="M1742" t="str">
        <f>TEXT(Table9[[#This Row],[OrderDate ]],"mmm")</f>
        <v>Mar</v>
      </c>
      <c r="N1742">
        <f>YEAR(Table9[[#This Row],[OrderDate ]])</f>
        <v>2015</v>
      </c>
    </row>
    <row r="1743" spans="1:14" x14ac:dyDescent="0.3">
      <c r="A1743">
        <v>10918</v>
      </c>
      <c r="B1743" s="2">
        <f>_xlfn.XLOOKUP(Table9[[#This Row],[orderID]],orders[orderID],orders[orderDate],,0)</f>
        <v>42065</v>
      </c>
      <c r="C1743">
        <f>_xlfn.XLOOKUP(A1743,order_details[orderID],order_details[productID],,0)</f>
        <v>1</v>
      </c>
      <c r="D1743" t="str">
        <f>_xlfn.XLOOKUP(C1743,products[productID],products[productName],,0)</f>
        <v>Chai</v>
      </c>
      <c r="E1743" t="str">
        <f>_xlfn.XLOOKUP(_xlfn.XLOOKUP(Table9[[#This Row],[ProductName ]],products[productName],products[categoryID],,0),categories[categoryID],categories[categoryName],,0)</f>
        <v>Beverages</v>
      </c>
      <c r="F1743">
        <v>25</v>
      </c>
      <c r="G1743">
        <v>34</v>
      </c>
      <c r="H1743">
        <v>25</v>
      </c>
      <c r="I1743">
        <f>Table9[[#This Row],[quantity]]*Table9[[#This Row],[unitPrice]]*(1-Table9[[#This Row],[discount]]/100)</f>
        <v>637.5</v>
      </c>
      <c r="J1743" t="str">
        <f>_xlfn.XLOOKUP(_xlfn.XLOOKUP(A1743,orders[orderID],orders[customerID],,0),customers__2[customerID],customers__2[companyName],,0)</f>
        <v>Bottom-Dollar Markets</v>
      </c>
      <c r="K1743" t="str">
        <f>_xlfn.XLOOKUP(Table9[[#This Row],[Company Name]],customers__2[companyName],customers__2[country],,0)</f>
        <v>Canada</v>
      </c>
      <c r="L1743">
        <f>MONTH(Table9[[#This Row],[OrderDate ]])</f>
        <v>3</v>
      </c>
      <c r="M1743" t="str">
        <f>TEXT(Table9[[#This Row],[OrderDate ]],"mmm")</f>
        <v>Mar</v>
      </c>
      <c r="N1743">
        <f>YEAR(Table9[[#This Row],[OrderDate ]])</f>
        <v>2015</v>
      </c>
    </row>
    <row r="1744" spans="1:14" x14ac:dyDescent="0.3">
      <c r="A1744">
        <v>10919</v>
      </c>
      <c r="B1744" s="2">
        <f>_xlfn.XLOOKUP(Table9[[#This Row],[orderID]],orders[orderID],orders[orderDate],,0)</f>
        <v>42065</v>
      </c>
      <c r="C1744">
        <f>_xlfn.XLOOKUP(A1744,order_details[orderID],order_details[productID],,0)</f>
        <v>16</v>
      </c>
      <c r="D1744" t="str">
        <f>_xlfn.XLOOKUP(C1744,products[productID],products[productName],,0)</f>
        <v>Pavlova</v>
      </c>
      <c r="E1744" t="str">
        <f>_xlfn.XLOOKUP(_xlfn.XLOOKUP(Table9[[#This Row],[ProductName ]],products[productName],products[categoryID],,0),categories[categoryID],categories[categoryName],,0)</f>
        <v>Confections</v>
      </c>
      <c r="F1744">
        <v>24</v>
      </c>
      <c r="G1744">
        <v>1745</v>
      </c>
      <c r="H1744">
        <v>0</v>
      </c>
      <c r="I1744">
        <f>Table9[[#This Row],[quantity]]*Table9[[#This Row],[unitPrice]]*(1-Table9[[#This Row],[discount]]/100)</f>
        <v>41880</v>
      </c>
      <c r="J1744" t="str">
        <f>_xlfn.XLOOKUP(_xlfn.XLOOKUP(A1744,orders[orderID],orders[customerID],,0),customers__2[customerID],customers__2[companyName],,0)</f>
        <v>LINO-Delicateses</v>
      </c>
      <c r="K1744" t="str">
        <f>_xlfn.XLOOKUP(Table9[[#This Row],[Company Name]],customers__2[companyName],customers__2[country],,0)</f>
        <v>Venezuela</v>
      </c>
      <c r="L1744">
        <f>MONTH(Table9[[#This Row],[OrderDate ]])</f>
        <v>3</v>
      </c>
      <c r="M1744" t="str">
        <f>TEXT(Table9[[#This Row],[OrderDate ]],"mmm")</f>
        <v>Mar</v>
      </c>
      <c r="N1744">
        <f>YEAR(Table9[[#This Row],[OrderDate ]])</f>
        <v>2015</v>
      </c>
    </row>
    <row r="1745" spans="1:14" x14ac:dyDescent="0.3">
      <c r="A1745">
        <v>10919</v>
      </c>
      <c r="B1745" s="2">
        <f>_xlfn.XLOOKUP(Table9[[#This Row],[orderID]],orders[orderID],orders[orderDate],,0)</f>
        <v>42065</v>
      </c>
      <c r="C1745">
        <f>_xlfn.XLOOKUP(A1745,order_details[orderID],order_details[productID],,0)</f>
        <v>16</v>
      </c>
      <c r="D1745" t="str">
        <f>_xlfn.XLOOKUP(C1745,products[productID],products[productName],,0)</f>
        <v>Pavlova</v>
      </c>
      <c r="E1745" t="str">
        <f>_xlfn.XLOOKUP(_xlfn.XLOOKUP(Table9[[#This Row],[ProductName ]],products[productName],products[categoryID],,0),categories[categoryID],categories[categoryName],,0)</f>
        <v>Confections</v>
      </c>
      <c r="F1745">
        <v>24</v>
      </c>
      <c r="G1745">
        <v>14</v>
      </c>
      <c r="H1745">
        <v>0</v>
      </c>
      <c r="I1745">
        <f>Table9[[#This Row],[quantity]]*Table9[[#This Row],[unitPrice]]*(1-Table9[[#This Row],[discount]]/100)</f>
        <v>336</v>
      </c>
      <c r="J1745" t="str">
        <f>_xlfn.XLOOKUP(_xlfn.XLOOKUP(A1745,orders[orderID],orders[customerID],,0),customers__2[customerID],customers__2[companyName],,0)</f>
        <v>LINO-Delicateses</v>
      </c>
      <c r="K1745" t="str">
        <f>_xlfn.XLOOKUP(Table9[[#This Row],[Company Name]],customers__2[companyName],customers__2[country],,0)</f>
        <v>Venezuela</v>
      </c>
      <c r="L1745">
        <f>MONTH(Table9[[#This Row],[OrderDate ]])</f>
        <v>3</v>
      </c>
      <c r="M1745" t="str">
        <f>TEXT(Table9[[#This Row],[OrderDate ]],"mmm")</f>
        <v>Mar</v>
      </c>
      <c r="N1745">
        <f>YEAR(Table9[[#This Row],[OrderDate ]])</f>
        <v>2015</v>
      </c>
    </row>
    <row r="1746" spans="1:14" x14ac:dyDescent="0.3">
      <c r="A1746">
        <v>10919</v>
      </c>
      <c r="B1746" s="2">
        <f>_xlfn.XLOOKUP(Table9[[#This Row],[orderID]],orders[orderID],orders[orderDate],,0)</f>
        <v>42065</v>
      </c>
      <c r="C1746">
        <f>_xlfn.XLOOKUP(A1746,order_details[orderID],order_details[productID],,0)</f>
        <v>16</v>
      </c>
      <c r="D1746" t="str">
        <f>_xlfn.XLOOKUP(C1746,products[productID],products[productName],,0)</f>
        <v>Pavlova</v>
      </c>
      <c r="E1746" t="str">
        <f>_xlfn.XLOOKUP(_xlfn.XLOOKUP(Table9[[#This Row],[ProductName ]],products[productName],products[categoryID],,0),categories[categoryID],categories[categoryName],,0)</f>
        <v>Confections</v>
      </c>
      <c r="F1746">
        <v>20</v>
      </c>
      <c r="G1746">
        <v>184</v>
      </c>
      <c r="H1746">
        <v>0</v>
      </c>
      <c r="I1746">
        <f>Table9[[#This Row],[quantity]]*Table9[[#This Row],[unitPrice]]*(1-Table9[[#This Row],[discount]]/100)</f>
        <v>3680</v>
      </c>
      <c r="J1746" t="str">
        <f>_xlfn.XLOOKUP(_xlfn.XLOOKUP(A1746,orders[orderID],orders[customerID],,0),customers__2[customerID],customers__2[companyName],,0)</f>
        <v>LINO-Delicateses</v>
      </c>
      <c r="K1746" t="str">
        <f>_xlfn.XLOOKUP(Table9[[#This Row],[Company Name]],customers__2[companyName],customers__2[country],,0)</f>
        <v>Venezuela</v>
      </c>
      <c r="L1746">
        <f>MONTH(Table9[[#This Row],[OrderDate ]])</f>
        <v>3</v>
      </c>
      <c r="M1746" t="str">
        <f>TEXT(Table9[[#This Row],[OrderDate ]],"mmm")</f>
        <v>Mar</v>
      </c>
      <c r="N1746">
        <f>YEAR(Table9[[#This Row],[OrderDate ]])</f>
        <v>2015</v>
      </c>
    </row>
    <row r="1747" spans="1:14" x14ac:dyDescent="0.3">
      <c r="A1747">
        <v>10920</v>
      </c>
      <c r="B1747" s="2">
        <f>_xlfn.XLOOKUP(Table9[[#This Row],[orderID]],orders[orderID],orders[orderDate],,0)</f>
        <v>42066</v>
      </c>
      <c r="C1747">
        <f>_xlfn.XLOOKUP(A1747,order_details[orderID],order_details[productID],,0)</f>
        <v>50</v>
      </c>
      <c r="D1747" t="str">
        <f>_xlfn.XLOOKUP(C1747,products[productID],products[productName],,0)</f>
        <v>Valkoinen suklaa</v>
      </c>
      <c r="E1747" t="str">
        <f>_xlfn.XLOOKUP(_xlfn.XLOOKUP(Table9[[#This Row],[ProductName ]],products[productName],products[categoryID],,0),categories[categoryID],categories[categoryName],,0)</f>
        <v>Confections</v>
      </c>
      <c r="F1747">
        <v>24</v>
      </c>
      <c r="G1747">
        <v>1625</v>
      </c>
      <c r="H1747">
        <v>0</v>
      </c>
      <c r="I1747">
        <f>Table9[[#This Row],[quantity]]*Table9[[#This Row],[unitPrice]]*(1-Table9[[#This Row],[discount]]/100)</f>
        <v>39000</v>
      </c>
      <c r="J1747" t="str">
        <f>_xlfn.XLOOKUP(_xlfn.XLOOKUP(A1747,orders[orderID],orders[customerID],,0),customers__2[customerID],customers__2[companyName],,0)</f>
        <v>Around the Horn</v>
      </c>
      <c r="K1747" t="str">
        <f>_xlfn.XLOOKUP(Table9[[#This Row],[Company Name]],customers__2[companyName],customers__2[country],,0)</f>
        <v>UK</v>
      </c>
      <c r="L1747">
        <f>MONTH(Table9[[#This Row],[OrderDate ]])</f>
        <v>3</v>
      </c>
      <c r="M1747" t="str">
        <f>TEXT(Table9[[#This Row],[OrderDate ]],"mmm")</f>
        <v>Mar</v>
      </c>
      <c r="N1747">
        <f>YEAR(Table9[[#This Row],[OrderDate ]])</f>
        <v>2015</v>
      </c>
    </row>
    <row r="1748" spans="1:14" x14ac:dyDescent="0.3">
      <c r="A1748">
        <v>10921</v>
      </c>
      <c r="B1748" s="2">
        <f>_xlfn.XLOOKUP(Table9[[#This Row],[orderID]],orders[orderID],orders[orderDate],,0)</f>
        <v>42066</v>
      </c>
      <c r="C1748">
        <f>_xlfn.XLOOKUP(A1748,order_details[orderID],order_details[productID],,0)</f>
        <v>35</v>
      </c>
      <c r="D1748" t="str">
        <f>_xlfn.XLOOKUP(C1748,products[productID],products[productName],,0)</f>
        <v>Steeleye Stout</v>
      </c>
      <c r="E1748" t="str">
        <f>_xlfn.XLOOKUP(_xlfn.XLOOKUP(Table9[[#This Row],[ProductName ]],products[productName],products[categoryID],,0),categories[categoryID],categories[categoryName],,0)</f>
        <v>Beverages</v>
      </c>
      <c r="F1748">
        <v>10</v>
      </c>
      <c r="G1748">
        <v>18</v>
      </c>
      <c r="H1748">
        <v>0</v>
      </c>
      <c r="I1748">
        <f>Table9[[#This Row],[quantity]]*Table9[[#This Row],[unitPrice]]*(1-Table9[[#This Row],[discount]]/100)</f>
        <v>180</v>
      </c>
      <c r="J1748" t="str">
        <f>_xlfn.XLOOKUP(_xlfn.XLOOKUP(A1748,orders[orderID],orders[customerID],,0),customers__2[customerID],customers__2[companyName],,0)</f>
        <v>Vaffeljernet</v>
      </c>
      <c r="K1748" t="str">
        <f>_xlfn.XLOOKUP(Table9[[#This Row],[Company Name]],customers__2[companyName],customers__2[country],,0)</f>
        <v>Denmark</v>
      </c>
      <c r="L1748">
        <f>MONTH(Table9[[#This Row],[OrderDate ]])</f>
        <v>3</v>
      </c>
      <c r="M1748" t="str">
        <f>TEXT(Table9[[#This Row],[OrderDate ]],"mmm")</f>
        <v>Mar</v>
      </c>
      <c r="N1748">
        <f>YEAR(Table9[[#This Row],[OrderDate ]])</f>
        <v>2015</v>
      </c>
    </row>
    <row r="1749" spans="1:14" x14ac:dyDescent="0.3">
      <c r="A1749">
        <v>10921</v>
      </c>
      <c r="B1749" s="2">
        <f>_xlfn.XLOOKUP(Table9[[#This Row],[orderID]],orders[orderID],orders[orderDate],,0)</f>
        <v>42066</v>
      </c>
      <c r="C1749">
        <f>_xlfn.XLOOKUP(A1749,order_details[orderID],order_details[productID],,0)</f>
        <v>35</v>
      </c>
      <c r="D1749" t="str">
        <f>_xlfn.XLOOKUP(C1749,products[productID],products[productName],,0)</f>
        <v>Steeleye Stout</v>
      </c>
      <c r="E1749" t="str">
        <f>_xlfn.XLOOKUP(_xlfn.XLOOKUP(Table9[[#This Row],[ProductName ]],products[productName],products[categoryID],,0),categories[categoryID],categories[categoryName],,0)</f>
        <v>Beverages</v>
      </c>
      <c r="F1749">
        <v>40</v>
      </c>
      <c r="G1749">
        <v>439</v>
      </c>
      <c r="H1749">
        <v>0</v>
      </c>
      <c r="I1749">
        <f>Table9[[#This Row],[quantity]]*Table9[[#This Row],[unitPrice]]*(1-Table9[[#This Row],[discount]]/100)</f>
        <v>17560</v>
      </c>
      <c r="J1749" t="str">
        <f>_xlfn.XLOOKUP(_xlfn.XLOOKUP(A1749,orders[orderID],orders[customerID],,0),customers__2[customerID],customers__2[companyName],,0)</f>
        <v>Vaffeljernet</v>
      </c>
      <c r="K1749" t="str">
        <f>_xlfn.XLOOKUP(Table9[[#This Row],[Company Name]],customers__2[companyName],customers__2[country],,0)</f>
        <v>Denmark</v>
      </c>
      <c r="L1749">
        <f>MONTH(Table9[[#This Row],[OrderDate ]])</f>
        <v>3</v>
      </c>
      <c r="M1749" t="str">
        <f>TEXT(Table9[[#This Row],[OrderDate ]],"mmm")</f>
        <v>Mar</v>
      </c>
      <c r="N1749">
        <f>YEAR(Table9[[#This Row],[OrderDate ]])</f>
        <v>2015</v>
      </c>
    </row>
    <row r="1750" spans="1:14" x14ac:dyDescent="0.3">
      <c r="A1750">
        <v>10922</v>
      </c>
      <c r="B1750" s="2">
        <f>_xlfn.XLOOKUP(Table9[[#This Row],[orderID]],orders[orderID],orders[orderDate],,0)</f>
        <v>42066</v>
      </c>
      <c r="C1750">
        <f>_xlfn.XLOOKUP(A1750,order_details[orderID],order_details[productID],,0)</f>
        <v>17</v>
      </c>
      <c r="D1750" t="str">
        <f>_xlfn.XLOOKUP(C1750,products[productID],products[productName],,0)</f>
        <v>Alice Mutton</v>
      </c>
      <c r="E1750" t="str">
        <f>_xlfn.XLOOKUP(_xlfn.XLOOKUP(Table9[[#This Row],[ProductName ]],products[productName],products[categoryID],,0),categories[categoryID],categories[categoryName],,0)</f>
        <v>Meat &amp; Poultry</v>
      </c>
      <c r="F1750">
        <v>15</v>
      </c>
      <c r="G1750">
        <v>39</v>
      </c>
      <c r="H1750">
        <v>0</v>
      </c>
      <c r="I1750">
        <f>Table9[[#This Row],[quantity]]*Table9[[#This Row],[unitPrice]]*(1-Table9[[#This Row],[discount]]/100)</f>
        <v>585</v>
      </c>
      <c r="J1750" t="str">
        <f>_xlfn.XLOOKUP(_xlfn.XLOOKUP(A1750,orders[orderID],orders[customerID],,0),customers__2[customerID],customers__2[companyName],,0)</f>
        <v>Hanari Carnes</v>
      </c>
      <c r="K1750" t="str">
        <f>_xlfn.XLOOKUP(Table9[[#This Row],[Company Name]],customers__2[companyName],customers__2[country],,0)</f>
        <v>Brazil</v>
      </c>
      <c r="L1750">
        <f>MONTH(Table9[[#This Row],[OrderDate ]])</f>
        <v>3</v>
      </c>
      <c r="M1750" t="str">
        <f>TEXT(Table9[[#This Row],[OrderDate ]],"mmm")</f>
        <v>Mar</v>
      </c>
      <c r="N1750">
        <f>YEAR(Table9[[#This Row],[OrderDate ]])</f>
        <v>2015</v>
      </c>
    </row>
    <row r="1751" spans="1:14" x14ac:dyDescent="0.3">
      <c r="A1751">
        <v>10922</v>
      </c>
      <c r="B1751" s="2">
        <f>_xlfn.XLOOKUP(Table9[[#This Row],[orderID]],orders[orderID],orders[orderDate],,0)</f>
        <v>42066</v>
      </c>
      <c r="C1751">
        <f>_xlfn.XLOOKUP(A1751,order_details[orderID],order_details[productID],,0)</f>
        <v>17</v>
      </c>
      <c r="D1751" t="str">
        <f>_xlfn.XLOOKUP(C1751,products[productID],products[productName],,0)</f>
        <v>Alice Mutton</v>
      </c>
      <c r="E1751" t="str">
        <f>_xlfn.XLOOKUP(_xlfn.XLOOKUP(Table9[[#This Row],[ProductName ]],products[productName],products[categoryID],,0),categories[categoryID],categories[categoryName],,0)</f>
        <v>Meat &amp; Poultry</v>
      </c>
      <c r="F1751">
        <v>35</v>
      </c>
      <c r="G1751">
        <v>45</v>
      </c>
      <c r="H1751">
        <v>0</v>
      </c>
      <c r="I1751">
        <f>Table9[[#This Row],[quantity]]*Table9[[#This Row],[unitPrice]]*(1-Table9[[#This Row],[discount]]/100)</f>
        <v>1575</v>
      </c>
      <c r="J1751" t="str">
        <f>_xlfn.XLOOKUP(_xlfn.XLOOKUP(A1751,orders[orderID],orders[customerID],,0),customers__2[customerID],customers__2[companyName],,0)</f>
        <v>Hanari Carnes</v>
      </c>
      <c r="K1751" t="str">
        <f>_xlfn.XLOOKUP(Table9[[#This Row],[Company Name]],customers__2[companyName],customers__2[country],,0)</f>
        <v>Brazil</v>
      </c>
      <c r="L1751">
        <f>MONTH(Table9[[#This Row],[OrderDate ]])</f>
        <v>3</v>
      </c>
      <c r="M1751" t="str">
        <f>TEXT(Table9[[#This Row],[OrderDate ]],"mmm")</f>
        <v>Mar</v>
      </c>
      <c r="N1751">
        <f>YEAR(Table9[[#This Row],[OrderDate ]])</f>
        <v>2015</v>
      </c>
    </row>
    <row r="1752" spans="1:14" x14ac:dyDescent="0.3">
      <c r="A1752">
        <v>10923</v>
      </c>
      <c r="B1752" s="2">
        <f>_xlfn.XLOOKUP(Table9[[#This Row],[orderID]],orders[orderID],orders[orderDate],,0)</f>
        <v>42066</v>
      </c>
      <c r="C1752">
        <f>_xlfn.XLOOKUP(A1752,order_details[orderID],order_details[productID],,0)</f>
        <v>42</v>
      </c>
      <c r="D1752" t="str">
        <f>_xlfn.XLOOKUP(C1752,products[productID],products[productName],,0)</f>
        <v>Singaporean Hokkien Fried Mee</v>
      </c>
      <c r="E1752" t="str">
        <f>_xlfn.XLOOKUP(_xlfn.XLOOKUP(Table9[[#This Row],[ProductName ]],products[productName],products[categoryID],,0),categories[categoryID],categories[categoryName],,0)</f>
        <v>Grains &amp; Cereals</v>
      </c>
      <c r="F1752">
        <v>10</v>
      </c>
      <c r="G1752">
        <v>14</v>
      </c>
      <c r="H1752">
        <v>2</v>
      </c>
      <c r="I1752">
        <f>Table9[[#This Row],[quantity]]*Table9[[#This Row],[unitPrice]]*(1-Table9[[#This Row],[discount]]/100)</f>
        <v>137.19999999999999</v>
      </c>
      <c r="J1752" t="str">
        <f>_xlfn.XLOOKUP(_xlfn.XLOOKUP(A1752,orders[orderID],orders[customerID],,0),customers__2[customerID],customers__2[companyName],,0)</f>
        <v>La maison d'Asie</v>
      </c>
      <c r="K1752" t="str">
        <f>_xlfn.XLOOKUP(Table9[[#This Row],[Company Name]],customers__2[companyName],customers__2[country],,0)</f>
        <v>France</v>
      </c>
      <c r="L1752">
        <f>MONTH(Table9[[#This Row],[OrderDate ]])</f>
        <v>3</v>
      </c>
      <c r="M1752" t="str">
        <f>TEXT(Table9[[#This Row],[OrderDate ]],"mmm")</f>
        <v>Mar</v>
      </c>
      <c r="N1752">
        <f>YEAR(Table9[[#This Row],[OrderDate ]])</f>
        <v>2015</v>
      </c>
    </row>
    <row r="1753" spans="1:14" x14ac:dyDescent="0.3">
      <c r="A1753">
        <v>10923</v>
      </c>
      <c r="B1753" s="2">
        <f>_xlfn.XLOOKUP(Table9[[#This Row],[orderID]],orders[orderID],orders[orderDate],,0)</f>
        <v>42066</v>
      </c>
      <c r="C1753">
        <f>_xlfn.XLOOKUP(A1753,order_details[orderID],order_details[productID],,0)</f>
        <v>42</v>
      </c>
      <c r="D1753" t="str">
        <f>_xlfn.XLOOKUP(C1753,products[productID],products[productName],,0)</f>
        <v>Singaporean Hokkien Fried Mee</v>
      </c>
      <c r="E1753" t="str">
        <f>_xlfn.XLOOKUP(_xlfn.XLOOKUP(Table9[[#This Row],[ProductName ]],products[productName],products[categoryID],,0),categories[categoryID],categories[categoryName],,0)</f>
        <v>Grains &amp; Cereals</v>
      </c>
      <c r="F1753">
        <v>10</v>
      </c>
      <c r="G1753">
        <v>46</v>
      </c>
      <c r="H1753">
        <v>2</v>
      </c>
      <c r="I1753">
        <f>Table9[[#This Row],[quantity]]*Table9[[#This Row],[unitPrice]]*(1-Table9[[#This Row],[discount]]/100)</f>
        <v>450.8</v>
      </c>
      <c r="J1753" t="str">
        <f>_xlfn.XLOOKUP(_xlfn.XLOOKUP(A1753,orders[orderID],orders[customerID],,0),customers__2[customerID],customers__2[companyName],,0)</f>
        <v>La maison d'Asie</v>
      </c>
      <c r="K1753" t="str">
        <f>_xlfn.XLOOKUP(Table9[[#This Row],[Company Name]],customers__2[companyName],customers__2[country],,0)</f>
        <v>France</v>
      </c>
      <c r="L1753">
        <f>MONTH(Table9[[#This Row],[OrderDate ]])</f>
        <v>3</v>
      </c>
      <c r="M1753" t="str">
        <f>TEXT(Table9[[#This Row],[OrderDate ]],"mmm")</f>
        <v>Mar</v>
      </c>
      <c r="N1753">
        <f>YEAR(Table9[[#This Row],[OrderDate ]])</f>
        <v>2015</v>
      </c>
    </row>
    <row r="1754" spans="1:14" x14ac:dyDescent="0.3">
      <c r="A1754">
        <v>10923</v>
      </c>
      <c r="B1754" s="2">
        <f>_xlfn.XLOOKUP(Table9[[#This Row],[orderID]],orders[orderID],orders[orderDate],,0)</f>
        <v>42066</v>
      </c>
      <c r="C1754">
        <f>_xlfn.XLOOKUP(A1754,order_details[orderID],order_details[productID],,0)</f>
        <v>42</v>
      </c>
      <c r="D1754" t="str">
        <f>_xlfn.XLOOKUP(C1754,products[productID],products[productName],,0)</f>
        <v>Singaporean Hokkien Fried Mee</v>
      </c>
      <c r="E1754" t="str">
        <f>_xlfn.XLOOKUP(_xlfn.XLOOKUP(Table9[[#This Row],[ProductName ]],products[productName],products[categoryID],,0),categories[categoryID],categories[categoryName],,0)</f>
        <v>Grains &amp; Cereals</v>
      </c>
      <c r="F1754">
        <v>24</v>
      </c>
      <c r="G1754">
        <v>14</v>
      </c>
      <c r="H1754">
        <v>2</v>
      </c>
      <c r="I1754">
        <f>Table9[[#This Row],[quantity]]*Table9[[#This Row],[unitPrice]]*(1-Table9[[#This Row],[discount]]/100)</f>
        <v>329.28</v>
      </c>
      <c r="J1754" t="str">
        <f>_xlfn.XLOOKUP(_xlfn.XLOOKUP(A1754,orders[orderID],orders[customerID],,0),customers__2[customerID],customers__2[companyName],,0)</f>
        <v>La maison d'Asie</v>
      </c>
      <c r="K1754" t="str">
        <f>_xlfn.XLOOKUP(Table9[[#This Row],[Company Name]],customers__2[companyName],customers__2[country],,0)</f>
        <v>France</v>
      </c>
      <c r="L1754">
        <f>MONTH(Table9[[#This Row],[OrderDate ]])</f>
        <v>3</v>
      </c>
      <c r="M1754" t="str">
        <f>TEXT(Table9[[#This Row],[OrderDate ]],"mmm")</f>
        <v>Mar</v>
      </c>
      <c r="N1754">
        <f>YEAR(Table9[[#This Row],[OrderDate ]])</f>
        <v>2015</v>
      </c>
    </row>
    <row r="1755" spans="1:14" x14ac:dyDescent="0.3">
      <c r="A1755">
        <v>10924</v>
      </c>
      <c r="B1755" s="2">
        <f>_xlfn.XLOOKUP(Table9[[#This Row],[orderID]],orders[orderID],orders[orderDate],,0)</f>
        <v>42067</v>
      </c>
      <c r="C1755">
        <f>_xlfn.XLOOKUP(A1755,order_details[orderID],order_details[productID],,0)</f>
        <v>10</v>
      </c>
      <c r="D1755" t="str">
        <f>_xlfn.XLOOKUP(C1755,products[productID],products[productName],,0)</f>
        <v>Ikura</v>
      </c>
      <c r="E1755" t="str">
        <f>_xlfn.XLOOKUP(_xlfn.XLOOKUP(Table9[[#This Row],[ProductName ]],products[productName],products[categoryID],,0),categories[categoryID],categories[categoryName],,0)</f>
        <v>Seafood</v>
      </c>
      <c r="F1755">
        <v>20</v>
      </c>
      <c r="G1755">
        <v>31</v>
      </c>
      <c r="H1755">
        <v>1</v>
      </c>
      <c r="I1755">
        <f>Table9[[#This Row],[quantity]]*Table9[[#This Row],[unitPrice]]*(1-Table9[[#This Row],[discount]]/100)</f>
        <v>613.79999999999995</v>
      </c>
      <c r="J1755" t="str">
        <f>_xlfn.XLOOKUP(_xlfn.XLOOKUP(A1755,orders[orderID],orders[customerID],,0),customers__2[customerID],customers__2[companyName],,0)</f>
        <v>Berglunds snabbköp</v>
      </c>
      <c r="K1755" t="str">
        <f>_xlfn.XLOOKUP(Table9[[#This Row],[Company Name]],customers__2[companyName],customers__2[country],,0)</f>
        <v>Sweden</v>
      </c>
      <c r="L1755">
        <f>MONTH(Table9[[#This Row],[OrderDate ]])</f>
        <v>3</v>
      </c>
      <c r="M1755" t="str">
        <f>TEXT(Table9[[#This Row],[OrderDate ]],"mmm")</f>
        <v>Mar</v>
      </c>
      <c r="N1755">
        <f>YEAR(Table9[[#This Row],[OrderDate ]])</f>
        <v>2015</v>
      </c>
    </row>
    <row r="1756" spans="1:14" x14ac:dyDescent="0.3">
      <c r="A1756">
        <v>10924</v>
      </c>
      <c r="B1756" s="2">
        <f>_xlfn.XLOOKUP(Table9[[#This Row],[orderID]],orders[orderID],orders[orderDate],,0)</f>
        <v>42067</v>
      </c>
      <c r="C1756">
        <f>_xlfn.XLOOKUP(A1756,order_details[orderID],order_details[productID],,0)</f>
        <v>10</v>
      </c>
      <c r="D1756" t="str">
        <f>_xlfn.XLOOKUP(C1756,products[productID],products[productName],,0)</f>
        <v>Ikura</v>
      </c>
      <c r="E1756" t="str">
        <f>_xlfn.XLOOKUP(_xlfn.XLOOKUP(Table9[[#This Row],[ProductName ]],products[productName],products[categoryID],,0),categories[categoryID],categories[categoryName],,0)</f>
        <v>Seafood</v>
      </c>
      <c r="F1756">
        <v>30</v>
      </c>
      <c r="G1756">
        <v>456</v>
      </c>
      <c r="H1756">
        <v>1</v>
      </c>
      <c r="I1756">
        <f>Table9[[#This Row],[quantity]]*Table9[[#This Row],[unitPrice]]*(1-Table9[[#This Row],[discount]]/100)</f>
        <v>13543.2</v>
      </c>
      <c r="J1756" t="str">
        <f>_xlfn.XLOOKUP(_xlfn.XLOOKUP(A1756,orders[orderID],orders[customerID],,0),customers__2[customerID],customers__2[companyName],,0)</f>
        <v>Berglunds snabbköp</v>
      </c>
      <c r="K1756" t="str">
        <f>_xlfn.XLOOKUP(Table9[[#This Row],[Company Name]],customers__2[companyName],customers__2[country],,0)</f>
        <v>Sweden</v>
      </c>
      <c r="L1756">
        <f>MONTH(Table9[[#This Row],[OrderDate ]])</f>
        <v>3</v>
      </c>
      <c r="M1756" t="str">
        <f>TEXT(Table9[[#This Row],[OrderDate ]],"mmm")</f>
        <v>Mar</v>
      </c>
      <c r="N1756">
        <f>YEAR(Table9[[#This Row],[OrderDate ]])</f>
        <v>2015</v>
      </c>
    </row>
    <row r="1757" spans="1:14" x14ac:dyDescent="0.3">
      <c r="A1757">
        <v>10924</v>
      </c>
      <c r="B1757" s="2">
        <f>_xlfn.XLOOKUP(Table9[[#This Row],[orderID]],orders[orderID],orders[orderDate],,0)</f>
        <v>42067</v>
      </c>
      <c r="C1757">
        <f>_xlfn.XLOOKUP(A1757,order_details[orderID],order_details[productID],,0)</f>
        <v>10</v>
      </c>
      <c r="D1757" t="str">
        <f>_xlfn.XLOOKUP(C1757,products[productID],products[productName],,0)</f>
        <v>Ikura</v>
      </c>
      <c r="E1757" t="str">
        <f>_xlfn.XLOOKUP(_xlfn.XLOOKUP(Table9[[#This Row],[ProductName ]],products[productName],products[categoryID],,0),categories[categoryID],categories[categoryName],,0)</f>
        <v>Seafood</v>
      </c>
      <c r="F1757">
        <v>6</v>
      </c>
      <c r="G1757">
        <v>775</v>
      </c>
      <c r="H1757">
        <v>0</v>
      </c>
      <c r="I1757">
        <f>Table9[[#This Row],[quantity]]*Table9[[#This Row],[unitPrice]]*(1-Table9[[#This Row],[discount]]/100)</f>
        <v>4650</v>
      </c>
      <c r="J1757" t="str">
        <f>_xlfn.XLOOKUP(_xlfn.XLOOKUP(A1757,orders[orderID],orders[customerID],,0),customers__2[customerID],customers__2[companyName],,0)</f>
        <v>Berglunds snabbköp</v>
      </c>
      <c r="K1757" t="str">
        <f>_xlfn.XLOOKUP(Table9[[#This Row],[Company Name]],customers__2[companyName],customers__2[country],,0)</f>
        <v>Sweden</v>
      </c>
      <c r="L1757">
        <f>MONTH(Table9[[#This Row],[OrderDate ]])</f>
        <v>3</v>
      </c>
      <c r="M1757" t="str">
        <f>TEXT(Table9[[#This Row],[OrderDate ]],"mmm")</f>
        <v>Mar</v>
      </c>
      <c r="N1757">
        <f>YEAR(Table9[[#This Row],[OrderDate ]])</f>
        <v>2015</v>
      </c>
    </row>
    <row r="1758" spans="1:14" x14ac:dyDescent="0.3">
      <c r="A1758">
        <v>10925</v>
      </c>
      <c r="B1758" s="2">
        <f>_xlfn.XLOOKUP(Table9[[#This Row],[orderID]],orders[orderID],orders[orderDate],,0)</f>
        <v>42067</v>
      </c>
      <c r="C1758">
        <f>_xlfn.XLOOKUP(A1758,order_details[orderID],order_details[productID],,0)</f>
        <v>36</v>
      </c>
      <c r="D1758" t="str">
        <f>_xlfn.XLOOKUP(C1758,products[productID],products[productName],,0)</f>
        <v>Inlagd Sill</v>
      </c>
      <c r="E1758" t="str">
        <f>_xlfn.XLOOKUP(_xlfn.XLOOKUP(Table9[[#This Row],[ProductName ]],products[productName],products[categoryID],,0),categories[categoryID],categories[categoryName],,0)</f>
        <v>Seafood</v>
      </c>
      <c r="F1758">
        <v>25</v>
      </c>
      <c r="G1758">
        <v>19</v>
      </c>
      <c r="H1758">
        <v>15</v>
      </c>
      <c r="I1758">
        <f>Table9[[#This Row],[quantity]]*Table9[[#This Row],[unitPrice]]*(1-Table9[[#This Row],[discount]]/100)</f>
        <v>403.75</v>
      </c>
      <c r="J1758" t="str">
        <f>_xlfn.XLOOKUP(_xlfn.XLOOKUP(A1758,orders[orderID],orders[customerID],,0),customers__2[customerID],customers__2[companyName],,0)</f>
        <v>Hanari Carnes</v>
      </c>
      <c r="K1758" t="str">
        <f>_xlfn.XLOOKUP(Table9[[#This Row],[Company Name]],customers__2[companyName],customers__2[country],,0)</f>
        <v>Brazil</v>
      </c>
      <c r="L1758">
        <f>MONTH(Table9[[#This Row],[OrderDate ]])</f>
        <v>3</v>
      </c>
      <c r="M1758" t="str">
        <f>TEXT(Table9[[#This Row],[OrderDate ]],"mmm")</f>
        <v>Mar</v>
      </c>
      <c r="N1758">
        <f>YEAR(Table9[[#This Row],[OrderDate ]])</f>
        <v>2015</v>
      </c>
    </row>
    <row r="1759" spans="1:14" x14ac:dyDescent="0.3">
      <c r="A1759">
        <v>10925</v>
      </c>
      <c r="B1759" s="2">
        <f>_xlfn.XLOOKUP(Table9[[#This Row],[orderID]],orders[orderID],orders[orderDate],,0)</f>
        <v>42067</v>
      </c>
      <c r="C1759">
        <f>_xlfn.XLOOKUP(A1759,order_details[orderID],order_details[productID],,0)</f>
        <v>36</v>
      </c>
      <c r="D1759" t="str">
        <f>_xlfn.XLOOKUP(C1759,products[productID],products[productName],,0)</f>
        <v>Inlagd Sill</v>
      </c>
      <c r="E1759" t="str">
        <f>_xlfn.XLOOKUP(_xlfn.XLOOKUP(Table9[[#This Row],[ProductName ]],products[productName],products[categoryID],,0),categories[categoryID],categories[categoryName],,0)</f>
        <v>Seafood</v>
      </c>
      <c r="F1759">
        <v>12</v>
      </c>
      <c r="G1759">
        <v>7</v>
      </c>
      <c r="H1759">
        <v>15</v>
      </c>
      <c r="I1759">
        <f>Table9[[#This Row],[quantity]]*Table9[[#This Row],[unitPrice]]*(1-Table9[[#This Row],[discount]]/100)</f>
        <v>71.399999999999991</v>
      </c>
      <c r="J1759" t="str">
        <f>_xlfn.XLOOKUP(_xlfn.XLOOKUP(A1759,orders[orderID],orders[customerID],,0),customers__2[customerID],customers__2[companyName],,0)</f>
        <v>Hanari Carnes</v>
      </c>
      <c r="K1759" t="str">
        <f>_xlfn.XLOOKUP(Table9[[#This Row],[Company Name]],customers__2[companyName],customers__2[country],,0)</f>
        <v>Brazil</v>
      </c>
      <c r="L1759">
        <f>MONTH(Table9[[#This Row],[OrderDate ]])</f>
        <v>3</v>
      </c>
      <c r="M1759" t="str">
        <f>TEXT(Table9[[#This Row],[OrderDate ]],"mmm")</f>
        <v>Mar</v>
      </c>
      <c r="N1759">
        <f>YEAR(Table9[[#This Row],[OrderDate ]])</f>
        <v>2015</v>
      </c>
    </row>
    <row r="1760" spans="1:14" x14ac:dyDescent="0.3">
      <c r="A1760">
        <v>10926</v>
      </c>
      <c r="B1760" s="2">
        <f>_xlfn.XLOOKUP(Table9[[#This Row],[orderID]],orders[orderID],orders[orderDate],,0)</f>
        <v>42067</v>
      </c>
      <c r="C1760">
        <f>_xlfn.XLOOKUP(A1760,order_details[orderID],order_details[productID],,0)</f>
        <v>11</v>
      </c>
      <c r="D1760" t="str">
        <f>_xlfn.XLOOKUP(C1760,products[productID],products[productName],,0)</f>
        <v>Queso Cabrales</v>
      </c>
      <c r="E1760" t="str">
        <f>_xlfn.XLOOKUP(_xlfn.XLOOKUP(Table9[[#This Row],[ProductName ]],products[productName],products[categoryID],,0),categories[categoryID],categories[categoryName],,0)</f>
        <v>Dairy Products</v>
      </c>
      <c r="F1760">
        <v>2</v>
      </c>
      <c r="G1760">
        <v>21</v>
      </c>
      <c r="H1760">
        <v>0</v>
      </c>
      <c r="I1760">
        <f>Table9[[#This Row],[quantity]]*Table9[[#This Row],[unitPrice]]*(1-Table9[[#This Row],[discount]]/100)</f>
        <v>42</v>
      </c>
      <c r="J1760" t="str">
        <f>_xlfn.XLOOKUP(_xlfn.XLOOKUP(A1760,orders[orderID],orders[customerID],,0),customers__2[customerID],customers__2[companyName],,0)</f>
        <v>Ana Trujillo Emparedados y helados</v>
      </c>
      <c r="K1760" t="str">
        <f>_xlfn.XLOOKUP(Table9[[#This Row],[Company Name]],customers__2[companyName],customers__2[country],,0)</f>
        <v>Mexico</v>
      </c>
      <c r="L1760">
        <f>MONTH(Table9[[#This Row],[OrderDate ]])</f>
        <v>3</v>
      </c>
      <c r="M1760" t="str">
        <f>TEXT(Table9[[#This Row],[OrderDate ]],"mmm")</f>
        <v>Mar</v>
      </c>
      <c r="N1760">
        <f>YEAR(Table9[[#This Row],[OrderDate ]])</f>
        <v>2015</v>
      </c>
    </row>
    <row r="1761" spans="1:14" x14ac:dyDescent="0.3">
      <c r="A1761">
        <v>10926</v>
      </c>
      <c r="B1761" s="2">
        <f>_xlfn.XLOOKUP(Table9[[#This Row],[orderID]],orders[orderID],orders[orderDate],,0)</f>
        <v>42067</v>
      </c>
      <c r="C1761">
        <f>_xlfn.XLOOKUP(A1761,order_details[orderID],order_details[productID],,0)</f>
        <v>11</v>
      </c>
      <c r="D1761" t="str">
        <f>_xlfn.XLOOKUP(C1761,products[productID],products[productName],,0)</f>
        <v>Queso Cabrales</v>
      </c>
      <c r="E1761" t="str">
        <f>_xlfn.XLOOKUP(_xlfn.XLOOKUP(Table9[[#This Row],[ProductName ]],products[productName],products[categoryID],,0),categories[categoryID],categories[categoryName],,0)</f>
        <v>Dairy Products</v>
      </c>
      <c r="F1761">
        <v>10</v>
      </c>
      <c r="G1761">
        <v>6</v>
      </c>
      <c r="H1761">
        <v>0</v>
      </c>
      <c r="I1761">
        <f>Table9[[#This Row],[quantity]]*Table9[[#This Row],[unitPrice]]*(1-Table9[[#This Row],[discount]]/100)</f>
        <v>60</v>
      </c>
      <c r="J1761" t="str">
        <f>_xlfn.XLOOKUP(_xlfn.XLOOKUP(A1761,orders[orderID],orders[customerID],,0),customers__2[customerID],customers__2[companyName],,0)</f>
        <v>Ana Trujillo Emparedados y helados</v>
      </c>
      <c r="K1761" t="str">
        <f>_xlfn.XLOOKUP(Table9[[#This Row],[Company Name]],customers__2[companyName],customers__2[country],,0)</f>
        <v>Mexico</v>
      </c>
      <c r="L1761">
        <f>MONTH(Table9[[#This Row],[OrderDate ]])</f>
        <v>3</v>
      </c>
      <c r="M1761" t="str">
        <f>TEXT(Table9[[#This Row],[OrderDate ]],"mmm")</f>
        <v>Mar</v>
      </c>
      <c r="N1761">
        <f>YEAR(Table9[[#This Row],[OrderDate ]])</f>
        <v>2015</v>
      </c>
    </row>
    <row r="1762" spans="1:14" x14ac:dyDescent="0.3">
      <c r="A1762">
        <v>10926</v>
      </c>
      <c r="B1762" s="2">
        <f>_xlfn.XLOOKUP(Table9[[#This Row],[orderID]],orders[orderID],orders[orderDate],,0)</f>
        <v>42067</v>
      </c>
      <c r="C1762">
        <f>_xlfn.XLOOKUP(A1762,order_details[orderID],order_details[productID],,0)</f>
        <v>11</v>
      </c>
      <c r="D1762" t="str">
        <f>_xlfn.XLOOKUP(C1762,products[productID],products[productName],,0)</f>
        <v>Queso Cabrales</v>
      </c>
      <c r="E1762" t="str">
        <f>_xlfn.XLOOKUP(_xlfn.XLOOKUP(Table9[[#This Row],[ProductName ]],products[productName],products[categoryID],,0),categories[categoryID],categories[categoryName],,0)</f>
        <v>Dairy Products</v>
      </c>
      <c r="F1762">
        <v>7</v>
      </c>
      <c r="G1762">
        <v>92</v>
      </c>
      <c r="H1762">
        <v>0</v>
      </c>
      <c r="I1762">
        <f>Table9[[#This Row],[quantity]]*Table9[[#This Row],[unitPrice]]*(1-Table9[[#This Row],[discount]]/100)</f>
        <v>644</v>
      </c>
      <c r="J1762" t="str">
        <f>_xlfn.XLOOKUP(_xlfn.XLOOKUP(A1762,orders[orderID],orders[customerID],,0),customers__2[customerID],customers__2[companyName],,0)</f>
        <v>Ana Trujillo Emparedados y helados</v>
      </c>
      <c r="K1762" t="str">
        <f>_xlfn.XLOOKUP(Table9[[#This Row],[Company Name]],customers__2[companyName],customers__2[country],,0)</f>
        <v>Mexico</v>
      </c>
      <c r="L1762">
        <f>MONTH(Table9[[#This Row],[OrderDate ]])</f>
        <v>3</v>
      </c>
      <c r="M1762" t="str">
        <f>TEXT(Table9[[#This Row],[OrderDate ]],"mmm")</f>
        <v>Mar</v>
      </c>
      <c r="N1762">
        <f>YEAR(Table9[[#This Row],[OrderDate ]])</f>
        <v>2015</v>
      </c>
    </row>
    <row r="1763" spans="1:14" x14ac:dyDescent="0.3">
      <c r="A1763">
        <v>10926</v>
      </c>
      <c r="B1763" s="2">
        <f>_xlfn.XLOOKUP(Table9[[#This Row],[orderID]],orders[orderID],orders[orderDate],,0)</f>
        <v>42067</v>
      </c>
      <c r="C1763">
        <f>_xlfn.XLOOKUP(A1763,order_details[orderID],order_details[productID],,0)</f>
        <v>11</v>
      </c>
      <c r="D1763" t="str">
        <f>_xlfn.XLOOKUP(C1763,products[productID],products[productName],,0)</f>
        <v>Queso Cabrales</v>
      </c>
      <c r="E1763" t="str">
        <f>_xlfn.XLOOKUP(_xlfn.XLOOKUP(Table9[[#This Row],[ProductName ]],products[productName],products[categoryID],,0),categories[categoryID],categories[categoryName],,0)</f>
        <v>Dairy Products</v>
      </c>
      <c r="F1763">
        <v>10</v>
      </c>
      <c r="G1763">
        <v>348</v>
      </c>
      <c r="H1763">
        <v>0</v>
      </c>
      <c r="I1763">
        <f>Table9[[#This Row],[quantity]]*Table9[[#This Row],[unitPrice]]*(1-Table9[[#This Row],[discount]]/100)</f>
        <v>3480</v>
      </c>
      <c r="J1763" t="str">
        <f>_xlfn.XLOOKUP(_xlfn.XLOOKUP(A1763,orders[orderID],orders[customerID],,0),customers__2[customerID],customers__2[companyName],,0)</f>
        <v>Ana Trujillo Emparedados y helados</v>
      </c>
      <c r="K1763" t="str">
        <f>_xlfn.XLOOKUP(Table9[[#This Row],[Company Name]],customers__2[companyName],customers__2[country],,0)</f>
        <v>Mexico</v>
      </c>
      <c r="L1763">
        <f>MONTH(Table9[[#This Row],[OrderDate ]])</f>
        <v>3</v>
      </c>
      <c r="M1763" t="str">
        <f>TEXT(Table9[[#This Row],[OrderDate ]],"mmm")</f>
        <v>Mar</v>
      </c>
      <c r="N1763">
        <f>YEAR(Table9[[#This Row],[OrderDate ]])</f>
        <v>2015</v>
      </c>
    </row>
    <row r="1764" spans="1:14" x14ac:dyDescent="0.3">
      <c r="A1764">
        <v>10927</v>
      </c>
      <c r="B1764" s="2">
        <f>_xlfn.XLOOKUP(Table9[[#This Row],[orderID]],orders[orderID],orders[orderDate],,0)</f>
        <v>42068</v>
      </c>
      <c r="C1764">
        <f>_xlfn.XLOOKUP(A1764,order_details[orderID],order_details[productID],,0)</f>
        <v>20</v>
      </c>
      <c r="D1764" t="str">
        <f>_xlfn.XLOOKUP(C1764,products[productID],products[productName],,0)</f>
        <v>Sir Rodney's Marmalade</v>
      </c>
      <c r="E1764" t="str">
        <f>_xlfn.XLOOKUP(_xlfn.XLOOKUP(Table9[[#This Row],[ProductName ]],products[productName],products[categoryID],,0),categories[categoryID],categories[categoryName],,0)</f>
        <v>Confections</v>
      </c>
      <c r="F1764">
        <v>5</v>
      </c>
      <c r="G1764">
        <v>81</v>
      </c>
      <c r="H1764">
        <v>0</v>
      </c>
      <c r="I1764">
        <f>Table9[[#This Row],[quantity]]*Table9[[#This Row],[unitPrice]]*(1-Table9[[#This Row],[discount]]/100)</f>
        <v>405</v>
      </c>
      <c r="J1764" t="str">
        <f>_xlfn.XLOOKUP(_xlfn.XLOOKUP(A1764,orders[orderID],orders[customerID],,0),customers__2[customerID],customers__2[companyName],,0)</f>
        <v>La corne d'abondance</v>
      </c>
      <c r="K1764" t="str">
        <f>_xlfn.XLOOKUP(Table9[[#This Row],[Company Name]],customers__2[companyName],customers__2[country],,0)</f>
        <v>France</v>
      </c>
      <c r="L1764">
        <f>MONTH(Table9[[#This Row],[OrderDate ]])</f>
        <v>3</v>
      </c>
      <c r="M1764" t="str">
        <f>TEXT(Table9[[#This Row],[OrderDate ]],"mmm")</f>
        <v>Mar</v>
      </c>
      <c r="N1764">
        <f>YEAR(Table9[[#This Row],[OrderDate ]])</f>
        <v>2015</v>
      </c>
    </row>
    <row r="1765" spans="1:14" x14ac:dyDescent="0.3">
      <c r="A1765">
        <v>10927</v>
      </c>
      <c r="B1765" s="2">
        <f>_xlfn.XLOOKUP(Table9[[#This Row],[orderID]],orders[orderID],orders[orderDate],,0)</f>
        <v>42068</v>
      </c>
      <c r="C1765">
        <f>_xlfn.XLOOKUP(A1765,order_details[orderID],order_details[productID],,0)</f>
        <v>20</v>
      </c>
      <c r="D1765" t="str">
        <f>_xlfn.XLOOKUP(C1765,products[productID],products[productName],,0)</f>
        <v>Sir Rodney's Marmalade</v>
      </c>
      <c r="E1765" t="str">
        <f>_xlfn.XLOOKUP(_xlfn.XLOOKUP(Table9[[#This Row],[ProductName ]],products[productName],products[categoryID],,0),categories[categoryID],categories[categoryName],,0)</f>
        <v>Confections</v>
      </c>
      <c r="F1765">
        <v>5</v>
      </c>
      <c r="G1765">
        <v>7</v>
      </c>
      <c r="H1765">
        <v>0</v>
      </c>
      <c r="I1765">
        <f>Table9[[#This Row],[quantity]]*Table9[[#This Row],[unitPrice]]*(1-Table9[[#This Row],[discount]]/100)</f>
        <v>35</v>
      </c>
      <c r="J1765" t="str">
        <f>_xlfn.XLOOKUP(_xlfn.XLOOKUP(A1765,orders[orderID],orders[customerID],,0),customers__2[customerID],customers__2[companyName],,0)</f>
        <v>La corne d'abondance</v>
      </c>
      <c r="K1765" t="str">
        <f>_xlfn.XLOOKUP(Table9[[#This Row],[Company Name]],customers__2[companyName],customers__2[country],,0)</f>
        <v>France</v>
      </c>
      <c r="L1765">
        <f>MONTH(Table9[[#This Row],[OrderDate ]])</f>
        <v>3</v>
      </c>
      <c r="M1765" t="str">
        <f>TEXT(Table9[[#This Row],[OrderDate ]],"mmm")</f>
        <v>Mar</v>
      </c>
      <c r="N1765">
        <f>YEAR(Table9[[#This Row],[OrderDate ]])</f>
        <v>2015</v>
      </c>
    </row>
    <row r="1766" spans="1:14" x14ac:dyDescent="0.3">
      <c r="A1766">
        <v>10927</v>
      </c>
      <c r="B1766" s="2">
        <f>_xlfn.XLOOKUP(Table9[[#This Row],[orderID]],orders[orderID],orders[orderDate],,0)</f>
        <v>42068</v>
      </c>
      <c r="C1766">
        <f>_xlfn.XLOOKUP(A1766,order_details[orderID],order_details[productID],,0)</f>
        <v>20</v>
      </c>
      <c r="D1766" t="str">
        <f>_xlfn.XLOOKUP(C1766,products[productID],products[productName],,0)</f>
        <v>Sir Rodney's Marmalade</v>
      </c>
      <c r="E1766" t="str">
        <f>_xlfn.XLOOKUP(_xlfn.XLOOKUP(Table9[[#This Row],[ProductName ]],products[productName],products[categoryID],,0),categories[categoryID],categories[categoryName],,0)</f>
        <v>Confections</v>
      </c>
      <c r="F1766">
        <v>20</v>
      </c>
      <c r="G1766">
        <v>18</v>
      </c>
      <c r="H1766">
        <v>0</v>
      </c>
      <c r="I1766">
        <f>Table9[[#This Row],[quantity]]*Table9[[#This Row],[unitPrice]]*(1-Table9[[#This Row],[discount]]/100)</f>
        <v>360</v>
      </c>
      <c r="J1766" t="str">
        <f>_xlfn.XLOOKUP(_xlfn.XLOOKUP(A1766,orders[orderID],orders[customerID],,0),customers__2[customerID],customers__2[companyName],,0)</f>
        <v>La corne d'abondance</v>
      </c>
      <c r="K1766" t="str">
        <f>_xlfn.XLOOKUP(Table9[[#This Row],[Company Name]],customers__2[companyName],customers__2[country],,0)</f>
        <v>France</v>
      </c>
      <c r="L1766">
        <f>MONTH(Table9[[#This Row],[OrderDate ]])</f>
        <v>3</v>
      </c>
      <c r="M1766" t="str">
        <f>TEXT(Table9[[#This Row],[OrderDate ]],"mmm")</f>
        <v>Mar</v>
      </c>
      <c r="N1766">
        <f>YEAR(Table9[[#This Row],[OrderDate ]])</f>
        <v>2015</v>
      </c>
    </row>
    <row r="1767" spans="1:14" x14ac:dyDescent="0.3">
      <c r="A1767">
        <v>10928</v>
      </c>
      <c r="B1767" s="2">
        <f>_xlfn.XLOOKUP(Table9[[#This Row],[orderID]],orders[orderID],orders[orderDate],,0)</f>
        <v>42068</v>
      </c>
      <c r="C1767">
        <f>_xlfn.XLOOKUP(A1767,order_details[orderID],order_details[productID],,0)</f>
        <v>47</v>
      </c>
      <c r="D1767" t="str">
        <f>_xlfn.XLOOKUP(C1767,products[productID],products[productName],,0)</f>
        <v>Zaanse koeken</v>
      </c>
      <c r="E1767" t="str">
        <f>_xlfn.XLOOKUP(_xlfn.XLOOKUP(Table9[[#This Row],[ProductName ]],products[productName],products[categoryID],,0),categories[categoryID],categories[categoryName],,0)</f>
        <v>Confections</v>
      </c>
      <c r="F1767">
        <v>5</v>
      </c>
      <c r="G1767">
        <v>95</v>
      </c>
      <c r="H1767">
        <v>0</v>
      </c>
      <c r="I1767">
        <f>Table9[[#This Row],[quantity]]*Table9[[#This Row],[unitPrice]]*(1-Table9[[#This Row],[discount]]/100)</f>
        <v>475</v>
      </c>
      <c r="J1767" t="str">
        <f>_xlfn.XLOOKUP(_xlfn.XLOOKUP(A1767,orders[orderID],orders[customerID],,0),customers__2[customerID],customers__2[companyName],,0)</f>
        <v>Galería del gastrónomo</v>
      </c>
      <c r="K1767" t="str">
        <f>_xlfn.XLOOKUP(Table9[[#This Row],[Company Name]],customers__2[companyName],customers__2[country],,0)</f>
        <v>Spain</v>
      </c>
      <c r="L1767">
        <f>MONTH(Table9[[#This Row],[OrderDate ]])</f>
        <v>3</v>
      </c>
      <c r="M1767" t="str">
        <f>TEXT(Table9[[#This Row],[OrderDate ]],"mmm")</f>
        <v>Mar</v>
      </c>
      <c r="N1767">
        <f>YEAR(Table9[[#This Row],[OrderDate ]])</f>
        <v>2015</v>
      </c>
    </row>
    <row r="1768" spans="1:14" x14ac:dyDescent="0.3">
      <c r="A1768">
        <v>10928</v>
      </c>
      <c r="B1768" s="2">
        <f>_xlfn.XLOOKUP(Table9[[#This Row],[orderID]],orders[orderID],orders[orderDate],,0)</f>
        <v>42068</v>
      </c>
      <c r="C1768">
        <f>_xlfn.XLOOKUP(A1768,order_details[orderID],order_details[productID],,0)</f>
        <v>47</v>
      </c>
      <c r="D1768" t="str">
        <f>_xlfn.XLOOKUP(C1768,products[productID],products[productName],,0)</f>
        <v>Zaanse koeken</v>
      </c>
      <c r="E1768" t="str">
        <f>_xlfn.XLOOKUP(_xlfn.XLOOKUP(Table9[[#This Row],[ProductName ]],products[productName],products[categoryID],,0),categories[categoryID],categories[categoryName],,0)</f>
        <v>Confections</v>
      </c>
      <c r="F1768">
        <v>5</v>
      </c>
      <c r="G1768">
        <v>18</v>
      </c>
      <c r="H1768">
        <v>0</v>
      </c>
      <c r="I1768">
        <f>Table9[[#This Row],[quantity]]*Table9[[#This Row],[unitPrice]]*(1-Table9[[#This Row],[discount]]/100)</f>
        <v>90</v>
      </c>
      <c r="J1768" t="str">
        <f>_xlfn.XLOOKUP(_xlfn.XLOOKUP(A1768,orders[orderID],orders[customerID],,0),customers__2[customerID],customers__2[companyName],,0)</f>
        <v>Galería del gastrónomo</v>
      </c>
      <c r="K1768" t="str">
        <f>_xlfn.XLOOKUP(Table9[[#This Row],[Company Name]],customers__2[companyName],customers__2[country],,0)</f>
        <v>Spain</v>
      </c>
      <c r="L1768">
        <f>MONTH(Table9[[#This Row],[OrderDate ]])</f>
        <v>3</v>
      </c>
      <c r="M1768" t="str">
        <f>TEXT(Table9[[#This Row],[OrderDate ]],"mmm")</f>
        <v>Mar</v>
      </c>
      <c r="N1768">
        <f>YEAR(Table9[[#This Row],[OrderDate ]])</f>
        <v>2015</v>
      </c>
    </row>
    <row r="1769" spans="1:14" x14ac:dyDescent="0.3">
      <c r="A1769">
        <v>10929</v>
      </c>
      <c r="B1769" s="2">
        <f>_xlfn.XLOOKUP(Table9[[#This Row],[orderID]],orders[orderID],orders[orderDate],,0)</f>
        <v>42068</v>
      </c>
      <c r="C1769">
        <f>_xlfn.XLOOKUP(A1769,order_details[orderID],order_details[productID],,0)</f>
        <v>21</v>
      </c>
      <c r="D1769" t="str">
        <f>_xlfn.XLOOKUP(C1769,products[productID],products[productName],,0)</f>
        <v>Sir Rodney's Scones</v>
      </c>
      <c r="E1769" t="str">
        <f>_xlfn.XLOOKUP(_xlfn.XLOOKUP(Table9[[#This Row],[ProductName ]],products[productName],products[categoryID],,0),categories[categoryID],categories[categoryName],,0)</f>
        <v>Confections</v>
      </c>
      <c r="F1769">
        <v>60</v>
      </c>
      <c r="G1769">
        <v>10</v>
      </c>
      <c r="H1769">
        <v>0</v>
      </c>
      <c r="I1769">
        <f>Table9[[#This Row],[quantity]]*Table9[[#This Row],[unitPrice]]*(1-Table9[[#This Row],[discount]]/100)</f>
        <v>600</v>
      </c>
      <c r="J1769" t="str">
        <f>_xlfn.XLOOKUP(_xlfn.XLOOKUP(A1769,orders[orderID],orders[customerID],,0),customers__2[customerID],customers__2[companyName],,0)</f>
        <v>Frankenversand</v>
      </c>
      <c r="K1769" t="str">
        <f>_xlfn.XLOOKUP(Table9[[#This Row],[Company Name]],customers__2[companyName],customers__2[country],,0)</f>
        <v>Germany</v>
      </c>
      <c r="L1769">
        <f>MONTH(Table9[[#This Row],[OrderDate ]])</f>
        <v>3</v>
      </c>
      <c r="M1769" t="str">
        <f>TEXT(Table9[[#This Row],[OrderDate ]],"mmm")</f>
        <v>Mar</v>
      </c>
      <c r="N1769">
        <f>YEAR(Table9[[#This Row],[OrderDate ]])</f>
        <v>2015</v>
      </c>
    </row>
    <row r="1770" spans="1:14" x14ac:dyDescent="0.3">
      <c r="A1770">
        <v>10929</v>
      </c>
      <c r="B1770" s="2">
        <f>_xlfn.XLOOKUP(Table9[[#This Row],[orderID]],orders[orderID],orders[orderDate],,0)</f>
        <v>42068</v>
      </c>
      <c r="C1770">
        <f>_xlfn.XLOOKUP(A1770,order_details[orderID],order_details[productID],,0)</f>
        <v>21</v>
      </c>
      <c r="D1770" t="str">
        <f>_xlfn.XLOOKUP(C1770,products[productID],products[productName],,0)</f>
        <v>Sir Rodney's Scones</v>
      </c>
      <c r="E1770" t="str">
        <f>_xlfn.XLOOKUP(_xlfn.XLOOKUP(Table9[[#This Row],[ProductName ]],products[productName],products[categoryID],,0),categories[categoryID],categories[categoryName],,0)</f>
        <v>Confections</v>
      </c>
      <c r="F1770">
        <v>49</v>
      </c>
      <c r="G1770">
        <v>775</v>
      </c>
      <c r="H1770">
        <v>0</v>
      </c>
      <c r="I1770">
        <f>Table9[[#This Row],[quantity]]*Table9[[#This Row],[unitPrice]]*(1-Table9[[#This Row],[discount]]/100)</f>
        <v>37975</v>
      </c>
      <c r="J1770" t="str">
        <f>_xlfn.XLOOKUP(_xlfn.XLOOKUP(A1770,orders[orderID],orders[customerID],,0),customers__2[customerID],customers__2[companyName],,0)</f>
        <v>Frankenversand</v>
      </c>
      <c r="K1770" t="str">
        <f>_xlfn.XLOOKUP(Table9[[#This Row],[Company Name]],customers__2[companyName],customers__2[country],,0)</f>
        <v>Germany</v>
      </c>
      <c r="L1770">
        <f>MONTH(Table9[[#This Row],[OrderDate ]])</f>
        <v>3</v>
      </c>
      <c r="M1770" t="str">
        <f>TEXT(Table9[[#This Row],[OrderDate ]],"mmm")</f>
        <v>Mar</v>
      </c>
      <c r="N1770">
        <f>YEAR(Table9[[#This Row],[OrderDate ]])</f>
        <v>2015</v>
      </c>
    </row>
    <row r="1771" spans="1:14" x14ac:dyDescent="0.3">
      <c r="A1771">
        <v>10929</v>
      </c>
      <c r="B1771" s="2">
        <f>_xlfn.XLOOKUP(Table9[[#This Row],[orderID]],orders[orderID],orders[orderDate],,0)</f>
        <v>42068</v>
      </c>
      <c r="C1771">
        <f>_xlfn.XLOOKUP(A1771,order_details[orderID],order_details[productID],,0)</f>
        <v>21</v>
      </c>
      <c r="D1771" t="str">
        <f>_xlfn.XLOOKUP(C1771,products[productID],products[productName],,0)</f>
        <v>Sir Rodney's Scones</v>
      </c>
      <c r="E1771" t="str">
        <f>_xlfn.XLOOKUP(_xlfn.XLOOKUP(Table9[[#This Row],[ProductName ]],products[productName],products[categoryID],,0),categories[categoryID],categories[categoryName],,0)</f>
        <v>Confections</v>
      </c>
      <c r="F1771">
        <v>15</v>
      </c>
      <c r="G1771">
        <v>13</v>
      </c>
      <c r="H1771">
        <v>0</v>
      </c>
      <c r="I1771">
        <f>Table9[[#This Row],[quantity]]*Table9[[#This Row],[unitPrice]]*(1-Table9[[#This Row],[discount]]/100)</f>
        <v>195</v>
      </c>
      <c r="J1771" t="str">
        <f>_xlfn.XLOOKUP(_xlfn.XLOOKUP(A1771,orders[orderID],orders[customerID],,0),customers__2[customerID],customers__2[companyName],,0)</f>
        <v>Frankenversand</v>
      </c>
      <c r="K1771" t="str">
        <f>_xlfn.XLOOKUP(Table9[[#This Row],[Company Name]],customers__2[companyName],customers__2[country],,0)</f>
        <v>Germany</v>
      </c>
      <c r="L1771">
        <f>MONTH(Table9[[#This Row],[OrderDate ]])</f>
        <v>3</v>
      </c>
      <c r="M1771" t="str">
        <f>TEXT(Table9[[#This Row],[OrderDate ]],"mmm")</f>
        <v>Mar</v>
      </c>
      <c r="N1771">
        <f>YEAR(Table9[[#This Row],[OrderDate ]])</f>
        <v>2015</v>
      </c>
    </row>
    <row r="1772" spans="1:14" x14ac:dyDescent="0.3">
      <c r="A1772">
        <v>10930</v>
      </c>
      <c r="B1772" s="2">
        <f>_xlfn.XLOOKUP(Table9[[#This Row],[orderID]],orders[orderID],orders[orderDate],,0)</f>
        <v>42069</v>
      </c>
      <c r="C1772">
        <f>_xlfn.XLOOKUP(A1772,order_details[orderID],order_details[productID],,0)</f>
        <v>21</v>
      </c>
      <c r="D1772" t="str">
        <f>_xlfn.XLOOKUP(C1772,products[productID],products[productName],,0)</f>
        <v>Sir Rodney's Scones</v>
      </c>
      <c r="E1772" t="str">
        <f>_xlfn.XLOOKUP(_xlfn.XLOOKUP(Table9[[#This Row],[ProductName ]],products[productName],products[categoryID],,0),categories[categoryID],categories[categoryName],,0)</f>
        <v>Confections</v>
      </c>
      <c r="F1772">
        <v>36</v>
      </c>
      <c r="G1772">
        <v>10</v>
      </c>
      <c r="H1772">
        <v>0</v>
      </c>
      <c r="I1772">
        <f>Table9[[#This Row],[quantity]]*Table9[[#This Row],[unitPrice]]*(1-Table9[[#This Row],[discount]]/100)</f>
        <v>360</v>
      </c>
      <c r="J1772" t="str">
        <f>_xlfn.XLOOKUP(_xlfn.XLOOKUP(A1772,orders[orderID],orders[customerID],,0),customers__2[customerID],customers__2[companyName],,0)</f>
        <v>Suprêmes délices</v>
      </c>
      <c r="K1772" t="str">
        <f>_xlfn.XLOOKUP(Table9[[#This Row],[Company Name]],customers__2[companyName],customers__2[country],,0)</f>
        <v>Belgium</v>
      </c>
      <c r="L1772">
        <f>MONTH(Table9[[#This Row],[OrderDate ]])</f>
        <v>3</v>
      </c>
      <c r="M1772" t="str">
        <f>TEXT(Table9[[#This Row],[OrderDate ]],"mmm")</f>
        <v>Mar</v>
      </c>
      <c r="N1772">
        <f>YEAR(Table9[[#This Row],[OrderDate ]])</f>
        <v>2015</v>
      </c>
    </row>
    <row r="1773" spans="1:14" x14ac:dyDescent="0.3">
      <c r="A1773">
        <v>10930</v>
      </c>
      <c r="B1773" s="2">
        <f>_xlfn.XLOOKUP(Table9[[#This Row],[orderID]],orders[orderID],orders[orderDate],,0)</f>
        <v>42069</v>
      </c>
      <c r="C1773">
        <f>_xlfn.XLOOKUP(A1773,order_details[orderID],order_details[productID],,0)</f>
        <v>21</v>
      </c>
      <c r="D1773" t="str">
        <f>_xlfn.XLOOKUP(C1773,products[productID],products[productName],,0)</f>
        <v>Sir Rodney's Scones</v>
      </c>
      <c r="E1773" t="str">
        <f>_xlfn.XLOOKUP(_xlfn.XLOOKUP(Table9[[#This Row],[ProductName ]],products[productName],products[categoryID],,0),categories[categoryID],categories[categoryName],,0)</f>
        <v>Confections</v>
      </c>
      <c r="F1773">
        <v>25</v>
      </c>
      <c r="G1773">
        <v>439</v>
      </c>
      <c r="H1773">
        <v>0</v>
      </c>
      <c r="I1773">
        <f>Table9[[#This Row],[quantity]]*Table9[[#This Row],[unitPrice]]*(1-Table9[[#This Row],[discount]]/100)</f>
        <v>10975</v>
      </c>
      <c r="J1773" t="str">
        <f>_xlfn.XLOOKUP(_xlfn.XLOOKUP(A1773,orders[orderID],orders[customerID],,0),customers__2[customerID],customers__2[companyName],,0)</f>
        <v>Suprêmes délices</v>
      </c>
      <c r="K1773" t="str">
        <f>_xlfn.XLOOKUP(Table9[[#This Row],[Company Name]],customers__2[companyName],customers__2[country],,0)</f>
        <v>Belgium</v>
      </c>
      <c r="L1773">
        <f>MONTH(Table9[[#This Row],[OrderDate ]])</f>
        <v>3</v>
      </c>
      <c r="M1773" t="str">
        <f>TEXT(Table9[[#This Row],[OrderDate ]],"mmm")</f>
        <v>Mar</v>
      </c>
      <c r="N1773">
        <f>YEAR(Table9[[#This Row],[OrderDate ]])</f>
        <v>2015</v>
      </c>
    </row>
    <row r="1774" spans="1:14" x14ac:dyDescent="0.3">
      <c r="A1774">
        <v>10930</v>
      </c>
      <c r="B1774" s="2">
        <f>_xlfn.XLOOKUP(Table9[[#This Row],[orderID]],orders[orderID],orders[orderDate],,0)</f>
        <v>42069</v>
      </c>
      <c r="C1774">
        <f>_xlfn.XLOOKUP(A1774,order_details[orderID],order_details[productID],,0)</f>
        <v>21</v>
      </c>
      <c r="D1774" t="str">
        <f>_xlfn.XLOOKUP(C1774,products[productID],products[productName],,0)</f>
        <v>Sir Rodney's Scones</v>
      </c>
      <c r="E1774" t="str">
        <f>_xlfn.XLOOKUP(_xlfn.XLOOKUP(Table9[[#This Row],[ProductName ]],products[productName],products[categoryID],,0),categories[categoryID],categories[categoryName],,0)</f>
        <v>Confections</v>
      </c>
      <c r="F1774">
        <v>25</v>
      </c>
      <c r="G1774">
        <v>24</v>
      </c>
      <c r="H1774">
        <v>2</v>
      </c>
      <c r="I1774">
        <f>Table9[[#This Row],[quantity]]*Table9[[#This Row],[unitPrice]]*(1-Table9[[#This Row],[discount]]/100)</f>
        <v>588</v>
      </c>
      <c r="J1774" t="str">
        <f>_xlfn.XLOOKUP(_xlfn.XLOOKUP(A1774,orders[orderID],orders[customerID],,0),customers__2[customerID],customers__2[companyName],,0)</f>
        <v>Suprêmes délices</v>
      </c>
      <c r="K1774" t="str">
        <f>_xlfn.XLOOKUP(Table9[[#This Row],[Company Name]],customers__2[companyName],customers__2[country],,0)</f>
        <v>Belgium</v>
      </c>
      <c r="L1774">
        <f>MONTH(Table9[[#This Row],[OrderDate ]])</f>
        <v>3</v>
      </c>
      <c r="M1774" t="str">
        <f>TEXT(Table9[[#This Row],[OrderDate ]],"mmm")</f>
        <v>Mar</v>
      </c>
      <c r="N1774">
        <f>YEAR(Table9[[#This Row],[OrderDate ]])</f>
        <v>2015</v>
      </c>
    </row>
    <row r="1775" spans="1:14" x14ac:dyDescent="0.3">
      <c r="A1775">
        <v>10930</v>
      </c>
      <c r="B1775" s="2">
        <f>_xlfn.XLOOKUP(Table9[[#This Row],[orderID]],orders[orderID],orders[orderDate],,0)</f>
        <v>42069</v>
      </c>
      <c r="C1775">
        <f>_xlfn.XLOOKUP(A1775,order_details[orderID],order_details[productID],,0)</f>
        <v>21</v>
      </c>
      <c r="D1775" t="str">
        <f>_xlfn.XLOOKUP(C1775,products[productID],products[productName],,0)</f>
        <v>Sir Rodney's Scones</v>
      </c>
      <c r="E1775" t="str">
        <f>_xlfn.XLOOKUP(_xlfn.XLOOKUP(Table9[[#This Row],[ProductName ]],products[productName],products[categoryID],,0),categories[categoryID],categories[categoryName],,0)</f>
        <v>Confections</v>
      </c>
      <c r="F1775">
        <v>30</v>
      </c>
      <c r="G1775">
        <v>1325</v>
      </c>
      <c r="H1775">
        <v>2</v>
      </c>
      <c r="I1775">
        <f>Table9[[#This Row],[quantity]]*Table9[[#This Row],[unitPrice]]*(1-Table9[[#This Row],[discount]]/100)</f>
        <v>38955</v>
      </c>
      <c r="J1775" t="str">
        <f>_xlfn.XLOOKUP(_xlfn.XLOOKUP(A1775,orders[orderID],orders[customerID],,0),customers__2[customerID],customers__2[companyName],,0)</f>
        <v>Suprêmes délices</v>
      </c>
      <c r="K1775" t="str">
        <f>_xlfn.XLOOKUP(Table9[[#This Row],[Company Name]],customers__2[companyName],customers__2[country],,0)</f>
        <v>Belgium</v>
      </c>
      <c r="L1775">
        <f>MONTH(Table9[[#This Row],[OrderDate ]])</f>
        <v>3</v>
      </c>
      <c r="M1775" t="str">
        <f>TEXT(Table9[[#This Row],[OrderDate ]],"mmm")</f>
        <v>Mar</v>
      </c>
      <c r="N1775">
        <f>YEAR(Table9[[#This Row],[OrderDate ]])</f>
        <v>2015</v>
      </c>
    </row>
    <row r="1776" spans="1:14" x14ac:dyDescent="0.3">
      <c r="A1776">
        <v>10931</v>
      </c>
      <c r="B1776" s="2">
        <f>_xlfn.XLOOKUP(Table9[[#This Row],[orderID]],orders[orderID],orders[orderDate],,0)</f>
        <v>42069</v>
      </c>
      <c r="C1776">
        <f>_xlfn.XLOOKUP(A1776,order_details[orderID],order_details[productID],,0)</f>
        <v>13</v>
      </c>
      <c r="D1776" t="str">
        <f>_xlfn.XLOOKUP(C1776,products[productID],products[productName],,0)</f>
        <v>Konbu</v>
      </c>
      <c r="E1776" t="str">
        <f>_xlfn.XLOOKUP(_xlfn.XLOOKUP(Table9[[#This Row],[ProductName ]],products[productName],products[categoryID],,0),categories[categoryID],categories[categoryName],,0)</f>
        <v>Seafood</v>
      </c>
      <c r="F1776">
        <v>42</v>
      </c>
      <c r="G1776">
        <v>6</v>
      </c>
      <c r="H1776">
        <v>15</v>
      </c>
      <c r="I1776">
        <f>Table9[[#This Row],[quantity]]*Table9[[#This Row],[unitPrice]]*(1-Table9[[#This Row],[discount]]/100)</f>
        <v>214.2</v>
      </c>
      <c r="J1776" t="str">
        <f>_xlfn.XLOOKUP(_xlfn.XLOOKUP(A1776,orders[orderID],orders[customerID],,0),customers__2[customerID],customers__2[companyName],,0)</f>
        <v>Richter Supermarkt</v>
      </c>
      <c r="K1776" t="str">
        <f>_xlfn.XLOOKUP(Table9[[#This Row],[Company Name]],customers__2[companyName],customers__2[country],,0)</f>
        <v>Switzerland</v>
      </c>
      <c r="L1776">
        <f>MONTH(Table9[[#This Row],[OrderDate ]])</f>
        <v>3</v>
      </c>
      <c r="M1776" t="str">
        <f>TEXT(Table9[[#This Row],[OrderDate ]],"mmm")</f>
        <v>Mar</v>
      </c>
      <c r="N1776">
        <f>YEAR(Table9[[#This Row],[OrderDate ]])</f>
        <v>2015</v>
      </c>
    </row>
    <row r="1777" spans="1:14" x14ac:dyDescent="0.3">
      <c r="A1777">
        <v>10931</v>
      </c>
      <c r="B1777" s="2">
        <f>_xlfn.XLOOKUP(Table9[[#This Row],[orderID]],orders[orderID],orders[orderDate],,0)</f>
        <v>42069</v>
      </c>
      <c r="C1777">
        <f>_xlfn.XLOOKUP(A1777,order_details[orderID],order_details[productID],,0)</f>
        <v>13</v>
      </c>
      <c r="D1777" t="str">
        <f>_xlfn.XLOOKUP(C1777,products[productID],products[productName],,0)</f>
        <v>Konbu</v>
      </c>
      <c r="E1777" t="str">
        <f>_xlfn.XLOOKUP(_xlfn.XLOOKUP(Table9[[#This Row],[ProductName ]],products[productName],products[categoryID],,0),categories[categoryID],categories[categoryName],,0)</f>
        <v>Seafood</v>
      </c>
      <c r="F1777">
        <v>30</v>
      </c>
      <c r="G1777">
        <v>195</v>
      </c>
      <c r="H1777">
        <v>0</v>
      </c>
      <c r="I1777">
        <f>Table9[[#This Row],[quantity]]*Table9[[#This Row],[unitPrice]]*(1-Table9[[#This Row],[discount]]/100)</f>
        <v>5850</v>
      </c>
      <c r="J1777" t="str">
        <f>_xlfn.XLOOKUP(_xlfn.XLOOKUP(A1777,orders[orderID],orders[customerID],,0),customers__2[customerID],customers__2[companyName],,0)</f>
        <v>Richter Supermarkt</v>
      </c>
      <c r="K1777" t="str">
        <f>_xlfn.XLOOKUP(Table9[[#This Row],[Company Name]],customers__2[companyName],customers__2[country],,0)</f>
        <v>Switzerland</v>
      </c>
      <c r="L1777">
        <f>MONTH(Table9[[#This Row],[OrderDate ]])</f>
        <v>3</v>
      </c>
      <c r="M1777" t="str">
        <f>TEXT(Table9[[#This Row],[OrderDate ]],"mmm")</f>
        <v>Mar</v>
      </c>
      <c r="N1777">
        <f>YEAR(Table9[[#This Row],[OrderDate ]])</f>
        <v>2015</v>
      </c>
    </row>
    <row r="1778" spans="1:14" x14ac:dyDescent="0.3">
      <c r="A1778">
        <v>10932</v>
      </c>
      <c r="B1778" s="2">
        <f>_xlfn.XLOOKUP(Table9[[#This Row],[orderID]],orders[orderID],orders[orderDate],,0)</f>
        <v>42069</v>
      </c>
      <c r="C1778">
        <f>_xlfn.XLOOKUP(A1778,order_details[orderID],order_details[productID],,0)</f>
        <v>16</v>
      </c>
      <c r="D1778" t="str">
        <f>_xlfn.XLOOKUP(C1778,products[productID],products[productName],,0)</f>
        <v>Pavlova</v>
      </c>
      <c r="E1778" t="str">
        <f>_xlfn.XLOOKUP(_xlfn.XLOOKUP(Table9[[#This Row],[ProductName ]],products[productName],products[categoryID],,0),categories[categoryID],categories[categoryName],,0)</f>
        <v>Confections</v>
      </c>
      <c r="F1778">
        <v>30</v>
      </c>
      <c r="G1778">
        <v>1745</v>
      </c>
      <c r="H1778">
        <v>1</v>
      </c>
      <c r="I1778">
        <f>Table9[[#This Row],[quantity]]*Table9[[#This Row],[unitPrice]]*(1-Table9[[#This Row],[discount]]/100)</f>
        <v>51826.5</v>
      </c>
      <c r="J1778" t="str">
        <f>_xlfn.XLOOKUP(_xlfn.XLOOKUP(A1778,orders[orderID],orders[customerID],,0),customers__2[customerID],customers__2[companyName],,0)</f>
        <v>Bon app'</v>
      </c>
      <c r="K1778" t="str">
        <f>_xlfn.XLOOKUP(Table9[[#This Row],[Company Name]],customers__2[companyName],customers__2[country],,0)</f>
        <v>France</v>
      </c>
      <c r="L1778">
        <f>MONTH(Table9[[#This Row],[OrderDate ]])</f>
        <v>3</v>
      </c>
      <c r="M1778" t="str">
        <f>TEXT(Table9[[#This Row],[OrderDate ]],"mmm")</f>
        <v>Mar</v>
      </c>
      <c r="N1778">
        <f>YEAR(Table9[[#This Row],[OrderDate ]])</f>
        <v>2015</v>
      </c>
    </row>
    <row r="1779" spans="1:14" x14ac:dyDescent="0.3">
      <c r="A1779">
        <v>10932</v>
      </c>
      <c r="B1779" s="2">
        <f>_xlfn.XLOOKUP(Table9[[#This Row],[orderID]],orders[orderID],orders[orderDate],,0)</f>
        <v>42069</v>
      </c>
      <c r="C1779">
        <f>_xlfn.XLOOKUP(A1779,order_details[orderID],order_details[productID],,0)</f>
        <v>16</v>
      </c>
      <c r="D1779" t="str">
        <f>_xlfn.XLOOKUP(C1779,products[productID],products[productName],,0)</f>
        <v>Pavlova</v>
      </c>
      <c r="E1779" t="str">
        <f>_xlfn.XLOOKUP(_xlfn.XLOOKUP(Table9[[#This Row],[ProductName ]],products[productName],products[categoryID],,0),categories[categoryID],categories[categoryName],,0)</f>
        <v>Confections</v>
      </c>
      <c r="F1779">
        <v>14</v>
      </c>
      <c r="G1779">
        <v>493</v>
      </c>
      <c r="H1779">
        <v>1</v>
      </c>
      <c r="I1779">
        <f>Table9[[#This Row],[quantity]]*Table9[[#This Row],[unitPrice]]*(1-Table9[[#This Row],[discount]]/100)</f>
        <v>6832.98</v>
      </c>
      <c r="J1779" t="str">
        <f>_xlfn.XLOOKUP(_xlfn.XLOOKUP(A1779,orders[orderID],orders[customerID],,0),customers__2[customerID],customers__2[companyName],,0)</f>
        <v>Bon app'</v>
      </c>
      <c r="K1779" t="str">
        <f>_xlfn.XLOOKUP(Table9[[#This Row],[Company Name]],customers__2[companyName],customers__2[country],,0)</f>
        <v>France</v>
      </c>
      <c r="L1779">
        <f>MONTH(Table9[[#This Row],[OrderDate ]])</f>
        <v>3</v>
      </c>
      <c r="M1779" t="str">
        <f>TEXT(Table9[[#This Row],[OrderDate ]],"mmm")</f>
        <v>Mar</v>
      </c>
      <c r="N1779">
        <f>YEAR(Table9[[#This Row],[OrderDate ]])</f>
        <v>2015</v>
      </c>
    </row>
    <row r="1780" spans="1:14" x14ac:dyDescent="0.3">
      <c r="A1780">
        <v>10932</v>
      </c>
      <c r="B1780" s="2">
        <f>_xlfn.XLOOKUP(Table9[[#This Row],[orderID]],orders[orderID],orders[orderDate],,0)</f>
        <v>42069</v>
      </c>
      <c r="C1780">
        <f>_xlfn.XLOOKUP(A1780,order_details[orderID],order_details[productID],,0)</f>
        <v>16</v>
      </c>
      <c r="D1780" t="str">
        <f>_xlfn.XLOOKUP(C1780,products[productID],products[productName],,0)</f>
        <v>Pavlova</v>
      </c>
      <c r="E1780" t="str">
        <f>_xlfn.XLOOKUP(_xlfn.XLOOKUP(Table9[[#This Row],[ProductName ]],products[productName],products[categoryID],,0),categories[categoryID],categories[categoryName],,0)</f>
        <v>Confections</v>
      </c>
      <c r="F1780">
        <v>16</v>
      </c>
      <c r="G1780">
        <v>348</v>
      </c>
      <c r="H1780">
        <v>0</v>
      </c>
      <c r="I1780">
        <f>Table9[[#This Row],[quantity]]*Table9[[#This Row],[unitPrice]]*(1-Table9[[#This Row],[discount]]/100)</f>
        <v>5568</v>
      </c>
      <c r="J1780" t="str">
        <f>_xlfn.XLOOKUP(_xlfn.XLOOKUP(A1780,orders[orderID],orders[customerID],,0),customers__2[customerID],customers__2[companyName],,0)</f>
        <v>Bon app'</v>
      </c>
      <c r="K1780" t="str">
        <f>_xlfn.XLOOKUP(Table9[[#This Row],[Company Name]],customers__2[companyName],customers__2[country],,0)</f>
        <v>France</v>
      </c>
      <c r="L1780">
        <f>MONTH(Table9[[#This Row],[OrderDate ]])</f>
        <v>3</v>
      </c>
      <c r="M1780" t="str">
        <f>TEXT(Table9[[#This Row],[OrderDate ]],"mmm")</f>
        <v>Mar</v>
      </c>
      <c r="N1780">
        <f>YEAR(Table9[[#This Row],[OrderDate ]])</f>
        <v>2015</v>
      </c>
    </row>
    <row r="1781" spans="1:14" x14ac:dyDescent="0.3">
      <c r="A1781">
        <v>10932</v>
      </c>
      <c r="B1781" s="2">
        <f>_xlfn.XLOOKUP(Table9[[#This Row],[orderID]],orders[orderID],orders[orderDate],,0)</f>
        <v>42069</v>
      </c>
      <c r="C1781">
        <f>_xlfn.XLOOKUP(A1781,order_details[orderID],order_details[productID],,0)</f>
        <v>16</v>
      </c>
      <c r="D1781" t="str">
        <f>_xlfn.XLOOKUP(C1781,products[productID],products[productName],,0)</f>
        <v>Pavlova</v>
      </c>
      <c r="E1781" t="str">
        <f>_xlfn.XLOOKUP(_xlfn.XLOOKUP(Table9[[#This Row],[ProductName ]],products[productName],products[categoryID],,0),categories[categoryID],categories[categoryName],,0)</f>
        <v>Confections</v>
      </c>
      <c r="F1781">
        <v>20</v>
      </c>
      <c r="G1781">
        <v>775</v>
      </c>
      <c r="H1781">
        <v>1</v>
      </c>
      <c r="I1781">
        <f>Table9[[#This Row],[quantity]]*Table9[[#This Row],[unitPrice]]*(1-Table9[[#This Row],[discount]]/100)</f>
        <v>15345</v>
      </c>
      <c r="J1781" t="str">
        <f>_xlfn.XLOOKUP(_xlfn.XLOOKUP(A1781,orders[orderID],orders[customerID],,0),customers__2[customerID],customers__2[companyName],,0)</f>
        <v>Bon app'</v>
      </c>
      <c r="K1781" t="str">
        <f>_xlfn.XLOOKUP(Table9[[#This Row],[Company Name]],customers__2[companyName],customers__2[country],,0)</f>
        <v>France</v>
      </c>
      <c r="L1781">
        <f>MONTH(Table9[[#This Row],[OrderDate ]])</f>
        <v>3</v>
      </c>
      <c r="M1781" t="str">
        <f>TEXT(Table9[[#This Row],[OrderDate ]],"mmm")</f>
        <v>Mar</v>
      </c>
      <c r="N1781">
        <f>YEAR(Table9[[#This Row],[OrderDate ]])</f>
        <v>2015</v>
      </c>
    </row>
    <row r="1782" spans="1:14" x14ac:dyDescent="0.3">
      <c r="A1782">
        <v>10933</v>
      </c>
      <c r="B1782" s="2">
        <f>_xlfn.XLOOKUP(Table9[[#This Row],[orderID]],orders[orderID],orders[orderDate],,0)</f>
        <v>42069</v>
      </c>
      <c r="C1782">
        <f>_xlfn.XLOOKUP(A1782,order_details[orderID],order_details[productID],,0)</f>
        <v>53</v>
      </c>
      <c r="D1782" t="str">
        <f>_xlfn.XLOOKUP(C1782,products[productID],products[productName],,0)</f>
        <v>Perth Pasties</v>
      </c>
      <c r="E1782" t="str">
        <f>_xlfn.XLOOKUP(_xlfn.XLOOKUP(Table9[[#This Row],[ProductName ]],products[productName],products[categoryID],,0),categories[categoryID],categories[categoryName],,0)</f>
        <v>Meat &amp; Poultry</v>
      </c>
      <c r="F1782">
        <v>2</v>
      </c>
      <c r="G1782">
        <v>328</v>
      </c>
      <c r="H1782">
        <v>0</v>
      </c>
      <c r="I1782">
        <f>Table9[[#This Row],[quantity]]*Table9[[#This Row],[unitPrice]]*(1-Table9[[#This Row],[discount]]/100)</f>
        <v>656</v>
      </c>
      <c r="J1782" t="str">
        <f>_xlfn.XLOOKUP(_xlfn.XLOOKUP(A1782,orders[orderID],orders[customerID],,0),customers__2[customerID],customers__2[companyName],,0)</f>
        <v>Island Trading</v>
      </c>
      <c r="K1782" t="str">
        <f>_xlfn.XLOOKUP(Table9[[#This Row],[Company Name]],customers__2[companyName],customers__2[country],,0)</f>
        <v>UK</v>
      </c>
      <c r="L1782">
        <f>MONTH(Table9[[#This Row],[OrderDate ]])</f>
        <v>3</v>
      </c>
      <c r="M1782" t="str">
        <f>TEXT(Table9[[#This Row],[OrderDate ]],"mmm")</f>
        <v>Mar</v>
      </c>
      <c r="N1782">
        <f>YEAR(Table9[[#This Row],[OrderDate ]])</f>
        <v>2015</v>
      </c>
    </row>
    <row r="1783" spans="1:14" x14ac:dyDescent="0.3">
      <c r="A1783">
        <v>10933</v>
      </c>
      <c r="B1783" s="2">
        <f>_xlfn.XLOOKUP(Table9[[#This Row],[orderID]],orders[orderID],orders[orderDate],,0)</f>
        <v>42069</v>
      </c>
      <c r="C1783">
        <f>_xlfn.XLOOKUP(A1783,order_details[orderID],order_details[productID],,0)</f>
        <v>53</v>
      </c>
      <c r="D1783" t="str">
        <f>_xlfn.XLOOKUP(C1783,products[productID],products[productName],,0)</f>
        <v>Perth Pasties</v>
      </c>
      <c r="E1783" t="str">
        <f>_xlfn.XLOOKUP(_xlfn.XLOOKUP(Table9[[#This Row],[ProductName ]],products[productName],products[categoryID],,0),categories[categoryID],categories[categoryName],,0)</f>
        <v>Meat &amp; Poultry</v>
      </c>
      <c r="F1783">
        <v>30</v>
      </c>
      <c r="G1783">
        <v>285</v>
      </c>
      <c r="H1783">
        <v>0</v>
      </c>
      <c r="I1783">
        <f>Table9[[#This Row],[quantity]]*Table9[[#This Row],[unitPrice]]*(1-Table9[[#This Row],[discount]]/100)</f>
        <v>8550</v>
      </c>
      <c r="J1783" t="str">
        <f>_xlfn.XLOOKUP(_xlfn.XLOOKUP(A1783,orders[orderID],orders[customerID],,0),customers__2[customerID],customers__2[companyName],,0)</f>
        <v>Island Trading</v>
      </c>
      <c r="K1783" t="str">
        <f>_xlfn.XLOOKUP(Table9[[#This Row],[Company Name]],customers__2[companyName],customers__2[country],,0)</f>
        <v>UK</v>
      </c>
      <c r="L1783">
        <f>MONTH(Table9[[#This Row],[OrderDate ]])</f>
        <v>3</v>
      </c>
      <c r="M1783" t="str">
        <f>TEXT(Table9[[#This Row],[OrderDate ]],"mmm")</f>
        <v>Mar</v>
      </c>
      <c r="N1783">
        <f>YEAR(Table9[[#This Row],[OrderDate ]])</f>
        <v>2015</v>
      </c>
    </row>
    <row r="1784" spans="1:14" x14ac:dyDescent="0.3">
      <c r="A1784">
        <v>10934</v>
      </c>
      <c r="B1784" s="2">
        <f>_xlfn.XLOOKUP(Table9[[#This Row],[orderID]],orders[orderID],orders[orderDate],,0)</f>
        <v>42072</v>
      </c>
      <c r="C1784">
        <f>_xlfn.XLOOKUP(A1784,order_details[orderID],order_details[productID],,0)</f>
        <v>6</v>
      </c>
      <c r="D1784" t="str">
        <f>_xlfn.XLOOKUP(C1784,products[productID],products[productName],,0)</f>
        <v>Grandma's Boysenberry Spread</v>
      </c>
      <c r="E1784" t="str">
        <f>_xlfn.XLOOKUP(_xlfn.XLOOKUP(Table9[[#This Row],[ProductName ]],products[productName],products[categoryID],,0),categories[categoryID],categories[categoryName],,0)</f>
        <v>Condiments</v>
      </c>
      <c r="F1784">
        <v>20</v>
      </c>
      <c r="G1784">
        <v>25</v>
      </c>
      <c r="H1784">
        <v>0</v>
      </c>
      <c r="I1784">
        <f>Table9[[#This Row],[quantity]]*Table9[[#This Row],[unitPrice]]*(1-Table9[[#This Row],[discount]]/100)</f>
        <v>500</v>
      </c>
      <c r="J1784" t="str">
        <f>_xlfn.XLOOKUP(_xlfn.XLOOKUP(A1784,orders[orderID],orders[customerID],,0),customers__2[customerID],customers__2[companyName],,0)</f>
        <v>Lehmanns Marktstand</v>
      </c>
      <c r="K1784" t="str">
        <f>_xlfn.XLOOKUP(Table9[[#This Row],[Company Name]],customers__2[companyName],customers__2[country],,0)</f>
        <v>Germany</v>
      </c>
      <c r="L1784">
        <f>MONTH(Table9[[#This Row],[OrderDate ]])</f>
        <v>3</v>
      </c>
      <c r="M1784" t="str">
        <f>TEXT(Table9[[#This Row],[OrderDate ]],"mmm")</f>
        <v>Mar</v>
      </c>
      <c r="N1784">
        <f>YEAR(Table9[[#This Row],[OrderDate ]])</f>
        <v>2015</v>
      </c>
    </row>
    <row r="1785" spans="1:14" x14ac:dyDescent="0.3">
      <c r="A1785">
        <v>10935</v>
      </c>
      <c r="B1785" s="2">
        <f>_xlfn.XLOOKUP(Table9[[#This Row],[orderID]],orders[orderID],orders[orderDate],,0)</f>
        <v>42072</v>
      </c>
      <c r="C1785">
        <f>_xlfn.XLOOKUP(A1785,order_details[orderID],order_details[productID],,0)</f>
        <v>1</v>
      </c>
      <c r="D1785" t="str">
        <f>_xlfn.XLOOKUP(C1785,products[productID],products[productName],,0)</f>
        <v>Chai</v>
      </c>
      <c r="E1785" t="str">
        <f>_xlfn.XLOOKUP(_xlfn.XLOOKUP(Table9[[#This Row],[ProductName ]],products[productName],products[categoryID],,0),categories[categoryID],categories[categoryName],,0)</f>
        <v>Beverages</v>
      </c>
      <c r="F1785">
        <v>21</v>
      </c>
      <c r="G1785">
        <v>18</v>
      </c>
      <c r="H1785">
        <v>0</v>
      </c>
      <c r="I1785">
        <f>Table9[[#This Row],[quantity]]*Table9[[#This Row],[unitPrice]]*(1-Table9[[#This Row],[discount]]/100)</f>
        <v>378</v>
      </c>
      <c r="J1785" t="str">
        <f>_xlfn.XLOOKUP(_xlfn.XLOOKUP(A1785,orders[orderID],orders[customerID],,0),customers__2[customerID],customers__2[companyName],,0)</f>
        <v>Wellington Importadora</v>
      </c>
      <c r="K1785" t="str">
        <f>_xlfn.XLOOKUP(Table9[[#This Row],[Company Name]],customers__2[companyName],customers__2[country],,0)</f>
        <v>Brazil</v>
      </c>
      <c r="L1785">
        <f>MONTH(Table9[[#This Row],[OrderDate ]])</f>
        <v>3</v>
      </c>
      <c r="M1785" t="str">
        <f>TEXT(Table9[[#This Row],[OrderDate ]],"mmm")</f>
        <v>Mar</v>
      </c>
      <c r="N1785">
        <f>YEAR(Table9[[#This Row],[OrderDate ]])</f>
        <v>2015</v>
      </c>
    </row>
    <row r="1786" spans="1:14" x14ac:dyDescent="0.3">
      <c r="A1786">
        <v>10935</v>
      </c>
      <c r="B1786" s="2">
        <f>_xlfn.XLOOKUP(Table9[[#This Row],[orderID]],orders[orderID],orders[orderDate],,0)</f>
        <v>42072</v>
      </c>
      <c r="C1786">
        <f>_xlfn.XLOOKUP(A1786,order_details[orderID],order_details[productID],,0)</f>
        <v>1</v>
      </c>
      <c r="D1786" t="str">
        <f>_xlfn.XLOOKUP(C1786,products[productID],products[productName],,0)</f>
        <v>Chai</v>
      </c>
      <c r="E1786" t="str">
        <f>_xlfn.XLOOKUP(_xlfn.XLOOKUP(Table9[[#This Row],[ProductName ]],products[productName],products[categoryID],,0),categories[categoryID],categories[categoryName],,0)</f>
        <v>Beverages</v>
      </c>
      <c r="F1786">
        <v>4</v>
      </c>
      <c r="G1786">
        <v>625</v>
      </c>
      <c r="H1786">
        <v>25</v>
      </c>
      <c r="I1786">
        <f>Table9[[#This Row],[quantity]]*Table9[[#This Row],[unitPrice]]*(1-Table9[[#This Row],[discount]]/100)</f>
        <v>1875</v>
      </c>
      <c r="J1786" t="str">
        <f>_xlfn.XLOOKUP(_xlfn.XLOOKUP(A1786,orders[orderID],orders[customerID],,0),customers__2[customerID],customers__2[companyName],,0)</f>
        <v>Wellington Importadora</v>
      </c>
      <c r="K1786" t="str">
        <f>_xlfn.XLOOKUP(Table9[[#This Row],[Company Name]],customers__2[companyName],customers__2[country],,0)</f>
        <v>Brazil</v>
      </c>
      <c r="L1786">
        <f>MONTH(Table9[[#This Row],[OrderDate ]])</f>
        <v>3</v>
      </c>
      <c r="M1786" t="str">
        <f>TEXT(Table9[[#This Row],[OrderDate ]],"mmm")</f>
        <v>Mar</v>
      </c>
      <c r="N1786">
        <f>YEAR(Table9[[#This Row],[OrderDate ]])</f>
        <v>2015</v>
      </c>
    </row>
    <row r="1787" spans="1:14" x14ac:dyDescent="0.3">
      <c r="A1787">
        <v>10935</v>
      </c>
      <c r="B1787" s="2">
        <f>_xlfn.XLOOKUP(Table9[[#This Row],[orderID]],orders[orderID],orders[orderDate],,0)</f>
        <v>42072</v>
      </c>
      <c r="C1787">
        <f>_xlfn.XLOOKUP(A1787,order_details[orderID],order_details[productID],,0)</f>
        <v>1</v>
      </c>
      <c r="D1787" t="str">
        <f>_xlfn.XLOOKUP(C1787,products[productID],products[productName],,0)</f>
        <v>Chai</v>
      </c>
      <c r="E1787" t="str">
        <f>_xlfn.XLOOKUP(_xlfn.XLOOKUP(Table9[[#This Row],[ProductName ]],products[productName],products[categoryID],,0),categories[categoryID],categories[categoryName],,0)</f>
        <v>Beverages</v>
      </c>
      <c r="F1787">
        <v>8</v>
      </c>
      <c r="G1787">
        <v>9</v>
      </c>
      <c r="H1787">
        <v>25</v>
      </c>
      <c r="I1787">
        <f>Table9[[#This Row],[quantity]]*Table9[[#This Row],[unitPrice]]*(1-Table9[[#This Row],[discount]]/100)</f>
        <v>54</v>
      </c>
      <c r="J1787" t="str">
        <f>_xlfn.XLOOKUP(_xlfn.XLOOKUP(A1787,orders[orderID],orders[customerID],,0),customers__2[customerID],customers__2[companyName],,0)</f>
        <v>Wellington Importadora</v>
      </c>
      <c r="K1787" t="str">
        <f>_xlfn.XLOOKUP(Table9[[#This Row],[Company Name]],customers__2[companyName],customers__2[country],,0)</f>
        <v>Brazil</v>
      </c>
      <c r="L1787">
        <f>MONTH(Table9[[#This Row],[OrderDate ]])</f>
        <v>3</v>
      </c>
      <c r="M1787" t="str">
        <f>TEXT(Table9[[#This Row],[OrderDate ]],"mmm")</f>
        <v>Mar</v>
      </c>
      <c r="N1787">
        <f>YEAR(Table9[[#This Row],[OrderDate ]])</f>
        <v>2015</v>
      </c>
    </row>
    <row r="1788" spans="1:14" x14ac:dyDescent="0.3">
      <c r="A1788">
        <v>10936</v>
      </c>
      <c r="B1788" s="2">
        <f>_xlfn.XLOOKUP(Table9[[#This Row],[orderID]],orders[orderID],orders[orderDate],,0)</f>
        <v>42072</v>
      </c>
      <c r="C1788">
        <f>_xlfn.XLOOKUP(A1788,order_details[orderID],order_details[productID],,0)</f>
        <v>36</v>
      </c>
      <c r="D1788" t="str">
        <f>_xlfn.XLOOKUP(C1788,products[productID],products[productName],,0)</f>
        <v>Inlagd Sill</v>
      </c>
      <c r="E1788" t="str">
        <f>_xlfn.XLOOKUP(_xlfn.XLOOKUP(Table9[[#This Row],[ProductName ]],products[productName],products[categoryID],,0),categories[categoryID],categories[categoryName],,0)</f>
        <v>Seafood</v>
      </c>
      <c r="F1788">
        <v>30</v>
      </c>
      <c r="G1788">
        <v>19</v>
      </c>
      <c r="H1788">
        <v>2</v>
      </c>
      <c r="I1788">
        <f>Table9[[#This Row],[quantity]]*Table9[[#This Row],[unitPrice]]*(1-Table9[[#This Row],[discount]]/100)</f>
        <v>558.6</v>
      </c>
      <c r="J1788" t="str">
        <f>_xlfn.XLOOKUP(_xlfn.XLOOKUP(A1788,orders[orderID],orders[customerID],,0),customers__2[customerID],customers__2[companyName],,0)</f>
        <v>Great Lakes Food Market</v>
      </c>
      <c r="K1788" t="str">
        <f>_xlfn.XLOOKUP(Table9[[#This Row],[Company Name]],customers__2[companyName],customers__2[country],,0)</f>
        <v>USA</v>
      </c>
      <c r="L1788">
        <f>MONTH(Table9[[#This Row],[OrderDate ]])</f>
        <v>3</v>
      </c>
      <c r="M1788" t="str">
        <f>TEXT(Table9[[#This Row],[OrderDate ]],"mmm")</f>
        <v>Mar</v>
      </c>
      <c r="N1788">
        <f>YEAR(Table9[[#This Row],[OrderDate ]])</f>
        <v>2015</v>
      </c>
    </row>
    <row r="1789" spans="1:14" x14ac:dyDescent="0.3">
      <c r="A1789">
        <v>10937</v>
      </c>
      <c r="B1789" s="2">
        <f>_xlfn.XLOOKUP(Table9[[#This Row],[orderID]],orders[orderID],orders[orderDate],,0)</f>
        <v>42073</v>
      </c>
      <c r="C1789">
        <f>_xlfn.XLOOKUP(A1789,order_details[orderID],order_details[productID],,0)</f>
        <v>28</v>
      </c>
      <c r="D1789" t="str">
        <f>_xlfn.XLOOKUP(C1789,products[productID],products[productName],,0)</f>
        <v>Rössle Sauerkraut</v>
      </c>
      <c r="E1789" t="str">
        <f>_xlfn.XLOOKUP(_xlfn.XLOOKUP(Table9[[#This Row],[ProductName ]],products[productName],products[categoryID],,0),categories[categoryID],categories[categoryName],,0)</f>
        <v>Produce</v>
      </c>
      <c r="F1789">
        <v>8</v>
      </c>
      <c r="G1789">
        <v>456</v>
      </c>
      <c r="H1789">
        <v>0</v>
      </c>
      <c r="I1789">
        <f>Table9[[#This Row],[quantity]]*Table9[[#This Row],[unitPrice]]*(1-Table9[[#This Row],[discount]]/100)</f>
        <v>3648</v>
      </c>
      <c r="J1789" t="str">
        <f>_xlfn.XLOOKUP(_xlfn.XLOOKUP(A1789,orders[orderID],orders[customerID],,0),customers__2[customerID],customers__2[companyName],,0)</f>
        <v>Cactus Comidas para llevar</v>
      </c>
      <c r="K1789" t="str">
        <f>_xlfn.XLOOKUP(Table9[[#This Row],[Company Name]],customers__2[companyName],customers__2[country],,0)</f>
        <v>Argentina</v>
      </c>
      <c r="L1789">
        <f>MONTH(Table9[[#This Row],[OrderDate ]])</f>
        <v>3</v>
      </c>
      <c r="M1789" t="str">
        <f>TEXT(Table9[[#This Row],[OrderDate ]],"mmm")</f>
        <v>Mar</v>
      </c>
      <c r="N1789">
        <f>YEAR(Table9[[#This Row],[OrderDate ]])</f>
        <v>2015</v>
      </c>
    </row>
    <row r="1790" spans="1:14" x14ac:dyDescent="0.3">
      <c r="A1790">
        <v>10937</v>
      </c>
      <c r="B1790" s="2">
        <f>_xlfn.XLOOKUP(Table9[[#This Row],[orderID]],orders[orderID],orders[orderDate],,0)</f>
        <v>42073</v>
      </c>
      <c r="C1790">
        <f>_xlfn.XLOOKUP(A1790,order_details[orderID],order_details[productID],,0)</f>
        <v>28</v>
      </c>
      <c r="D1790" t="str">
        <f>_xlfn.XLOOKUP(C1790,products[productID],products[productName],,0)</f>
        <v>Rössle Sauerkraut</v>
      </c>
      <c r="E1790" t="str">
        <f>_xlfn.XLOOKUP(_xlfn.XLOOKUP(Table9[[#This Row],[ProductName ]],products[productName],products[categoryID],,0),categories[categoryID],categories[categoryName],,0)</f>
        <v>Produce</v>
      </c>
      <c r="F1790">
        <v>20</v>
      </c>
      <c r="G1790">
        <v>14</v>
      </c>
      <c r="H1790">
        <v>0</v>
      </c>
      <c r="I1790">
        <f>Table9[[#This Row],[quantity]]*Table9[[#This Row],[unitPrice]]*(1-Table9[[#This Row],[discount]]/100)</f>
        <v>280</v>
      </c>
      <c r="J1790" t="str">
        <f>_xlfn.XLOOKUP(_xlfn.XLOOKUP(A1790,orders[orderID],orders[customerID],,0),customers__2[customerID],customers__2[companyName],,0)</f>
        <v>Cactus Comidas para llevar</v>
      </c>
      <c r="K1790" t="str">
        <f>_xlfn.XLOOKUP(Table9[[#This Row],[Company Name]],customers__2[companyName],customers__2[country],,0)</f>
        <v>Argentina</v>
      </c>
      <c r="L1790">
        <f>MONTH(Table9[[#This Row],[OrderDate ]])</f>
        <v>3</v>
      </c>
      <c r="M1790" t="str">
        <f>TEXT(Table9[[#This Row],[OrderDate ]],"mmm")</f>
        <v>Mar</v>
      </c>
      <c r="N1790">
        <f>YEAR(Table9[[#This Row],[OrderDate ]])</f>
        <v>2015</v>
      </c>
    </row>
    <row r="1791" spans="1:14" x14ac:dyDescent="0.3">
      <c r="A1791">
        <v>10938</v>
      </c>
      <c r="B1791" s="2">
        <f>_xlfn.XLOOKUP(Table9[[#This Row],[orderID]],orders[orderID],orders[orderDate],,0)</f>
        <v>42073</v>
      </c>
      <c r="C1791">
        <f>_xlfn.XLOOKUP(A1791,order_details[orderID],order_details[productID],,0)</f>
        <v>13</v>
      </c>
      <c r="D1791" t="str">
        <f>_xlfn.XLOOKUP(C1791,products[productID],products[productName],,0)</f>
        <v>Konbu</v>
      </c>
      <c r="E1791" t="str">
        <f>_xlfn.XLOOKUP(_xlfn.XLOOKUP(Table9[[#This Row],[ProductName ]],products[productName],products[categoryID],,0),categories[categoryID],categories[categoryName],,0)</f>
        <v>Seafood</v>
      </c>
      <c r="F1791">
        <v>20</v>
      </c>
      <c r="G1791">
        <v>6</v>
      </c>
      <c r="H1791">
        <v>25</v>
      </c>
      <c r="I1791">
        <f>Table9[[#This Row],[quantity]]*Table9[[#This Row],[unitPrice]]*(1-Table9[[#This Row],[discount]]/100)</f>
        <v>90</v>
      </c>
      <c r="J1791" t="str">
        <f>_xlfn.XLOOKUP(_xlfn.XLOOKUP(A1791,orders[orderID],orders[customerID],,0),customers__2[customerID],customers__2[companyName],,0)</f>
        <v>QUICK-Stop</v>
      </c>
      <c r="K1791" t="str">
        <f>_xlfn.XLOOKUP(Table9[[#This Row],[Company Name]],customers__2[companyName],customers__2[country],,0)</f>
        <v>Germany</v>
      </c>
      <c r="L1791">
        <f>MONTH(Table9[[#This Row],[OrderDate ]])</f>
        <v>3</v>
      </c>
      <c r="M1791" t="str">
        <f>TEXT(Table9[[#This Row],[OrderDate ]],"mmm")</f>
        <v>Mar</v>
      </c>
      <c r="N1791">
        <f>YEAR(Table9[[#This Row],[OrderDate ]])</f>
        <v>2015</v>
      </c>
    </row>
    <row r="1792" spans="1:14" x14ac:dyDescent="0.3">
      <c r="A1792">
        <v>10938</v>
      </c>
      <c r="B1792" s="2">
        <f>_xlfn.XLOOKUP(Table9[[#This Row],[orderID]],orders[orderID],orders[orderDate],,0)</f>
        <v>42073</v>
      </c>
      <c r="C1792">
        <f>_xlfn.XLOOKUP(A1792,order_details[orderID],order_details[productID],,0)</f>
        <v>13</v>
      </c>
      <c r="D1792" t="str">
        <f>_xlfn.XLOOKUP(C1792,products[productID],products[productName],,0)</f>
        <v>Konbu</v>
      </c>
      <c r="E1792" t="str">
        <f>_xlfn.XLOOKUP(_xlfn.XLOOKUP(Table9[[#This Row],[ProductName ]],products[productName],products[categoryID],,0),categories[categoryID],categories[categoryName],,0)</f>
        <v>Seafood</v>
      </c>
      <c r="F1792">
        <v>24</v>
      </c>
      <c r="G1792">
        <v>46</v>
      </c>
      <c r="H1792">
        <v>25</v>
      </c>
      <c r="I1792">
        <f>Table9[[#This Row],[quantity]]*Table9[[#This Row],[unitPrice]]*(1-Table9[[#This Row],[discount]]/100)</f>
        <v>828</v>
      </c>
      <c r="J1792" t="str">
        <f>_xlfn.XLOOKUP(_xlfn.XLOOKUP(A1792,orders[orderID],orders[customerID],,0),customers__2[customerID],customers__2[companyName],,0)</f>
        <v>QUICK-Stop</v>
      </c>
      <c r="K1792" t="str">
        <f>_xlfn.XLOOKUP(Table9[[#This Row],[Company Name]],customers__2[companyName],customers__2[country],,0)</f>
        <v>Germany</v>
      </c>
      <c r="L1792">
        <f>MONTH(Table9[[#This Row],[OrderDate ]])</f>
        <v>3</v>
      </c>
      <c r="M1792" t="str">
        <f>TEXT(Table9[[#This Row],[OrderDate ]],"mmm")</f>
        <v>Mar</v>
      </c>
      <c r="N1792">
        <f>YEAR(Table9[[#This Row],[OrderDate ]])</f>
        <v>2015</v>
      </c>
    </row>
    <row r="1793" spans="1:14" x14ac:dyDescent="0.3">
      <c r="A1793">
        <v>10938</v>
      </c>
      <c r="B1793" s="2">
        <f>_xlfn.XLOOKUP(Table9[[#This Row],[orderID]],orders[orderID],orders[orderDate],,0)</f>
        <v>42073</v>
      </c>
      <c r="C1793">
        <f>_xlfn.XLOOKUP(A1793,order_details[orderID],order_details[productID],,0)</f>
        <v>13</v>
      </c>
      <c r="D1793" t="str">
        <f>_xlfn.XLOOKUP(C1793,products[productID],products[productName],,0)</f>
        <v>Konbu</v>
      </c>
      <c r="E1793" t="str">
        <f>_xlfn.XLOOKUP(_xlfn.XLOOKUP(Table9[[#This Row],[ProductName ]],products[productName],products[categoryID],,0),categories[categoryID],categories[categoryName],,0)</f>
        <v>Seafood</v>
      </c>
      <c r="F1793">
        <v>49</v>
      </c>
      <c r="G1793">
        <v>34</v>
      </c>
      <c r="H1793">
        <v>25</v>
      </c>
      <c r="I1793">
        <f>Table9[[#This Row],[quantity]]*Table9[[#This Row],[unitPrice]]*(1-Table9[[#This Row],[discount]]/100)</f>
        <v>1249.5</v>
      </c>
      <c r="J1793" t="str">
        <f>_xlfn.XLOOKUP(_xlfn.XLOOKUP(A1793,orders[orderID],orders[customerID],,0),customers__2[customerID],customers__2[companyName],,0)</f>
        <v>QUICK-Stop</v>
      </c>
      <c r="K1793" t="str">
        <f>_xlfn.XLOOKUP(Table9[[#This Row],[Company Name]],customers__2[companyName],customers__2[country],,0)</f>
        <v>Germany</v>
      </c>
      <c r="L1793">
        <f>MONTH(Table9[[#This Row],[OrderDate ]])</f>
        <v>3</v>
      </c>
      <c r="M1793" t="str">
        <f>TEXT(Table9[[#This Row],[OrderDate ]],"mmm")</f>
        <v>Mar</v>
      </c>
      <c r="N1793">
        <f>YEAR(Table9[[#This Row],[OrderDate ]])</f>
        <v>2015</v>
      </c>
    </row>
    <row r="1794" spans="1:14" x14ac:dyDescent="0.3">
      <c r="A1794">
        <v>10938</v>
      </c>
      <c r="B1794" s="2">
        <f>_xlfn.XLOOKUP(Table9[[#This Row],[orderID]],orders[orderID],orders[orderDate],,0)</f>
        <v>42073</v>
      </c>
      <c r="C1794">
        <f>_xlfn.XLOOKUP(A1794,order_details[orderID],order_details[productID],,0)</f>
        <v>13</v>
      </c>
      <c r="D1794" t="str">
        <f>_xlfn.XLOOKUP(C1794,products[productID],products[productName],,0)</f>
        <v>Konbu</v>
      </c>
      <c r="E1794" t="str">
        <f>_xlfn.XLOOKUP(_xlfn.XLOOKUP(Table9[[#This Row],[ProductName ]],products[productName],products[categoryID],,0),categories[categoryID],categories[categoryName],,0)</f>
        <v>Seafood</v>
      </c>
      <c r="F1794">
        <v>35</v>
      </c>
      <c r="G1794">
        <v>215</v>
      </c>
      <c r="H1794">
        <v>25</v>
      </c>
      <c r="I1794">
        <f>Table9[[#This Row],[quantity]]*Table9[[#This Row],[unitPrice]]*(1-Table9[[#This Row],[discount]]/100)</f>
        <v>5643.75</v>
      </c>
      <c r="J1794" t="str">
        <f>_xlfn.XLOOKUP(_xlfn.XLOOKUP(A1794,orders[orderID],orders[customerID],,0),customers__2[customerID],customers__2[companyName],,0)</f>
        <v>QUICK-Stop</v>
      </c>
      <c r="K1794" t="str">
        <f>_xlfn.XLOOKUP(Table9[[#This Row],[Company Name]],customers__2[companyName],customers__2[country],,0)</f>
        <v>Germany</v>
      </c>
      <c r="L1794">
        <f>MONTH(Table9[[#This Row],[OrderDate ]])</f>
        <v>3</v>
      </c>
      <c r="M1794" t="str">
        <f>TEXT(Table9[[#This Row],[OrderDate ]],"mmm")</f>
        <v>Mar</v>
      </c>
      <c r="N1794">
        <f>YEAR(Table9[[#This Row],[OrderDate ]])</f>
        <v>2015</v>
      </c>
    </row>
    <row r="1795" spans="1:14" x14ac:dyDescent="0.3">
      <c r="A1795">
        <v>10939</v>
      </c>
      <c r="B1795" s="2">
        <f>_xlfn.XLOOKUP(Table9[[#This Row],[orderID]],orders[orderID],orders[orderDate],,0)</f>
        <v>42073</v>
      </c>
      <c r="C1795">
        <f>_xlfn.XLOOKUP(A1795,order_details[orderID],order_details[productID],,0)</f>
        <v>2</v>
      </c>
      <c r="D1795" t="str">
        <f>_xlfn.XLOOKUP(C1795,products[productID],products[productName],,0)</f>
        <v>Chang</v>
      </c>
      <c r="E1795" t="str">
        <f>_xlfn.XLOOKUP(_xlfn.XLOOKUP(Table9[[#This Row],[ProductName ]],products[productName],products[categoryID],,0),categories[categoryID],categories[categoryName],,0)</f>
        <v>Beverages</v>
      </c>
      <c r="F1795">
        <v>10</v>
      </c>
      <c r="G1795">
        <v>19</v>
      </c>
      <c r="H1795">
        <v>15</v>
      </c>
      <c r="I1795">
        <f>Table9[[#This Row],[quantity]]*Table9[[#This Row],[unitPrice]]*(1-Table9[[#This Row],[discount]]/100)</f>
        <v>161.5</v>
      </c>
      <c r="J1795" t="str">
        <f>_xlfn.XLOOKUP(_xlfn.XLOOKUP(A1795,orders[orderID],orders[customerID],,0),customers__2[customerID],customers__2[companyName],,0)</f>
        <v>Magazzini Alimentari Riuniti</v>
      </c>
      <c r="K1795" t="str">
        <f>_xlfn.XLOOKUP(Table9[[#This Row],[Company Name]],customers__2[companyName],customers__2[country],,0)</f>
        <v>Italy</v>
      </c>
      <c r="L1795">
        <f>MONTH(Table9[[#This Row],[OrderDate ]])</f>
        <v>3</v>
      </c>
      <c r="M1795" t="str">
        <f>TEXT(Table9[[#This Row],[OrderDate ]],"mmm")</f>
        <v>Mar</v>
      </c>
      <c r="N1795">
        <f>YEAR(Table9[[#This Row],[OrderDate ]])</f>
        <v>2015</v>
      </c>
    </row>
    <row r="1796" spans="1:14" x14ac:dyDescent="0.3">
      <c r="A1796">
        <v>10939</v>
      </c>
      <c r="B1796" s="2">
        <f>_xlfn.XLOOKUP(Table9[[#This Row],[orderID]],orders[orderID],orders[orderDate],,0)</f>
        <v>42073</v>
      </c>
      <c r="C1796">
        <f>_xlfn.XLOOKUP(A1796,order_details[orderID],order_details[productID],,0)</f>
        <v>2</v>
      </c>
      <c r="D1796" t="str">
        <f>_xlfn.XLOOKUP(C1796,products[productID],products[productName],,0)</f>
        <v>Chang</v>
      </c>
      <c r="E1796" t="str">
        <f>_xlfn.XLOOKUP(_xlfn.XLOOKUP(Table9[[#This Row],[ProductName ]],products[productName],products[categoryID],,0),categories[categoryID],categories[categoryName],,0)</f>
        <v>Beverages</v>
      </c>
      <c r="F1796">
        <v>40</v>
      </c>
      <c r="G1796">
        <v>14</v>
      </c>
      <c r="H1796">
        <v>15</v>
      </c>
      <c r="I1796">
        <f>Table9[[#This Row],[quantity]]*Table9[[#This Row],[unitPrice]]*(1-Table9[[#This Row],[discount]]/100)</f>
        <v>476</v>
      </c>
      <c r="J1796" t="str">
        <f>_xlfn.XLOOKUP(_xlfn.XLOOKUP(A1796,orders[orderID],orders[customerID],,0),customers__2[customerID],customers__2[companyName],,0)</f>
        <v>Magazzini Alimentari Riuniti</v>
      </c>
      <c r="K1796" t="str">
        <f>_xlfn.XLOOKUP(Table9[[#This Row],[Company Name]],customers__2[companyName],customers__2[country],,0)</f>
        <v>Italy</v>
      </c>
      <c r="L1796">
        <f>MONTH(Table9[[#This Row],[OrderDate ]])</f>
        <v>3</v>
      </c>
      <c r="M1796" t="str">
        <f>TEXT(Table9[[#This Row],[OrderDate ]],"mmm")</f>
        <v>Mar</v>
      </c>
      <c r="N1796">
        <f>YEAR(Table9[[#This Row],[OrderDate ]])</f>
        <v>2015</v>
      </c>
    </row>
    <row r="1797" spans="1:14" x14ac:dyDescent="0.3">
      <c r="A1797">
        <v>10940</v>
      </c>
      <c r="B1797" s="2">
        <f>_xlfn.XLOOKUP(Table9[[#This Row],[orderID]],orders[orderID],orders[orderDate],,0)</f>
        <v>42074</v>
      </c>
      <c r="C1797">
        <f>_xlfn.XLOOKUP(A1797,order_details[orderID],order_details[productID],,0)</f>
        <v>7</v>
      </c>
      <c r="D1797" t="str">
        <f>_xlfn.XLOOKUP(C1797,products[productID],products[productName],,0)</f>
        <v>Uncle Bob's Organic Dried Pears</v>
      </c>
      <c r="E1797" t="str">
        <f>_xlfn.XLOOKUP(_xlfn.XLOOKUP(Table9[[#This Row],[ProductName ]],products[productName],products[categoryID],,0),categories[categoryID],categories[categoryName],,0)</f>
        <v>Produce</v>
      </c>
      <c r="F1797">
        <v>8</v>
      </c>
      <c r="G1797">
        <v>30</v>
      </c>
      <c r="H1797">
        <v>0</v>
      </c>
      <c r="I1797">
        <f>Table9[[#This Row],[quantity]]*Table9[[#This Row],[unitPrice]]*(1-Table9[[#This Row],[discount]]/100)</f>
        <v>240</v>
      </c>
      <c r="J1797" t="str">
        <f>_xlfn.XLOOKUP(_xlfn.XLOOKUP(A1797,orders[orderID],orders[customerID],,0),customers__2[customerID],customers__2[companyName],,0)</f>
        <v>Bon app'</v>
      </c>
      <c r="K1797" t="str">
        <f>_xlfn.XLOOKUP(Table9[[#This Row],[Company Name]],customers__2[companyName],customers__2[country],,0)</f>
        <v>France</v>
      </c>
      <c r="L1797">
        <f>MONTH(Table9[[#This Row],[OrderDate ]])</f>
        <v>3</v>
      </c>
      <c r="M1797" t="str">
        <f>TEXT(Table9[[#This Row],[OrderDate ]],"mmm")</f>
        <v>Mar</v>
      </c>
      <c r="N1797">
        <f>YEAR(Table9[[#This Row],[OrderDate ]])</f>
        <v>2015</v>
      </c>
    </row>
    <row r="1798" spans="1:14" x14ac:dyDescent="0.3">
      <c r="A1798">
        <v>10940</v>
      </c>
      <c r="B1798" s="2">
        <f>_xlfn.XLOOKUP(Table9[[#This Row],[orderID]],orders[orderID],orders[orderDate],,0)</f>
        <v>42074</v>
      </c>
      <c r="C1798">
        <f>_xlfn.XLOOKUP(A1798,order_details[orderID],order_details[productID],,0)</f>
        <v>7</v>
      </c>
      <c r="D1798" t="str">
        <f>_xlfn.XLOOKUP(C1798,products[productID],products[productName],,0)</f>
        <v>Uncle Bob's Organic Dried Pears</v>
      </c>
      <c r="E1798" t="str">
        <f>_xlfn.XLOOKUP(_xlfn.XLOOKUP(Table9[[#This Row],[ProductName ]],products[productName],products[categoryID],,0),categories[categoryID],categories[categoryName],,0)</f>
        <v>Produce</v>
      </c>
      <c r="F1798">
        <v>20</v>
      </c>
      <c r="G1798">
        <v>6</v>
      </c>
      <c r="H1798">
        <v>0</v>
      </c>
      <c r="I1798">
        <f>Table9[[#This Row],[quantity]]*Table9[[#This Row],[unitPrice]]*(1-Table9[[#This Row],[discount]]/100)</f>
        <v>120</v>
      </c>
      <c r="J1798" t="str">
        <f>_xlfn.XLOOKUP(_xlfn.XLOOKUP(A1798,orders[orderID],orders[customerID],,0),customers__2[customerID],customers__2[companyName],,0)</f>
        <v>Bon app'</v>
      </c>
      <c r="K1798" t="str">
        <f>_xlfn.XLOOKUP(Table9[[#This Row],[Company Name]],customers__2[companyName],customers__2[country],,0)</f>
        <v>France</v>
      </c>
      <c r="L1798">
        <f>MONTH(Table9[[#This Row],[OrderDate ]])</f>
        <v>3</v>
      </c>
      <c r="M1798" t="str">
        <f>TEXT(Table9[[#This Row],[OrderDate ]],"mmm")</f>
        <v>Mar</v>
      </c>
      <c r="N1798">
        <f>YEAR(Table9[[#This Row],[OrderDate ]])</f>
        <v>2015</v>
      </c>
    </row>
    <row r="1799" spans="1:14" x14ac:dyDescent="0.3">
      <c r="A1799">
        <v>10941</v>
      </c>
      <c r="B1799" s="2">
        <f>_xlfn.XLOOKUP(Table9[[#This Row],[orderID]],orders[orderID],orders[orderDate],,0)</f>
        <v>42074</v>
      </c>
      <c r="C1799">
        <f>_xlfn.XLOOKUP(A1799,order_details[orderID],order_details[productID],,0)</f>
        <v>31</v>
      </c>
      <c r="D1799" t="str">
        <f>_xlfn.XLOOKUP(C1799,products[productID],products[productName],,0)</f>
        <v>Gorgonzola Telino</v>
      </c>
      <c r="E1799" t="str">
        <f>_xlfn.XLOOKUP(_xlfn.XLOOKUP(Table9[[#This Row],[ProductName ]],products[productName],products[categoryID],,0),categories[categoryID],categories[categoryName],,0)</f>
        <v>Dairy Products</v>
      </c>
      <c r="F1799">
        <v>44</v>
      </c>
      <c r="G1799">
        <v>125</v>
      </c>
      <c r="H1799">
        <v>25</v>
      </c>
      <c r="I1799">
        <f>Table9[[#This Row],[quantity]]*Table9[[#This Row],[unitPrice]]*(1-Table9[[#This Row],[discount]]/100)</f>
        <v>4125</v>
      </c>
      <c r="J1799" t="str">
        <f>_xlfn.XLOOKUP(_xlfn.XLOOKUP(A1799,orders[orderID],orders[customerID],,0),customers__2[customerID],customers__2[companyName],,0)</f>
        <v>Save-a-lot Markets</v>
      </c>
      <c r="K1799" t="str">
        <f>_xlfn.XLOOKUP(Table9[[#This Row],[Company Name]],customers__2[companyName],customers__2[country],,0)</f>
        <v>USA</v>
      </c>
      <c r="L1799">
        <f>MONTH(Table9[[#This Row],[OrderDate ]])</f>
        <v>3</v>
      </c>
      <c r="M1799" t="str">
        <f>TEXT(Table9[[#This Row],[OrderDate ]],"mmm")</f>
        <v>Mar</v>
      </c>
      <c r="N1799">
        <f>YEAR(Table9[[#This Row],[OrderDate ]])</f>
        <v>2015</v>
      </c>
    </row>
    <row r="1800" spans="1:14" x14ac:dyDescent="0.3">
      <c r="A1800">
        <v>10941</v>
      </c>
      <c r="B1800" s="2">
        <f>_xlfn.XLOOKUP(Table9[[#This Row],[orderID]],orders[orderID],orders[orderDate],,0)</f>
        <v>42074</v>
      </c>
      <c r="C1800">
        <f>_xlfn.XLOOKUP(A1800,order_details[orderID],order_details[productID],,0)</f>
        <v>31</v>
      </c>
      <c r="D1800" t="str">
        <f>_xlfn.XLOOKUP(C1800,products[productID],products[productName],,0)</f>
        <v>Gorgonzola Telino</v>
      </c>
      <c r="E1800" t="str">
        <f>_xlfn.XLOOKUP(_xlfn.XLOOKUP(Table9[[#This Row],[ProductName ]],products[productName],products[categoryID],,0),categories[categoryID],categories[categoryName],,0)</f>
        <v>Dairy Products</v>
      </c>
      <c r="F1800">
        <v>30</v>
      </c>
      <c r="G1800">
        <v>493</v>
      </c>
      <c r="H1800">
        <v>25</v>
      </c>
      <c r="I1800">
        <f>Table9[[#This Row],[quantity]]*Table9[[#This Row],[unitPrice]]*(1-Table9[[#This Row],[discount]]/100)</f>
        <v>11092.5</v>
      </c>
      <c r="J1800" t="str">
        <f>_xlfn.XLOOKUP(_xlfn.XLOOKUP(A1800,orders[orderID],orders[customerID],,0),customers__2[customerID],customers__2[companyName],,0)</f>
        <v>Save-a-lot Markets</v>
      </c>
      <c r="K1800" t="str">
        <f>_xlfn.XLOOKUP(Table9[[#This Row],[Company Name]],customers__2[companyName],customers__2[country],,0)</f>
        <v>USA</v>
      </c>
      <c r="L1800">
        <f>MONTH(Table9[[#This Row],[OrderDate ]])</f>
        <v>3</v>
      </c>
      <c r="M1800" t="str">
        <f>TEXT(Table9[[#This Row],[OrderDate ]],"mmm")</f>
        <v>Mar</v>
      </c>
      <c r="N1800">
        <f>YEAR(Table9[[#This Row],[OrderDate ]])</f>
        <v>2015</v>
      </c>
    </row>
    <row r="1801" spans="1:14" x14ac:dyDescent="0.3">
      <c r="A1801">
        <v>10941</v>
      </c>
      <c r="B1801" s="2">
        <f>_xlfn.XLOOKUP(Table9[[#This Row],[orderID]],orders[orderID],orders[orderDate],,0)</f>
        <v>42074</v>
      </c>
      <c r="C1801">
        <f>_xlfn.XLOOKUP(A1801,order_details[orderID],order_details[productID],,0)</f>
        <v>31</v>
      </c>
      <c r="D1801" t="str">
        <f>_xlfn.XLOOKUP(C1801,products[productID],products[productName],,0)</f>
        <v>Gorgonzola Telino</v>
      </c>
      <c r="E1801" t="str">
        <f>_xlfn.XLOOKUP(_xlfn.XLOOKUP(Table9[[#This Row],[ProductName ]],products[productName],products[categoryID],,0),categories[categoryID],categories[categoryName],,0)</f>
        <v>Dairy Products</v>
      </c>
      <c r="F1801">
        <v>80</v>
      </c>
      <c r="G1801">
        <v>125</v>
      </c>
      <c r="H1801">
        <v>25</v>
      </c>
      <c r="I1801">
        <f>Table9[[#This Row],[quantity]]*Table9[[#This Row],[unitPrice]]*(1-Table9[[#This Row],[discount]]/100)</f>
        <v>7500</v>
      </c>
      <c r="J1801" t="str">
        <f>_xlfn.XLOOKUP(_xlfn.XLOOKUP(A1801,orders[orderID],orders[customerID],,0),customers__2[customerID],customers__2[companyName],,0)</f>
        <v>Save-a-lot Markets</v>
      </c>
      <c r="K1801" t="str">
        <f>_xlfn.XLOOKUP(Table9[[#This Row],[Company Name]],customers__2[companyName],customers__2[country],,0)</f>
        <v>USA</v>
      </c>
      <c r="L1801">
        <f>MONTH(Table9[[#This Row],[OrderDate ]])</f>
        <v>3</v>
      </c>
      <c r="M1801" t="str">
        <f>TEXT(Table9[[#This Row],[OrderDate ]],"mmm")</f>
        <v>Mar</v>
      </c>
      <c r="N1801">
        <f>YEAR(Table9[[#This Row],[OrderDate ]])</f>
        <v>2015</v>
      </c>
    </row>
    <row r="1802" spans="1:14" x14ac:dyDescent="0.3">
      <c r="A1802">
        <v>10941</v>
      </c>
      <c r="B1802" s="2">
        <f>_xlfn.XLOOKUP(Table9[[#This Row],[orderID]],orders[orderID],orders[orderDate],,0)</f>
        <v>42074</v>
      </c>
      <c r="C1802">
        <f>_xlfn.XLOOKUP(A1802,order_details[orderID],order_details[productID],,0)</f>
        <v>31</v>
      </c>
      <c r="D1802" t="str">
        <f>_xlfn.XLOOKUP(C1802,products[productID],products[productName],,0)</f>
        <v>Gorgonzola Telino</v>
      </c>
      <c r="E1802" t="str">
        <f>_xlfn.XLOOKUP(_xlfn.XLOOKUP(Table9[[#This Row],[ProductName ]],products[productName],products[categoryID],,0),categories[categoryID],categories[categoryName],,0)</f>
        <v>Dairy Products</v>
      </c>
      <c r="F1802">
        <v>50</v>
      </c>
      <c r="G1802">
        <v>348</v>
      </c>
      <c r="H1802">
        <v>0</v>
      </c>
      <c r="I1802">
        <f>Table9[[#This Row],[quantity]]*Table9[[#This Row],[unitPrice]]*(1-Table9[[#This Row],[discount]]/100)</f>
        <v>17400</v>
      </c>
      <c r="J1802" t="str">
        <f>_xlfn.XLOOKUP(_xlfn.XLOOKUP(A1802,orders[orderID],orders[customerID],,0),customers__2[customerID],customers__2[companyName],,0)</f>
        <v>Save-a-lot Markets</v>
      </c>
      <c r="K1802" t="str">
        <f>_xlfn.XLOOKUP(Table9[[#This Row],[Company Name]],customers__2[companyName],customers__2[country],,0)</f>
        <v>USA</v>
      </c>
      <c r="L1802">
        <f>MONTH(Table9[[#This Row],[OrderDate ]])</f>
        <v>3</v>
      </c>
      <c r="M1802" t="str">
        <f>TEXT(Table9[[#This Row],[OrderDate ]],"mmm")</f>
        <v>Mar</v>
      </c>
      <c r="N1802">
        <f>YEAR(Table9[[#This Row],[OrderDate ]])</f>
        <v>2015</v>
      </c>
    </row>
    <row r="1803" spans="1:14" x14ac:dyDescent="0.3">
      <c r="A1803">
        <v>10942</v>
      </c>
      <c r="B1803" s="2">
        <f>_xlfn.XLOOKUP(Table9[[#This Row],[orderID]],orders[orderID],orders[orderDate],,0)</f>
        <v>42074</v>
      </c>
      <c r="C1803">
        <f>_xlfn.XLOOKUP(A1803,order_details[orderID],order_details[productID],,0)</f>
        <v>49</v>
      </c>
      <c r="D1803" t="str">
        <f>_xlfn.XLOOKUP(C1803,products[productID],products[productName],,0)</f>
        <v>Maxilaku</v>
      </c>
      <c r="E1803" t="str">
        <f>_xlfn.XLOOKUP(_xlfn.XLOOKUP(Table9[[#This Row],[ProductName ]],products[productName],products[categoryID],,0),categories[categoryID],categories[categoryName],,0)</f>
        <v>Confections</v>
      </c>
      <c r="F1803">
        <v>28</v>
      </c>
      <c r="G1803">
        <v>20</v>
      </c>
      <c r="H1803">
        <v>0</v>
      </c>
      <c r="I1803">
        <f>Table9[[#This Row],[quantity]]*Table9[[#This Row],[unitPrice]]*(1-Table9[[#This Row],[discount]]/100)</f>
        <v>560</v>
      </c>
      <c r="J1803" t="str">
        <f>_xlfn.XLOOKUP(_xlfn.XLOOKUP(A1803,orders[orderID],orders[customerID],,0),customers__2[customerID],customers__2[companyName],,0)</f>
        <v>Reggiani Caseifici</v>
      </c>
      <c r="K1803" t="str">
        <f>_xlfn.XLOOKUP(Table9[[#This Row],[Company Name]],customers__2[companyName],customers__2[country],,0)</f>
        <v>Italy</v>
      </c>
      <c r="L1803">
        <f>MONTH(Table9[[#This Row],[OrderDate ]])</f>
        <v>3</v>
      </c>
      <c r="M1803" t="str">
        <f>TEXT(Table9[[#This Row],[OrderDate ]],"mmm")</f>
        <v>Mar</v>
      </c>
      <c r="N1803">
        <f>YEAR(Table9[[#This Row],[OrderDate ]])</f>
        <v>2015</v>
      </c>
    </row>
    <row r="1804" spans="1:14" x14ac:dyDescent="0.3">
      <c r="A1804">
        <v>10943</v>
      </c>
      <c r="B1804" s="2">
        <f>_xlfn.XLOOKUP(Table9[[#This Row],[orderID]],orders[orderID],orders[orderDate],,0)</f>
        <v>42074</v>
      </c>
      <c r="C1804">
        <f>_xlfn.XLOOKUP(A1804,order_details[orderID],order_details[productID],,0)</f>
        <v>13</v>
      </c>
      <c r="D1804" t="str">
        <f>_xlfn.XLOOKUP(C1804,products[productID],products[productName],,0)</f>
        <v>Konbu</v>
      </c>
      <c r="E1804" t="str">
        <f>_xlfn.XLOOKUP(_xlfn.XLOOKUP(Table9[[#This Row],[ProductName ]],products[productName],products[categoryID],,0),categories[categoryID],categories[categoryName],,0)</f>
        <v>Seafood</v>
      </c>
      <c r="F1804">
        <v>15</v>
      </c>
      <c r="G1804">
        <v>6</v>
      </c>
      <c r="H1804">
        <v>0</v>
      </c>
      <c r="I1804">
        <f>Table9[[#This Row],[quantity]]*Table9[[#This Row],[unitPrice]]*(1-Table9[[#This Row],[discount]]/100)</f>
        <v>90</v>
      </c>
      <c r="J1804" t="str">
        <f>_xlfn.XLOOKUP(_xlfn.XLOOKUP(A1804,orders[orderID],orders[customerID],,0),customers__2[customerID],customers__2[companyName],,0)</f>
        <v>B's Beverages</v>
      </c>
      <c r="K1804" t="str">
        <f>_xlfn.XLOOKUP(Table9[[#This Row],[Company Name]],customers__2[companyName],customers__2[country],,0)</f>
        <v>UK</v>
      </c>
      <c r="L1804">
        <f>MONTH(Table9[[#This Row],[OrderDate ]])</f>
        <v>3</v>
      </c>
      <c r="M1804" t="str">
        <f>TEXT(Table9[[#This Row],[OrderDate ]],"mmm")</f>
        <v>Mar</v>
      </c>
      <c r="N1804">
        <f>YEAR(Table9[[#This Row],[OrderDate ]])</f>
        <v>2015</v>
      </c>
    </row>
    <row r="1805" spans="1:14" x14ac:dyDescent="0.3">
      <c r="A1805">
        <v>10943</v>
      </c>
      <c r="B1805" s="2">
        <f>_xlfn.XLOOKUP(Table9[[#This Row],[orderID]],orders[orderID],orders[orderDate],,0)</f>
        <v>42074</v>
      </c>
      <c r="C1805">
        <f>_xlfn.XLOOKUP(A1805,order_details[orderID],order_details[productID],,0)</f>
        <v>13</v>
      </c>
      <c r="D1805" t="str">
        <f>_xlfn.XLOOKUP(C1805,products[productID],products[productName],,0)</f>
        <v>Konbu</v>
      </c>
      <c r="E1805" t="str">
        <f>_xlfn.XLOOKUP(_xlfn.XLOOKUP(Table9[[#This Row],[ProductName ]],products[productName],products[categoryID],,0),categories[categoryID],categories[categoryName],,0)</f>
        <v>Seafood</v>
      </c>
      <c r="F1805">
        <v>21</v>
      </c>
      <c r="G1805">
        <v>21</v>
      </c>
      <c r="H1805">
        <v>0</v>
      </c>
      <c r="I1805">
        <f>Table9[[#This Row],[quantity]]*Table9[[#This Row],[unitPrice]]*(1-Table9[[#This Row],[discount]]/100)</f>
        <v>441</v>
      </c>
      <c r="J1805" t="str">
        <f>_xlfn.XLOOKUP(_xlfn.XLOOKUP(A1805,orders[orderID],orders[customerID],,0),customers__2[customerID],customers__2[companyName],,0)</f>
        <v>B's Beverages</v>
      </c>
      <c r="K1805" t="str">
        <f>_xlfn.XLOOKUP(Table9[[#This Row],[Company Name]],customers__2[companyName],customers__2[country],,0)</f>
        <v>UK</v>
      </c>
      <c r="L1805">
        <f>MONTH(Table9[[#This Row],[OrderDate ]])</f>
        <v>3</v>
      </c>
      <c r="M1805" t="str">
        <f>TEXT(Table9[[#This Row],[OrderDate ]],"mmm")</f>
        <v>Mar</v>
      </c>
      <c r="N1805">
        <f>YEAR(Table9[[#This Row],[OrderDate ]])</f>
        <v>2015</v>
      </c>
    </row>
    <row r="1806" spans="1:14" x14ac:dyDescent="0.3">
      <c r="A1806">
        <v>10943</v>
      </c>
      <c r="B1806" s="2">
        <f>_xlfn.XLOOKUP(Table9[[#This Row],[orderID]],orders[orderID],orders[orderDate],,0)</f>
        <v>42074</v>
      </c>
      <c r="C1806">
        <f>_xlfn.XLOOKUP(A1806,order_details[orderID],order_details[productID],,0)</f>
        <v>13</v>
      </c>
      <c r="D1806" t="str">
        <f>_xlfn.XLOOKUP(C1806,products[productID],products[productName],,0)</f>
        <v>Konbu</v>
      </c>
      <c r="E1806" t="str">
        <f>_xlfn.XLOOKUP(_xlfn.XLOOKUP(Table9[[#This Row],[ProductName ]],products[productName],products[categoryID],,0),categories[categoryID],categories[categoryName],,0)</f>
        <v>Seafood</v>
      </c>
      <c r="F1806">
        <v>15</v>
      </c>
      <c r="G1806">
        <v>12</v>
      </c>
      <c r="H1806">
        <v>0</v>
      </c>
      <c r="I1806">
        <f>Table9[[#This Row],[quantity]]*Table9[[#This Row],[unitPrice]]*(1-Table9[[#This Row],[discount]]/100)</f>
        <v>180</v>
      </c>
      <c r="J1806" t="str">
        <f>_xlfn.XLOOKUP(_xlfn.XLOOKUP(A1806,orders[orderID],orders[customerID],,0),customers__2[customerID],customers__2[companyName],,0)</f>
        <v>B's Beverages</v>
      </c>
      <c r="K1806" t="str">
        <f>_xlfn.XLOOKUP(Table9[[#This Row],[Company Name]],customers__2[companyName],customers__2[country],,0)</f>
        <v>UK</v>
      </c>
      <c r="L1806">
        <f>MONTH(Table9[[#This Row],[OrderDate ]])</f>
        <v>3</v>
      </c>
      <c r="M1806" t="str">
        <f>TEXT(Table9[[#This Row],[OrderDate ]],"mmm")</f>
        <v>Mar</v>
      </c>
      <c r="N1806">
        <f>YEAR(Table9[[#This Row],[OrderDate ]])</f>
        <v>2015</v>
      </c>
    </row>
    <row r="1807" spans="1:14" x14ac:dyDescent="0.3">
      <c r="A1807">
        <v>10944</v>
      </c>
      <c r="B1807" s="2">
        <f>_xlfn.XLOOKUP(Table9[[#This Row],[orderID]],orders[orderID],orders[orderDate],,0)</f>
        <v>42075</v>
      </c>
      <c r="C1807">
        <f>_xlfn.XLOOKUP(A1807,order_details[orderID],order_details[productID],,0)</f>
        <v>11</v>
      </c>
      <c r="D1807" t="str">
        <f>_xlfn.XLOOKUP(C1807,products[productID],products[productName],,0)</f>
        <v>Queso Cabrales</v>
      </c>
      <c r="E1807" t="str">
        <f>_xlfn.XLOOKUP(_xlfn.XLOOKUP(Table9[[#This Row],[ProductName ]],products[productName],products[categoryID],,0),categories[categoryID],categories[categoryName],,0)</f>
        <v>Dairy Products</v>
      </c>
      <c r="F1807">
        <v>5</v>
      </c>
      <c r="G1807">
        <v>21</v>
      </c>
      <c r="H1807">
        <v>25</v>
      </c>
      <c r="I1807">
        <f>Table9[[#This Row],[quantity]]*Table9[[#This Row],[unitPrice]]*(1-Table9[[#This Row],[discount]]/100)</f>
        <v>78.75</v>
      </c>
      <c r="J1807" t="str">
        <f>_xlfn.XLOOKUP(_xlfn.XLOOKUP(A1807,orders[orderID],orders[customerID],,0),customers__2[customerID],customers__2[companyName],,0)</f>
        <v>Bottom-Dollar Markets</v>
      </c>
      <c r="K1807" t="str">
        <f>_xlfn.XLOOKUP(Table9[[#This Row],[Company Name]],customers__2[companyName],customers__2[country],,0)</f>
        <v>Canada</v>
      </c>
      <c r="L1807">
        <f>MONTH(Table9[[#This Row],[OrderDate ]])</f>
        <v>3</v>
      </c>
      <c r="M1807" t="str">
        <f>TEXT(Table9[[#This Row],[OrderDate ]],"mmm")</f>
        <v>Mar</v>
      </c>
      <c r="N1807">
        <f>YEAR(Table9[[#This Row],[OrderDate ]])</f>
        <v>2015</v>
      </c>
    </row>
    <row r="1808" spans="1:14" x14ac:dyDescent="0.3">
      <c r="A1808">
        <v>10944</v>
      </c>
      <c r="B1808" s="2">
        <f>_xlfn.XLOOKUP(Table9[[#This Row],[orderID]],orders[orderID],orders[orderDate],,0)</f>
        <v>42075</v>
      </c>
      <c r="C1808">
        <f>_xlfn.XLOOKUP(A1808,order_details[orderID],order_details[productID],,0)</f>
        <v>11</v>
      </c>
      <c r="D1808" t="str">
        <f>_xlfn.XLOOKUP(C1808,products[productID],products[productName],,0)</f>
        <v>Queso Cabrales</v>
      </c>
      <c r="E1808" t="str">
        <f>_xlfn.XLOOKUP(_xlfn.XLOOKUP(Table9[[#This Row],[ProductName ]],products[productName],products[categoryID],,0),categories[categoryID],categories[categoryName],,0)</f>
        <v>Dairy Products</v>
      </c>
      <c r="F1808">
        <v>18</v>
      </c>
      <c r="G1808">
        <v>1945</v>
      </c>
      <c r="H1808">
        <v>25</v>
      </c>
      <c r="I1808">
        <f>Table9[[#This Row],[quantity]]*Table9[[#This Row],[unitPrice]]*(1-Table9[[#This Row],[discount]]/100)</f>
        <v>26257.5</v>
      </c>
      <c r="J1808" t="str">
        <f>_xlfn.XLOOKUP(_xlfn.XLOOKUP(A1808,orders[orderID],orders[customerID],,0),customers__2[customerID],customers__2[companyName],,0)</f>
        <v>Bottom-Dollar Markets</v>
      </c>
      <c r="K1808" t="str">
        <f>_xlfn.XLOOKUP(Table9[[#This Row],[Company Name]],customers__2[companyName],customers__2[country],,0)</f>
        <v>Canada</v>
      </c>
      <c r="L1808">
        <f>MONTH(Table9[[#This Row],[OrderDate ]])</f>
        <v>3</v>
      </c>
      <c r="M1808" t="str">
        <f>TEXT(Table9[[#This Row],[OrderDate ]],"mmm")</f>
        <v>Mar</v>
      </c>
      <c r="N1808">
        <f>YEAR(Table9[[#This Row],[OrderDate ]])</f>
        <v>2015</v>
      </c>
    </row>
    <row r="1809" spans="1:14" x14ac:dyDescent="0.3">
      <c r="A1809">
        <v>10944</v>
      </c>
      <c r="B1809" s="2">
        <f>_xlfn.XLOOKUP(Table9[[#This Row],[orderID]],orders[orderID],orders[orderDate],,0)</f>
        <v>42075</v>
      </c>
      <c r="C1809">
        <f>_xlfn.XLOOKUP(A1809,order_details[orderID],order_details[productID],,0)</f>
        <v>11</v>
      </c>
      <c r="D1809" t="str">
        <f>_xlfn.XLOOKUP(C1809,products[productID],products[productName],,0)</f>
        <v>Queso Cabrales</v>
      </c>
      <c r="E1809" t="str">
        <f>_xlfn.XLOOKUP(_xlfn.XLOOKUP(Table9[[#This Row],[ProductName ]],products[productName],products[categoryID],,0),categories[categoryID],categories[categoryName],,0)</f>
        <v>Dairy Products</v>
      </c>
      <c r="F1809">
        <v>18</v>
      </c>
      <c r="G1809">
        <v>38</v>
      </c>
      <c r="H1809">
        <v>0</v>
      </c>
      <c r="I1809">
        <f>Table9[[#This Row],[quantity]]*Table9[[#This Row],[unitPrice]]*(1-Table9[[#This Row],[discount]]/100)</f>
        <v>684</v>
      </c>
      <c r="J1809" t="str">
        <f>_xlfn.XLOOKUP(_xlfn.XLOOKUP(A1809,orders[orderID],orders[customerID],,0),customers__2[customerID],customers__2[companyName],,0)</f>
        <v>Bottom-Dollar Markets</v>
      </c>
      <c r="K1809" t="str">
        <f>_xlfn.XLOOKUP(Table9[[#This Row],[Company Name]],customers__2[companyName],customers__2[country],,0)</f>
        <v>Canada</v>
      </c>
      <c r="L1809">
        <f>MONTH(Table9[[#This Row],[OrderDate ]])</f>
        <v>3</v>
      </c>
      <c r="M1809" t="str">
        <f>TEXT(Table9[[#This Row],[OrderDate ]],"mmm")</f>
        <v>Mar</v>
      </c>
      <c r="N1809">
        <f>YEAR(Table9[[#This Row],[OrderDate ]])</f>
        <v>2015</v>
      </c>
    </row>
    <row r="1810" spans="1:14" x14ac:dyDescent="0.3">
      <c r="A1810">
        <v>10945</v>
      </c>
      <c r="B1810" s="2">
        <f>_xlfn.XLOOKUP(Table9[[#This Row],[orderID]],orders[orderID],orders[orderDate],,0)</f>
        <v>42075</v>
      </c>
      <c r="C1810">
        <f>_xlfn.XLOOKUP(A1810,order_details[orderID],order_details[productID],,0)</f>
        <v>13</v>
      </c>
      <c r="D1810" t="str">
        <f>_xlfn.XLOOKUP(C1810,products[productID],products[productName],,0)</f>
        <v>Konbu</v>
      </c>
      <c r="E1810" t="str">
        <f>_xlfn.XLOOKUP(_xlfn.XLOOKUP(Table9[[#This Row],[ProductName ]],products[productName],products[categoryID],,0),categories[categoryID],categories[categoryName],,0)</f>
        <v>Seafood</v>
      </c>
      <c r="F1810">
        <v>20</v>
      </c>
      <c r="G1810">
        <v>6</v>
      </c>
      <c r="H1810">
        <v>0</v>
      </c>
      <c r="I1810">
        <f>Table9[[#This Row],[quantity]]*Table9[[#This Row],[unitPrice]]*(1-Table9[[#This Row],[discount]]/100)</f>
        <v>120</v>
      </c>
      <c r="J1810" t="str">
        <f>_xlfn.XLOOKUP(_xlfn.XLOOKUP(A1810,orders[orderID],orders[customerID],,0),customers__2[customerID],customers__2[companyName],,0)</f>
        <v>Morgenstern Gesundkost</v>
      </c>
      <c r="K1810" t="str">
        <f>_xlfn.XLOOKUP(Table9[[#This Row],[Company Name]],customers__2[companyName],customers__2[country],,0)</f>
        <v>Germany</v>
      </c>
      <c r="L1810">
        <f>MONTH(Table9[[#This Row],[OrderDate ]])</f>
        <v>3</v>
      </c>
      <c r="M1810" t="str">
        <f>TEXT(Table9[[#This Row],[OrderDate ]],"mmm")</f>
        <v>Mar</v>
      </c>
      <c r="N1810">
        <f>YEAR(Table9[[#This Row],[OrderDate ]])</f>
        <v>2015</v>
      </c>
    </row>
    <row r="1811" spans="1:14" x14ac:dyDescent="0.3">
      <c r="A1811">
        <v>10945</v>
      </c>
      <c r="B1811" s="2">
        <f>_xlfn.XLOOKUP(Table9[[#This Row],[orderID]],orders[orderID],orders[orderDate],,0)</f>
        <v>42075</v>
      </c>
      <c r="C1811">
        <f>_xlfn.XLOOKUP(A1811,order_details[orderID],order_details[productID],,0)</f>
        <v>13</v>
      </c>
      <c r="D1811" t="str">
        <f>_xlfn.XLOOKUP(C1811,products[productID],products[productName],,0)</f>
        <v>Konbu</v>
      </c>
      <c r="E1811" t="str">
        <f>_xlfn.XLOOKUP(_xlfn.XLOOKUP(Table9[[#This Row],[ProductName ]],products[productName],products[categoryID],,0),categories[categoryID],categories[categoryName],,0)</f>
        <v>Seafood</v>
      </c>
      <c r="F1811">
        <v>10</v>
      </c>
      <c r="G1811">
        <v>125</v>
      </c>
      <c r="H1811">
        <v>0</v>
      </c>
      <c r="I1811">
        <f>Table9[[#This Row],[quantity]]*Table9[[#This Row],[unitPrice]]*(1-Table9[[#This Row],[discount]]/100)</f>
        <v>1250</v>
      </c>
      <c r="J1811" t="str">
        <f>_xlfn.XLOOKUP(_xlfn.XLOOKUP(A1811,orders[orderID],orders[customerID],,0),customers__2[customerID],customers__2[companyName],,0)</f>
        <v>Morgenstern Gesundkost</v>
      </c>
      <c r="K1811" t="str">
        <f>_xlfn.XLOOKUP(Table9[[#This Row],[Company Name]],customers__2[companyName],customers__2[country],,0)</f>
        <v>Germany</v>
      </c>
      <c r="L1811">
        <f>MONTH(Table9[[#This Row],[OrderDate ]])</f>
        <v>3</v>
      </c>
      <c r="M1811" t="str">
        <f>TEXT(Table9[[#This Row],[OrderDate ]],"mmm")</f>
        <v>Mar</v>
      </c>
      <c r="N1811">
        <f>YEAR(Table9[[#This Row],[OrderDate ]])</f>
        <v>2015</v>
      </c>
    </row>
    <row r="1812" spans="1:14" x14ac:dyDescent="0.3">
      <c r="A1812">
        <v>10946</v>
      </c>
      <c r="B1812" s="2">
        <f>_xlfn.XLOOKUP(Table9[[#This Row],[orderID]],orders[orderID],orders[orderDate],,0)</f>
        <v>42075</v>
      </c>
      <c r="C1812">
        <f>_xlfn.XLOOKUP(A1812,order_details[orderID],order_details[productID],,0)</f>
        <v>10</v>
      </c>
      <c r="D1812" t="str">
        <f>_xlfn.XLOOKUP(C1812,products[productID],products[productName],,0)</f>
        <v>Ikura</v>
      </c>
      <c r="E1812" t="str">
        <f>_xlfn.XLOOKUP(_xlfn.XLOOKUP(Table9[[#This Row],[ProductName ]],products[productName],products[categoryID],,0),categories[categoryID],categories[categoryName],,0)</f>
        <v>Seafood</v>
      </c>
      <c r="F1812">
        <v>25</v>
      </c>
      <c r="G1812">
        <v>31</v>
      </c>
      <c r="H1812">
        <v>0</v>
      </c>
      <c r="I1812">
        <f>Table9[[#This Row],[quantity]]*Table9[[#This Row],[unitPrice]]*(1-Table9[[#This Row],[discount]]/100)</f>
        <v>775</v>
      </c>
      <c r="J1812" t="str">
        <f>_xlfn.XLOOKUP(_xlfn.XLOOKUP(A1812,orders[orderID],orders[customerID],,0),customers__2[customerID],customers__2[companyName],,0)</f>
        <v>Vaffeljernet</v>
      </c>
      <c r="K1812" t="str">
        <f>_xlfn.XLOOKUP(Table9[[#This Row],[Company Name]],customers__2[companyName],customers__2[country],,0)</f>
        <v>Denmark</v>
      </c>
      <c r="L1812">
        <f>MONTH(Table9[[#This Row],[OrderDate ]])</f>
        <v>3</v>
      </c>
      <c r="M1812" t="str">
        <f>TEXT(Table9[[#This Row],[OrderDate ]],"mmm")</f>
        <v>Mar</v>
      </c>
      <c r="N1812">
        <f>YEAR(Table9[[#This Row],[OrderDate ]])</f>
        <v>2015</v>
      </c>
    </row>
    <row r="1813" spans="1:14" x14ac:dyDescent="0.3">
      <c r="A1813">
        <v>10946</v>
      </c>
      <c r="B1813" s="2">
        <f>_xlfn.XLOOKUP(Table9[[#This Row],[orderID]],orders[orderID],orders[orderDate],,0)</f>
        <v>42075</v>
      </c>
      <c r="C1813">
        <f>_xlfn.XLOOKUP(A1813,order_details[orderID],order_details[productID],,0)</f>
        <v>10</v>
      </c>
      <c r="D1813" t="str">
        <f>_xlfn.XLOOKUP(C1813,products[productID],products[productName],,0)</f>
        <v>Ikura</v>
      </c>
      <c r="E1813" t="str">
        <f>_xlfn.XLOOKUP(_xlfn.XLOOKUP(Table9[[#This Row],[ProductName ]],products[productName],products[categoryID],,0),categories[categoryID],categories[categoryName],,0)</f>
        <v>Seafood</v>
      </c>
      <c r="F1813">
        <v>25</v>
      </c>
      <c r="G1813">
        <v>45</v>
      </c>
      <c r="H1813">
        <v>0</v>
      </c>
      <c r="I1813">
        <f>Table9[[#This Row],[quantity]]*Table9[[#This Row],[unitPrice]]*(1-Table9[[#This Row],[discount]]/100)</f>
        <v>1125</v>
      </c>
      <c r="J1813" t="str">
        <f>_xlfn.XLOOKUP(_xlfn.XLOOKUP(A1813,orders[orderID],orders[customerID],,0),customers__2[customerID],customers__2[companyName],,0)</f>
        <v>Vaffeljernet</v>
      </c>
      <c r="K1813" t="str">
        <f>_xlfn.XLOOKUP(Table9[[#This Row],[Company Name]],customers__2[companyName],customers__2[country],,0)</f>
        <v>Denmark</v>
      </c>
      <c r="L1813">
        <f>MONTH(Table9[[#This Row],[OrderDate ]])</f>
        <v>3</v>
      </c>
      <c r="M1813" t="str">
        <f>TEXT(Table9[[#This Row],[OrderDate ]],"mmm")</f>
        <v>Mar</v>
      </c>
      <c r="N1813">
        <f>YEAR(Table9[[#This Row],[OrderDate ]])</f>
        <v>2015</v>
      </c>
    </row>
    <row r="1814" spans="1:14" x14ac:dyDescent="0.3">
      <c r="A1814">
        <v>10946</v>
      </c>
      <c r="B1814" s="2">
        <f>_xlfn.XLOOKUP(Table9[[#This Row],[orderID]],orders[orderID],orders[orderDate],,0)</f>
        <v>42075</v>
      </c>
      <c r="C1814">
        <f>_xlfn.XLOOKUP(A1814,order_details[orderID],order_details[productID],,0)</f>
        <v>10</v>
      </c>
      <c r="D1814" t="str">
        <f>_xlfn.XLOOKUP(C1814,products[productID],products[productName],,0)</f>
        <v>Ikura</v>
      </c>
      <c r="E1814" t="str">
        <f>_xlfn.XLOOKUP(_xlfn.XLOOKUP(Table9[[#This Row],[ProductName ]],products[productName],products[categoryID],,0),categories[categoryID],categories[categoryName],,0)</f>
        <v>Seafood</v>
      </c>
      <c r="F1814">
        <v>40</v>
      </c>
      <c r="G1814">
        <v>13</v>
      </c>
      <c r="H1814">
        <v>0</v>
      </c>
      <c r="I1814">
        <f>Table9[[#This Row],[quantity]]*Table9[[#This Row],[unitPrice]]*(1-Table9[[#This Row],[discount]]/100)</f>
        <v>520</v>
      </c>
      <c r="J1814" t="str">
        <f>_xlfn.XLOOKUP(_xlfn.XLOOKUP(A1814,orders[orderID],orders[customerID],,0),customers__2[customerID],customers__2[companyName],,0)</f>
        <v>Vaffeljernet</v>
      </c>
      <c r="K1814" t="str">
        <f>_xlfn.XLOOKUP(Table9[[#This Row],[Company Name]],customers__2[companyName],customers__2[country],,0)</f>
        <v>Denmark</v>
      </c>
      <c r="L1814">
        <f>MONTH(Table9[[#This Row],[OrderDate ]])</f>
        <v>3</v>
      </c>
      <c r="M1814" t="str">
        <f>TEXT(Table9[[#This Row],[OrderDate ]],"mmm")</f>
        <v>Mar</v>
      </c>
      <c r="N1814">
        <f>YEAR(Table9[[#This Row],[OrderDate ]])</f>
        <v>2015</v>
      </c>
    </row>
    <row r="1815" spans="1:14" x14ac:dyDescent="0.3">
      <c r="A1815">
        <v>10947</v>
      </c>
      <c r="B1815" s="2">
        <f>_xlfn.XLOOKUP(Table9[[#This Row],[orderID]],orders[orderID],orders[orderDate],,0)</f>
        <v>42076</v>
      </c>
      <c r="C1815">
        <f>_xlfn.XLOOKUP(A1815,order_details[orderID],order_details[productID],,0)</f>
        <v>59</v>
      </c>
      <c r="D1815" t="str">
        <f>_xlfn.XLOOKUP(C1815,products[productID],products[productName],,0)</f>
        <v>Raclette Courdavault</v>
      </c>
      <c r="E1815" t="str">
        <f>_xlfn.XLOOKUP(_xlfn.XLOOKUP(Table9[[#This Row],[ProductName ]],products[productName],products[categoryID],,0),categories[categoryID],categories[categoryName],,0)</f>
        <v>Dairy Products</v>
      </c>
      <c r="F1815">
        <v>4</v>
      </c>
      <c r="G1815">
        <v>55</v>
      </c>
      <c r="H1815">
        <v>0</v>
      </c>
      <c r="I1815">
        <f>Table9[[#This Row],[quantity]]*Table9[[#This Row],[unitPrice]]*(1-Table9[[#This Row],[discount]]/100)</f>
        <v>220</v>
      </c>
      <c r="J1815" t="str">
        <f>_xlfn.XLOOKUP(_xlfn.XLOOKUP(A1815,orders[orderID],orders[customerID],,0),customers__2[customerID],customers__2[companyName],,0)</f>
        <v>B's Beverages</v>
      </c>
      <c r="K1815" t="str">
        <f>_xlfn.XLOOKUP(Table9[[#This Row],[Company Name]],customers__2[companyName],customers__2[country],,0)</f>
        <v>UK</v>
      </c>
      <c r="L1815">
        <f>MONTH(Table9[[#This Row],[OrderDate ]])</f>
        <v>3</v>
      </c>
      <c r="M1815" t="str">
        <f>TEXT(Table9[[#This Row],[OrderDate ]],"mmm")</f>
        <v>Mar</v>
      </c>
      <c r="N1815">
        <f>YEAR(Table9[[#This Row],[OrderDate ]])</f>
        <v>2015</v>
      </c>
    </row>
    <row r="1816" spans="1:14" x14ac:dyDescent="0.3">
      <c r="A1816">
        <v>10948</v>
      </c>
      <c r="B1816" s="2">
        <f>_xlfn.XLOOKUP(Table9[[#This Row],[orderID]],orders[orderID],orders[orderDate],,0)</f>
        <v>42076</v>
      </c>
      <c r="C1816">
        <f>_xlfn.XLOOKUP(A1816,order_details[orderID],order_details[productID],,0)</f>
        <v>50</v>
      </c>
      <c r="D1816" t="str">
        <f>_xlfn.XLOOKUP(C1816,products[productID],products[productName],,0)</f>
        <v>Valkoinen suklaa</v>
      </c>
      <c r="E1816" t="str">
        <f>_xlfn.XLOOKUP(_xlfn.XLOOKUP(Table9[[#This Row],[ProductName ]],products[productName],products[categoryID],,0),categories[categoryID],categories[categoryName],,0)</f>
        <v>Confections</v>
      </c>
      <c r="F1816">
        <v>9</v>
      </c>
      <c r="G1816">
        <v>1625</v>
      </c>
      <c r="H1816">
        <v>0</v>
      </c>
      <c r="I1816">
        <f>Table9[[#This Row],[quantity]]*Table9[[#This Row],[unitPrice]]*(1-Table9[[#This Row],[discount]]/100)</f>
        <v>14625</v>
      </c>
      <c r="J1816" t="str">
        <f>_xlfn.XLOOKUP(_xlfn.XLOOKUP(A1816,orders[orderID],orders[customerID],,0),customers__2[customerID],customers__2[companyName],,0)</f>
        <v>Godos Cocina Típica</v>
      </c>
      <c r="K1816" t="str">
        <f>_xlfn.XLOOKUP(Table9[[#This Row],[Company Name]],customers__2[companyName],customers__2[country],,0)</f>
        <v>Spain</v>
      </c>
      <c r="L1816">
        <f>MONTH(Table9[[#This Row],[OrderDate ]])</f>
        <v>3</v>
      </c>
      <c r="M1816" t="str">
        <f>TEXT(Table9[[#This Row],[OrderDate ]],"mmm")</f>
        <v>Mar</v>
      </c>
      <c r="N1816">
        <f>YEAR(Table9[[#This Row],[OrderDate ]])</f>
        <v>2015</v>
      </c>
    </row>
    <row r="1817" spans="1:14" x14ac:dyDescent="0.3">
      <c r="A1817">
        <v>10948</v>
      </c>
      <c r="B1817" s="2">
        <f>_xlfn.XLOOKUP(Table9[[#This Row],[orderID]],orders[orderID],orders[orderDate],,0)</f>
        <v>42076</v>
      </c>
      <c r="C1817">
        <f>_xlfn.XLOOKUP(A1817,order_details[orderID],order_details[productID],,0)</f>
        <v>50</v>
      </c>
      <c r="D1817" t="str">
        <f>_xlfn.XLOOKUP(C1817,products[productID],products[productName],,0)</f>
        <v>Valkoinen suklaa</v>
      </c>
      <c r="E1817" t="str">
        <f>_xlfn.XLOOKUP(_xlfn.XLOOKUP(Table9[[#This Row],[ProductName ]],products[productName],products[categoryID],,0),categories[categoryID],categories[categoryName],,0)</f>
        <v>Confections</v>
      </c>
      <c r="F1817">
        <v>40</v>
      </c>
      <c r="G1817">
        <v>53</v>
      </c>
      <c r="H1817">
        <v>0</v>
      </c>
      <c r="I1817">
        <f>Table9[[#This Row],[quantity]]*Table9[[#This Row],[unitPrice]]*(1-Table9[[#This Row],[discount]]/100)</f>
        <v>2120</v>
      </c>
      <c r="J1817" t="str">
        <f>_xlfn.XLOOKUP(_xlfn.XLOOKUP(A1817,orders[orderID],orders[customerID],,0),customers__2[customerID],customers__2[companyName],,0)</f>
        <v>Godos Cocina Típica</v>
      </c>
      <c r="K1817" t="str">
        <f>_xlfn.XLOOKUP(Table9[[#This Row],[Company Name]],customers__2[companyName],customers__2[country],,0)</f>
        <v>Spain</v>
      </c>
      <c r="L1817">
        <f>MONTH(Table9[[#This Row],[OrderDate ]])</f>
        <v>3</v>
      </c>
      <c r="M1817" t="str">
        <f>TEXT(Table9[[#This Row],[OrderDate ]],"mmm")</f>
        <v>Mar</v>
      </c>
      <c r="N1817">
        <f>YEAR(Table9[[#This Row],[OrderDate ]])</f>
        <v>2015</v>
      </c>
    </row>
    <row r="1818" spans="1:14" x14ac:dyDescent="0.3">
      <c r="A1818">
        <v>10948</v>
      </c>
      <c r="B1818" s="2">
        <f>_xlfn.XLOOKUP(Table9[[#This Row],[orderID]],orders[orderID],orders[orderDate],,0)</f>
        <v>42076</v>
      </c>
      <c r="C1818">
        <f>_xlfn.XLOOKUP(A1818,order_details[orderID],order_details[productID],,0)</f>
        <v>50</v>
      </c>
      <c r="D1818" t="str">
        <f>_xlfn.XLOOKUP(C1818,products[productID],products[productName],,0)</f>
        <v>Valkoinen suklaa</v>
      </c>
      <c r="E1818" t="str">
        <f>_xlfn.XLOOKUP(_xlfn.XLOOKUP(Table9[[#This Row],[ProductName ]],products[productName],products[categoryID],,0),categories[categoryID],categories[categoryName],,0)</f>
        <v>Confections</v>
      </c>
      <c r="F1818">
        <v>4</v>
      </c>
      <c r="G1818">
        <v>24</v>
      </c>
      <c r="H1818">
        <v>0</v>
      </c>
      <c r="I1818">
        <f>Table9[[#This Row],[quantity]]*Table9[[#This Row],[unitPrice]]*(1-Table9[[#This Row],[discount]]/100)</f>
        <v>96</v>
      </c>
      <c r="J1818" t="str">
        <f>_xlfn.XLOOKUP(_xlfn.XLOOKUP(A1818,orders[orderID],orders[customerID],,0),customers__2[customerID],customers__2[companyName],,0)</f>
        <v>Godos Cocina Típica</v>
      </c>
      <c r="K1818" t="str">
        <f>_xlfn.XLOOKUP(Table9[[#This Row],[Company Name]],customers__2[companyName],customers__2[country],,0)</f>
        <v>Spain</v>
      </c>
      <c r="L1818">
        <f>MONTH(Table9[[#This Row],[OrderDate ]])</f>
        <v>3</v>
      </c>
      <c r="M1818" t="str">
        <f>TEXT(Table9[[#This Row],[OrderDate ]],"mmm")</f>
        <v>Mar</v>
      </c>
      <c r="N1818">
        <f>YEAR(Table9[[#This Row],[OrderDate ]])</f>
        <v>2015</v>
      </c>
    </row>
    <row r="1819" spans="1:14" x14ac:dyDescent="0.3">
      <c r="A1819">
        <v>10949</v>
      </c>
      <c r="B1819" s="2">
        <f>_xlfn.XLOOKUP(Table9[[#This Row],[orderID]],orders[orderID],orders[orderDate],,0)</f>
        <v>42076</v>
      </c>
      <c r="C1819">
        <f>_xlfn.XLOOKUP(A1819,order_details[orderID],order_details[productID],,0)</f>
        <v>6</v>
      </c>
      <c r="D1819" t="str">
        <f>_xlfn.XLOOKUP(C1819,products[productID],products[productName],,0)</f>
        <v>Grandma's Boysenberry Spread</v>
      </c>
      <c r="E1819" t="str">
        <f>_xlfn.XLOOKUP(_xlfn.XLOOKUP(Table9[[#This Row],[ProductName ]],products[productName],products[categoryID],,0),categories[categoryID],categories[categoryName],,0)</f>
        <v>Condiments</v>
      </c>
      <c r="F1819">
        <v>12</v>
      </c>
      <c r="G1819">
        <v>25</v>
      </c>
      <c r="H1819">
        <v>0</v>
      </c>
      <c r="I1819">
        <f>Table9[[#This Row],[quantity]]*Table9[[#This Row],[unitPrice]]*(1-Table9[[#This Row],[discount]]/100)</f>
        <v>300</v>
      </c>
      <c r="J1819" t="str">
        <f>_xlfn.XLOOKUP(_xlfn.XLOOKUP(A1819,orders[orderID],orders[customerID],,0),customers__2[customerID],customers__2[companyName],,0)</f>
        <v>Bottom-Dollar Markets</v>
      </c>
      <c r="K1819" t="str">
        <f>_xlfn.XLOOKUP(Table9[[#This Row],[Company Name]],customers__2[companyName],customers__2[country],,0)</f>
        <v>Canada</v>
      </c>
      <c r="L1819">
        <f>MONTH(Table9[[#This Row],[OrderDate ]])</f>
        <v>3</v>
      </c>
      <c r="M1819" t="str">
        <f>TEXT(Table9[[#This Row],[OrderDate ]],"mmm")</f>
        <v>Mar</v>
      </c>
      <c r="N1819">
        <f>YEAR(Table9[[#This Row],[OrderDate ]])</f>
        <v>2015</v>
      </c>
    </row>
    <row r="1820" spans="1:14" x14ac:dyDescent="0.3">
      <c r="A1820">
        <v>10949</v>
      </c>
      <c r="B1820" s="2">
        <f>_xlfn.XLOOKUP(Table9[[#This Row],[orderID]],orders[orderID],orders[orderDate],,0)</f>
        <v>42076</v>
      </c>
      <c r="C1820">
        <f>_xlfn.XLOOKUP(A1820,order_details[orderID],order_details[productID],,0)</f>
        <v>6</v>
      </c>
      <c r="D1820" t="str">
        <f>_xlfn.XLOOKUP(C1820,products[productID],products[productName],,0)</f>
        <v>Grandma's Boysenberry Spread</v>
      </c>
      <c r="E1820" t="str">
        <f>_xlfn.XLOOKUP(_xlfn.XLOOKUP(Table9[[#This Row],[ProductName ]],products[productName],products[categoryID],,0),categories[categoryID],categories[categoryName],,0)</f>
        <v>Condiments</v>
      </c>
      <c r="F1820">
        <v>30</v>
      </c>
      <c r="G1820">
        <v>31</v>
      </c>
      <c r="H1820">
        <v>0</v>
      </c>
      <c r="I1820">
        <f>Table9[[#This Row],[quantity]]*Table9[[#This Row],[unitPrice]]*(1-Table9[[#This Row],[discount]]/100)</f>
        <v>930</v>
      </c>
      <c r="J1820" t="str">
        <f>_xlfn.XLOOKUP(_xlfn.XLOOKUP(A1820,orders[orderID],orders[customerID],,0),customers__2[customerID],customers__2[companyName],,0)</f>
        <v>Bottom-Dollar Markets</v>
      </c>
      <c r="K1820" t="str">
        <f>_xlfn.XLOOKUP(Table9[[#This Row],[Company Name]],customers__2[companyName],customers__2[country],,0)</f>
        <v>Canada</v>
      </c>
      <c r="L1820">
        <f>MONTH(Table9[[#This Row],[OrderDate ]])</f>
        <v>3</v>
      </c>
      <c r="M1820" t="str">
        <f>TEXT(Table9[[#This Row],[OrderDate ]],"mmm")</f>
        <v>Mar</v>
      </c>
      <c r="N1820">
        <f>YEAR(Table9[[#This Row],[OrderDate ]])</f>
        <v>2015</v>
      </c>
    </row>
    <row r="1821" spans="1:14" x14ac:dyDescent="0.3">
      <c r="A1821">
        <v>10949</v>
      </c>
      <c r="B1821" s="2">
        <f>_xlfn.XLOOKUP(Table9[[#This Row],[orderID]],orders[orderID],orders[orderDate],,0)</f>
        <v>42076</v>
      </c>
      <c r="C1821">
        <f>_xlfn.XLOOKUP(A1821,order_details[orderID],order_details[productID],,0)</f>
        <v>6</v>
      </c>
      <c r="D1821" t="str">
        <f>_xlfn.XLOOKUP(C1821,products[productID],products[productName],,0)</f>
        <v>Grandma's Boysenberry Spread</v>
      </c>
      <c r="E1821" t="str">
        <f>_xlfn.XLOOKUP(_xlfn.XLOOKUP(Table9[[#This Row],[ProductName ]],products[productName],products[categoryID],,0),categories[categoryID],categories[categoryName],,0)</f>
        <v>Condiments</v>
      </c>
      <c r="F1821">
        <v>6</v>
      </c>
      <c r="G1821">
        <v>39</v>
      </c>
      <c r="H1821">
        <v>0</v>
      </c>
      <c r="I1821">
        <f>Table9[[#This Row],[quantity]]*Table9[[#This Row],[unitPrice]]*(1-Table9[[#This Row],[discount]]/100)</f>
        <v>234</v>
      </c>
      <c r="J1821" t="str">
        <f>_xlfn.XLOOKUP(_xlfn.XLOOKUP(A1821,orders[orderID],orders[customerID],,0),customers__2[customerID],customers__2[companyName],,0)</f>
        <v>Bottom-Dollar Markets</v>
      </c>
      <c r="K1821" t="str">
        <f>_xlfn.XLOOKUP(Table9[[#This Row],[Company Name]],customers__2[companyName],customers__2[country],,0)</f>
        <v>Canada</v>
      </c>
      <c r="L1821">
        <f>MONTH(Table9[[#This Row],[OrderDate ]])</f>
        <v>3</v>
      </c>
      <c r="M1821" t="str">
        <f>TEXT(Table9[[#This Row],[OrderDate ]],"mmm")</f>
        <v>Mar</v>
      </c>
      <c r="N1821">
        <f>YEAR(Table9[[#This Row],[OrderDate ]])</f>
        <v>2015</v>
      </c>
    </row>
    <row r="1822" spans="1:14" x14ac:dyDescent="0.3">
      <c r="A1822">
        <v>10949</v>
      </c>
      <c r="B1822" s="2">
        <f>_xlfn.XLOOKUP(Table9[[#This Row],[orderID]],orders[orderID],orders[orderDate],,0)</f>
        <v>42076</v>
      </c>
      <c r="C1822">
        <f>_xlfn.XLOOKUP(A1822,order_details[orderID],order_details[productID],,0)</f>
        <v>6</v>
      </c>
      <c r="D1822" t="str">
        <f>_xlfn.XLOOKUP(C1822,products[productID],products[productName],,0)</f>
        <v>Grandma's Boysenberry Spread</v>
      </c>
      <c r="E1822" t="str">
        <f>_xlfn.XLOOKUP(_xlfn.XLOOKUP(Table9[[#This Row],[ProductName ]],products[productName],products[categoryID],,0),categories[categoryID],categories[categoryName],,0)</f>
        <v>Condiments</v>
      </c>
      <c r="F1822">
        <v>60</v>
      </c>
      <c r="G1822">
        <v>493</v>
      </c>
      <c r="H1822">
        <v>0</v>
      </c>
      <c r="I1822">
        <f>Table9[[#This Row],[quantity]]*Table9[[#This Row],[unitPrice]]*(1-Table9[[#This Row],[discount]]/100)</f>
        <v>29580</v>
      </c>
      <c r="J1822" t="str">
        <f>_xlfn.XLOOKUP(_xlfn.XLOOKUP(A1822,orders[orderID],orders[customerID],,0),customers__2[customerID],customers__2[companyName],,0)</f>
        <v>Bottom-Dollar Markets</v>
      </c>
      <c r="K1822" t="str">
        <f>_xlfn.XLOOKUP(Table9[[#This Row],[Company Name]],customers__2[companyName],customers__2[country],,0)</f>
        <v>Canada</v>
      </c>
      <c r="L1822">
        <f>MONTH(Table9[[#This Row],[OrderDate ]])</f>
        <v>3</v>
      </c>
      <c r="M1822" t="str">
        <f>TEXT(Table9[[#This Row],[OrderDate ]],"mmm")</f>
        <v>Mar</v>
      </c>
      <c r="N1822">
        <f>YEAR(Table9[[#This Row],[OrderDate ]])</f>
        <v>2015</v>
      </c>
    </row>
    <row r="1823" spans="1:14" x14ac:dyDescent="0.3">
      <c r="A1823">
        <v>10950</v>
      </c>
      <c r="B1823" s="2">
        <f>_xlfn.XLOOKUP(Table9[[#This Row],[orderID]],orders[orderID],orders[orderDate],,0)</f>
        <v>42079</v>
      </c>
      <c r="C1823">
        <f>_xlfn.XLOOKUP(A1823,order_details[orderID],order_details[productID],,0)</f>
        <v>4</v>
      </c>
      <c r="D1823" t="str">
        <f>_xlfn.XLOOKUP(C1823,products[productID],products[productName],,0)</f>
        <v>Chef Anton's Cajun Seasoning</v>
      </c>
      <c r="E1823" t="str">
        <f>_xlfn.XLOOKUP(_xlfn.XLOOKUP(Table9[[#This Row],[ProductName ]],products[productName],products[categoryID],,0),categories[categoryID],categories[categoryName],,0)</f>
        <v>Condiments</v>
      </c>
      <c r="F1823">
        <v>5</v>
      </c>
      <c r="G1823">
        <v>22</v>
      </c>
      <c r="H1823">
        <v>0</v>
      </c>
      <c r="I1823">
        <f>Table9[[#This Row],[quantity]]*Table9[[#This Row],[unitPrice]]*(1-Table9[[#This Row],[discount]]/100)</f>
        <v>110</v>
      </c>
      <c r="J1823" t="str">
        <f>_xlfn.XLOOKUP(_xlfn.XLOOKUP(A1823,orders[orderID],orders[customerID],,0),customers__2[customerID],customers__2[companyName],,0)</f>
        <v>Magazzini Alimentari Riuniti</v>
      </c>
      <c r="K1823" t="str">
        <f>_xlfn.XLOOKUP(Table9[[#This Row],[Company Name]],customers__2[companyName],customers__2[country],,0)</f>
        <v>Italy</v>
      </c>
      <c r="L1823">
        <f>MONTH(Table9[[#This Row],[OrderDate ]])</f>
        <v>3</v>
      </c>
      <c r="M1823" t="str">
        <f>TEXT(Table9[[#This Row],[OrderDate ]],"mmm")</f>
        <v>Mar</v>
      </c>
      <c r="N1823">
        <f>YEAR(Table9[[#This Row],[OrderDate ]])</f>
        <v>2015</v>
      </c>
    </row>
    <row r="1824" spans="1:14" x14ac:dyDescent="0.3">
      <c r="A1824">
        <v>10951</v>
      </c>
      <c r="B1824" s="2">
        <f>_xlfn.XLOOKUP(Table9[[#This Row],[orderID]],orders[orderID],orders[orderDate],,0)</f>
        <v>42079</v>
      </c>
      <c r="C1824">
        <f>_xlfn.XLOOKUP(A1824,order_details[orderID],order_details[productID],,0)</f>
        <v>33</v>
      </c>
      <c r="D1824" t="str">
        <f>_xlfn.XLOOKUP(C1824,products[productID],products[productName],,0)</f>
        <v>Geitost</v>
      </c>
      <c r="E1824" t="str">
        <f>_xlfn.XLOOKUP(_xlfn.XLOOKUP(Table9[[#This Row],[ProductName ]],products[productName],products[categoryID],,0),categories[categoryID],categories[categoryName],,0)</f>
        <v>Dairy Products</v>
      </c>
      <c r="F1824">
        <v>15</v>
      </c>
      <c r="G1824">
        <v>25</v>
      </c>
      <c r="H1824">
        <v>5</v>
      </c>
      <c r="I1824">
        <f>Table9[[#This Row],[quantity]]*Table9[[#This Row],[unitPrice]]*(1-Table9[[#This Row],[discount]]/100)</f>
        <v>356.25</v>
      </c>
      <c r="J1824" t="str">
        <f>_xlfn.XLOOKUP(_xlfn.XLOOKUP(A1824,orders[orderID],orders[customerID],,0),customers__2[customerID],customers__2[companyName],,0)</f>
        <v>Richter Supermarkt</v>
      </c>
      <c r="K1824" t="str">
        <f>_xlfn.XLOOKUP(Table9[[#This Row],[Company Name]],customers__2[companyName],customers__2[country],,0)</f>
        <v>Switzerland</v>
      </c>
      <c r="L1824">
        <f>MONTH(Table9[[#This Row],[OrderDate ]])</f>
        <v>3</v>
      </c>
      <c r="M1824" t="str">
        <f>TEXT(Table9[[#This Row],[OrderDate ]],"mmm")</f>
        <v>Mar</v>
      </c>
      <c r="N1824">
        <f>YEAR(Table9[[#This Row],[OrderDate ]])</f>
        <v>2015</v>
      </c>
    </row>
    <row r="1825" spans="1:14" x14ac:dyDescent="0.3">
      <c r="A1825">
        <v>10951</v>
      </c>
      <c r="B1825" s="2">
        <f>_xlfn.XLOOKUP(Table9[[#This Row],[orderID]],orders[orderID],orders[orderDate],,0)</f>
        <v>42079</v>
      </c>
      <c r="C1825">
        <f>_xlfn.XLOOKUP(A1825,order_details[orderID],order_details[productID],,0)</f>
        <v>33</v>
      </c>
      <c r="D1825" t="str">
        <f>_xlfn.XLOOKUP(C1825,products[productID],products[productName],,0)</f>
        <v>Geitost</v>
      </c>
      <c r="E1825" t="str">
        <f>_xlfn.XLOOKUP(_xlfn.XLOOKUP(Table9[[#This Row],[ProductName ]],products[productName],products[categoryID],,0),categories[categoryID],categories[categoryName],,0)</f>
        <v>Dairy Products</v>
      </c>
      <c r="F1825">
        <v>6</v>
      </c>
      <c r="G1825">
        <v>965</v>
      </c>
      <c r="H1825">
        <v>5</v>
      </c>
      <c r="I1825">
        <f>Table9[[#This Row],[quantity]]*Table9[[#This Row],[unitPrice]]*(1-Table9[[#This Row],[discount]]/100)</f>
        <v>5500.5</v>
      </c>
      <c r="J1825" t="str">
        <f>_xlfn.XLOOKUP(_xlfn.XLOOKUP(A1825,orders[orderID],orders[customerID],,0),customers__2[customerID],customers__2[companyName],,0)</f>
        <v>Richter Supermarkt</v>
      </c>
      <c r="K1825" t="str">
        <f>_xlfn.XLOOKUP(Table9[[#This Row],[Company Name]],customers__2[companyName],customers__2[country],,0)</f>
        <v>Switzerland</v>
      </c>
      <c r="L1825">
        <f>MONTH(Table9[[#This Row],[OrderDate ]])</f>
        <v>3</v>
      </c>
      <c r="M1825" t="str">
        <f>TEXT(Table9[[#This Row],[OrderDate ]],"mmm")</f>
        <v>Mar</v>
      </c>
      <c r="N1825">
        <f>YEAR(Table9[[#This Row],[OrderDate ]])</f>
        <v>2015</v>
      </c>
    </row>
    <row r="1826" spans="1:14" x14ac:dyDescent="0.3">
      <c r="A1826">
        <v>10951</v>
      </c>
      <c r="B1826" s="2">
        <f>_xlfn.XLOOKUP(Table9[[#This Row],[orderID]],orders[orderID],orders[orderDate],,0)</f>
        <v>42079</v>
      </c>
      <c r="C1826">
        <f>_xlfn.XLOOKUP(A1826,order_details[orderID],order_details[productID],,0)</f>
        <v>33</v>
      </c>
      <c r="D1826" t="str">
        <f>_xlfn.XLOOKUP(C1826,products[productID],products[productName],,0)</f>
        <v>Geitost</v>
      </c>
      <c r="E1826" t="str">
        <f>_xlfn.XLOOKUP(_xlfn.XLOOKUP(Table9[[#This Row],[ProductName ]],products[productName],products[categoryID],,0),categories[categoryID],categories[categoryName],,0)</f>
        <v>Dairy Products</v>
      </c>
      <c r="F1826">
        <v>50</v>
      </c>
      <c r="G1826">
        <v>775</v>
      </c>
      <c r="H1826">
        <v>5</v>
      </c>
      <c r="I1826">
        <f>Table9[[#This Row],[quantity]]*Table9[[#This Row],[unitPrice]]*(1-Table9[[#This Row],[discount]]/100)</f>
        <v>36812.5</v>
      </c>
      <c r="J1826" t="str">
        <f>_xlfn.XLOOKUP(_xlfn.XLOOKUP(A1826,orders[orderID],orders[customerID],,0),customers__2[customerID],customers__2[companyName],,0)</f>
        <v>Richter Supermarkt</v>
      </c>
      <c r="K1826" t="str">
        <f>_xlfn.XLOOKUP(Table9[[#This Row],[Company Name]],customers__2[companyName],customers__2[country],,0)</f>
        <v>Switzerland</v>
      </c>
      <c r="L1826">
        <f>MONTH(Table9[[#This Row],[OrderDate ]])</f>
        <v>3</v>
      </c>
      <c r="M1826" t="str">
        <f>TEXT(Table9[[#This Row],[OrderDate ]],"mmm")</f>
        <v>Mar</v>
      </c>
      <c r="N1826">
        <f>YEAR(Table9[[#This Row],[OrderDate ]])</f>
        <v>2015</v>
      </c>
    </row>
    <row r="1827" spans="1:14" x14ac:dyDescent="0.3">
      <c r="A1827">
        <v>10952</v>
      </c>
      <c r="B1827" s="2">
        <f>_xlfn.XLOOKUP(Table9[[#This Row],[orderID]],orders[orderID],orders[orderDate],,0)</f>
        <v>42079</v>
      </c>
      <c r="C1827">
        <f>_xlfn.XLOOKUP(A1827,order_details[orderID],order_details[productID],,0)</f>
        <v>6</v>
      </c>
      <c r="D1827" t="str">
        <f>_xlfn.XLOOKUP(C1827,products[productID],products[productName],,0)</f>
        <v>Grandma's Boysenberry Spread</v>
      </c>
      <c r="E1827" t="str">
        <f>_xlfn.XLOOKUP(_xlfn.XLOOKUP(Table9[[#This Row],[ProductName ]],products[productName],products[categoryID],,0),categories[categoryID],categories[categoryName],,0)</f>
        <v>Condiments</v>
      </c>
      <c r="F1827">
        <v>16</v>
      </c>
      <c r="G1827">
        <v>25</v>
      </c>
      <c r="H1827">
        <v>5</v>
      </c>
      <c r="I1827">
        <f>Table9[[#This Row],[quantity]]*Table9[[#This Row],[unitPrice]]*(1-Table9[[#This Row],[discount]]/100)</f>
        <v>380</v>
      </c>
      <c r="J1827" t="str">
        <f>_xlfn.XLOOKUP(_xlfn.XLOOKUP(A1827,orders[orderID],orders[customerID],,0),customers__2[customerID],customers__2[companyName],,0)</f>
        <v>Alfreds Futterkiste</v>
      </c>
      <c r="K1827" t="str">
        <f>_xlfn.XLOOKUP(Table9[[#This Row],[Company Name]],customers__2[companyName],customers__2[country],,0)</f>
        <v>Germany</v>
      </c>
      <c r="L1827">
        <f>MONTH(Table9[[#This Row],[OrderDate ]])</f>
        <v>3</v>
      </c>
      <c r="M1827" t="str">
        <f>TEXT(Table9[[#This Row],[OrderDate ]],"mmm")</f>
        <v>Mar</v>
      </c>
      <c r="N1827">
        <f>YEAR(Table9[[#This Row],[OrderDate ]])</f>
        <v>2015</v>
      </c>
    </row>
    <row r="1828" spans="1:14" x14ac:dyDescent="0.3">
      <c r="A1828">
        <v>10952</v>
      </c>
      <c r="B1828" s="2">
        <f>_xlfn.XLOOKUP(Table9[[#This Row],[orderID]],orders[orderID],orders[orderDate],,0)</f>
        <v>42079</v>
      </c>
      <c r="C1828">
        <f>_xlfn.XLOOKUP(A1828,order_details[orderID],order_details[productID],,0)</f>
        <v>6</v>
      </c>
      <c r="D1828" t="str">
        <f>_xlfn.XLOOKUP(C1828,products[productID],products[productName],,0)</f>
        <v>Grandma's Boysenberry Spread</v>
      </c>
      <c r="E1828" t="str">
        <f>_xlfn.XLOOKUP(_xlfn.XLOOKUP(Table9[[#This Row],[ProductName ]],products[productName],products[categoryID],,0),categories[categoryID],categories[categoryName],,0)</f>
        <v>Condiments</v>
      </c>
      <c r="F1828">
        <v>2</v>
      </c>
      <c r="G1828">
        <v>456</v>
      </c>
      <c r="H1828">
        <v>0</v>
      </c>
      <c r="I1828">
        <f>Table9[[#This Row],[quantity]]*Table9[[#This Row],[unitPrice]]*(1-Table9[[#This Row],[discount]]/100)</f>
        <v>912</v>
      </c>
      <c r="J1828" t="str">
        <f>_xlfn.XLOOKUP(_xlfn.XLOOKUP(A1828,orders[orderID],orders[customerID],,0),customers__2[customerID],customers__2[companyName],,0)</f>
        <v>Alfreds Futterkiste</v>
      </c>
      <c r="K1828" t="str">
        <f>_xlfn.XLOOKUP(Table9[[#This Row],[Company Name]],customers__2[companyName],customers__2[country],,0)</f>
        <v>Germany</v>
      </c>
      <c r="L1828">
        <f>MONTH(Table9[[#This Row],[OrderDate ]])</f>
        <v>3</v>
      </c>
      <c r="M1828" t="str">
        <f>TEXT(Table9[[#This Row],[OrderDate ]],"mmm")</f>
        <v>Mar</v>
      </c>
      <c r="N1828">
        <f>YEAR(Table9[[#This Row],[OrderDate ]])</f>
        <v>2015</v>
      </c>
    </row>
    <row r="1829" spans="1:14" x14ac:dyDescent="0.3">
      <c r="A1829">
        <v>10953</v>
      </c>
      <c r="B1829" s="2">
        <f>_xlfn.XLOOKUP(Table9[[#This Row],[orderID]],orders[orderID],orders[orderDate],,0)</f>
        <v>42079</v>
      </c>
      <c r="C1829">
        <f>_xlfn.XLOOKUP(A1829,order_details[orderID],order_details[productID],,0)</f>
        <v>20</v>
      </c>
      <c r="D1829" t="str">
        <f>_xlfn.XLOOKUP(C1829,products[productID],products[productName],,0)</f>
        <v>Sir Rodney's Marmalade</v>
      </c>
      <c r="E1829" t="str">
        <f>_xlfn.XLOOKUP(_xlfn.XLOOKUP(Table9[[#This Row],[ProductName ]],products[productName],products[categoryID],,0),categories[categoryID],categories[categoryName],,0)</f>
        <v>Confections</v>
      </c>
      <c r="F1829">
        <v>50</v>
      </c>
      <c r="G1829">
        <v>81</v>
      </c>
      <c r="H1829">
        <v>5</v>
      </c>
      <c r="I1829">
        <f>Table9[[#This Row],[quantity]]*Table9[[#This Row],[unitPrice]]*(1-Table9[[#This Row],[discount]]/100)</f>
        <v>3847.5</v>
      </c>
      <c r="J1829" t="str">
        <f>_xlfn.XLOOKUP(_xlfn.XLOOKUP(A1829,orders[orderID],orders[customerID],,0),customers__2[customerID],customers__2[companyName],,0)</f>
        <v>Around the Horn</v>
      </c>
      <c r="K1829" t="str">
        <f>_xlfn.XLOOKUP(Table9[[#This Row],[Company Name]],customers__2[companyName],customers__2[country],,0)</f>
        <v>UK</v>
      </c>
      <c r="L1829">
        <f>MONTH(Table9[[#This Row],[OrderDate ]])</f>
        <v>3</v>
      </c>
      <c r="M1829" t="str">
        <f>TEXT(Table9[[#This Row],[OrderDate ]],"mmm")</f>
        <v>Mar</v>
      </c>
      <c r="N1829">
        <f>YEAR(Table9[[#This Row],[OrderDate ]])</f>
        <v>2015</v>
      </c>
    </row>
    <row r="1830" spans="1:14" x14ac:dyDescent="0.3">
      <c r="A1830">
        <v>10953</v>
      </c>
      <c r="B1830" s="2">
        <f>_xlfn.XLOOKUP(Table9[[#This Row],[orderID]],orders[orderID],orders[orderDate],,0)</f>
        <v>42079</v>
      </c>
      <c r="C1830">
        <f>_xlfn.XLOOKUP(A1830,order_details[orderID],order_details[productID],,0)</f>
        <v>20</v>
      </c>
      <c r="D1830" t="str">
        <f>_xlfn.XLOOKUP(C1830,products[productID],products[productName],,0)</f>
        <v>Sir Rodney's Marmalade</v>
      </c>
      <c r="E1830" t="str">
        <f>_xlfn.XLOOKUP(_xlfn.XLOOKUP(Table9[[#This Row],[ProductName ]],products[productName],products[categoryID],,0),categories[categoryID],categories[categoryName],,0)</f>
        <v>Confections</v>
      </c>
      <c r="F1830">
        <v>50</v>
      </c>
      <c r="G1830">
        <v>125</v>
      </c>
      <c r="H1830">
        <v>5</v>
      </c>
      <c r="I1830">
        <f>Table9[[#This Row],[quantity]]*Table9[[#This Row],[unitPrice]]*(1-Table9[[#This Row],[discount]]/100)</f>
        <v>5937.5</v>
      </c>
      <c r="J1830" t="str">
        <f>_xlfn.XLOOKUP(_xlfn.XLOOKUP(A1830,orders[orderID],orders[customerID],,0),customers__2[customerID],customers__2[companyName],,0)</f>
        <v>Around the Horn</v>
      </c>
      <c r="K1830" t="str">
        <f>_xlfn.XLOOKUP(Table9[[#This Row],[Company Name]],customers__2[companyName],customers__2[country],,0)</f>
        <v>UK</v>
      </c>
      <c r="L1830">
        <f>MONTH(Table9[[#This Row],[OrderDate ]])</f>
        <v>3</v>
      </c>
      <c r="M1830" t="str">
        <f>TEXT(Table9[[#This Row],[OrderDate ]],"mmm")</f>
        <v>Mar</v>
      </c>
      <c r="N1830">
        <f>YEAR(Table9[[#This Row],[OrderDate ]])</f>
        <v>2015</v>
      </c>
    </row>
    <row r="1831" spans="1:14" x14ac:dyDescent="0.3">
      <c r="A1831">
        <v>10954</v>
      </c>
      <c r="B1831" s="2">
        <f>_xlfn.XLOOKUP(Table9[[#This Row],[orderID]],orders[orderID],orders[orderDate],,0)</f>
        <v>42080</v>
      </c>
      <c r="C1831">
        <f>_xlfn.XLOOKUP(A1831,order_details[orderID],order_details[productID],,0)</f>
        <v>16</v>
      </c>
      <c r="D1831" t="str">
        <f>_xlfn.XLOOKUP(C1831,products[productID],products[productName],,0)</f>
        <v>Pavlova</v>
      </c>
      <c r="E1831" t="str">
        <f>_xlfn.XLOOKUP(_xlfn.XLOOKUP(Table9[[#This Row],[ProductName ]],products[productName],products[categoryID],,0),categories[categoryID],categories[categoryName],,0)</f>
        <v>Confections</v>
      </c>
      <c r="F1831">
        <v>28</v>
      </c>
      <c r="G1831">
        <v>1745</v>
      </c>
      <c r="H1831">
        <v>15</v>
      </c>
      <c r="I1831">
        <f>Table9[[#This Row],[quantity]]*Table9[[#This Row],[unitPrice]]*(1-Table9[[#This Row],[discount]]/100)</f>
        <v>41531</v>
      </c>
      <c r="J1831" t="str">
        <f>_xlfn.XLOOKUP(_xlfn.XLOOKUP(A1831,orders[orderID],orders[customerID],,0),customers__2[customerID],customers__2[companyName],,0)</f>
        <v>LINO-Delicateses</v>
      </c>
      <c r="K1831" t="str">
        <f>_xlfn.XLOOKUP(Table9[[#This Row],[Company Name]],customers__2[companyName],customers__2[country],,0)</f>
        <v>Venezuela</v>
      </c>
      <c r="L1831">
        <f>MONTH(Table9[[#This Row],[OrderDate ]])</f>
        <v>3</v>
      </c>
      <c r="M1831" t="str">
        <f>TEXT(Table9[[#This Row],[OrderDate ]],"mmm")</f>
        <v>Mar</v>
      </c>
      <c r="N1831">
        <f>YEAR(Table9[[#This Row],[OrderDate ]])</f>
        <v>2015</v>
      </c>
    </row>
    <row r="1832" spans="1:14" x14ac:dyDescent="0.3">
      <c r="A1832">
        <v>10954</v>
      </c>
      <c r="B1832" s="2">
        <f>_xlfn.XLOOKUP(Table9[[#This Row],[orderID]],orders[orderID],orders[orderDate],,0)</f>
        <v>42080</v>
      </c>
      <c r="C1832">
        <f>_xlfn.XLOOKUP(A1832,order_details[orderID],order_details[productID],,0)</f>
        <v>16</v>
      </c>
      <c r="D1832" t="str">
        <f>_xlfn.XLOOKUP(C1832,products[productID],products[productName],,0)</f>
        <v>Pavlova</v>
      </c>
      <c r="E1832" t="str">
        <f>_xlfn.XLOOKUP(_xlfn.XLOOKUP(Table9[[#This Row],[ProductName ]],products[productName],products[categoryID],,0),categories[categoryID],categories[categoryName],,0)</f>
        <v>Confections</v>
      </c>
      <c r="F1832">
        <v>25</v>
      </c>
      <c r="G1832">
        <v>125</v>
      </c>
      <c r="H1832">
        <v>15</v>
      </c>
      <c r="I1832">
        <f>Table9[[#This Row],[quantity]]*Table9[[#This Row],[unitPrice]]*(1-Table9[[#This Row],[discount]]/100)</f>
        <v>2656.25</v>
      </c>
      <c r="J1832" t="str">
        <f>_xlfn.XLOOKUP(_xlfn.XLOOKUP(A1832,orders[orderID],orders[customerID],,0),customers__2[customerID],customers__2[companyName],,0)</f>
        <v>LINO-Delicateses</v>
      </c>
      <c r="K1832" t="str">
        <f>_xlfn.XLOOKUP(Table9[[#This Row],[Company Name]],customers__2[companyName],customers__2[country],,0)</f>
        <v>Venezuela</v>
      </c>
      <c r="L1832">
        <f>MONTH(Table9[[#This Row],[OrderDate ]])</f>
        <v>3</v>
      </c>
      <c r="M1832" t="str">
        <f>TEXT(Table9[[#This Row],[OrderDate ]],"mmm")</f>
        <v>Mar</v>
      </c>
      <c r="N1832">
        <f>YEAR(Table9[[#This Row],[OrderDate ]])</f>
        <v>2015</v>
      </c>
    </row>
    <row r="1833" spans="1:14" x14ac:dyDescent="0.3">
      <c r="A1833">
        <v>10954</v>
      </c>
      <c r="B1833" s="2">
        <f>_xlfn.XLOOKUP(Table9[[#This Row],[orderID]],orders[orderID],orders[orderDate],,0)</f>
        <v>42080</v>
      </c>
      <c r="C1833">
        <f>_xlfn.XLOOKUP(A1833,order_details[orderID],order_details[productID],,0)</f>
        <v>16</v>
      </c>
      <c r="D1833" t="str">
        <f>_xlfn.XLOOKUP(C1833,products[productID],products[productName],,0)</f>
        <v>Pavlova</v>
      </c>
      <c r="E1833" t="str">
        <f>_xlfn.XLOOKUP(_xlfn.XLOOKUP(Table9[[#This Row],[ProductName ]],products[productName],products[categoryID],,0),categories[categoryID],categories[categoryName],,0)</f>
        <v>Confections</v>
      </c>
      <c r="F1833">
        <v>30</v>
      </c>
      <c r="G1833">
        <v>95</v>
      </c>
      <c r="H1833">
        <v>0</v>
      </c>
      <c r="I1833">
        <f>Table9[[#This Row],[quantity]]*Table9[[#This Row],[unitPrice]]*(1-Table9[[#This Row],[discount]]/100)</f>
        <v>2850</v>
      </c>
      <c r="J1833" t="str">
        <f>_xlfn.XLOOKUP(_xlfn.XLOOKUP(A1833,orders[orderID],orders[customerID],,0),customers__2[customerID],customers__2[companyName],,0)</f>
        <v>LINO-Delicateses</v>
      </c>
      <c r="K1833" t="str">
        <f>_xlfn.XLOOKUP(Table9[[#This Row],[Company Name]],customers__2[companyName],customers__2[country],,0)</f>
        <v>Venezuela</v>
      </c>
      <c r="L1833">
        <f>MONTH(Table9[[#This Row],[OrderDate ]])</f>
        <v>3</v>
      </c>
      <c r="M1833" t="str">
        <f>TEXT(Table9[[#This Row],[OrderDate ]],"mmm")</f>
        <v>Mar</v>
      </c>
      <c r="N1833">
        <f>YEAR(Table9[[#This Row],[OrderDate ]])</f>
        <v>2015</v>
      </c>
    </row>
    <row r="1834" spans="1:14" x14ac:dyDescent="0.3">
      <c r="A1834">
        <v>10954</v>
      </c>
      <c r="B1834" s="2">
        <f>_xlfn.XLOOKUP(Table9[[#This Row],[orderID]],orders[orderID],orders[orderDate],,0)</f>
        <v>42080</v>
      </c>
      <c r="C1834">
        <f>_xlfn.XLOOKUP(A1834,order_details[orderID],order_details[productID],,0)</f>
        <v>16</v>
      </c>
      <c r="D1834" t="str">
        <f>_xlfn.XLOOKUP(C1834,products[productID],products[productName],,0)</f>
        <v>Pavlova</v>
      </c>
      <c r="E1834" t="str">
        <f>_xlfn.XLOOKUP(_xlfn.XLOOKUP(Table9[[#This Row],[ProductName ]],products[productName],products[categoryID],,0),categories[categoryID],categories[categoryName],,0)</f>
        <v>Confections</v>
      </c>
      <c r="F1834">
        <v>24</v>
      </c>
      <c r="G1834">
        <v>34</v>
      </c>
      <c r="H1834">
        <v>15</v>
      </c>
      <c r="I1834">
        <f>Table9[[#This Row],[quantity]]*Table9[[#This Row],[unitPrice]]*(1-Table9[[#This Row],[discount]]/100)</f>
        <v>693.6</v>
      </c>
      <c r="J1834" t="str">
        <f>_xlfn.XLOOKUP(_xlfn.XLOOKUP(A1834,orders[orderID],orders[customerID],,0),customers__2[customerID],customers__2[companyName],,0)</f>
        <v>LINO-Delicateses</v>
      </c>
      <c r="K1834" t="str">
        <f>_xlfn.XLOOKUP(Table9[[#This Row],[Company Name]],customers__2[companyName],customers__2[country],,0)</f>
        <v>Venezuela</v>
      </c>
      <c r="L1834">
        <f>MONTH(Table9[[#This Row],[OrderDate ]])</f>
        <v>3</v>
      </c>
      <c r="M1834" t="str">
        <f>TEXT(Table9[[#This Row],[OrderDate ]],"mmm")</f>
        <v>Mar</v>
      </c>
      <c r="N1834">
        <f>YEAR(Table9[[#This Row],[OrderDate ]])</f>
        <v>2015</v>
      </c>
    </row>
    <row r="1835" spans="1:14" x14ac:dyDescent="0.3">
      <c r="A1835">
        <v>10955</v>
      </c>
      <c r="B1835" s="2">
        <f>_xlfn.XLOOKUP(Table9[[#This Row],[orderID]],orders[orderID],orders[orderDate],,0)</f>
        <v>42080</v>
      </c>
      <c r="C1835">
        <f>_xlfn.XLOOKUP(A1835,order_details[orderID],order_details[productID],,0)</f>
        <v>75</v>
      </c>
      <c r="D1835" t="str">
        <f>_xlfn.XLOOKUP(C1835,products[productID],products[productName],,0)</f>
        <v>Rhönbräu Klosterbier</v>
      </c>
      <c r="E1835" t="str">
        <f>_xlfn.XLOOKUP(_xlfn.XLOOKUP(Table9[[#This Row],[ProductName ]],products[productName],products[categoryID],,0),categories[categoryID],categories[categoryName],,0)</f>
        <v>Beverages</v>
      </c>
      <c r="F1835">
        <v>12</v>
      </c>
      <c r="G1835">
        <v>775</v>
      </c>
      <c r="H1835">
        <v>2</v>
      </c>
      <c r="I1835">
        <f>Table9[[#This Row],[quantity]]*Table9[[#This Row],[unitPrice]]*(1-Table9[[#This Row],[discount]]/100)</f>
        <v>9114</v>
      </c>
      <c r="J1835" t="str">
        <f>_xlfn.XLOOKUP(_xlfn.XLOOKUP(A1835,orders[orderID],orders[customerID],,0),customers__2[customerID],customers__2[companyName],,0)</f>
        <v>Folk och fä HB</v>
      </c>
      <c r="K1835" t="str">
        <f>_xlfn.XLOOKUP(Table9[[#This Row],[Company Name]],customers__2[companyName],customers__2[country],,0)</f>
        <v>Sweden</v>
      </c>
      <c r="L1835">
        <f>MONTH(Table9[[#This Row],[OrderDate ]])</f>
        <v>3</v>
      </c>
      <c r="M1835" t="str">
        <f>TEXT(Table9[[#This Row],[OrderDate ]],"mmm")</f>
        <v>Mar</v>
      </c>
      <c r="N1835">
        <f>YEAR(Table9[[#This Row],[OrderDate ]])</f>
        <v>2015</v>
      </c>
    </row>
    <row r="1836" spans="1:14" x14ac:dyDescent="0.3">
      <c r="A1836">
        <v>10956</v>
      </c>
      <c r="B1836" s="2">
        <f>_xlfn.XLOOKUP(Table9[[#This Row],[orderID]],orders[orderID],orders[orderDate],,0)</f>
        <v>42080</v>
      </c>
      <c r="C1836">
        <f>_xlfn.XLOOKUP(A1836,order_details[orderID],order_details[productID],,0)</f>
        <v>21</v>
      </c>
      <c r="D1836" t="str">
        <f>_xlfn.XLOOKUP(C1836,products[productID],products[productName],,0)</f>
        <v>Sir Rodney's Scones</v>
      </c>
      <c r="E1836" t="str">
        <f>_xlfn.XLOOKUP(_xlfn.XLOOKUP(Table9[[#This Row],[ProductName ]],products[productName],products[categoryID],,0),categories[categoryID],categories[categoryName],,0)</f>
        <v>Confections</v>
      </c>
      <c r="F1836">
        <v>12</v>
      </c>
      <c r="G1836">
        <v>10</v>
      </c>
      <c r="H1836">
        <v>0</v>
      </c>
      <c r="I1836">
        <f>Table9[[#This Row],[quantity]]*Table9[[#This Row],[unitPrice]]*(1-Table9[[#This Row],[discount]]/100)</f>
        <v>120</v>
      </c>
      <c r="J1836" t="str">
        <f>_xlfn.XLOOKUP(_xlfn.XLOOKUP(A1836,orders[orderID],orders[customerID],,0),customers__2[customerID],customers__2[companyName],,0)</f>
        <v>Blauer See Delikatessen</v>
      </c>
      <c r="K1836" t="str">
        <f>_xlfn.XLOOKUP(Table9[[#This Row],[Company Name]],customers__2[companyName],customers__2[country],,0)</f>
        <v>Germany</v>
      </c>
      <c r="L1836">
        <f>MONTH(Table9[[#This Row],[OrderDate ]])</f>
        <v>3</v>
      </c>
      <c r="M1836" t="str">
        <f>TEXT(Table9[[#This Row],[OrderDate ]],"mmm")</f>
        <v>Mar</v>
      </c>
      <c r="N1836">
        <f>YEAR(Table9[[#This Row],[OrderDate ]])</f>
        <v>2015</v>
      </c>
    </row>
    <row r="1837" spans="1:14" x14ac:dyDescent="0.3">
      <c r="A1837">
        <v>10956</v>
      </c>
      <c r="B1837" s="2">
        <f>_xlfn.XLOOKUP(Table9[[#This Row],[orderID]],orders[orderID],orders[orderDate],,0)</f>
        <v>42080</v>
      </c>
      <c r="C1837">
        <f>_xlfn.XLOOKUP(A1837,order_details[orderID],order_details[productID],,0)</f>
        <v>21</v>
      </c>
      <c r="D1837" t="str">
        <f>_xlfn.XLOOKUP(C1837,products[productID],products[productName],,0)</f>
        <v>Sir Rodney's Scones</v>
      </c>
      <c r="E1837" t="str">
        <f>_xlfn.XLOOKUP(_xlfn.XLOOKUP(Table9[[#This Row],[ProductName ]],products[productName],products[categoryID],,0),categories[categoryID],categories[categoryName],,0)</f>
        <v>Confections</v>
      </c>
      <c r="F1837">
        <v>14</v>
      </c>
      <c r="G1837">
        <v>95</v>
      </c>
      <c r="H1837">
        <v>0</v>
      </c>
      <c r="I1837">
        <f>Table9[[#This Row],[quantity]]*Table9[[#This Row],[unitPrice]]*(1-Table9[[#This Row],[discount]]/100)</f>
        <v>1330</v>
      </c>
      <c r="J1837" t="str">
        <f>_xlfn.XLOOKUP(_xlfn.XLOOKUP(A1837,orders[orderID],orders[customerID],,0),customers__2[customerID],customers__2[companyName],,0)</f>
        <v>Blauer See Delikatessen</v>
      </c>
      <c r="K1837" t="str">
        <f>_xlfn.XLOOKUP(Table9[[#This Row],[Company Name]],customers__2[companyName],customers__2[country],,0)</f>
        <v>Germany</v>
      </c>
      <c r="L1837">
        <f>MONTH(Table9[[#This Row],[OrderDate ]])</f>
        <v>3</v>
      </c>
      <c r="M1837" t="str">
        <f>TEXT(Table9[[#This Row],[OrderDate ]],"mmm")</f>
        <v>Mar</v>
      </c>
      <c r="N1837">
        <f>YEAR(Table9[[#This Row],[OrderDate ]])</f>
        <v>2015</v>
      </c>
    </row>
    <row r="1838" spans="1:14" x14ac:dyDescent="0.3">
      <c r="A1838">
        <v>10956</v>
      </c>
      <c r="B1838" s="2">
        <f>_xlfn.XLOOKUP(Table9[[#This Row],[orderID]],orders[orderID],orders[orderDate],,0)</f>
        <v>42080</v>
      </c>
      <c r="C1838">
        <f>_xlfn.XLOOKUP(A1838,order_details[orderID],order_details[productID],,0)</f>
        <v>21</v>
      </c>
      <c r="D1838" t="str">
        <f>_xlfn.XLOOKUP(C1838,products[productID],products[productName],,0)</f>
        <v>Sir Rodney's Scones</v>
      </c>
      <c r="E1838" t="str">
        <f>_xlfn.XLOOKUP(_xlfn.XLOOKUP(Table9[[#This Row],[ProductName ]],products[productName],products[categoryID],,0),categories[categoryID],categories[categoryName],,0)</f>
        <v>Confections</v>
      </c>
      <c r="F1838">
        <v>8</v>
      </c>
      <c r="G1838">
        <v>53</v>
      </c>
      <c r="H1838">
        <v>0</v>
      </c>
      <c r="I1838">
        <f>Table9[[#This Row],[quantity]]*Table9[[#This Row],[unitPrice]]*(1-Table9[[#This Row],[discount]]/100)</f>
        <v>424</v>
      </c>
      <c r="J1838" t="str">
        <f>_xlfn.XLOOKUP(_xlfn.XLOOKUP(A1838,orders[orderID],orders[customerID],,0),customers__2[customerID],customers__2[companyName],,0)</f>
        <v>Blauer See Delikatessen</v>
      </c>
      <c r="K1838" t="str">
        <f>_xlfn.XLOOKUP(Table9[[#This Row],[Company Name]],customers__2[companyName],customers__2[country],,0)</f>
        <v>Germany</v>
      </c>
      <c r="L1838">
        <f>MONTH(Table9[[#This Row],[OrderDate ]])</f>
        <v>3</v>
      </c>
      <c r="M1838" t="str">
        <f>TEXT(Table9[[#This Row],[OrderDate ]],"mmm")</f>
        <v>Mar</v>
      </c>
      <c r="N1838">
        <f>YEAR(Table9[[#This Row],[OrderDate ]])</f>
        <v>2015</v>
      </c>
    </row>
    <row r="1839" spans="1:14" x14ac:dyDescent="0.3">
      <c r="A1839">
        <v>10957</v>
      </c>
      <c r="B1839" s="2">
        <f>_xlfn.XLOOKUP(Table9[[#This Row],[orderID]],orders[orderID],orders[orderDate],,0)</f>
        <v>42081</v>
      </c>
      <c r="C1839">
        <f>_xlfn.XLOOKUP(A1839,order_details[orderID],order_details[productID],,0)</f>
        <v>30</v>
      </c>
      <c r="D1839" t="str">
        <f>_xlfn.XLOOKUP(C1839,products[productID],products[productName],,0)</f>
        <v>Nord-Ost Matjeshering</v>
      </c>
      <c r="E1839" t="str">
        <f>_xlfn.XLOOKUP(_xlfn.XLOOKUP(Table9[[#This Row],[ProductName ]],products[productName],products[categoryID],,0),categories[categoryID],categories[categoryName],,0)</f>
        <v>Seafood</v>
      </c>
      <c r="F1839">
        <v>30</v>
      </c>
      <c r="G1839">
        <v>2589</v>
      </c>
      <c r="H1839">
        <v>0</v>
      </c>
      <c r="I1839">
        <f>Table9[[#This Row],[quantity]]*Table9[[#This Row],[unitPrice]]*(1-Table9[[#This Row],[discount]]/100)</f>
        <v>77670</v>
      </c>
      <c r="J1839" t="str">
        <f>_xlfn.XLOOKUP(_xlfn.XLOOKUP(A1839,orders[orderID],orders[customerID],,0),customers__2[customerID],customers__2[companyName],,0)</f>
        <v>HILARION-Abastos</v>
      </c>
      <c r="K1839" t="str">
        <f>_xlfn.XLOOKUP(Table9[[#This Row],[Company Name]],customers__2[companyName],customers__2[country],,0)</f>
        <v>Venezuela</v>
      </c>
      <c r="L1839">
        <f>MONTH(Table9[[#This Row],[OrderDate ]])</f>
        <v>3</v>
      </c>
      <c r="M1839" t="str">
        <f>TEXT(Table9[[#This Row],[OrderDate ]],"mmm")</f>
        <v>Mar</v>
      </c>
      <c r="N1839">
        <f>YEAR(Table9[[#This Row],[OrderDate ]])</f>
        <v>2015</v>
      </c>
    </row>
    <row r="1840" spans="1:14" x14ac:dyDescent="0.3">
      <c r="A1840">
        <v>10957</v>
      </c>
      <c r="B1840" s="2">
        <f>_xlfn.XLOOKUP(Table9[[#This Row],[orderID]],orders[orderID],orders[orderDate],,0)</f>
        <v>42081</v>
      </c>
      <c r="C1840">
        <f>_xlfn.XLOOKUP(A1840,order_details[orderID],order_details[productID],,0)</f>
        <v>30</v>
      </c>
      <c r="D1840" t="str">
        <f>_xlfn.XLOOKUP(C1840,products[productID],products[productName],,0)</f>
        <v>Nord-Ost Matjeshering</v>
      </c>
      <c r="E1840" t="str">
        <f>_xlfn.XLOOKUP(_xlfn.XLOOKUP(Table9[[#This Row],[ProductName ]],products[productName],products[categoryID],,0),categories[categoryID],categories[categoryName],,0)</f>
        <v>Seafood</v>
      </c>
      <c r="F1840">
        <v>40</v>
      </c>
      <c r="G1840">
        <v>18</v>
      </c>
      <c r="H1840">
        <v>0</v>
      </c>
      <c r="I1840">
        <f>Table9[[#This Row],[quantity]]*Table9[[#This Row],[unitPrice]]*(1-Table9[[#This Row],[discount]]/100)</f>
        <v>720</v>
      </c>
      <c r="J1840" t="str">
        <f>_xlfn.XLOOKUP(_xlfn.XLOOKUP(A1840,orders[orderID],orders[customerID],,0),customers__2[customerID],customers__2[companyName],,0)</f>
        <v>HILARION-Abastos</v>
      </c>
      <c r="K1840" t="str">
        <f>_xlfn.XLOOKUP(Table9[[#This Row],[Company Name]],customers__2[companyName],customers__2[country],,0)</f>
        <v>Venezuela</v>
      </c>
      <c r="L1840">
        <f>MONTH(Table9[[#This Row],[OrderDate ]])</f>
        <v>3</v>
      </c>
      <c r="M1840" t="str">
        <f>TEXT(Table9[[#This Row],[OrderDate ]],"mmm")</f>
        <v>Mar</v>
      </c>
      <c r="N1840">
        <f>YEAR(Table9[[#This Row],[OrderDate ]])</f>
        <v>2015</v>
      </c>
    </row>
    <row r="1841" spans="1:14" x14ac:dyDescent="0.3">
      <c r="A1841">
        <v>10957</v>
      </c>
      <c r="B1841" s="2">
        <f>_xlfn.XLOOKUP(Table9[[#This Row],[orderID]],orders[orderID],orders[orderDate],,0)</f>
        <v>42081</v>
      </c>
      <c r="C1841">
        <f>_xlfn.XLOOKUP(A1841,order_details[orderID],order_details[productID],,0)</f>
        <v>30</v>
      </c>
      <c r="D1841" t="str">
        <f>_xlfn.XLOOKUP(C1841,products[productID],products[productName],,0)</f>
        <v>Nord-Ost Matjeshering</v>
      </c>
      <c r="E1841" t="str">
        <f>_xlfn.XLOOKUP(_xlfn.XLOOKUP(Table9[[#This Row],[ProductName ]],products[productName],products[categoryID],,0),categories[categoryID],categories[categoryName],,0)</f>
        <v>Seafood</v>
      </c>
      <c r="F1841">
        <v>8</v>
      </c>
      <c r="G1841">
        <v>3325</v>
      </c>
      <c r="H1841">
        <v>0</v>
      </c>
      <c r="I1841">
        <f>Table9[[#This Row],[quantity]]*Table9[[#This Row],[unitPrice]]*(1-Table9[[#This Row],[discount]]/100)</f>
        <v>26600</v>
      </c>
      <c r="J1841" t="str">
        <f>_xlfn.XLOOKUP(_xlfn.XLOOKUP(A1841,orders[orderID],orders[customerID],,0),customers__2[customerID],customers__2[companyName],,0)</f>
        <v>HILARION-Abastos</v>
      </c>
      <c r="K1841" t="str">
        <f>_xlfn.XLOOKUP(Table9[[#This Row],[Company Name]],customers__2[companyName],customers__2[country],,0)</f>
        <v>Venezuela</v>
      </c>
      <c r="L1841">
        <f>MONTH(Table9[[#This Row],[OrderDate ]])</f>
        <v>3</v>
      </c>
      <c r="M1841" t="str">
        <f>TEXT(Table9[[#This Row],[OrderDate ]],"mmm")</f>
        <v>Mar</v>
      </c>
      <c r="N1841">
        <f>YEAR(Table9[[#This Row],[OrderDate ]])</f>
        <v>2015</v>
      </c>
    </row>
    <row r="1842" spans="1:14" x14ac:dyDescent="0.3">
      <c r="A1842">
        <v>10958</v>
      </c>
      <c r="B1842" s="2">
        <f>_xlfn.XLOOKUP(Table9[[#This Row],[orderID]],orders[orderID],orders[orderDate],,0)</f>
        <v>42081</v>
      </c>
      <c r="C1842">
        <f>_xlfn.XLOOKUP(A1842,order_details[orderID],order_details[productID],,0)</f>
        <v>5</v>
      </c>
      <c r="D1842" t="str">
        <f>_xlfn.XLOOKUP(C1842,products[productID],products[productName],,0)</f>
        <v>Chef Anton's Gumbo Mix</v>
      </c>
      <c r="E1842" t="str">
        <f>_xlfn.XLOOKUP(_xlfn.XLOOKUP(Table9[[#This Row],[ProductName ]],products[productName],products[categoryID],,0),categories[categoryID],categories[categoryName],,0)</f>
        <v>Condiments</v>
      </c>
      <c r="F1842">
        <v>20</v>
      </c>
      <c r="G1842">
        <v>2135</v>
      </c>
      <c r="H1842">
        <v>0</v>
      </c>
      <c r="I1842">
        <f>Table9[[#This Row],[quantity]]*Table9[[#This Row],[unitPrice]]*(1-Table9[[#This Row],[discount]]/100)</f>
        <v>42700</v>
      </c>
      <c r="J1842" t="str">
        <f>_xlfn.XLOOKUP(_xlfn.XLOOKUP(A1842,orders[orderID],orders[customerID],,0),customers__2[customerID],customers__2[companyName],,0)</f>
        <v>Océano Atlántico Ltda.</v>
      </c>
      <c r="K1842" t="str">
        <f>_xlfn.XLOOKUP(Table9[[#This Row],[Company Name]],customers__2[companyName],customers__2[country],,0)</f>
        <v>Argentina</v>
      </c>
      <c r="L1842">
        <f>MONTH(Table9[[#This Row],[OrderDate ]])</f>
        <v>3</v>
      </c>
      <c r="M1842" t="str">
        <f>TEXT(Table9[[#This Row],[OrderDate ]],"mmm")</f>
        <v>Mar</v>
      </c>
      <c r="N1842">
        <f>YEAR(Table9[[#This Row],[OrderDate ]])</f>
        <v>2015</v>
      </c>
    </row>
    <row r="1843" spans="1:14" x14ac:dyDescent="0.3">
      <c r="A1843">
        <v>10958</v>
      </c>
      <c r="B1843" s="2">
        <f>_xlfn.XLOOKUP(Table9[[#This Row],[orderID]],orders[orderID],orders[orderDate],,0)</f>
        <v>42081</v>
      </c>
      <c r="C1843">
        <f>_xlfn.XLOOKUP(A1843,order_details[orderID],order_details[productID],,0)</f>
        <v>5</v>
      </c>
      <c r="D1843" t="str">
        <f>_xlfn.XLOOKUP(C1843,products[productID],products[productName],,0)</f>
        <v>Chef Anton's Gumbo Mix</v>
      </c>
      <c r="E1843" t="str">
        <f>_xlfn.XLOOKUP(_xlfn.XLOOKUP(Table9[[#This Row],[ProductName ]],products[productName],products[categoryID],,0),categories[categoryID],categories[categoryName],,0)</f>
        <v>Condiments</v>
      </c>
      <c r="F1843">
        <v>6</v>
      </c>
      <c r="G1843">
        <v>30</v>
      </c>
      <c r="H1843">
        <v>0</v>
      </c>
      <c r="I1843">
        <f>Table9[[#This Row],[quantity]]*Table9[[#This Row],[unitPrice]]*(1-Table9[[#This Row],[discount]]/100)</f>
        <v>180</v>
      </c>
      <c r="J1843" t="str">
        <f>_xlfn.XLOOKUP(_xlfn.XLOOKUP(A1843,orders[orderID],orders[customerID],,0),customers__2[customerID],customers__2[companyName],,0)</f>
        <v>Océano Atlántico Ltda.</v>
      </c>
      <c r="K1843" t="str">
        <f>_xlfn.XLOOKUP(Table9[[#This Row],[Company Name]],customers__2[companyName],customers__2[country],,0)</f>
        <v>Argentina</v>
      </c>
      <c r="L1843">
        <f>MONTH(Table9[[#This Row],[OrderDate ]])</f>
        <v>3</v>
      </c>
      <c r="M1843" t="str">
        <f>TEXT(Table9[[#This Row],[OrderDate ]],"mmm")</f>
        <v>Mar</v>
      </c>
      <c r="N1843">
        <f>YEAR(Table9[[#This Row],[OrderDate ]])</f>
        <v>2015</v>
      </c>
    </row>
    <row r="1844" spans="1:14" x14ac:dyDescent="0.3">
      <c r="A1844">
        <v>10958</v>
      </c>
      <c r="B1844" s="2">
        <f>_xlfn.XLOOKUP(Table9[[#This Row],[orderID]],orders[orderID],orders[orderDate],,0)</f>
        <v>42081</v>
      </c>
      <c r="C1844">
        <f>_xlfn.XLOOKUP(A1844,order_details[orderID],order_details[productID],,0)</f>
        <v>5</v>
      </c>
      <c r="D1844" t="str">
        <f>_xlfn.XLOOKUP(C1844,products[productID],products[productName],,0)</f>
        <v>Chef Anton's Gumbo Mix</v>
      </c>
      <c r="E1844" t="str">
        <f>_xlfn.XLOOKUP(_xlfn.XLOOKUP(Table9[[#This Row],[ProductName ]],products[productName],products[categoryID],,0),categories[categoryID],categories[categoryName],,0)</f>
        <v>Condiments</v>
      </c>
      <c r="F1844">
        <v>5</v>
      </c>
      <c r="G1844">
        <v>348</v>
      </c>
      <c r="H1844">
        <v>0</v>
      </c>
      <c r="I1844">
        <f>Table9[[#This Row],[quantity]]*Table9[[#This Row],[unitPrice]]*(1-Table9[[#This Row],[discount]]/100)</f>
        <v>1740</v>
      </c>
      <c r="J1844" t="str">
        <f>_xlfn.XLOOKUP(_xlfn.XLOOKUP(A1844,orders[orderID],orders[customerID],,0),customers__2[customerID],customers__2[companyName],,0)</f>
        <v>Océano Atlántico Ltda.</v>
      </c>
      <c r="K1844" t="str">
        <f>_xlfn.XLOOKUP(Table9[[#This Row],[Company Name]],customers__2[companyName],customers__2[country],,0)</f>
        <v>Argentina</v>
      </c>
      <c r="L1844">
        <f>MONTH(Table9[[#This Row],[OrderDate ]])</f>
        <v>3</v>
      </c>
      <c r="M1844" t="str">
        <f>TEXT(Table9[[#This Row],[OrderDate ]],"mmm")</f>
        <v>Mar</v>
      </c>
      <c r="N1844">
        <f>YEAR(Table9[[#This Row],[OrderDate ]])</f>
        <v>2015</v>
      </c>
    </row>
    <row r="1845" spans="1:14" x14ac:dyDescent="0.3">
      <c r="A1845">
        <v>10959</v>
      </c>
      <c r="B1845" s="2">
        <f>_xlfn.XLOOKUP(Table9[[#This Row],[orderID]],orders[orderID],orders[orderDate],,0)</f>
        <v>42081</v>
      </c>
      <c r="C1845">
        <f>_xlfn.XLOOKUP(A1845,order_details[orderID],order_details[productID],,0)</f>
        <v>75</v>
      </c>
      <c r="D1845" t="str">
        <f>_xlfn.XLOOKUP(C1845,products[productID],products[productName],,0)</f>
        <v>Rhönbräu Klosterbier</v>
      </c>
      <c r="E1845" t="str">
        <f>_xlfn.XLOOKUP(_xlfn.XLOOKUP(Table9[[#This Row],[ProductName ]],products[productName],products[categoryID],,0),categories[categoryID],categories[categoryName],,0)</f>
        <v>Beverages</v>
      </c>
      <c r="F1845">
        <v>20</v>
      </c>
      <c r="G1845">
        <v>775</v>
      </c>
      <c r="H1845">
        <v>15</v>
      </c>
      <c r="I1845">
        <f>Table9[[#This Row],[quantity]]*Table9[[#This Row],[unitPrice]]*(1-Table9[[#This Row],[discount]]/100)</f>
        <v>13175</v>
      </c>
      <c r="J1845" t="str">
        <f>_xlfn.XLOOKUP(_xlfn.XLOOKUP(A1845,orders[orderID],orders[customerID],,0),customers__2[customerID],customers__2[companyName],,0)</f>
        <v>Gourmet Lanchonetes</v>
      </c>
      <c r="K1845" t="str">
        <f>_xlfn.XLOOKUP(Table9[[#This Row],[Company Name]],customers__2[companyName],customers__2[country],,0)</f>
        <v>Brazil</v>
      </c>
      <c r="L1845">
        <f>MONTH(Table9[[#This Row],[OrderDate ]])</f>
        <v>3</v>
      </c>
      <c r="M1845" t="str">
        <f>TEXT(Table9[[#This Row],[OrderDate ]],"mmm")</f>
        <v>Mar</v>
      </c>
      <c r="N1845">
        <f>YEAR(Table9[[#This Row],[OrderDate ]])</f>
        <v>2015</v>
      </c>
    </row>
    <row r="1846" spans="1:14" x14ac:dyDescent="0.3">
      <c r="A1846">
        <v>10960</v>
      </c>
      <c r="B1846" s="2">
        <f>_xlfn.XLOOKUP(Table9[[#This Row],[orderID]],orders[orderID],orders[orderDate],,0)</f>
        <v>42082</v>
      </c>
      <c r="C1846">
        <f>_xlfn.XLOOKUP(A1846,order_details[orderID],order_details[productID],,0)</f>
        <v>24</v>
      </c>
      <c r="D1846" t="str">
        <f>_xlfn.XLOOKUP(C1846,products[productID],products[productName],,0)</f>
        <v>Guarana Fantastica</v>
      </c>
      <c r="E1846" t="str">
        <f>_xlfn.XLOOKUP(_xlfn.XLOOKUP(Table9[[#This Row],[ProductName ]],products[productName],products[categoryID],,0),categories[categoryID],categories[categoryName],,0)</f>
        <v>Beverages</v>
      </c>
      <c r="F1846">
        <v>10</v>
      </c>
      <c r="G1846">
        <v>45</v>
      </c>
      <c r="H1846">
        <v>25</v>
      </c>
      <c r="I1846">
        <f>Table9[[#This Row],[quantity]]*Table9[[#This Row],[unitPrice]]*(1-Table9[[#This Row],[discount]]/100)</f>
        <v>337.5</v>
      </c>
      <c r="J1846" t="str">
        <f>_xlfn.XLOOKUP(_xlfn.XLOOKUP(A1846,orders[orderID],orders[customerID],,0),customers__2[customerID],customers__2[companyName],,0)</f>
        <v>HILARION-Abastos</v>
      </c>
      <c r="K1846" t="str">
        <f>_xlfn.XLOOKUP(Table9[[#This Row],[Company Name]],customers__2[companyName],customers__2[country],,0)</f>
        <v>Venezuela</v>
      </c>
      <c r="L1846">
        <f>MONTH(Table9[[#This Row],[OrderDate ]])</f>
        <v>3</v>
      </c>
      <c r="M1846" t="str">
        <f>TEXT(Table9[[#This Row],[OrderDate ]],"mmm")</f>
        <v>Mar</v>
      </c>
      <c r="N1846">
        <f>YEAR(Table9[[#This Row],[OrderDate ]])</f>
        <v>2015</v>
      </c>
    </row>
    <row r="1847" spans="1:14" x14ac:dyDescent="0.3">
      <c r="A1847">
        <v>10960</v>
      </c>
      <c r="B1847" s="2">
        <f>_xlfn.XLOOKUP(Table9[[#This Row],[orderID]],orders[orderID],orders[orderDate],,0)</f>
        <v>42082</v>
      </c>
      <c r="C1847">
        <f>_xlfn.XLOOKUP(A1847,order_details[orderID],order_details[productID],,0)</f>
        <v>24</v>
      </c>
      <c r="D1847" t="str">
        <f>_xlfn.XLOOKUP(C1847,products[productID],products[productName],,0)</f>
        <v>Guarana Fantastica</v>
      </c>
      <c r="E1847" t="str">
        <f>_xlfn.XLOOKUP(_xlfn.XLOOKUP(Table9[[#This Row],[ProductName ]],products[productName],products[categoryID],,0),categories[categoryID],categories[categoryName],,0)</f>
        <v>Beverages</v>
      </c>
      <c r="F1847">
        <v>24</v>
      </c>
      <c r="G1847">
        <v>965</v>
      </c>
      <c r="H1847">
        <v>0</v>
      </c>
      <c r="I1847">
        <f>Table9[[#This Row],[quantity]]*Table9[[#This Row],[unitPrice]]*(1-Table9[[#This Row],[discount]]/100)</f>
        <v>23160</v>
      </c>
      <c r="J1847" t="str">
        <f>_xlfn.XLOOKUP(_xlfn.XLOOKUP(A1847,orders[orderID],orders[customerID],,0),customers__2[customerID],customers__2[companyName],,0)</f>
        <v>HILARION-Abastos</v>
      </c>
      <c r="K1847" t="str">
        <f>_xlfn.XLOOKUP(Table9[[#This Row],[Company Name]],customers__2[companyName],customers__2[country],,0)</f>
        <v>Venezuela</v>
      </c>
      <c r="L1847">
        <f>MONTH(Table9[[#This Row],[OrderDate ]])</f>
        <v>3</v>
      </c>
      <c r="M1847" t="str">
        <f>TEXT(Table9[[#This Row],[OrderDate ]],"mmm")</f>
        <v>Mar</v>
      </c>
      <c r="N1847">
        <f>YEAR(Table9[[#This Row],[OrderDate ]])</f>
        <v>2015</v>
      </c>
    </row>
    <row r="1848" spans="1:14" x14ac:dyDescent="0.3">
      <c r="A1848">
        <v>10961</v>
      </c>
      <c r="B1848" s="2">
        <f>_xlfn.XLOOKUP(Table9[[#This Row],[orderID]],orders[orderID],orders[orderDate],,0)</f>
        <v>42082</v>
      </c>
      <c r="C1848">
        <f>_xlfn.XLOOKUP(A1848,order_details[orderID],order_details[productID],,0)</f>
        <v>52</v>
      </c>
      <c r="D1848" t="str">
        <f>_xlfn.XLOOKUP(C1848,products[productID],products[productName],,0)</f>
        <v>Filo Mix</v>
      </c>
      <c r="E1848" t="str">
        <f>_xlfn.XLOOKUP(_xlfn.XLOOKUP(Table9[[#This Row],[ProductName ]],products[productName],products[categoryID],,0),categories[categoryID],categories[categoryName],,0)</f>
        <v>Grains &amp; Cereals</v>
      </c>
      <c r="F1848">
        <v>6</v>
      </c>
      <c r="G1848">
        <v>7</v>
      </c>
      <c r="H1848">
        <v>5</v>
      </c>
      <c r="I1848">
        <f>Table9[[#This Row],[quantity]]*Table9[[#This Row],[unitPrice]]*(1-Table9[[#This Row],[discount]]/100)</f>
        <v>39.9</v>
      </c>
      <c r="J1848" t="str">
        <f>_xlfn.XLOOKUP(_xlfn.XLOOKUP(A1848,orders[orderID],orders[customerID],,0),customers__2[customerID],customers__2[companyName],,0)</f>
        <v>Queen Cozinha</v>
      </c>
      <c r="K1848" t="str">
        <f>_xlfn.XLOOKUP(Table9[[#This Row],[Company Name]],customers__2[companyName],customers__2[country],,0)</f>
        <v>Brazil</v>
      </c>
      <c r="L1848">
        <f>MONTH(Table9[[#This Row],[OrderDate ]])</f>
        <v>3</v>
      </c>
      <c r="M1848" t="str">
        <f>TEXT(Table9[[#This Row],[OrderDate ]],"mmm")</f>
        <v>Mar</v>
      </c>
      <c r="N1848">
        <f>YEAR(Table9[[#This Row],[OrderDate ]])</f>
        <v>2015</v>
      </c>
    </row>
    <row r="1849" spans="1:14" x14ac:dyDescent="0.3">
      <c r="A1849">
        <v>10961</v>
      </c>
      <c r="B1849" s="2">
        <f>_xlfn.XLOOKUP(Table9[[#This Row],[orderID]],orders[orderID],orders[orderDate],,0)</f>
        <v>42082</v>
      </c>
      <c r="C1849">
        <f>_xlfn.XLOOKUP(A1849,order_details[orderID],order_details[productID],,0)</f>
        <v>52</v>
      </c>
      <c r="D1849" t="str">
        <f>_xlfn.XLOOKUP(C1849,products[productID],products[productName],,0)</f>
        <v>Filo Mix</v>
      </c>
      <c r="E1849" t="str">
        <f>_xlfn.XLOOKUP(_xlfn.XLOOKUP(Table9[[#This Row],[ProductName ]],products[productName],products[categoryID],,0),categories[categoryID],categories[categoryName],,0)</f>
        <v>Grains &amp; Cereals</v>
      </c>
      <c r="F1849">
        <v>60</v>
      </c>
      <c r="G1849">
        <v>18</v>
      </c>
      <c r="H1849">
        <v>0</v>
      </c>
      <c r="I1849">
        <f>Table9[[#This Row],[quantity]]*Table9[[#This Row],[unitPrice]]*(1-Table9[[#This Row],[discount]]/100)</f>
        <v>1080</v>
      </c>
      <c r="J1849" t="str">
        <f>_xlfn.XLOOKUP(_xlfn.XLOOKUP(A1849,orders[orderID],orders[customerID],,0),customers__2[customerID],customers__2[companyName],,0)</f>
        <v>Queen Cozinha</v>
      </c>
      <c r="K1849" t="str">
        <f>_xlfn.XLOOKUP(Table9[[#This Row],[Company Name]],customers__2[companyName],customers__2[country],,0)</f>
        <v>Brazil</v>
      </c>
      <c r="L1849">
        <f>MONTH(Table9[[#This Row],[OrderDate ]])</f>
        <v>3</v>
      </c>
      <c r="M1849" t="str">
        <f>TEXT(Table9[[#This Row],[OrderDate ]],"mmm")</f>
        <v>Mar</v>
      </c>
      <c r="N1849">
        <f>YEAR(Table9[[#This Row],[OrderDate ]])</f>
        <v>2015</v>
      </c>
    </row>
    <row r="1850" spans="1:14" x14ac:dyDescent="0.3">
      <c r="A1850">
        <v>10962</v>
      </c>
      <c r="B1850" s="2">
        <f>_xlfn.XLOOKUP(Table9[[#This Row],[orderID]],orders[orderID],orders[orderDate],,0)</f>
        <v>42082</v>
      </c>
      <c r="C1850">
        <f>_xlfn.XLOOKUP(A1850,order_details[orderID],order_details[productID],,0)</f>
        <v>7</v>
      </c>
      <c r="D1850" t="str">
        <f>_xlfn.XLOOKUP(C1850,products[productID],products[productName],,0)</f>
        <v>Uncle Bob's Organic Dried Pears</v>
      </c>
      <c r="E1850" t="str">
        <f>_xlfn.XLOOKUP(_xlfn.XLOOKUP(Table9[[#This Row],[ProductName ]],products[productName],products[categoryID],,0),categories[categoryID],categories[categoryName],,0)</f>
        <v>Produce</v>
      </c>
      <c r="F1850">
        <v>45</v>
      </c>
      <c r="G1850">
        <v>30</v>
      </c>
      <c r="H1850">
        <v>0</v>
      </c>
      <c r="I1850">
        <f>Table9[[#This Row],[quantity]]*Table9[[#This Row],[unitPrice]]*(1-Table9[[#This Row],[discount]]/100)</f>
        <v>1350</v>
      </c>
      <c r="J1850" t="str">
        <f>_xlfn.XLOOKUP(_xlfn.XLOOKUP(A1850,orders[orderID],orders[customerID],,0),customers__2[customerID],customers__2[companyName],,0)</f>
        <v>QUICK-Stop</v>
      </c>
      <c r="K1850" t="str">
        <f>_xlfn.XLOOKUP(Table9[[#This Row],[Company Name]],customers__2[companyName],customers__2[country],,0)</f>
        <v>Germany</v>
      </c>
      <c r="L1850">
        <f>MONTH(Table9[[#This Row],[OrderDate ]])</f>
        <v>3</v>
      </c>
      <c r="M1850" t="str">
        <f>TEXT(Table9[[#This Row],[OrderDate ]],"mmm")</f>
        <v>Mar</v>
      </c>
      <c r="N1850">
        <f>YEAR(Table9[[#This Row],[OrderDate ]])</f>
        <v>2015</v>
      </c>
    </row>
    <row r="1851" spans="1:14" x14ac:dyDescent="0.3">
      <c r="A1851">
        <v>10962</v>
      </c>
      <c r="B1851" s="2">
        <f>_xlfn.XLOOKUP(Table9[[#This Row],[orderID]],orders[orderID],orders[orderDate],,0)</f>
        <v>42082</v>
      </c>
      <c r="C1851">
        <f>_xlfn.XLOOKUP(A1851,order_details[orderID],order_details[productID],,0)</f>
        <v>7</v>
      </c>
      <c r="D1851" t="str">
        <f>_xlfn.XLOOKUP(C1851,products[productID],products[productName],,0)</f>
        <v>Uncle Bob's Organic Dried Pears</v>
      </c>
      <c r="E1851" t="str">
        <f>_xlfn.XLOOKUP(_xlfn.XLOOKUP(Table9[[#This Row],[ProductName ]],products[productName],products[categoryID],,0),categories[categoryID],categories[categoryName],,0)</f>
        <v>Produce</v>
      </c>
      <c r="F1851">
        <v>77</v>
      </c>
      <c r="G1851">
        <v>6</v>
      </c>
      <c r="H1851">
        <v>0</v>
      </c>
      <c r="I1851">
        <f>Table9[[#This Row],[quantity]]*Table9[[#This Row],[unitPrice]]*(1-Table9[[#This Row],[discount]]/100)</f>
        <v>462</v>
      </c>
      <c r="J1851" t="str">
        <f>_xlfn.XLOOKUP(_xlfn.XLOOKUP(A1851,orders[orderID],orders[customerID],,0),customers__2[customerID],customers__2[companyName],,0)</f>
        <v>QUICK-Stop</v>
      </c>
      <c r="K1851" t="str">
        <f>_xlfn.XLOOKUP(Table9[[#This Row],[Company Name]],customers__2[companyName],customers__2[country],,0)</f>
        <v>Germany</v>
      </c>
      <c r="L1851">
        <f>MONTH(Table9[[#This Row],[OrderDate ]])</f>
        <v>3</v>
      </c>
      <c r="M1851" t="str">
        <f>TEXT(Table9[[#This Row],[OrderDate ]],"mmm")</f>
        <v>Mar</v>
      </c>
      <c r="N1851">
        <f>YEAR(Table9[[#This Row],[OrderDate ]])</f>
        <v>2015</v>
      </c>
    </row>
    <row r="1852" spans="1:14" x14ac:dyDescent="0.3">
      <c r="A1852">
        <v>10962</v>
      </c>
      <c r="B1852" s="2">
        <f>_xlfn.XLOOKUP(Table9[[#This Row],[orderID]],orders[orderID],orders[orderDate],,0)</f>
        <v>42082</v>
      </c>
      <c r="C1852">
        <f>_xlfn.XLOOKUP(A1852,order_details[orderID],order_details[productID],,0)</f>
        <v>7</v>
      </c>
      <c r="D1852" t="str">
        <f>_xlfn.XLOOKUP(C1852,products[productID],products[productName],,0)</f>
        <v>Uncle Bob's Organic Dried Pears</v>
      </c>
      <c r="E1852" t="str">
        <f>_xlfn.XLOOKUP(_xlfn.XLOOKUP(Table9[[#This Row],[ProductName ]],products[productName],products[categoryID],,0),categories[categoryID],categories[categoryName],,0)</f>
        <v>Produce</v>
      </c>
      <c r="F1852">
        <v>20</v>
      </c>
      <c r="G1852">
        <v>328</v>
      </c>
      <c r="H1852">
        <v>0</v>
      </c>
      <c r="I1852">
        <f>Table9[[#This Row],[quantity]]*Table9[[#This Row],[unitPrice]]*(1-Table9[[#This Row],[discount]]/100)</f>
        <v>6560</v>
      </c>
      <c r="J1852" t="str">
        <f>_xlfn.XLOOKUP(_xlfn.XLOOKUP(A1852,orders[orderID],orders[customerID],,0),customers__2[customerID],customers__2[companyName],,0)</f>
        <v>QUICK-Stop</v>
      </c>
      <c r="K1852" t="str">
        <f>_xlfn.XLOOKUP(Table9[[#This Row],[Company Name]],customers__2[companyName],customers__2[country],,0)</f>
        <v>Germany</v>
      </c>
      <c r="L1852">
        <f>MONTH(Table9[[#This Row],[OrderDate ]])</f>
        <v>3</v>
      </c>
      <c r="M1852" t="str">
        <f>TEXT(Table9[[#This Row],[OrderDate ]],"mmm")</f>
        <v>Mar</v>
      </c>
      <c r="N1852">
        <f>YEAR(Table9[[#This Row],[OrderDate ]])</f>
        <v>2015</v>
      </c>
    </row>
    <row r="1853" spans="1:14" x14ac:dyDescent="0.3">
      <c r="A1853">
        <v>10962</v>
      </c>
      <c r="B1853" s="2">
        <f>_xlfn.XLOOKUP(Table9[[#This Row],[orderID]],orders[orderID],orders[orderDate],,0)</f>
        <v>42082</v>
      </c>
      <c r="C1853">
        <f>_xlfn.XLOOKUP(A1853,order_details[orderID],order_details[productID],,0)</f>
        <v>7</v>
      </c>
      <c r="D1853" t="str">
        <f>_xlfn.XLOOKUP(C1853,products[productID],products[productName],,0)</f>
        <v>Uncle Bob's Organic Dried Pears</v>
      </c>
      <c r="E1853" t="str">
        <f>_xlfn.XLOOKUP(_xlfn.XLOOKUP(Table9[[#This Row],[ProductName ]],products[productName],products[categoryID],,0),categories[categoryID],categories[categoryName],,0)</f>
        <v>Produce</v>
      </c>
      <c r="F1853">
        <v>9</v>
      </c>
      <c r="G1853">
        <v>36</v>
      </c>
      <c r="H1853">
        <v>0</v>
      </c>
      <c r="I1853">
        <f>Table9[[#This Row],[quantity]]*Table9[[#This Row],[unitPrice]]*(1-Table9[[#This Row],[discount]]/100)</f>
        <v>324</v>
      </c>
      <c r="J1853" t="str">
        <f>_xlfn.XLOOKUP(_xlfn.XLOOKUP(A1853,orders[orderID],orders[customerID],,0),customers__2[customerID],customers__2[companyName],,0)</f>
        <v>QUICK-Stop</v>
      </c>
      <c r="K1853" t="str">
        <f>_xlfn.XLOOKUP(Table9[[#This Row],[Company Name]],customers__2[companyName],customers__2[country],,0)</f>
        <v>Germany</v>
      </c>
      <c r="L1853">
        <f>MONTH(Table9[[#This Row],[OrderDate ]])</f>
        <v>3</v>
      </c>
      <c r="M1853" t="str">
        <f>TEXT(Table9[[#This Row],[OrderDate ]],"mmm")</f>
        <v>Mar</v>
      </c>
      <c r="N1853">
        <f>YEAR(Table9[[#This Row],[OrderDate ]])</f>
        <v>2015</v>
      </c>
    </row>
    <row r="1854" spans="1:14" x14ac:dyDescent="0.3">
      <c r="A1854">
        <v>10962</v>
      </c>
      <c r="B1854" s="2">
        <f>_xlfn.XLOOKUP(Table9[[#This Row],[orderID]],orders[orderID],orders[orderDate],,0)</f>
        <v>42082</v>
      </c>
      <c r="C1854">
        <f>_xlfn.XLOOKUP(A1854,order_details[orderID],order_details[productID],,0)</f>
        <v>7</v>
      </c>
      <c r="D1854" t="str">
        <f>_xlfn.XLOOKUP(C1854,products[productID],products[productName],,0)</f>
        <v>Uncle Bob's Organic Dried Pears</v>
      </c>
      <c r="E1854" t="str">
        <f>_xlfn.XLOOKUP(_xlfn.XLOOKUP(Table9[[#This Row],[ProductName ]],products[productName],products[categoryID],,0),categories[categoryID],categories[categoryName],,0)</f>
        <v>Produce</v>
      </c>
      <c r="F1854">
        <v>44</v>
      </c>
      <c r="G1854">
        <v>18</v>
      </c>
      <c r="H1854">
        <v>0</v>
      </c>
      <c r="I1854">
        <f>Table9[[#This Row],[quantity]]*Table9[[#This Row],[unitPrice]]*(1-Table9[[#This Row],[discount]]/100)</f>
        <v>792</v>
      </c>
      <c r="J1854" t="str">
        <f>_xlfn.XLOOKUP(_xlfn.XLOOKUP(A1854,orders[orderID],orders[customerID],,0),customers__2[customerID],customers__2[companyName],,0)</f>
        <v>QUICK-Stop</v>
      </c>
      <c r="K1854" t="str">
        <f>_xlfn.XLOOKUP(Table9[[#This Row],[Company Name]],customers__2[companyName],customers__2[country],,0)</f>
        <v>Germany</v>
      </c>
      <c r="L1854">
        <f>MONTH(Table9[[#This Row],[OrderDate ]])</f>
        <v>3</v>
      </c>
      <c r="M1854" t="str">
        <f>TEXT(Table9[[#This Row],[OrderDate ]],"mmm")</f>
        <v>Mar</v>
      </c>
      <c r="N1854">
        <f>YEAR(Table9[[#This Row],[OrderDate ]])</f>
        <v>2015</v>
      </c>
    </row>
    <row r="1855" spans="1:14" x14ac:dyDescent="0.3">
      <c r="A1855">
        <v>10963</v>
      </c>
      <c r="B1855" s="2">
        <f>_xlfn.XLOOKUP(Table9[[#This Row],[orderID]],orders[orderID],orders[orderDate],,0)</f>
        <v>42082</v>
      </c>
      <c r="C1855">
        <f>_xlfn.XLOOKUP(A1855,order_details[orderID],order_details[productID],,0)</f>
        <v>60</v>
      </c>
      <c r="D1855" t="str">
        <f>_xlfn.XLOOKUP(C1855,products[productID],products[productName],,0)</f>
        <v>Camembert Pierrot</v>
      </c>
      <c r="E1855" t="str">
        <f>_xlfn.XLOOKUP(_xlfn.XLOOKUP(Table9[[#This Row],[ProductName ]],products[productName],products[categoryID],,0),categories[categoryID],categories[categoryName],,0)</f>
        <v>Dairy Products</v>
      </c>
      <c r="F1855">
        <v>2</v>
      </c>
      <c r="G1855">
        <v>34</v>
      </c>
      <c r="H1855">
        <v>15</v>
      </c>
      <c r="I1855">
        <f>Table9[[#This Row],[quantity]]*Table9[[#This Row],[unitPrice]]*(1-Table9[[#This Row],[discount]]/100)</f>
        <v>57.8</v>
      </c>
      <c r="J1855" t="str">
        <f>_xlfn.XLOOKUP(_xlfn.XLOOKUP(A1855,orders[orderID],orders[customerID],,0),customers__2[customerID],customers__2[companyName],,0)</f>
        <v>Furia Bacalhau e Frutos do Mar</v>
      </c>
      <c r="K1855" t="str">
        <f>_xlfn.XLOOKUP(Table9[[#This Row],[Company Name]],customers__2[companyName],customers__2[country],,0)</f>
        <v>Portugal</v>
      </c>
      <c r="L1855">
        <f>MONTH(Table9[[#This Row],[OrderDate ]])</f>
        <v>3</v>
      </c>
      <c r="M1855" t="str">
        <f>TEXT(Table9[[#This Row],[OrderDate ]],"mmm")</f>
        <v>Mar</v>
      </c>
      <c r="N1855">
        <f>YEAR(Table9[[#This Row],[OrderDate ]])</f>
        <v>2015</v>
      </c>
    </row>
    <row r="1856" spans="1:14" x14ac:dyDescent="0.3">
      <c r="A1856">
        <v>10964</v>
      </c>
      <c r="B1856" s="2">
        <f>_xlfn.XLOOKUP(Table9[[#This Row],[orderID]],orders[orderID],orders[orderDate],,0)</f>
        <v>42083</v>
      </c>
      <c r="C1856">
        <f>_xlfn.XLOOKUP(A1856,order_details[orderID],order_details[productID],,0)</f>
        <v>18</v>
      </c>
      <c r="D1856" t="str">
        <f>_xlfn.XLOOKUP(C1856,products[productID],products[productName],,0)</f>
        <v>Carnarvon Tigers</v>
      </c>
      <c r="E1856" t="str">
        <f>_xlfn.XLOOKUP(_xlfn.XLOOKUP(Table9[[#This Row],[ProductName ]],products[productName],products[categoryID],,0),categories[categoryID],categories[categoryName],,0)</f>
        <v>Seafood</v>
      </c>
      <c r="F1856">
        <v>6</v>
      </c>
      <c r="G1856">
        <v>625</v>
      </c>
      <c r="H1856">
        <v>0</v>
      </c>
      <c r="I1856">
        <f>Table9[[#This Row],[quantity]]*Table9[[#This Row],[unitPrice]]*(1-Table9[[#This Row],[discount]]/100)</f>
        <v>3750</v>
      </c>
      <c r="J1856" t="str">
        <f>_xlfn.XLOOKUP(_xlfn.XLOOKUP(A1856,orders[orderID],orders[customerID],,0),customers__2[customerID],customers__2[companyName],,0)</f>
        <v>Spécialités du monde</v>
      </c>
      <c r="K1856" t="str">
        <f>_xlfn.XLOOKUP(Table9[[#This Row],[Company Name]],customers__2[companyName],customers__2[country],,0)</f>
        <v>France</v>
      </c>
      <c r="L1856">
        <f>MONTH(Table9[[#This Row],[OrderDate ]])</f>
        <v>3</v>
      </c>
      <c r="M1856" t="str">
        <f>TEXT(Table9[[#This Row],[OrderDate ]],"mmm")</f>
        <v>Mar</v>
      </c>
      <c r="N1856">
        <f>YEAR(Table9[[#This Row],[OrderDate ]])</f>
        <v>2015</v>
      </c>
    </row>
    <row r="1857" spans="1:14" x14ac:dyDescent="0.3">
      <c r="A1857">
        <v>10964</v>
      </c>
      <c r="B1857" s="2">
        <f>_xlfn.XLOOKUP(Table9[[#This Row],[orderID]],orders[orderID],orders[orderDate],,0)</f>
        <v>42083</v>
      </c>
      <c r="C1857">
        <f>_xlfn.XLOOKUP(A1857,order_details[orderID],order_details[productID],,0)</f>
        <v>18</v>
      </c>
      <c r="D1857" t="str">
        <f>_xlfn.XLOOKUP(C1857,products[productID],products[productName],,0)</f>
        <v>Carnarvon Tigers</v>
      </c>
      <c r="E1857" t="str">
        <f>_xlfn.XLOOKUP(_xlfn.XLOOKUP(Table9[[#This Row],[ProductName ]],products[productName],products[categoryID],,0),categories[categoryID],categories[categoryName],,0)</f>
        <v>Seafood</v>
      </c>
      <c r="F1857">
        <v>5</v>
      </c>
      <c r="G1857">
        <v>2635</v>
      </c>
      <c r="H1857">
        <v>0</v>
      </c>
      <c r="I1857">
        <f>Table9[[#This Row],[quantity]]*Table9[[#This Row],[unitPrice]]*(1-Table9[[#This Row],[discount]]/100)</f>
        <v>13175</v>
      </c>
      <c r="J1857" t="str">
        <f>_xlfn.XLOOKUP(_xlfn.XLOOKUP(A1857,orders[orderID],orders[customerID],,0),customers__2[customerID],customers__2[companyName],,0)</f>
        <v>Spécialités du monde</v>
      </c>
      <c r="K1857" t="str">
        <f>_xlfn.XLOOKUP(Table9[[#This Row],[Company Name]],customers__2[companyName],customers__2[country],,0)</f>
        <v>France</v>
      </c>
      <c r="L1857">
        <f>MONTH(Table9[[#This Row],[OrderDate ]])</f>
        <v>3</v>
      </c>
      <c r="M1857" t="str">
        <f>TEXT(Table9[[#This Row],[OrderDate ]],"mmm")</f>
        <v>Mar</v>
      </c>
      <c r="N1857">
        <f>YEAR(Table9[[#This Row],[OrderDate ]])</f>
        <v>2015</v>
      </c>
    </row>
    <row r="1858" spans="1:14" x14ac:dyDescent="0.3">
      <c r="A1858">
        <v>10964</v>
      </c>
      <c r="B1858" s="2">
        <f>_xlfn.XLOOKUP(Table9[[#This Row],[orderID]],orders[orderID],orders[orderDate],,0)</f>
        <v>42083</v>
      </c>
      <c r="C1858">
        <f>_xlfn.XLOOKUP(A1858,order_details[orderID],order_details[productID],,0)</f>
        <v>18</v>
      </c>
      <c r="D1858" t="str">
        <f>_xlfn.XLOOKUP(C1858,products[productID],products[productName],,0)</f>
        <v>Carnarvon Tigers</v>
      </c>
      <c r="E1858" t="str">
        <f>_xlfn.XLOOKUP(_xlfn.XLOOKUP(Table9[[#This Row],[ProductName ]],products[productName],products[categoryID],,0),categories[categoryID],categories[categoryName],,0)</f>
        <v>Seafood</v>
      </c>
      <c r="F1858">
        <v>10</v>
      </c>
      <c r="G1858">
        <v>36</v>
      </c>
      <c r="H1858">
        <v>0</v>
      </c>
      <c r="I1858">
        <f>Table9[[#This Row],[quantity]]*Table9[[#This Row],[unitPrice]]*(1-Table9[[#This Row],[discount]]/100)</f>
        <v>360</v>
      </c>
      <c r="J1858" t="str">
        <f>_xlfn.XLOOKUP(_xlfn.XLOOKUP(A1858,orders[orderID],orders[customerID],,0),customers__2[customerID],customers__2[companyName],,0)</f>
        <v>Spécialités du monde</v>
      </c>
      <c r="K1858" t="str">
        <f>_xlfn.XLOOKUP(Table9[[#This Row],[Company Name]],customers__2[companyName],customers__2[country],,0)</f>
        <v>France</v>
      </c>
      <c r="L1858">
        <f>MONTH(Table9[[#This Row],[OrderDate ]])</f>
        <v>3</v>
      </c>
      <c r="M1858" t="str">
        <f>TEXT(Table9[[#This Row],[OrderDate ]],"mmm")</f>
        <v>Mar</v>
      </c>
      <c r="N1858">
        <f>YEAR(Table9[[#This Row],[OrderDate ]])</f>
        <v>2015</v>
      </c>
    </row>
    <row r="1859" spans="1:14" x14ac:dyDescent="0.3">
      <c r="A1859">
        <v>10965</v>
      </c>
      <c r="B1859" s="2">
        <f>_xlfn.XLOOKUP(Table9[[#This Row],[orderID]],orders[orderID],orders[orderDate],,0)</f>
        <v>42083</v>
      </c>
      <c r="C1859">
        <f>_xlfn.XLOOKUP(A1859,order_details[orderID],order_details[productID],,0)</f>
        <v>51</v>
      </c>
      <c r="D1859" t="str">
        <f>_xlfn.XLOOKUP(C1859,products[productID],products[productName],,0)</f>
        <v>Manjimup Dried Apples</v>
      </c>
      <c r="E1859" t="str">
        <f>_xlfn.XLOOKUP(_xlfn.XLOOKUP(Table9[[#This Row],[ProductName ]],products[productName],products[categoryID],,0),categories[categoryID],categories[categoryName],,0)</f>
        <v>Produce</v>
      </c>
      <c r="F1859">
        <v>16</v>
      </c>
      <c r="G1859">
        <v>53</v>
      </c>
      <c r="H1859">
        <v>0</v>
      </c>
      <c r="I1859">
        <f>Table9[[#This Row],[quantity]]*Table9[[#This Row],[unitPrice]]*(1-Table9[[#This Row],[discount]]/100)</f>
        <v>848</v>
      </c>
      <c r="J1859" t="str">
        <f>_xlfn.XLOOKUP(_xlfn.XLOOKUP(A1859,orders[orderID],orders[customerID],,0),customers__2[customerID],customers__2[companyName],,0)</f>
        <v>Old World Delicatessen</v>
      </c>
      <c r="K1859" t="str">
        <f>_xlfn.XLOOKUP(Table9[[#This Row],[Company Name]],customers__2[companyName],customers__2[country],,0)</f>
        <v>USA</v>
      </c>
      <c r="L1859">
        <f>MONTH(Table9[[#This Row],[OrderDate ]])</f>
        <v>3</v>
      </c>
      <c r="M1859" t="str">
        <f>TEXT(Table9[[#This Row],[OrderDate ]],"mmm")</f>
        <v>Mar</v>
      </c>
      <c r="N1859">
        <f>YEAR(Table9[[#This Row],[OrderDate ]])</f>
        <v>2015</v>
      </c>
    </row>
    <row r="1860" spans="1:14" x14ac:dyDescent="0.3">
      <c r="A1860">
        <v>10966</v>
      </c>
      <c r="B1860" s="2">
        <f>_xlfn.XLOOKUP(Table9[[#This Row],[orderID]],orders[orderID],orders[orderDate],,0)</f>
        <v>42083</v>
      </c>
      <c r="C1860">
        <f>_xlfn.XLOOKUP(A1860,order_details[orderID],order_details[productID],,0)</f>
        <v>37</v>
      </c>
      <c r="D1860" t="str">
        <f>_xlfn.XLOOKUP(C1860,products[productID],products[productName],,0)</f>
        <v>Gravad lax</v>
      </c>
      <c r="E1860" t="str">
        <f>_xlfn.XLOOKUP(_xlfn.XLOOKUP(Table9[[#This Row],[ProductName ]],products[productName],products[categoryID],,0),categories[categoryID],categories[categoryName],,0)</f>
        <v>Seafood</v>
      </c>
      <c r="F1860">
        <v>8</v>
      </c>
      <c r="G1860">
        <v>26</v>
      </c>
      <c r="H1860">
        <v>0</v>
      </c>
      <c r="I1860">
        <f>Table9[[#This Row],[quantity]]*Table9[[#This Row],[unitPrice]]*(1-Table9[[#This Row],[discount]]/100)</f>
        <v>208</v>
      </c>
      <c r="J1860" t="str">
        <f>_xlfn.XLOOKUP(_xlfn.XLOOKUP(A1860,orders[orderID],orders[customerID],,0),customers__2[customerID],customers__2[companyName],,0)</f>
        <v>Chop-suey Chinese</v>
      </c>
      <c r="K1860" t="str">
        <f>_xlfn.XLOOKUP(Table9[[#This Row],[Company Name]],customers__2[companyName],customers__2[country],,0)</f>
        <v>Switzerland</v>
      </c>
      <c r="L1860">
        <f>MONTH(Table9[[#This Row],[OrderDate ]])</f>
        <v>3</v>
      </c>
      <c r="M1860" t="str">
        <f>TEXT(Table9[[#This Row],[OrderDate ]],"mmm")</f>
        <v>Mar</v>
      </c>
      <c r="N1860">
        <f>YEAR(Table9[[#This Row],[OrderDate ]])</f>
        <v>2015</v>
      </c>
    </row>
    <row r="1861" spans="1:14" x14ac:dyDescent="0.3">
      <c r="A1861">
        <v>10966</v>
      </c>
      <c r="B1861" s="2">
        <f>_xlfn.XLOOKUP(Table9[[#This Row],[orderID]],orders[orderID],orders[orderDate],,0)</f>
        <v>42083</v>
      </c>
      <c r="C1861">
        <f>_xlfn.XLOOKUP(A1861,order_details[orderID],order_details[productID],,0)</f>
        <v>37</v>
      </c>
      <c r="D1861" t="str">
        <f>_xlfn.XLOOKUP(C1861,products[productID],products[productName],,0)</f>
        <v>Gravad lax</v>
      </c>
      <c r="E1861" t="str">
        <f>_xlfn.XLOOKUP(_xlfn.XLOOKUP(Table9[[#This Row],[ProductName ]],products[productName],products[categoryID],,0),categories[categoryID],categories[categoryName],,0)</f>
        <v>Seafood</v>
      </c>
      <c r="F1861">
        <v>12</v>
      </c>
      <c r="G1861">
        <v>38</v>
      </c>
      <c r="H1861">
        <v>15</v>
      </c>
      <c r="I1861">
        <f>Table9[[#This Row],[quantity]]*Table9[[#This Row],[unitPrice]]*(1-Table9[[#This Row],[discount]]/100)</f>
        <v>387.59999999999997</v>
      </c>
      <c r="J1861" t="str">
        <f>_xlfn.XLOOKUP(_xlfn.XLOOKUP(A1861,orders[orderID],orders[customerID],,0),customers__2[customerID],customers__2[companyName],,0)</f>
        <v>Chop-suey Chinese</v>
      </c>
      <c r="K1861" t="str">
        <f>_xlfn.XLOOKUP(Table9[[#This Row],[Company Name]],customers__2[companyName],customers__2[country],,0)</f>
        <v>Switzerland</v>
      </c>
      <c r="L1861">
        <f>MONTH(Table9[[#This Row],[OrderDate ]])</f>
        <v>3</v>
      </c>
      <c r="M1861" t="str">
        <f>TEXT(Table9[[#This Row],[OrderDate ]],"mmm")</f>
        <v>Mar</v>
      </c>
      <c r="N1861">
        <f>YEAR(Table9[[#This Row],[OrderDate ]])</f>
        <v>2015</v>
      </c>
    </row>
    <row r="1862" spans="1:14" x14ac:dyDescent="0.3">
      <c r="A1862">
        <v>10966</v>
      </c>
      <c r="B1862" s="2">
        <f>_xlfn.XLOOKUP(Table9[[#This Row],[orderID]],orders[orderID],orders[orderDate],,0)</f>
        <v>42083</v>
      </c>
      <c r="C1862">
        <f>_xlfn.XLOOKUP(A1862,order_details[orderID],order_details[productID],,0)</f>
        <v>37</v>
      </c>
      <c r="D1862" t="str">
        <f>_xlfn.XLOOKUP(C1862,products[productID],products[productName],,0)</f>
        <v>Gravad lax</v>
      </c>
      <c r="E1862" t="str">
        <f>_xlfn.XLOOKUP(_xlfn.XLOOKUP(Table9[[#This Row],[ProductName ]],products[productName],products[categoryID],,0),categories[categoryID],categories[categoryName],,0)</f>
        <v>Seafood</v>
      </c>
      <c r="F1862">
        <v>12</v>
      </c>
      <c r="G1862">
        <v>493</v>
      </c>
      <c r="H1862">
        <v>15</v>
      </c>
      <c r="I1862">
        <f>Table9[[#This Row],[quantity]]*Table9[[#This Row],[unitPrice]]*(1-Table9[[#This Row],[discount]]/100)</f>
        <v>5028.5999999999995</v>
      </c>
      <c r="J1862" t="str">
        <f>_xlfn.XLOOKUP(_xlfn.XLOOKUP(A1862,orders[orderID],orders[customerID],,0),customers__2[customerID],customers__2[companyName],,0)</f>
        <v>Chop-suey Chinese</v>
      </c>
      <c r="K1862" t="str">
        <f>_xlfn.XLOOKUP(Table9[[#This Row],[Company Name]],customers__2[companyName],customers__2[country],,0)</f>
        <v>Switzerland</v>
      </c>
      <c r="L1862">
        <f>MONTH(Table9[[#This Row],[OrderDate ]])</f>
        <v>3</v>
      </c>
      <c r="M1862" t="str">
        <f>TEXT(Table9[[#This Row],[OrderDate ]],"mmm")</f>
        <v>Mar</v>
      </c>
      <c r="N1862">
        <f>YEAR(Table9[[#This Row],[OrderDate ]])</f>
        <v>2015</v>
      </c>
    </row>
    <row r="1863" spans="1:14" x14ac:dyDescent="0.3">
      <c r="A1863">
        <v>10967</v>
      </c>
      <c r="B1863" s="2">
        <f>_xlfn.XLOOKUP(Table9[[#This Row],[orderID]],orders[orderID],orders[orderDate],,0)</f>
        <v>42086</v>
      </c>
      <c r="C1863">
        <f>_xlfn.XLOOKUP(A1863,order_details[orderID],order_details[productID],,0)</f>
        <v>19</v>
      </c>
      <c r="D1863" t="str">
        <f>_xlfn.XLOOKUP(C1863,products[productID],products[productName],,0)</f>
        <v>Teatime Chocolate Biscuits</v>
      </c>
      <c r="E1863" t="str">
        <f>_xlfn.XLOOKUP(_xlfn.XLOOKUP(Table9[[#This Row],[ProductName ]],products[productName],products[categoryID],,0),categories[categoryID],categories[categoryName],,0)</f>
        <v>Confections</v>
      </c>
      <c r="F1863">
        <v>12</v>
      </c>
      <c r="G1863">
        <v>92</v>
      </c>
      <c r="H1863">
        <v>0</v>
      </c>
      <c r="I1863">
        <f>Table9[[#This Row],[quantity]]*Table9[[#This Row],[unitPrice]]*(1-Table9[[#This Row],[discount]]/100)</f>
        <v>1104</v>
      </c>
      <c r="J1863" t="str">
        <f>_xlfn.XLOOKUP(_xlfn.XLOOKUP(A1863,orders[orderID],orders[customerID],,0),customers__2[customerID],customers__2[companyName],,0)</f>
        <v>Toms Spezialitäten</v>
      </c>
      <c r="K1863" t="str">
        <f>_xlfn.XLOOKUP(Table9[[#This Row],[Company Name]],customers__2[companyName],customers__2[country],,0)</f>
        <v>Germany</v>
      </c>
      <c r="L1863">
        <f>MONTH(Table9[[#This Row],[OrderDate ]])</f>
        <v>3</v>
      </c>
      <c r="M1863" t="str">
        <f>TEXT(Table9[[#This Row],[OrderDate ]],"mmm")</f>
        <v>Mar</v>
      </c>
      <c r="N1863">
        <f>YEAR(Table9[[#This Row],[OrderDate ]])</f>
        <v>2015</v>
      </c>
    </row>
    <row r="1864" spans="1:14" x14ac:dyDescent="0.3">
      <c r="A1864">
        <v>10967</v>
      </c>
      <c r="B1864" s="2">
        <f>_xlfn.XLOOKUP(Table9[[#This Row],[orderID]],orders[orderID],orders[orderDate],,0)</f>
        <v>42086</v>
      </c>
      <c r="C1864">
        <f>_xlfn.XLOOKUP(A1864,order_details[orderID],order_details[productID],,0)</f>
        <v>19</v>
      </c>
      <c r="D1864" t="str">
        <f>_xlfn.XLOOKUP(C1864,products[productID],products[productName],,0)</f>
        <v>Teatime Chocolate Biscuits</v>
      </c>
      <c r="E1864" t="str">
        <f>_xlfn.XLOOKUP(_xlfn.XLOOKUP(Table9[[#This Row],[ProductName ]],products[productName],products[categoryID],,0),categories[categoryID],categories[categoryName],,0)</f>
        <v>Confections</v>
      </c>
      <c r="F1864">
        <v>40</v>
      </c>
      <c r="G1864">
        <v>20</v>
      </c>
      <c r="H1864">
        <v>0</v>
      </c>
      <c r="I1864">
        <f>Table9[[#This Row],[quantity]]*Table9[[#This Row],[unitPrice]]*(1-Table9[[#This Row],[discount]]/100)</f>
        <v>800</v>
      </c>
      <c r="J1864" t="str">
        <f>_xlfn.XLOOKUP(_xlfn.XLOOKUP(A1864,orders[orderID],orders[customerID],,0),customers__2[customerID],customers__2[companyName],,0)</f>
        <v>Toms Spezialitäten</v>
      </c>
      <c r="K1864" t="str">
        <f>_xlfn.XLOOKUP(Table9[[#This Row],[Company Name]],customers__2[companyName],customers__2[country],,0)</f>
        <v>Germany</v>
      </c>
      <c r="L1864">
        <f>MONTH(Table9[[#This Row],[OrderDate ]])</f>
        <v>3</v>
      </c>
      <c r="M1864" t="str">
        <f>TEXT(Table9[[#This Row],[OrderDate ]],"mmm")</f>
        <v>Mar</v>
      </c>
      <c r="N1864">
        <f>YEAR(Table9[[#This Row],[OrderDate ]])</f>
        <v>2015</v>
      </c>
    </row>
    <row r="1865" spans="1:14" x14ac:dyDescent="0.3">
      <c r="A1865">
        <v>10968</v>
      </c>
      <c r="B1865" s="2">
        <f>_xlfn.XLOOKUP(Table9[[#This Row],[orderID]],orders[orderID],orders[orderDate],,0)</f>
        <v>42086</v>
      </c>
      <c r="C1865">
        <f>_xlfn.XLOOKUP(A1865,order_details[orderID],order_details[productID],,0)</f>
        <v>12</v>
      </c>
      <c r="D1865" t="str">
        <f>_xlfn.XLOOKUP(C1865,products[productID],products[productName],,0)</f>
        <v>Queso Manchego La Pastora</v>
      </c>
      <c r="E1865" t="str">
        <f>_xlfn.XLOOKUP(_xlfn.XLOOKUP(Table9[[#This Row],[ProductName ]],products[productName],products[categoryID],,0),categories[categoryID],categories[categoryName],,0)</f>
        <v>Dairy Products</v>
      </c>
      <c r="F1865">
        <v>30</v>
      </c>
      <c r="G1865">
        <v>38</v>
      </c>
      <c r="H1865">
        <v>0</v>
      </c>
      <c r="I1865">
        <f>Table9[[#This Row],[quantity]]*Table9[[#This Row],[unitPrice]]*(1-Table9[[#This Row],[discount]]/100)</f>
        <v>1140</v>
      </c>
      <c r="J1865" t="str">
        <f>_xlfn.XLOOKUP(_xlfn.XLOOKUP(A1865,orders[orderID],orders[customerID],,0),customers__2[customerID],customers__2[companyName],,0)</f>
        <v>Ernst Handel</v>
      </c>
      <c r="K1865" t="str">
        <f>_xlfn.XLOOKUP(Table9[[#This Row],[Company Name]],customers__2[companyName],customers__2[country],,0)</f>
        <v>Austria</v>
      </c>
      <c r="L1865">
        <f>MONTH(Table9[[#This Row],[OrderDate ]])</f>
        <v>3</v>
      </c>
      <c r="M1865" t="str">
        <f>TEXT(Table9[[#This Row],[OrderDate ]],"mmm")</f>
        <v>Mar</v>
      </c>
      <c r="N1865">
        <f>YEAR(Table9[[#This Row],[OrderDate ]])</f>
        <v>2015</v>
      </c>
    </row>
    <row r="1866" spans="1:14" x14ac:dyDescent="0.3">
      <c r="A1866">
        <v>10968</v>
      </c>
      <c r="B1866" s="2">
        <f>_xlfn.XLOOKUP(Table9[[#This Row],[orderID]],orders[orderID],orders[orderDate],,0)</f>
        <v>42086</v>
      </c>
      <c r="C1866">
        <f>_xlfn.XLOOKUP(A1866,order_details[orderID],order_details[productID],,0)</f>
        <v>12</v>
      </c>
      <c r="D1866" t="str">
        <f>_xlfn.XLOOKUP(C1866,products[productID],products[productName],,0)</f>
        <v>Queso Manchego La Pastora</v>
      </c>
      <c r="E1866" t="str">
        <f>_xlfn.XLOOKUP(_xlfn.XLOOKUP(Table9[[#This Row],[ProductName ]],products[productName],products[categoryID],,0),categories[categoryID],categories[categoryName],,0)</f>
        <v>Dairy Products</v>
      </c>
      <c r="F1866">
        <v>30</v>
      </c>
      <c r="G1866">
        <v>45</v>
      </c>
      <c r="H1866">
        <v>0</v>
      </c>
      <c r="I1866">
        <f>Table9[[#This Row],[quantity]]*Table9[[#This Row],[unitPrice]]*(1-Table9[[#This Row],[discount]]/100)</f>
        <v>1350</v>
      </c>
      <c r="J1866" t="str">
        <f>_xlfn.XLOOKUP(_xlfn.XLOOKUP(A1866,orders[orderID],orders[customerID],,0),customers__2[customerID],customers__2[companyName],,0)</f>
        <v>Ernst Handel</v>
      </c>
      <c r="K1866" t="str">
        <f>_xlfn.XLOOKUP(Table9[[#This Row],[Company Name]],customers__2[companyName],customers__2[country],,0)</f>
        <v>Austria</v>
      </c>
      <c r="L1866">
        <f>MONTH(Table9[[#This Row],[OrderDate ]])</f>
        <v>3</v>
      </c>
      <c r="M1866" t="str">
        <f>TEXT(Table9[[#This Row],[OrderDate ]],"mmm")</f>
        <v>Mar</v>
      </c>
      <c r="N1866">
        <f>YEAR(Table9[[#This Row],[OrderDate ]])</f>
        <v>2015</v>
      </c>
    </row>
    <row r="1867" spans="1:14" x14ac:dyDescent="0.3">
      <c r="A1867">
        <v>10968</v>
      </c>
      <c r="B1867" s="2">
        <f>_xlfn.XLOOKUP(Table9[[#This Row],[orderID]],orders[orderID],orders[orderDate],,0)</f>
        <v>42086</v>
      </c>
      <c r="C1867">
        <f>_xlfn.XLOOKUP(A1867,order_details[orderID],order_details[productID],,0)</f>
        <v>12</v>
      </c>
      <c r="D1867" t="str">
        <f>_xlfn.XLOOKUP(C1867,products[productID],products[productName],,0)</f>
        <v>Queso Manchego La Pastora</v>
      </c>
      <c r="E1867" t="str">
        <f>_xlfn.XLOOKUP(_xlfn.XLOOKUP(Table9[[#This Row],[ProductName ]],products[productName],products[categoryID],,0),categories[categoryID],categories[categoryName],,0)</f>
        <v>Dairy Products</v>
      </c>
      <c r="F1867">
        <v>4</v>
      </c>
      <c r="G1867">
        <v>3325</v>
      </c>
      <c r="H1867">
        <v>0</v>
      </c>
      <c r="I1867">
        <f>Table9[[#This Row],[quantity]]*Table9[[#This Row],[unitPrice]]*(1-Table9[[#This Row],[discount]]/100)</f>
        <v>13300</v>
      </c>
      <c r="J1867" t="str">
        <f>_xlfn.XLOOKUP(_xlfn.XLOOKUP(A1867,orders[orderID],orders[customerID],,0),customers__2[customerID],customers__2[companyName],,0)</f>
        <v>Ernst Handel</v>
      </c>
      <c r="K1867" t="str">
        <f>_xlfn.XLOOKUP(Table9[[#This Row],[Company Name]],customers__2[companyName],customers__2[country],,0)</f>
        <v>Austria</v>
      </c>
      <c r="L1867">
        <f>MONTH(Table9[[#This Row],[OrderDate ]])</f>
        <v>3</v>
      </c>
      <c r="M1867" t="str">
        <f>TEXT(Table9[[#This Row],[OrderDate ]],"mmm")</f>
        <v>Mar</v>
      </c>
      <c r="N1867">
        <f>YEAR(Table9[[#This Row],[OrderDate ]])</f>
        <v>2015</v>
      </c>
    </row>
    <row r="1868" spans="1:14" x14ac:dyDescent="0.3">
      <c r="A1868">
        <v>10969</v>
      </c>
      <c r="B1868" s="2">
        <f>_xlfn.XLOOKUP(Table9[[#This Row],[orderID]],orders[orderID],orders[orderDate],,0)</f>
        <v>42086</v>
      </c>
      <c r="C1868">
        <f>_xlfn.XLOOKUP(A1868,order_details[orderID],order_details[productID],,0)</f>
        <v>46</v>
      </c>
      <c r="D1868" t="str">
        <f>_xlfn.XLOOKUP(C1868,products[productID],products[productName],,0)</f>
        <v>Spegesild</v>
      </c>
      <c r="E1868" t="str">
        <f>_xlfn.XLOOKUP(_xlfn.XLOOKUP(Table9[[#This Row],[ProductName ]],products[productName],products[categoryID],,0),categories[categoryID],categories[categoryName],,0)</f>
        <v>Seafood</v>
      </c>
      <c r="F1868">
        <v>9</v>
      </c>
      <c r="G1868">
        <v>12</v>
      </c>
      <c r="H1868">
        <v>0</v>
      </c>
      <c r="I1868">
        <f>Table9[[#This Row],[quantity]]*Table9[[#This Row],[unitPrice]]*(1-Table9[[#This Row],[discount]]/100)</f>
        <v>108</v>
      </c>
      <c r="J1868" t="str">
        <f>_xlfn.XLOOKUP(_xlfn.XLOOKUP(A1868,orders[orderID],orders[customerID],,0),customers__2[customerID],customers__2[companyName],,0)</f>
        <v>Comércio Mineiro</v>
      </c>
      <c r="K1868" t="str">
        <f>_xlfn.XLOOKUP(Table9[[#This Row],[Company Name]],customers__2[companyName],customers__2[country],,0)</f>
        <v>Brazil</v>
      </c>
      <c r="L1868">
        <f>MONTH(Table9[[#This Row],[OrderDate ]])</f>
        <v>3</v>
      </c>
      <c r="M1868" t="str">
        <f>TEXT(Table9[[#This Row],[OrderDate ]],"mmm")</f>
        <v>Mar</v>
      </c>
      <c r="N1868">
        <f>YEAR(Table9[[#This Row],[OrderDate ]])</f>
        <v>2015</v>
      </c>
    </row>
    <row r="1869" spans="1:14" x14ac:dyDescent="0.3">
      <c r="A1869">
        <v>10970</v>
      </c>
      <c r="B1869" s="2">
        <f>_xlfn.XLOOKUP(Table9[[#This Row],[orderID]],orders[orderID],orders[orderDate],,0)</f>
        <v>42087</v>
      </c>
      <c r="C1869">
        <f>_xlfn.XLOOKUP(A1869,order_details[orderID],order_details[productID],,0)</f>
        <v>52</v>
      </c>
      <c r="D1869" t="str">
        <f>_xlfn.XLOOKUP(C1869,products[productID],products[productName],,0)</f>
        <v>Filo Mix</v>
      </c>
      <c r="E1869" t="str">
        <f>_xlfn.XLOOKUP(_xlfn.XLOOKUP(Table9[[#This Row],[ProductName ]],products[productName],products[categoryID],,0),categories[categoryID],categories[categoryName],,0)</f>
        <v>Grains &amp; Cereals</v>
      </c>
      <c r="F1869">
        <v>40</v>
      </c>
      <c r="G1869">
        <v>7</v>
      </c>
      <c r="H1869">
        <v>2</v>
      </c>
      <c r="I1869">
        <f>Table9[[#This Row],[quantity]]*Table9[[#This Row],[unitPrice]]*(1-Table9[[#This Row],[discount]]/100)</f>
        <v>274.39999999999998</v>
      </c>
      <c r="J1869" t="str">
        <f>_xlfn.XLOOKUP(_xlfn.XLOOKUP(A1869,orders[orderID],orders[customerID],,0),customers__2[customerID],customers__2[companyName],,0)</f>
        <v>Bólido Comidas preparadas</v>
      </c>
      <c r="K1869" t="str">
        <f>_xlfn.XLOOKUP(Table9[[#This Row],[Company Name]],customers__2[companyName],customers__2[country],,0)</f>
        <v>Spain</v>
      </c>
      <c r="L1869">
        <f>MONTH(Table9[[#This Row],[OrderDate ]])</f>
        <v>3</v>
      </c>
      <c r="M1869" t="str">
        <f>TEXT(Table9[[#This Row],[OrderDate ]],"mmm")</f>
        <v>Mar</v>
      </c>
      <c r="N1869">
        <f>YEAR(Table9[[#This Row],[OrderDate ]])</f>
        <v>2015</v>
      </c>
    </row>
    <row r="1870" spans="1:14" x14ac:dyDescent="0.3">
      <c r="A1870">
        <v>10971</v>
      </c>
      <c r="B1870" s="2">
        <f>_xlfn.XLOOKUP(Table9[[#This Row],[orderID]],orders[orderID],orders[orderDate],,0)</f>
        <v>42087</v>
      </c>
      <c r="C1870">
        <f>_xlfn.XLOOKUP(A1870,order_details[orderID],order_details[productID],,0)</f>
        <v>29</v>
      </c>
      <c r="D1870" t="str">
        <f>_xlfn.XLOOKUP(C1870,products[productID],products[productName],,0)</f>
        <v>Thüringer Rostbratwurst</v>
      </c>
      <c r="E1870" t="str">
        <f>_xlfn.XLOOKUP(_xlfn.XLOOKUP(Table9[[#This Row],[ProductName ]],products[productName],products[categoryID],,0),categories[categoryID],categories[categoryName],,0)</f>
        <v>Meat &amp; Poultry</v>
      </c>
      <c r="F1870">
        <v>14</v>
      </c>
      <c r="G1870">
        <v>12379</v>
      </c>
      <c r="H1870">
        <v>0</v>
      </c>
      <c r="I1870">
        <f>Table9[[#This Row],[quantity]]*Table9[[#This Row],[unitPrice]]*(1-Table9[[#This Row],[discount]]/100)</f>
        <v>173306</v>
      </c>
      <c r="J1870" t="str">
        <f>_xlfn.XLOOKUP(_xlfn.XLOOKUP(A1870,orders[orderID],orders[customerID],,0),customers__2[customerID],customers__2[companyName],,0)</f>
        <v>France restauration</v>
      </c>
      <c r="K1870" t="str">
        <f>_xlfn.XLOOKUP(Table9[[#This Row],[Company Name]],customers__2[companyName],customers__2[country],,0)</f>
        <v>France</v>
      </c>
      <c r="L1870">
        <f>MONTH(Table9[[#This Row],[OrderDate ]])</f>
        <v>3</v>
      </c>
      <c r="M1870" t="str">
        <f>TEXT(Table9[[#This Row],[OrderDate ]],"mmm")</f>
        <v>Mar</v>
      </c>
      <c r="N1870">
        <f>YEAR(Table9[[#This Row],[OrderDate ]])</f>
        <v>2015</v>
      </c>
    </row>
    <row r="1871" spans="1:14" x14ac:dyDescent="0.3">
      <c r="A1871">
        <v>10972</v>
      </c>
      <c r="B1871" s="2">
        <f>_xlfn.XLOOKUP(Table9[[#This Row],[orderID]],orders[orderID],orders[orderDate],,0)</f>
        <v>42087</v>
      </c>
      <c r="C1871">
        <f>_xlfn.XLOOKUP(A1871,order_details[orderID],order_details[productID],,0)</f>
        <v>17</v>
      </c>
      <c r="D1871" t="str">
        <f>_xlfn.XLOOKUP(C1871,products[productID],products[productName],,0)</f>
        <v>Alice Mutton</v>
      </c>
      <c r="E1871" t="str">
        <f>_xlfn.XLOOKUP(_xlfn.XLOOKUP(Table9[[#This Row],[ProductName ]],products[productName],products[categoryID],,0),categories[categoryID],categories[categoryName],,0)</f>
        <v>Meat &amp; Poultry</v>
      </c>
      <c r="F1871">
        <v>6</v>
      </c>
      <c r="G1871">
        <v>39</v>
      </c>
      <c r="H1871">
        <v>0</v>
      </c>
      <c r="I1871">
        <f>Table9[[#This Row],[quantity]]*Table9[[#This Row],[unitPrice]]*(1-Table9[[#This Row],[discount]]/100)</f>
        <v>234</v>
      </c>
      <c r="J1871" t="str">
        <f>_xlfn.XLOOKUP(_xlfn.XLOOKUP(A1871,orders[orderID],orders[customerID],,0),customers__2[customerID],customers__2[companyName],,0)</f>
        <v>La corne d'abondance</v>
      </c>
      <c r="K1871" t="str">
        <f>_xlfn.XLOOKUP(Table9[[#This Row],[Company Name]],customers__2[companyName],customers__2[country],,0)</f>
        <v>France</v>
      </c>
      <c r="L1871">
        <f>MONTH(Table9[[#This Row],[OrderDate ]])</f>
        <v>3</v>
      </c>
      <c r="M1871" t="str">
        <f>TEXT(Table9[[#This Row],[OrderDate ]],"mmm")</f>
        <v>Mar</v>
      </c>
      <c r="N1871">
        <f>YEAR(Table9[[#This Row],[OrderDate ]])</f>
        <v>2015</v>
      </c>
    </row>
    <row r="1872" spans="1:14" x14ac:dyDescent="0.3">
      <c r="A1872">
        <v>10972</v>
      </c>
      <c r="B1872" s="2">
        <f>_xlfn.XLOOKUP(Table9[[#This Row],[orderID]],orders[orderID],orders[orderDate],,0)</f>
        <v>42087</v>
      </c>
      <c r="C1872">
        <f>_xlfn.XLOOKUP(A1872,order_details[orderID],order_details[productID],,0)</f>
        <v>17</v>
      </c>
      <c r="D1872" t="str">
        <f>_xlfn.XLOOKUP(C1872,products[productID],products[productName],,0)</f>
        <v>Alice Mutton</v>
      </c>
      <c r="E1872" t="str">
        <f>_xlfn.XLOOKUP(_xlfn.XLOOKUP(Table9[[#This Row],[ProductName ]],products[productName],products[categoryID],,0),categories[categoryID],categories[categoryName],,0)</f>
        <v>Meat &amp; Poultry</v>
      </c>
      <c r="F1872">
        <v>7</v>
      </c>
      <c r="G1872">
        <v>25</v>
      </c>
      <c r="H1872">
        <v>0</v>
      </c>
      <c r="I1872">
        <f>Table9[[#This Row],[quantity]]*Table9[[#This Row],[unitPrice]]*(1-Table9[[#This Row],[discount]]/100)</f>
        <v>175</v>
      </c>
      <c r="J1872" t="str">
        <f>_xlfn.XLOOKUP(_xlfn.XLOOKUP(A1872,orders[orderID],orders[customerID],,0),customers__2[customerID],customers__2[companyName],,0)</f>
        <v>La corne d'abondance</v>
      </c>
      <c r="K1872" t="str">
        <f>_xlfn.XLOOKUP(Table9[[#This Row],[Company Name]],customers__2[companyName],customers__2[country],,0)</f>
        <v>France</v>
      </c>
      <c r="L1872">
        <f>MONTH(Table9[[#This Row],[OrderDate ]])</f>
        <v>3</v>
      </c>
      <c r="M1872" t="str">
        <f>TEXT(Table9[[#This Row],[OrderDate ]],"mmm")</f>
        <v>Mar</v>
      </c>
      <c r="N1872">
        <f>YEAR(Table9[[#This Row],[OrderDate ]])</f>
        <v>2015</v>
      </c>
    </row>
    <row r="1873" spans="1:14" x14ac:dyDescent="0.3">
      <c r="A1873">
        <v>10973</v>
      </c>
      <c r="B1873" s="2">
        <f>_xlfn.XLOOKUP(Table9[[#This Row],[orderID]],orders[orderID],orders[orderDate],,0)</f>
        <v>42087</v>
      </c>
      <c r="C1873">
        <f>_xlfn.XLOOKUP(A1873,order_details[orderID],order_details[productID],,0)</f>
        <v>26</v>
      </c>
      <c r="D1873" t="str">
        <f>_xlfn.XLOOKUP(C1873,products[productID],products[productName],,0)</f>
        <v>Gumbär Gummibärchen</v>
      </c>
      <c r="E1873" t="str">
        <f>_xlfn.XLOOKUP(_xlfn.XLOOKUP(Table9[[#This Row],[ProductName ]],products[productName],products[categoryID],,0),categories[categoryID],categories[categoryName],,0)</f>
        <v>Confections</v>
      </c>
      <c r="F1873">
        <v>5</v>
      </c>
      <c r="G1873">
        <v>3123</v>
      </c>
      <c r="H1873">
        <v>0</v>
      </c>
      <c r="I1873">
        <f>Table9[[#This Row],[quantity]]*Table9[[#This Row],[unitPrice]]*(1-Table9[[#This Row],[discount]]/100)</f>
        <v>15615</v>
      </c>
      <c r="J1873" t="str">
        <f>_xlfn.XLOOKUP(_xlfn.XLOOKUP(A1873,orders[orderID],orders[customerID],,0),customers__2[customerID],customers__2[companyName],,0)</f>
        <v>La corne d'abondance</v>
      </c>
      <c r="K1873" t="str">
        <f>_xlfn.XLOOKUP(Table9[[#This Row],[Company Name]],customers__2[companyName],customers__2[country],,0)</f>
        <v>France</v>
      </c>
      <c r="L1873">
        <f>MONTH(Table9[[#This Row],[OrderDate ]])</f>
        <v>3</v>
      </c>
      <c r="M1873" t="str">
        <f>TEXT(Table9[[#This Row],[OrderDate ]],"mmm")</f>
        <v>Mar</v>
      </c>
      <c r="N1873">
        <f>YEAR(Table9[[#This Row],[OrderDate ]])</f>
        <v>2015</v>
      </c>
    </row>
    <row r="1874" spans="1:14" x14ac:dyDescent="0.3">
      <c r="A1874">
        <v>10973</v>
      </c>
      <c r="B1874" s="2">
        <f>_xlfn.XLOOKUP(Table9[[#This Row],[orderID]],orders[orderID],orders[orderDate],,0)</f>
        <v>42087</v>
      </c>
      <c r="C1874">
        <f>_xlfn.XLOOKUP(A1874,order_details[orderID],order_details[productID],,0)</f>
        <v>26</v>
      </c>
      <c r="D1874" t="str">
        <f>_xlfn.XLOOKUP(C1874,products[productID],products[productName],,0)</f>
        <v>Gumbär Gummibärchen</v>
      </c>
      <c r="E1874" t="str">
        <f>_xlfn.XLOOKUP(_xlfn.XLOOKUP(Table9[[#This Row],[ProductName ]],products[productName],products[categoryID],,0),categories[categoryID],categories[categoryName],,0)</f>
        <v>Confections</v>
      </c>
      <c r="F1874">
        <v>6</v>
      </c>
      <c r="G1874">
        <v>965</v>
      </c>
      <c r="H1874">
        <v>0</v>
      </c>
      <c r="I1874">
        <f>Table9[[#This Row],[quantity]]*Table9[[#This Row],[unitPrice]]*(1-Table9[[#This Row],[discount]]/100)</f>
        <v>5790</v>
      </c>
      <c r="J1874" t="str">
        <f>_xlfn.XLOOKUP(_xlfn.XLOOKUP(A1874,orders[orderID],orders[customerID],,0),customers__2[customerID],customers__2[companyName],,0)</f>
        <v>La corne d'abondance</v>
      </c>
      <c r="K1874" t="str">
        <f>_xlfn.XLOOKUP(Table9[[#This Row],[Company Name]],customers__2[companyName],customers__2[country],,0)</f>
        <v>France</v>
      </c>
      <c r="L1874">
        <f>MONTH(Table9[[#This Row],[OrderDate ]])</f>
        <v>3</v>
      </c>
      <c r="M1874" t="str">
        <f>TEXT(Table9[[#This Row],[OrderDate ]],"mmm")</f>
        <v>Mar</v>
      </c>
      <c r="N1874">
        <f>YEAR(Table9[[#This Row],[OrderDate ]])</f>
        <v>2015</v>
      </c>
    </row>
    <row r="1875" spans="1:14" x14ac:dyDescent="0.3">
      <c r="A1875">
        <v>10973</v>
      </c>
      <c r="B1875" s="2">
        <f>_xlfn.XLOOKUP(Table9[[#This Row],[orderID]],orders[orderID],orders[orderDate],,0)</f>
        <v>42087</v>
      </c>
      <c r="C1875">
        <f>_xlfn.XLOOKUP(A1875,order_details[orderID],order_details[productID],,0)</f>
        <v>26</v>
      </c>
      <c r="D1875" t="str">
        <f>_xlfn.XLOOKUP(C1875,products[productID],products[productName],,0)</f>
        <v>Gumbär Gummibärchen</v>
      </c>
      <c r="E1875" t="str">
        <f>_xlfn.XLOOKUP(_xlfn.XLOOKUP(Table9[[#This Row],[ProductName ]],products[productName],products[categoryID],,0),categories[categoryID],categories[categoryName],,0)</f>
        <v>Confections</v>
      </c>
      <c r="F1875">
        <v>10</v>
      </c>
      <c r="G1875">
        <v>775</v>
      </c>
      <c r="H1875">
        <v>0</v>
      </c>
      <c r="I1875">
        <f>Table9[[#This Row],[quantity]]*Table9[[#This Row],[unitPrice]]*(1-Table9[[#This Row],[discount]]/100)</f>
        <v>7750</v>
      </c>
      <c r="J1875" t="str">
        <f>_xlfn.XLOOKUP(_xlfn.XLOOKUP(A1875,orders[orderID],orders[customerID],,0),customers__2[customerID],customers__2[companyName],,0)</f>
        <v>La corne d'abondance</v>
      </c>
      <c r="K1875" t="str">
        <f>_xlfn.XLOOKUP(Table9[[#This Row],[Company Name]],customers__2[companyName],customers__2[country],,0)</f>
        <v>France</v>
      </c>
      <c r="L1875">
        <f>MONTH(Table9[[#This Row],[OrderDate ]])</f>
        <v>3</v>
      </c>
      <c r="M1875" t="str">
        <f>TEXT(Table9[[#This Row],[OrderDate ]],"mmm")</f>
        <v>Mar</v>
      </c>
      <c r="N1875">
        <f>YEAR(Table9[[#This Row],[OrderDate ]])</f>
        <v>2015</v>
      </c>
    </row>
    <row r="1876" spans="1:14" x14ac:dyDescent="0.3">
      <c r="A1876">
        <v>10974</v>
      </c>
      <c r="B1876" s="2">
        <f>_xlfn.XLOOKUP(Table9[[#This Row],[orderID]],orders[orderID],orders[orderDate],,0)</f>
        <v>42088</v>
      </c>
      <c r="C1876">
        <f>_xlfn.XLOOKUP(A1876,order_details[orderID],order_details[productID],,0)</f>
        <v>63</v>
      </c>
      <c r="D1876" t="str">
        <f>_xlfn.XLOOKUP(C1876,products[productID],products[productName],,0)</f>
        <v>Vegie-spread</v>
      </c>
      <c r="E1876" t="str">
        <f>_xlfn.XLOOKUP(_xlfn.XLOOKUP(Table9[[#This Row],[ProductName ]],products[productName],products[categoryID],,0),categories[categoryID],categories[categoryName],,0)</f>
        <v>Condiments</v>
      </c>
      <c r="F1876">
        <v>10</v>
      </c>
      <c r="G1876">
        <v>439</v>
      </c>
      <c r="H1876">
        <v>0</v>
      </c>
      <c r="I1876">
        <f>Table9[[#This Row],[quantity]]*Table9[[#This Row],[unitPrice]]*(1-Table9[[#This Row],[discount]]/100)</f>
        <v>4390</v>
      </c>
      <c r="J1876" t="str">
        <f>_xlfn.XLOOKUP(_xlfn.XLOOKUP(A1876,orders[orderID],orders[customerID],,0),customers__2[customerID],customers__2[companyName],,0)</f>
        <v>Split Rail Beer &amp; Ale</v>
      </c>
      <c r="K1876" t="str">
        <f>_xlfn.XLOOKUP(Table9[[#This Row],[Company Name]],customers__2[companyName],customers__2[country],,0)</f>
        <v>USA</v>
      </c>
      <c r="L1876">
        <f>MONTH(Table9[[#This Row],[OrderDate ]])</f>
        <v>3</v>
      </c>
      <c r="M1876" t="str">
        <f>TEXT(Table9[[#This Row],[OrderDate ]],"mmm")</f>
        <v>Mar</v>
      </c>
      <c r="N1876">
        <f>YEAR(Table9[[#This Row],[OrderDate ]])</f>
        <v>2015</v>
      </c>
    </row>
    <row r="1877" spans="1:14" x14ac:dyDescent="0.3">
      <c r="A1877">
        <v>10975</v>
      </c>
      <c r="B1877" s="2">
        <f>_xlfn.XLOOKUP(Table9[[#This Row],[orderID]],orders[orderID],orders[orderDate],,0)</f>
        <v>42088</v>
      </c>
      <c r="C1877">
        <f>_xlfn.XLOOKUP(A1877,order_details[orderID],order_details[productID],,0)</f>
        <v>8</v>
      </c>
      <c r="D1877" t="str">
        <f>_xlfn.XLOOKUP(C1877,products[productID],products[productName],,0)</f>
        <v>Northwoods Cranberry Sauce</v>
      </c>
      <c r="E1877" t="str">
        <f>_xlfn.XLOOKUP(_xlfn.XLOOKUP(Table9[[#This Row],[ProductName ]],products[productName],products[categoryID],,0),categories[categoryID],categories[categoryName],,0)</f>
        <v>Condiments</v>
      </c>
      <c r="F1877">
        <v>16</v>
      </c>
      <c r="G1877">
        <v>40</v>
      </c>
      <c r="H1877">
        <v>0</v>
      </c>
      <c r="I1877">
        <f>Table9[[#This Row],[quantity]]*Table9[[#This Row],[unitPrice]]*(1-Table9[[#This Row],[discount]]/100)</f>
        <v>640</v>
      </c>
      <c r="J1877" t="str">
        <f>_xlfn.XLOOKUP(_xlfn.XLOOKUP(A1877,orders[orderID],orders[customerID],,0),customers__2[customerID],customers__2[companyName],,0)</f>
        <v>Bottom-Dollar Markets</v>
      </c>
      <c r="K1877" t="str">
        <f>_xlfn.XLOOKUP(Table9[[#This Row],[Company Name]],customers__2[companyName],customers__2[country],,0)</f>
        <v>Canada</v>
      </c>
      <c r="L1877">
        <f>MONTH(Table9[[#This Row],[OrderDate ]])</f>
        <v>3</v>
      </c>
      <c r="M1877" t="str">
        <f>TEXT(Table9[[#This Row],[OrderDate ]],"mmm")</f>
        <v>Mar</v>
      </c>
      <c r="N1877">
        <f>YEAR(Table9[[#This Row],[OrderDate ]])</f>
        <v>2015</v>
      </c>
    </row>
    <row r="1878" spans="1:14" x14ac:dyDescent="0.3">
      <c r="A1878">
        <v>10975</v>
      </c>
      <c r="B1878" s="2">
        <f>_xlfn.XLOOKUP(Table9[[#This Row],[orderID]],orders[orderID],orders[orderDate],,0)</f>
        <v>42088</v>
      </c>
      <c r="C1878">
        <f>_xlfn.XLOOKUP(A1878,order_details[orderID],order_details[productID],,0)</f>
        <v>8</v>
      </c>
      <c r="D1878" t="str">
        <f>_xlfn.XLOOKUP(C1878,products[productID],products[productName],,0)</f>
        <v>Northwoods Cranberry Sauce</v>
      </c>
      <c r="E1878" t="str">
        <f>_xlfn.XLOOKUP(_xlfn.XLOOKUP(Table9[[#This Row],[ProductName ]],products[productName],products[categoryID],,0),categories[categoryID],categories[categoryName],,0)</f>
        <v>Condiments</v>
      </c>
      <c r="F1878">
        <v>10</v>
      </c>
      <c r="G1878">
        <v>775</v>
      </c>
      <c r="H1878">
        <v>0</v>
      </c>
      <c r="I1878">
        <f>Table9[[#This Row],[quantity]]*Table9[[#This Row],[unitPrice]]*(1-Table9[[#This Row],[discount]]/100)</f>
        <v>7750</v>
      </c>
      <c r="J1878" t="str">
        <f>_xlfn.XLOOKUP(_xlfn.XLOOKUP(A1878,orders[orderID],orders[customerID],,0),customers__2[customerID],customers__2[companyName],,0)</f>
        <v>Bottom-Dollar Markets</v>
      </c>
      <c r="K1878" t="str">
        <f>_xlfn.XLOOKUP(Table9[[#This Row],[Company Name]],customers__2[companyName],customers__2[country],,0)</f>
        <v>Canada</v>
      </c>
      <c r="L1878">
        <f>MONTH(Table9[[#This Row],[OrderDate ]])</f>
        <v>3</v>
      </c>
      <c r="M1878" t="str">
        <f>TEXT(Table9[[#This Row],[OrderDate ]],"mmm")</f>
        <v>Mar</v>
      </c>
      <c r="N1878">
        <f>YEAR(Table9[[#This Row],[OrderDate ]])</f>
        <v>2015</v>
      </c>
    </row>
    <row r="1879" spans="1:14" x14ac:dyDescent="0.3">
      <c r="A1879">
        <v>10976</v>
      </c>
      <c r="B1879" s="2">
        <f>_xlfn.XLOOKUP(Table9[[#This Row],[orderID]],orders[orderID],orders[orderDate],,0)</f>
        <v>42088</v>
      </c>
      <c r="C1879">
        <f>_xlfn.XLOOKUP(A1879,order_details[orderID],order_details[productID],,0)</f>
        <v>28</v>
      </c>
      <c r="D1879" t="str">
        <f>_xlfn.XLOOKUP(C1879,products[productID],products[productName],,0)</f>
        <v>Rössle Sauerkraut</v>
      </c>
      <c r="E1879" t="str">
        <f>_xlfn.XLOOKUP(_xlfn.XLOOKUP(Table9[[#This Row],[ProductName ]],products[productName],products[categoryID],,0),categories[categoryID],categories[categoryName],,0)</f>
        <v>Produce</v>
      </c>
      <c r="F1879">
        <v>20</v>
      </c>
      <c r="G1879">
        <v>456</v>
      </c>
      <c r="H1879">
        <v>0</v>
      </c>
      <c r="I1879">
        <f>Table9[[#This Row],[quantity]]*Table9[[#This Row],[unitPrice]]*(1-Table9[[#This Row],[discount]]/100)</f>
        <v>9120</v>
      </c>
      <c r="J1879" t="str">
        <f>_xlfn.XLOOKUP(_xlfn.XLOOKUP(A1879,orders[orderID],orders[customerID],,0),customers__2[customerID],customers__2[companyName],,0)</f>
        <v>HILARION-Abastos</v>
      </c>
      <c r="K1879" t="str">
        <f>_xlfn.XLOOKUP(Table9[[#This Row],[Company Name]],customers__2[companyName],customers__2[country],,0)</f>
        <v>Venezuela</v>
      </c>
      <c r="L1879">
        <f>MONTH(Table9[[#This Row],[OrderDate ]])</f>
        <v>3</v>
      </c>
      <c r="M1879" t="str">
        <f>TEXT(Table9[[#This Row],[OrderDate ]],"mmm")</f>
        <v>Mar</v>
      </c>
      <c r="N1879">
        <f>YEAR(Table9[[#This Row],[OrderDate ]])</f>
        <v>2015</v>
      </c>
    </row>
    <row r="1880" spans="1:14" x14ac:dyDescent="0.3">
      <c r="A1880">
        <v>10977</v>
      </c>
      <c r="B1880" s="2">
        <f>_xlfn.XLOOKUP(Table9[[#This Row],[orderID]],orders[orderID],orders[orderDate],,0)</f>
        <v>42089</v>
      </c>
      <c r="C1880">
        <f>_xlfn.XLOOKUP(A1880,order_details[orderID],order_details[productID],,0)</f>
        <v>39</v>
      </c>
      <c r="D1880" t="str">
        <f>_xlfn.XLOOKUP(C1880,products[productID],products[productName],,0)</f>
        <v>Chartreuse verte</v>
      </c>
      <c r="E1880" t="str">
        <f>_xlfn.XLOOKUP(_xlfn.XLOOKUP(Table9[[#This Row],[ProductName ]],products[productName],products[categoryID],,0),categories[categoryID],categories[categoryName],,0)</f>
        <v>Beverages</v>
      </c>
      <c r="F1880">
        <v>30</v>
      </c>
      <c r="G1880">
        <v>18</v>
      </c>
      <c r="H1880">
        <v>0</v>
      </c>
      <c r="I1880">
        <f>Table9[[#This Row],[quantity]]*Table9[[#This Row],[unitPrice]]*(1-Table9[[#This Row],[discount]]/100)</f>
        <v>540</v>
      </c>
      <c r="J1880" t="str">
        <f>_xlfn.XLOOKUP(_xlfn.XLOOKUP(A1880,orders[orderID],orders[customerID],,0),customers__2[customerID],customers__2[companyName],,0)</f>
        <v>Folk och fä HB</v>
      </c>
      <c r="K1880" t="str">
        <f>_xlfn.XLOOKUP(Table9[[#This Row],[Company Name]],customers__2[companyName],customers__2[country],,0)</f>
        <v>Sweden</v>
      </c>
      <c r="L1880">
        <f>MONTH(Table9[[#This Row],[OrderDate ]])</f>
        <v>3</v>
      </c>
      <c r="M1880" t="str">
        <f>TEXT(Table9[[#This Row],[OrderDate ]],"mmm")</f>
        <v>Mar</v>
      </c>
      <c r="N1880">
        <f>YEAR(Table9[[#This Row],[OrderDate ]])</f>
        <v>2015</v>
      </c>
    </row>
    <row r="1881" spans="1:14" x14ac:dyDescent="0.3">
      <c r="A1881">
        <v>10977</v>
      </c>
      <c r="B1881" s="2">
        <f>_xlfn.XLOOKUP(Table9[[#This Row],[orderID]],orders[orderID],orders[orderDate],,0)</f>
        <v>42089</v>
      </c>
      <c r="C1881">
        <f>_xlfn.XLOOKUP(A1881,order_details[orderID],order_details[productID],,0)</f>
        <v>39</v>
      </c>
      <c r="D1881" t="str">
        <f>_xlfn.XLOOKUP(C1881,products[productID],products[productName],,0)</f>
        <v>Chartreuse verte</v>
      </c>
      <c r="E1881" t="str">
        <f>_xlfn.XLOOKUP(_xlfn.XLOOKUP(Table9[[#This Row],[ProductName ]],products[productName],products[categoryID],,0),categories[categoryID],categories[categoryName],,0)</f>
        <v>Beverages</v>
      </c>
      <c r="F1881">
        <v>30</v>
      </c>
      <c r="G1881">
        <v>95</v>
      </c>
      <c r="H1881">
        <v>0</v>
      </c>
      <c r="I1881">
        <f>Table9[[#This Row],[quantity]]*Table9[[#This Row],[unitPrice]]*(1-Table9[[#This Row],[discount]]/100)</f>
        <v>2850</v>
      </c>
      <c r="J1881" t="str">
        <f>_xlfn.XLOOKUP(_xlfn.XLOOKUP(A1881,orders[orderID],orders[customerID],,0),customers__2[customerID],customers__2[companyName],,0)</f>
        <v>Folk och fä HB</v>
      </c>
      <c r="K1881" t="str">
        <f>_xlfn.XLOOKUP(Table9[[#This Row],[Company Name]],customers__2[companyName],customers__2[country],,0)</f>
        <v>Sweden</v>
      </c>
      <c r="L1881">
        <f>MONTH(Table9[[#This Row],[OrderDate ]])</f>
        <v>3</v>
      </c>
      <c r="M1881" t="str">
        <f>TEXT(Table9[[#This Row],[OrderDate ]],"mmm")</f>
        <v>Mar</v>
      </c>
      <c r="N1881">
        <f>YEAR(Table9[[#This Row],[OrderDate ]])</f>
        <v>2015</v>
      </c>
    </row>
    <row r="1882" spans="1:14" x14ac:dyDescent="0.3">
      <c r="A1882">
        <v>10977</v>
      </c>
      <c r="B1882" s="2">
        <f>_xlfn.XLOOKUP(Table9[[#This Row],[orderID]],orders[orderID],orders[orderDate],,0)</f>
        <v>42089</v>
      </c>
      <c r="C1882">
        <f>_xlfn.XLOOKUP(A1882,order_details[orderID],order_details[productID],,0)</f>
        <v>39</v>
      </c>
      <c r="D1882" t="str">
        <f>_xlfn.XLOOKUP(C1882,products[productID],products[productName],,0)</f>
        <v>Chartreuse verte</v>
      </c>
      <c r="E1882" t="str">
        <f>_xlfn.XLOOKUP(_xlfn.XLOOKUP(Table9[[#This Row],[ProductName ]],products[productName],products[categoryID],,0),categories[categoryID],categories[categoryName],,0)</f>
        <v>Beverages</v>
      </c>
      <c r="F1882">
        <v>10</v>
      </c>
      <c r="G1882">
        <v>53</v>
      </c>
      <c r="H1882">
        <v>0</v>
      </c>
      <c r="I1882">
        <f>Table9[[#This Row],[quantity]]*Table9[[#This Row],[unitPrice]]*(1-Table9[[#This Row],[discount]]/100)</f>
        <v>530</v>
      </c>
      <c r="J1882" t="str">
        <f>_xlfn.XLOOKUP(_xlfn.XLOOKUP(A1882,orders[orderID],orders[customerID],,0),customers__2[customerID],customers__2[companyName],,0)</f>
        <v>Folk och fä HB</v>
      </c>
      <c r="K1882" t="str">
        <f>_xlfn.XLOOKUP(Table9[[#This Row],[Company Name]],customers__2[companyName],customers__2[country],,0)</f>
        <v>Sweden</v>
      </c>
      <c r="L1882">
        <f>MONTH(Table9[[#This Row],[OrderDate ]])</f>
        <v>3</v>
      </c>
      <c r="M1882" t="str">
        <f>TEXT(Table9[[#This Row],[OrderDate ]],"mmm")</f>
        <v>Mar</v>
      </c>
      <c r="N1882">
        <f>YEAR(Table9[[#This Row],[OrderDate ]])</f>
        <v>2015</v>
      </c>
    </row>
    <row r="1883" spans="1:14" x14ac:dyDescent="0.3">
      <c r="A1883">
        <v>10977</v>
      </c>
      <c r="B1883" s="2">
        <f>_xlfn.XLOOKUP(Table9[[#This Row],[orderID]],orders[orderID],orders[orderDate],,0)</f>
        <v>42089</v>
      </c>
      <c r="C1883">
        <f>_xlfn.XLOOKUP(A1883,order_details[orderID],order_details[productID],,0)</f>
        <v>39</v>
      </c>
      <c r="D1883" t="str">
        <f>_xlfn.XLOOKUP(C1883,products[productID],products[productName],,0)</f>
        <v>Chartreuse verte</v>
      </c>
      <c r="E1883" t="str">
        <f>_xlfn.XLOOKUP(_xlfn.XLOOKUP(Table9[[#This Row],[ProductName ]],products[productName],products[categoryID],,0),categories[categoryID],categories[categoryName],,0)</f>
        <v>Beverages</v>
      </c>
      <c r="F1883">
        <v>20</v>
      </c>
      <c r="G1883">
        <v>439</v>
      </c>
      <c r="H1883">
        <v>0</v>
      </c>
      <c r="I1883">
        <f>Table9[[#This Row],[quantity]]*Table9[[#This Row],[unitPrice]]*(1-Table9[[#This Row],[discount]]/100)</f>
        <v>8780</v>
      </c>
      <c r="J1883" t="str">
        <f>_xlfn.XLOOKUP(_xlfn.XLOOKUP(A1883,orders[orderID],orders[customerID],,0),customers__2[customerID],customers__2[companyName],,0)</f>
        <v>Folk och fä HB</v>
      </c>
      <c r="K1883" t="str">
        <f>_xlfn.XLOOKUP(Table9[[#This Row],[Company Name]],customers__2[companyName],customers__2[country],,0)</f>
        <v>Sweden</v>
      </c>
      <c r="L1883">
        <f>MONTH(Table9[[#This Row],[OrderDate ]])</f>
        <v>3</v>
      </c>
      <c r="M1883" t="str">
        <f>TEXT(Table9[[#This Row],[OrderDate ]],"mmm")</f>
        <v>Mar</v>
      </c>
      <c r="N1883">
        <f>YEAR(Table9[[#This Row],[OrderDate ]])</f>
        <v>2015</v>
      </c>
    </row>
    <row r="1884" spans="1:14" x14ac:dyDescent="0.3">
      <c r="A1884">
        <v>10978</v>
      </c>
      <c r="B1884" s="2">
        <f>_xlfn.XLOOKUP(Table9[[#This Row],[orderID]],orders[orderID],orders[orderDate],,0)</f>
        <v>42089</v>
      </c>
      <c r="C1884">
        <f>_xlfn.XLOOKUP(A1884,order_details[orderID],order_details[productID],,0)</f>
        <v>8</v>
      </c>
      <c r="D1884" t="str">
        <f>_xlfn.XLOOKUP(C1884,products[productID],products[productName],,0)</f>
        <v>Northwoods Cranberry Sauce</v>
      </c>
      <c r="E1884" t="str">
        <f>_xlfn.XLOOKUP(_xlfn.XLOOKUP(Table9[[#This Row],[ProductName ]],products[productName],products[categoryID],,0),categories[categoryID],categories[categoryName],,0)</f>
        <v>Condiments</v>
      </c>
      <c r="F1884">
        <v>20</v>
      </c>
      <c r="G1884">
        <v>40</v>
      </c>
      <c r="H1884">
        <v>15</v>
      </c>
      <c r="I1884">
        <f>Table9[[#This Row],[quantity]]*Table9[[#This Row],[unitPrice]]*(1-Table9[[#This Row],[discount]]/100)</f>
        <v>680</v>
      </c>
      <c r="J1884" t="str">
        <f>_xlfn.XLOOKUP(_xlfn.XLOOKUP(A1884,orders[orderID],orders[customerID],,0),customers__2[customerID],customers__2[companyName],,0)</f>
        <v>Maison Dewey</v>
      </c>
      <c r="K1884" t="str">
        <f>_xlfn.XLOOKUP(Table9[[#This Row],[Company Name]],customers__2[companyName],customers__2[country],,0)</f>
        <v>Belgium</v>
      </c>
      <c r="L1884">
        <f>MONTH(Table9[[#This Row],[OrderDate ]])</f>
        <v>3</v>
      </c>
      <c r="M1884" t="str">
        <f>TEXT(Table9[[#This Row],[OrderDate ]],"mmm")</f>
        <v>Mar</v>
      </c>
      <c r="N1884">
        <f>YEAR(Table9[[#This Row],[OrderDate ]])</f>
        <v>2015</v>
      </c>
    </row>
    <row r="1885" spans="1:14" x14ac:dyDescent="0.3">
      <c r="A1885">
        <v>10978</v>
      </c>
      <c r="B1885" s="2">
        <f>_xlfn.XLOOKUP(Table9[[#This Row],[orderID]],orders[orderID],orders[orderDate],,0)</f>
        <v>42089</v>
      </c>
      <c r="C1885">
        <f>_xlfn.XLOOKUP(A1885,order_details[orderID],order_details[productID],,0)</f>
        <v>8</v>
      </c>
      <c r="D1885" t="str">
        <f>_xlfn.XLOOKUP(C1885,products[productID],products[productName],,0)</f>
        <v>Northwoods Cranberry Sauce</v>
      </c>
      <c r="E1885" t="str">
        <f>_xlfn.XLOOKUP(_xlfn.XLOOKUP(Table9[[#This Row],[ProductName ]],products[productName],products[categoryID],,0),categories[categoryID],categories[categoryName],,0)</f>
        <v>Condiments</v>
      </c>
      <c r="F1885">
        <v>40</v>
      </c>
      <c r="G1885">
        <v>10</v>
      </c>
      <c r="H1885">
        <v>15</v>
      </c>
      <c r="I1885">
        <f>Table9[[#This Row],[quantity]]*Table9[[#This Row],[unitPrice]]*(1-Table9[[#This Row],[discount]]/100)</f>
        <v>340</v>
      </c>
      <c r="J1885" t="str">
        <f>_xlfn.XLOOKUP(_xlfn.XLOOKUP(A1885,orders[orderID],orders[customerID],,0),customers__2[customerID],customers__2[companyName],,0)</f>
        <v>Maison Dewey</v>
      </c>
      <c r="K1885" t="str">
        <f>_xlfn.XLOOKUP(Table9[[#This Row],[Company Name]],customers__2[companyName],customers__2[country],,0)</f>
        <v>Belgium</v>
      </c>
      <c r="L1885">
        <f>MONTH(Table9[[#This Row],[OrderDate ]])</f>
        <v>3</v>
      </c>
      <c r="M1885" t="str">
        <f>TEXT(Table9[[#This Row],[OrderDate ]],"mmm")</f>
        <v>Mar</v>
      </c>
      <c r="N1885">
        <f>YEAR(Table9[[#This Row],[OrderDate ]])</f>
        <v>2015</v>
      </c>
    </row>
    <row r="1886" spans="1:14" x14ac:dyDescent="0.3">
      <c r="A1886">
        <v>10978</v>
      </c>
      <c r="B1886" s="2">
        <f>_xlfn.XLOOKUP(Table9[[#This Row],[orderID]],orders[orderID],orders[orderDate],,0)</f>
        <v>42089</v>
      </c>
      <c r="C1886">
        <f>_xlfn.XLOOKUP(A1886,order_details[orderID],order_details[productID],,0)</f>
        <v>8</v>
      </c>
      <c r="D1886" t="str">
        <f>_xlfn.XLOOKUP(C1886,products[productID],products[productName],,0)</f>
        <v>Northwoods Cranberry Sauce</v>
      </c>
      <c r="E1886" t="str">
        <f>_xlfn.XLOOKUP(_xlfn.XLOOKUP(Table9[[#This Row],[ProductName ]],products[productName],products[categoryID],,0),categories[categoryID],categories[categoryName],,0)</f>
        <v>Condiments</v>
      </c>
      <c r="F1886">
        <v>10</v>
      </c>
      <c r="G1886">
        <v>184</v>
      </c>
      <c r="H1886">
        <v>0</v>
      </c>
      <c r="I1886">
        <f>Table9[[#This Row],[quantity]]*Table9[[#This Row],[unitPrice]]*(1-Table9[[#This Row],[discount]]/100)</f>
        <v>1840</v>
      </c>
      <c r="J1886" t="str">
        <f>_xlfn.XLOOKUP(_xlfn.XLOOKUP(A1886,orders[orderID],orders[customerID],,0),customers__2[customerID],customers__2[companyName],,0)</f>
        <v>Maison Dewey</v>
      </c>
      <c r="K1886" t="str">
        <f>_xlfn.XLOOKUP(Table9[[#This Row],[Company Name]],customers__2[companyName],customers__2[country],,0)</f>
        <v>Belgium</v>
      </c>
      <c r="L1886">
        <f>MONTH(Table9[[#This Row],[OrderDate ]])</f>
        <v>3</v>
      </c>
      <c r="M1886" t="str">
        <f>TEXT(Table9[[#This Row],[OrderDate ]],"mmm")</f>
        <v>Mar</v>
      </c>
      <c r="N1886">
        <f>YEAR(Table9[[#This Row],[OrderDate ]])</f>
        <v>2015</v>
      </c>
    </row>
    <row r="1887" spans="1:14" x14ac:dyDescent="0.3">
      <c r="A1887">
        <v>10978</v>
      </c>
      <c r="B1887" s="2">
        <f>_xlfn.XLOOKUP(Table9[[#This Row],[orderID]],orders[orderID],orders[orderDate],,0)</f>
        <v>42089</v>
      </c>
      <c r="C1887">
        <f>_xlfn.XLOOKUP(A1887,order_details[orderID],order_details[productID],,0)</f>
        <v>8</v>
      </c>
      <c r="D1887" t="str">
        <f>_xlfn.XLOOKUP(C1887,products[productID],products[productName],,0)</f>
        <v>Northwoods Cranberry Sauce</v>
      </c>
      <c r="E1887" t="str">
        <f>_xlfn.XLOOKUP(_xlfn.XLOOKUP(Table9[[#This Row],[ProductName ]],products[productName],products[categoryID],,0),categories[categoryID],categories[categoryName],,0)</f>
        <v>Condiments</v>
      </c>
      <c r="F1887">
        <v>6</v>
      </c>
      <c r="G1887">
        <v>1945</v>
      </c>
      <c r="H1887">
        <v>15</v>
      </c>
      <c r="I1887">
        <f>Table9[[#This Row],[quantity]]*Table9[[#This Row],[unitPrice]]*(1-Table9[[#This Row],[discount]]/100)</f>
        <v>9919.5</v>
      </c>
      <c r="J1887" t="str">
        <f>_xlfn.XLOOKUP(_xlfn.XLOOKUP(A1887,orders[orderID],orders[customerID],,0),customers__2[customerID],customers__2[companyName],,0)</f>
        <v>Maison Dewey</v>
      </c>
      <c r="K1887" t="str">
        <f>_xlfn.XLOOKUP(Table9[[#This Row],[Company Name]],customers__2[companyName],customers__2[country],,0)</f>
        <v>Belgium</v>
      </c>
      <c r="L1887">
        <f>MONTH(Table9[[#This Row],[OrderDate ]])</f>
        <v>3</v>
      </c>
      <c r="M1887" t="str">
        <f>TEXT(Table9[[#This Row],[OrderDate ]],"mmm")</f>
        <v>Mar</v>
      </c>
      <c r="N1887">
        <f>YEAR(Table9[[#This Row],[OrderDate ]])</f>
        <v>2015</v>
      </c>
    </row>
    <row r="1888" spans="1:14" x14ac:dyDescent="0.3">
      <c r="A1888">
        <v>10979</v>
      </c>
      <c r="B1888" s="2">
        <f>_xlfn.XLOOKUP(Table9[[#This Row],[orderID]],orders[orderID],orders[orderDate],,0)</f>
        <v>42089</v>
      </c>
      <c r="C1888">
        <f>_xlfn.XLOOKUP(A1888,order_details[orderID],order_details[productID],,0)</f>
        <v>7</v>
      </c>
      <c r="D1888" t="str">
        <f>_xlfn.XLOOKUP(C1888,products[productID],products[productName],,0)</f>
        <v>Uncle Bob's Organic Dried Pears</v>
      </c>
      <c r="E1888" t="str">
        <f>_xlfn.XLOOKUP(_xlfn.XLOOKUP(Table9[[#This Row],[ProductName ]],products[productName],products[categoryID],,0),categories[categoryID],categories[categoryName],,0)</f>
        <v>Produce</v>
      </c>
      <c r="F1888">
        <v>18</v>
      </c>
      <c r="G1888">
        <v>30</v>
      </c>
      <c r="H1888">
        <v>0</v>
      </c>
      <c r="I1888">
        <f>Table9[[#This Row],[quantity]]*Table9[[#This Row],[unitPrice]]*(1-Table9[[#This Row],[discount]]/100)</f>
        <v>540</v>
      </c>
      <c r="J1888" t="str">
        <f>_xlfn.XLOOKUP(_xlfn.XLOOKUP(A1888,orders[orderID],orders[customerID],,0),customers__2[customerID],customers__2[companyName],,0)</f>
        <v>Ernst Handel</v>
      </c>
      <c r="K1888" t="str">
        <f>_xlfn.XLOOKUP(Table9[[#This Row],[Company Name]],customers__2[companyName],customers__2[country],,0)</f>
        <v>Austria</v>
      </c>
      <c r="L1888">
        <f>MONTH(Table9[[#This Row],[OrderDate ]])</f>
        <v>3</v>
      </c>
      <c r="M1888" t="str">
        <f>TEXT(Table9[[#This Row],[OrderDate ]],"mmm")</f>
        <v>Mar</v>
      </c>
      <c r="N1888">
        <f>YEAR(Table9[[#This Row],[OrderDate ]])</f>
        <v>2015</v>
      </c>
    </row>
    <row r="1889" spans="1:14" x14ac:dyDescent="0.3">
      <c r="A1889">
        <v>10979</v>
      </c>
      <c r="B1889" s="2">
        <f>_xlfn.XLOOKUP(Table9[[#This Row],[orderID]],orders[orderID],orders[orderDate],,0)</f>
        <v>42089</v>
      </c>
      <c r="C1889">
        <f>_xlfn.XLOOKUP(A1889,order_details[orderID],order_details[productID],,0)</f>
        <v>7</v>
      </c>
      <c r="D1889" t="str">
        <f>_xlfn.XLOOKUP(C1889,products[productID],products[productName],,0)</f>
        <v>Uncle Bob's Organic Dried Pears</v>
      </c>
      <c r="E1889" t="str">
        <f>_xlfn.XLOOKUP(_xlfn.XLOOKUP(Table9[[#This Row],[ProductName ]],products[productName],products[categoryID],,0),categories[categoryID],categories[categoryName],,0)</f>
        <v>Produce</v>
      </c>
      <c r="F1889">
        <v>20</v>
      </c>
      <c r="G1889">
        <v>38</v>
      </c>
      <c r="H1889">
        <v>0</v>
      </c>
      <c r="I1889">
        <f>Table9[[#This Row],[quantity]]*Table9[[#This Row],[unitPrice]]*(1-Table9[[#This Row],[discount]]/100)</f>
        <v>760</v>
      </c>
      <c r="J1889" t="str">
        <f>_xlfn.XLOOKUP(_xlfn.XLOOKUP(A1889,orders[orderID],orders[customerID],,0),customers__2[customerID],customers__2[companyName],,0)</f>
        <v>Ernst Handel</v>
      </c>
      <c r="K1889" t="str">
        <f>_xlfn.XLOOKUP(Table9[[#This Row],[Company Name]],customers__2[companyName],customers__2[country],,0)</f>
        <v>Austria</v>
      </c>
      <c r="L1889">
        <f>MONTH(Table9[[#This Row],[OrderDate ]])</f>
        <v>3</v>
      </c>
      <c r="M1889" t="str">
        <f>TEXT(Table9[[#This Row],[OrderDate ]],"mmm")</f>
        <v>Mar</v>
      </c>
      <c r="N1889">
        <f>YEAR(Table9[[#This Row],[OrderDate ]])</f>
        <v>2015</v>
      </c>
    </row>
    <row r="1890" spans="1:14" x14ac:dyDescent="0.3">
      <c r="A1890">
        <v>10979</v>
      </c>
      <c r="B1890" s="2">
        <f>_xlfn.XLOOKUP(Table9[[#This Row],[orderID]],orders[orderID],orders[orderDate],,0)</f>
        <v>42089</v>
      </c>
      <c r="C1890">
        <f>_xlfn.XLOOKUP(A1890,order_details[orderID],order_details[productID],,0)</f>
        <v>7</v>
      </c>
      <c r="D1890" t="str">
        <f>_xlfn.XLOOKUP(C1890,products[productID],products[productName],,0)</f>
        <v>Uncle Bob's Organic Dried Pears</v>
      </c>
      <c r="E1890" t="str">
        <f>_xlfn.XLOOKUP(_xlfn.XLOOKUP(Table9[[#This Row],[ProductName ]],products[productName],products[categoryID],,0),categories[categoryID],categories[categoryName],,0)</f>
        <v>Produce</v>
      </c>
      <c r="F1890">
        <v>80</v>
      </c>
      <c r="G1890">
        <v>45</v>
      </c>
      <c r="H1890">
        <v>0</v>
      </c>
      <c r="I1890">
        <f>Table9[[#This Row],[quantity]]*Table9[[#This Row],[unitPrice]]*(1-Table9[[#This Row],[discount]]/100)</f>
        <v>3600</v>
      </c>
      <c r="J1890" t="str">
        <f>_xlfn.XLOOKUP(_xlfn.XLOOKUP(A1890,orders[orderID],orders[customerID],,0),customers__2[customerID],customers__2[companyName],,0)</f>
        <v>Ernst Handel</v>
      </c>
      <c r="K1890" t="str">
        <f>_xlfn.XLOOKUP(Table9[[#This Row],[Company Name]],customers__2[companyName],customers__2[country],,0)</f>
        <v>Austria</v>
      </c>
      <c r="L1890">
        <f>MONTH(Table9[[#This Row],[OrderDate ]])</f>
        <v>3</v>
      </c>
      <c r="M1890" t="str">
        <f>TEXT(Table9[[#This Row],[OrderDate ]],"mmm")</f>
        <v>Mar</v>
      </c>
      <c r="N1890">
        <f>YEAR(Table9[[#This Row],[OrderDate ]])</f>
        <v>2015</v>
      </c>
    </row>
    <row r="1891" spans="1:14" x14ac:dyDescent="0.3">
      <c r="A1891">
        <v>10979</v>
      </c>
      <c r="B1891" s="2">
        <f>_xlfn.XLOOKUP(Table9[[#This Row],[orderID]],orders[orderID],orders[orderDate],,0)</f>
        <v>42089</v>
      </c>
      <c r="C1891">
        <f>_xlfn.XLOOKUP(A1891,order_details[orderID],order_details[productID],,0)</f>
        <v>7</v>
      </c>
      <c r="D1891" t="str">
        <f>_xlfn.XLOOKUP(C1891,products[productID],products[productName],,0)</f>
        <v>Uncle Bob's Organic Dried Pears</v>
      </c>
      <c r="E1891" t="str">
        <f>_xlfn.XLOOKUP(_xlfn.XLOOKUP(Table9[[#This Row],[ProductName ]],products[productName],products[categoryID],,0),categories[categoryID],categories[categoryName],,0)</f>
        <v>Produce</v>
      </c>
      <c r="F1891">
        <v>30</v>
      </c>
      <c r="G1891">
        <v>439</v>
      </c>
      <c r="H1891">
        <v>0</v>
      </c>
      <c r="I1891">
        <f>Table9[[#This Row],[quantity]]*Table9[[#This Row],[unitPrice]]*(1-Table9[[#This Row],[discount]]/100)</f>
        <v>13170</v>
      </c>
      <c r="J1891" t="str">
        <f>_xlfn.XLOOKUP(_xlfn.XLOOKUP(A1891,orders[orderID],orders[customerID],,0),customers__2[customerID],customers__2[companyName],,0)</f>
        <v>Ernst Handel</v>
      </c>
      <c r="K1891" t="str">
        <f>_xlfn.XLOOKUP(Table9[[#This Row],[Company Name]],customers__2[companyName],customers__2[country],,0)</f>
        <v>Austria</v>
      </c>
      <c r="L1891">
        <f>MONTH(Table9[[#This Row],[OrderDate ]])</f>
        <v>3</v>
      </c>
      <c r="M1891" t="str">
        <f>TEXT(Table9[[#This Row],[OrderDate ]],"mmm")</f>
        <v>Mar</v>
      </c>
      <c r="N1891">
        <f>YEAR(Table9[[#This Row],[OrderDate ]])</f>
        <v>2015</v>
      </c>
    </row>
    <row r="1892" spans="1:14" x14ac:dyDescent="0.3">
      <c r="A1892">
        <v>10979</v>
      </c>
      <c r="B1892" s="2">
        <f>_xlfn.XLOOKUP(Table9[[#This Row],[orderID]],orders[orderID],orders[orderDate],,0)</f>
        <v>42089</v>
      </c>
      <c r="C1892">
        <f>_xlfn.XLOOKUP(A1892,order_details[orderID],order_details[productID],,0)</f>
        <v>7</v>
      </c>
      <c r="D1892" t="str">
        <f>_xlfn.XLOOKUP(C1892,products[productID],products[productName],,0)</f>
        <v>Uncle Bob's Organic Dried Pears</v>
      </c>
      <c r="E1892" t="str">
        <f>_xlfn.XLOOKUP(_xlfn.XLOOKUP(Table9[[#This Row],[ProductName ]],products[productName],products[categoryID],,0),categories[categoryID],categories[categoryName],,0)</f>
        <v>Produce</v>
      </c>
      <c r="F1892">
        <v>24</v>
      </c>
      <c r="G1892">
        <v>125</v>
      </c>
      <c r="H1892">
        <v>0</v>
      </c>
      <c r="I1892">
        <f>Table9[[#This Row],[quantity]]*Table9[[#This Row],[unitPrice]]*(1-Table9[[#This Row],[discount]]/100)</f>
        <v>3000</v>
      </c>
      <c r="J1892" t="str">
        <f>_xlfn.XLOOKUP(_xlfn.XLOOKUP(A1892,orders[orderID],orders[customerID],,0),customers__2[customerID],customers__2[companyName],,0)</f>
        <v>Ernst Handel</v>
      </c>
      <c r="K1892" t="str">
        <f>_xlfn.XLOOKUP(Table9[[#This Row],[Company Name]],customers__2[companyName],customers__2[country],,0)</f>
        <v>Austria</v>
      </c>
      <c r="L1892">
        <f>MONTH(Table9[[#This Row],[OrderDate ]])</f>
        <v>3</v>
      </c>
      <c r="M1892" t="str">
        <f>TEXT(Table9[[#This Row],[OrderDate ]],"mmm")</f>
        <v>Mar</v>
      </c>
      <c r="N1892">
        <f>YEAR(Table9[[#This Row],[OrderDate ]])</f>
        <v>2015</v>
      </c>
    </row>
    <row r="1893" spans="1:14" x14ac:dyDescent="0.3">
      <c r="A1893">
        <v>10979</v>
      </c>
      <c r="B1893" s="2">
        <f>_xlfn.XLOOKUP(Table9[[#This Row],[orderID]],orders[orderID],orders[orderDate],,0)</f>
        <v>42089</v>
      </c>
      <c r="C1893">
        <f>_xlfn.XLOOKUP(A1893,order_details[orderID],order_details[productID],,0)</f>
        <v>7</v>
      </c>
      <c r="D1893" t="str">
        <f>_xlfn.XLOOKUP(C1893,products[productID],products[productName],,0)</f>
        <v>Uncle Bob's Organic Dried Pears</v>
      </c>
      <c r="E1893" t="str">
        <f>_xlfn.XLOOKUP(_xlfn.XLOOKUP(Table9[[#This Row],[ProductName ]],products[productName],products[categoryID],,0),categories[categoryID],categories[categoryName],,0)</f>
        <v>Produce</v>
      </c>
      <c r="F1893">
        <v>35</v>
      </c>
      <c r="G1893">
        <v>439</v>
      </c>
      <c r="H1893">
        <v>0</v>
      </c>
      <c r="I1893">
        <f>Table9[[#This Row],[quantity]]*Table9[[#This Row],[unitPrice]]*(1-Table9[[#This Row],[discount]]/100)</f>
        <v>15365</v>
      </c>
      <c r="J1893" t="str">
        <f>_xlfn.XLOOKUP(_xlfn.XLOOKUP(A1893,orders[orderID],orders[customerID],,0),customers__2[customerID],customers__2[companyName],,0)</f>
        <v>Ernst Handel</v>
      </c>
      <c r="K1893" t="str">
        <f>_xlfn.XLOOKUP(Table9[[#This Row],[Company Name]],customers__2[companyName],customers__2[country],,0)</f>
        <v>Austria</v>
      </c>
      <c r="L1893">
        <f>MONTH(Table9[[#This Row],[OrderDate ]])</f>
        <v>3</v>
      </c>
      <c r="M1893" t="str">
        <f>TEXT(Table9[[#This Row],[OrderDate ]],"mmm")</f>
        <v>Mar</v>
      </c>
      <c r="N1893">
        <f>YEAR(Table9[[#This Row],[OrderDate ]])</f>
        <v>2015</v>
      </c>
    </row>
    <row r="1894" spans="1:14" x14ac:dyDescent="0.3">
      <c r="A1894">
        <v>10980</v>
      </c>
      <c r="B1894" s="2">
        <f>_xlfn.XLOOKUP(Table9[[#This Row],[orderID]],orders[orderID],orders[orderDate],,0)</f>
        <v>42090</v>
      </c>
      <c r="C1894">
        <f>_xlfn.XLOOKUP(A1894,order_details[orderID],order_details[productID],,0)</f>
        <v>75</v>
      </c>
      <c r="D1894" t="str">
        <f>_xlfn.XLOOKUP(C1894,products[productID],products[productName],,0)</f>
        <v>Rhönbräu Klosterbier</v>
      </c>
      <c r="E1894" t="str">
        <f>_xlfn.XLOOKUP(_xlfn.XLOOKUP(Table9[[#This Row],[ProductName ]],products[productName],products[categoryID],,0),categories[categoryID],categories[categoryName],,0)</f>
        <v>Beverages</v>
      </c>
      <c r="F1894">
        <v>40</v>
      </c>
      <c r="G1894">
        <v>775</v>
      </c>
      <c r="H1894">
        <v>2</v>
      </c>
      <c r="I1894">
        <f>Table9[[#This Row],[quantity]]*Table9[[#This Row],[unitPrice]]*(1-Table9[[#This Row],[discount]]/100)</f>
        <v>30380</v>
      </c>
      <c r="J1894" t="str">
        <f>_xlfn.XLOOKUP(_xlfn.XLOOKUP(A1894,orders[orderID],orders[customerID],,0),customers__2[customerID],customers__2[companyName],,0)</f>
        <v>Folk och fä HB</v>
      </c>
      <c r="K1894" t="str">
        <f>_xlfn.XLOOKUP(Table9[[#This Row],[Company Name]],customers__2[companyName],customers__2[country],,0)</f>
        <v>Sweden</v>
      </c>
      <c r="L1894">
        <f>MONTH(Table9[[#This Row],[OrderDate ]])</f>
        <v>3</v>
      </c>
      <c r="M1894" t="str">
        <f>TEXT(Table9[[#This Row],[OrderDate ]],"mmm")</f>
        <v>Mar</v>
      </c>
      <c r="N1894">
        <f>YEAR(Table9[[#This Row],[OrderDate ]])</f>
        <v>2015</v>
      </c>
    </row>
    <row r="1895" spans="1:14" x14ac:dyDescent="0.3">
      <c r="A1895">
        <v>10981</v>
      </c>
      <c r="B1895" s="2">
        <f>_xlfn.XLOOKUP(Table9[[#This Row],[orderID]],orders[orderID],orders[orderDate],,0)</f>
        <v>42090</v>
      </c>
      <c r="C1895">
        <f>_xlfn.XLOOKUP(A1895,order_details[orderID],order_details[productID],,0)</f>
        <v>38</v>
      </c>
      <c r="D1895" t="str">
        <f>_xlfn.XLOOKUP(C1895,products[productID],products[productName],,0)</f>
        <v>Côte de Blaye</v>
      </c>
      <c r="E1895" t="str">
        <f>_xlfn.XLOOKUP(_xlfn.XLOOKUP(Table9[[#This Row],[ProductName ]],products[productName],products[categoryID],,0),categories[categoryID],categories[categoryName],,0)</f>
        <v>Beverages</v>
      </c>
      <c r="F1895">
        <v>60</v>
      </c>
      <c r="G1895">
        <v>2635</v>
      </c>
      <c r="H1895">
        <v>0</v>
      </c>
      <c r="I1895">
        <f>Table9[[#This Row],[quantity]]*Table9[[#This Row],[unitPrice]]*(1-Table9[[#This Row],[discount]]/100)</f>
        <v>158100</v>
      </c>
      <c r="J1895" t="str">
        <f>_xlfn.XLOOKUP(_xlfn.XLOOKUP(A1895,orders[orderID],orders[customerID],,0),customers__2[customerID],customers__2[companyName],,0)</f>
        <v>Hanari Carnes</v>
      </c>
      <c r="K1895" t="str">
        <f>_xlfn.XLOOKUP(Table9[[#This Row],[Company Name]],customers__2[companyName],customers__2[country],,0)</f>
        <v>Brazil</v>
      </c>
      <c r="L1895">
        <f>MONTH(Table9[[#This Row],[OrderDate ]])</f>
        <v>3</v>
      </c>
      <c r="M1895" t="str">
        <f>TEXT(Table9[[#This Row],[OrderDate ]],"mmm")</f>
        <v>Mar</v>
      </c>
      <c r="N1895">
        <f>YEAR(Table9[[#This Row],[OrderDate ]])</f>
        <v>2015</v>
      </c>
    </row>
    <row r="1896" spans="1:14" x14ac:dyDescent="0.3">
      <c r="A1896">
        <v>10982</v>
      </c>
      <c r="B1896" s="2">
        <f>_xlfn.XLOOKUP(Table9[[#This Row],[orderID]],orders[orderID],orders[orderDate],,0)</f>
        <v>42090</v>
      </c>
      <c r="C1896">
        <f>_xlfn.XLOOKUP(A1896,order_details[orderID],order_details[productID],,0)</f>
        <v>7</v>
      </c>
      <c r="D1896" t="str">
        <f>_xlfn.XLOOKUP(C1896,products[productID],products[productName],,0)</f>
        <v>Uncle Bob's Organic Dried Pears</v>
      </c>
      <c r="E1896" t="str">
        <f>_xlfn.XLOOKUP(_xlfn.XLOOKUP(Table9[[#This Row],[ProductName ]],products[productName],products[categoryID],,0),categories[categoryID],categories[categoryName],,0)</f>
        <v>Produce</v>
      </c>
      <c r="F1896">
        <v>20</v>
      </c>
      <c r="G1896">
        <v>30</v>
      </c>
      <c r="H1896">
        <v>0</v>
      </c>
      <c r="I1896">
        <f>Table9[[#This Row],[quantity]]*Table9[[#This Row],[unitPrice]]*(1-Table9[[#This Row],[discount]]/100)</f>
        <v>600</v>
      </c>
      <c r="J1896" t="str">
        <f>_xlfn.XLOOKUP(_xlfn.XLOOKUP(A1896,orders[orderID],orders[customerID],,0),customers__2[customerID],customers__2[companyName],,0)</f>
        <v>Bottom-Dollar Markets</v>
      </c>
      <c r="K1896" t="str">
        <f>_xlfn.XLOOKUP(Table9[[#This Row],[Company Name]],customers__2[companyName],customers__2[country],,0)</f>
        <v>Canada</v>
      </c>
      <c r="L1896">
        <f>MONTH(Table9[[#This Row],[OrderDate ]])</f>
        <v>3</v>
      </c>
      <c r="M1896" t="str">
        <f>TEXT(Table9[[#This Row],[OrderDate ]],"mmm")</f>
        <v>Mar</v>
      </c>
      <c r="N1896">
        <f>YEAR(Table9[[#This Row],[OrderDate ]])</f>
        <v>2015</v>
      </c>
    </row>
    <row r="1897" spans="1:14" x14ac:dyDescent="0.3">
      <c r="A1897">
        <v>10982</v>
      </c>
      <c r="B1897" s="2">
        <f>_xlfn.XLOOKUP(Table9[[#This Row],[orderID]],orders[orderID],orders[orderDate],,0)</f>
        <v>42090</v>
      </c>
      <c r="C1897">
        <f>_xlfn.XLOOKUP(A1897,order_details[orderID],order_details[productID],,0)</f>
        <v>7</v>
      </c>
      <c r="D1897" t="str">
        <f>_xlfn.XLOOKUP(C1897,products[productID],products[productName],,0)</f>
        <v>Uncle Bob's Organic Dried Pears</v>
      </c>
      <c r="E1897" t="str">
        <f>_xlfn.XLOOKUP(_xlfn.XLOOKUP(Table9[[#This Row],[ProductName ]],products[productName],products[categoryID],,0),categories[categoryID],categories[categoryName],,0)</f>
        <v>Produce</v>
      </c>
      <c r="F1897">
        <v>9</v>
      </c>
      <c r="G1897">
        <v>46</v>
      </c>
      <c r="H1897">
        <v>0</v>
      </c>
      <c r="I1897">
        <f>Table9[[#This Row],[quantity]]*Table9[[#This Row],[unitPrice]]*(1-Table9[[#This Row],[discount]]/100)</f>
        <v>414</v>
      </c>
      <c r="J1897" t="str">
        <f>_xlfn.XLOOKUP(_xlfn.XLOOKUP(A1897,orders[orderID],orders[customerID],,0),customers__2[customerID],customers__2[companyName],,0)</f>
        <v>Bottom-Dollar Markets</v>
      </c>
      <c r="K1897" t="str">
        <f>_xlfn.XLOOKUP(Table9[[#This Row],[Company Name]],customers__2[companyName],customers__2[country],,0)</f>
        <v>Canada</v>
      </c>
      <c r="L1897">
        <f>MONTH(Table9[[#This Row],[OrderDate ]])</f>
        <v>3</v>
      </c>
      <c r="M1897" t="str">
        <f>TEXT(Table9[[#This Row],[OrderDate ]],"mmm")</f>
        <v>Mar</v>
      </c>
      <c r="N1897">
        <f>YEAR(Table9[[#This Row],[OrderDate ]])</f>
        <v>2015</v>
      </c>
    </row>
    <row r="1898" spans="1:14" x14ac:dyDescent="0.3">
      <c r="A1898">
        <v>10983</v>
      </c>
      <c r="B1898" s="2">
        <f>_xlfn.XLOOKUP(Table9[[#This Row],[orderID]],orders[orderID],orders[orderDate],,0)</f>
        <v>42090</v>
      </c>
      <c r="C1898">
        <f>_xlfn.XLOOKUP(A1898,order_details[orderID],order_details[productID],,0)</f>
        <v>13</v>
      </c>
      <c r="D1898" t="str">
        <f>_xlfn.XLOOKUP(C1898,products[productID],products[productName],,0)</f>
        <v>Konbu</v>
      </c>
      <c r="E1898" t="str">
        <f>_xlfn.XLOOKUP(_xlfn.XLOOKUP(Table9[[#This Row],[ProductName ]],products[productName],products[categoryID],,0),categories[categoryID],categories[categoryName],,0)</f>
        <v>Seafood</v>
      </c>
      <c r="F1898">
        <v>84</v>
      </c>
      <c r="G1898">
        <v>6</v>
      </c>
      <c r="H1898">
        <v>15</v>
      </c>
      <c r="I1898">
        <f>Table9[[#This Row],[quantity]]*Table9[[#This Row],[unitPrice]]*(1-Table9[[#This Row],[discount]]/100)</f>
        <v>428.4</v>
      </c>
      <c r="J1898" t="str">
        <f>_xlfn.XLOOKUP(_xlfn.XLOOKUP(A1898,orders[orderID],orders[customerID],,0),customers__2[customerID],customers__2[companyName],,0)</f>
        <v>Save-a-lot Markets</v>
      </c>
      <c r="K1898" t="str">
        <f>_xlfn.XLOOKUP(Table9[[#This Row],[Company Name]],customers__2[companyName],customers__2[country],,0)</f>
        <v>USA</v>
      </c>
      <c r="L1898">
        <f>MONTH(Table9[[#This Row],[OrderDate ]])</f>
        <v>3</v>
      </c>
      <c r="M1898" t="str">
        <f>TEXT(Table9[[#This Row],[OrderDate ]],"mmm")</f>
        <v>Mar</v>
      </c>
      <c r="N1898">
        <f>YEAR(Table9[[#This Row],[OrderDate ]])</f>
        <v>2015</v>
      </c>
    </row>
    <row r="1899" spans="1:14" x14ac:dyDescent="0.3">
      <c r="A1899">
        <v>10983</v>
      </c>
      <c r="B1899" s="2">
        <f>_xlfn.XLOOKUP(Table9[[#This Row],[orderID]],orders[orderID],orders[orderDate],,0)</f>
        <v>42090</v>
      </c>
      <c r="C1899">
        <f>_xlfn.XLOOKUP(A1899,order_details[orderID],order_details[productID],,0)</f>
        <v>13</v>
      </c>
      <c r="D1899" t="str">
        <f>_xlfn.XLOOKUP(C1899,products[productID],products[productName],,0)</f>
        <v>Konbu</v>
      </c>
      <c r="E1899" t="str">
        <f>_xlfn.XLOOKUP(_xlfn.XLOOKUP(Table9[[#This Row],[ProductName ]],products[productName],products[categoryID],,0),categories[categoryID],categories[categoryName],,0)</f>
        <v>Seafood</v>
      </c>
      <c r="F1899">
        <v>15</v>
      </c>
      <c r="G1899">
        <v>195</v>
      </c>
      <c r="H1899">
        <v>0</v>
      </c>
      <c r="I1899">
        <f>Table9[[#This Row],[quantity]]*Table9[[#This Row],[unitPrice]]*(1-Table9[[#This Row],[discount]]/100)</f>
        <v>2925</v>
      </c>
      <c r="J1899" t="str">
        <f>_xlfn.XLOOKUP(_xlfn.XLOOKUP(A1899,orders[orderID],orders[customerID],,0),customers__2[customerID],customers__2[companyName],,0)</f>
        <v>Save-a-lot Markets</v>
      </c>
      <c r="K1899" t="str">
        <f>_xlfn.XLOOKUP(Table9[[#This Row],[Company Name]],customers__2[companyName],customers__2[country],,0)</f>
        <v>USA</v>
      </c>
      <c r="L1899">
        <f>MONTH(Table9[[#This Row],[OrderDate ]])</f>
        <v>3</v>
      </c>
      <c r="M1899" t="str">
        <f>TEXT(Table9[[#This Row],[OrderDate ]],"mmm")</f>
        <v>Mar</v>
      </c>
      <c r="N1899">
        <f>YEAR(Table9[[#This Row],[OrderDate ]])</f>
        <v>2015</v>
      </c>
    </row>
    <row r="1900" spans="1:14" x14ac:dyDescent="0.3">
      <c r="A1900">
        <v>10984</v>
      </c>
      <c r="B1900" s="2">
        <f>_xlfn.XLOOKUP(Table9[[#This Row],[orderID]],orders[orderID],orders[orderDate],,0)</f>
        <v>42093</v>
      </c>
      <c r="C1900">
        <f>_xlfn.XLOOKUP(A1900,order_details[orderID],order_details[productID],,0)</f>
        <v>16</v>
      </c>
      <c r="D1900" t="str">
        <f>_xlfn.XLOOKUP(C1900,products[productID],products[productName],,0)</f>
        <v>Pavlova</v>
      </c>
      <c r="E1900" t="str">
        <f>_xlfn.XLOOKUP(_xlfn.XLOOKUP(Table9[[#This Row],[ProductName ]],products[productName],products[categoryID],,0),categories[categoryID],categories[categoryName],,0)</f>
        <v>Confections</v>
      </c>
      <c r="F1900">
        <v>55</v>
      </c>
      <c r="G1900">
        <v>1745</v>
      </c>
      <c r="H1900">
        <v>0</v>
      </c>
      <c r="I1900">
        <f>Table9[[#This Row],[quantity]]*Table9[[#This Row],[unitPrice]]*(1-Table9[[#This Row],[discount]]/100)</f>
        <v>95975</v>
      </c>
      <c r="J1900" t="str">
        <f>_xlfn.XLOOKUP(_xlfn.XLOOKUP(A1900,orders[orderID],orders[customerID],,0),customers__2[customerID],customers__2[companyName],,0)</f>
        <v>Save-a-lot Markets</v>
      </c>
      <c r="K1900" t="str">
        <f>_xlfn.XLOOKUP(Table9[[#This Row],[Company Name]],customers__2[companyName],customers__2[country],,0)</f>
        <v>USA</v>
      </c>
      <c r="L1900">
        <f>MONTH(Table9[[#This Row],[OrderDate ]])</f>
        <v>3</v>
      </c>
      <c r="M1900" t="str">
        <f>TEXT(Table9[[#This Row],[OrderDate ]],"mmm")</f>
        <v>Mar</v>
      </c>
      <c r="N1900">
        <f>YEAR(Table9[[#This Row],[OrderDate ]])</f>
        <v>2015</v>
      </c>
    </row>
    <row r="1901" spans="1:14" x14ac:dyDescent="0.3">
      <c r="A1901">
        <v>10984</v>
      </c>
      <c r="B1901" s="2">
        <f>_xlfn.XLOOKUP(Table9[[#This Row],[orderID]],orders[orderID],orders[orderDate],,0)</f>
        <v>42093</v>
      </c>
      <c r="C1901">
        <f>_xlfn.XLOOKUP(A1901,order_details[orderID],order_details[productID],,0)</f>
        <v>16</v>
      </c>
      <c r="D1901" t="str">
        <f>_xlfn.XLOOKUP(C1901,products[productID],products[productName],,0)</f>
        <v>Pavlova</v>
      </c>
      <c r="E1901" t="str">
        <f>_xlfn.XLOOKUP(_xlfn.XLOOKUP(Table9[[#This Row],[ProductName ]],products[productName],products[categoryID],,0),categories[categoryID],categories[categoryName],,0)</f>
        <v>Confections</v>
      </c>
      <c r="F1901">
        <v>20</v>
      </c>
      <c r="G1901">
        <v>45</v>
      </c>
      <c r="H1901">
        <v>0</v>
      </c>
      <c r="I1901">
        <f>Table9[[#This Row],[quantity]]*Table9[[#This Row],[unitPrice]]*(1-Table9[[#This Row],[discount]]/100)</f>
        <v>900</v>
      </c>
      <c r="J1901" t="str">
        <f>_xlfn.XLOOKUP(_xlfn.XLOOKUP(A1901,orders[orderID],orders[customerID],,0),customers__2[customerID],customers__2[companyName],,0)</f>
        <v>Save-a-lot Markets</v>
      </c>
      <c r="K1901" t="str">
        <f>_xlfn.XLOOKUP(Table9[[#This Row],[Company Name]],customers__2[companyName],customers__2[country],,0)</f>
        <v>USA</v>
      </c>
      <c r="L1901">
        <f>MONTH(Table9[[#This Row],[OrderDate ]])</f>
        <v>3</v>
      </c>
      <c r="M1901" t="str">
        <f>TEXT(Table9[[#This Row],[OrderDate ]],"mmm")</f>
        <v>Mar</v>
      </c>
      <c r="N1901">
        <f>YEAR(Table9[[#This Row],[OrderDate ]])</f>
        <v>2015</v>
      </c>
    </row>
    <row r="1902" spans="1:14" x14ac:dyDescent="0.3">
      <c r="A1902">
        <v>10984</v>
      </c>
      <c r="B1902" s="2">
        <f>_xlfn.XLOOKUP(Table9[[#This Row],[orderID]],orders[orderID],orders[orderDate],,0)</f>
        <v>42093</v>
      </c>
      <c r="C1902">
        <f>_xlfn.XLOOKUP(A1902,order_details[orderID],order_details[productID],,0)</f>
        <v>16</v>
      </c>
      <c r="D1902" t="str">
        <f>_xlfn.XLOOKUP(C1902,products[productID],products[productName],,0)</f>
        <v>Pavlova</v>
      </c>
      <c r="E1902" t="str">
        <f>_xlfn.XLOOKUP(_xlfn.XLOOKUP(Table9[[#This Row],[ProductName ]],products[productName],products[categoryID],,0),categories[categoryID],categories[categoryName],,0)</f>
        <v>Confections</v>
      </c>
      <c r="F1902">
        <v>40</v>
      </c>
      <c r="G1902">
        <v>19</v>
      </c>
      <c r="H1902">
        <v>0</v>
      </c>
      <c r="I1902">
        <f>Table9[[#This Row],[quantity]]*Table9[[#This Row],[unitPrice]]*(1-Table9[[#This Row],[discount]]/100)</f>
        <v>760</v>
      </c>
      <c r="J1902" t="str">
        <f>_xlfn.XLOOKUP(_xlfn.XLOOKUP(A1902,orders[orderID],orders[customerID],,0),customers__2[customerID],customers__2[companyName],,0)</f>
        <v>Save-a-lot Markets</v>
      </c>
      <c r="K1902" t="str">
        <f>_xlfn.XLOOKUP(Table9[[#This Row],[Company Name]],customers__2[companyName],customers__2[country],,0)</f>
        <v>USA</v>
      </c>
      <c r="L1902">
        <f>MONTH(Table9[[#This Row],[OrderDate ]])</f>
        <v>3</v>
      </c>
      <c r="M1902" t="str">
        <f>TEXT(Table9[[#This Row],[OrderDate ]],"mmm")</f>
        <v>Mar</v>
      </c>
      <c r="N1902">
        <f>YEAR(Table9[[#This Row],[OrderDate ]])</f>
        <v>2015</v>
      </c>
    </row>
    <row r="1903" spans="1:14" x14ac:dyDescent="0.3">
      <c r="A1903">
        <v>10985</v>
      </c>
      <c r="B1903" s="2">
        <f>_xlfn.XLOOKUP(Table9[[#This Row],[orderID]],orders[orderID],orders[orderDate],,0)</f>
        <v>42093</v>
      </c>
      <c r="C1903">
        <f>_xlfn.XLOOKUP(A1903,order_details[orderID],order_details[productID],,0)</f>
        <v>16</v>
      </c>
      <c r="D1903" t="str">
        <f>_xlfn.XLOOKUP(C1903,products[productID],products[productName],,0)</f>
        <v>Pavlova</v>
      </c>
      <c r="E1903" t="str">
        <f>_xlfn.XLOOKUP(_xlfn.XLOOKUP(Table9[[#This Row],[ProductName ]],products[productName],products[categoryID],,0),categories[categoryID],categories[categoryName],,0)</f>
        <v>Confections</v>
      </c>
      <c r="F1903">
        <v>36</v>
      </c>
      <c r="G1903">
        <v>1745</v>
      </c>
      <c r="H1903">
        <v>1</v>
      </c>
      <c r="I1903">
        <f>Table9[[#This Row],[quantity]]*Table9[[#This Row],[unitPrice]]*(1-Table9[[#This Row],[discount]]/100)</f>
        <v>62191.8</v>
      </c>
      <c r="J1903" t="str">
        <f>_xlfn.XLOOKUP(_xlfn.XLOOKUP(A1903,orders[orderID],orders[customerID],,0),customers__2[customerID],customers__2[companyName],,0)</f>
        <v>Hungry Owl All-Night Grocers</v>
      </c>
      <c r="K1903" t="str">
        <f>_xlfn.XLOOKUP(Table9[[#This Row],[Company Name]],customers__2[companyName],customers__2[country],,0)</f>
        <v>Ireland</v>
      </c>
      <c r="L1903">
        <f>MONTH(Table9[[#This Row],[OrderDate ]])</f>
        <v>3</v>
      </c>
      <c r="M1903" t="str">
        <f>TEXT(Table9[[#This Row],[OrderDate ]],"mmm")</f>
        <v>Mar</v>
      </c>
      <c r="N1903">
        <f>YEAR(Table9[[#This Row],[OrderDate ]])</f>
        <v>2015</v>
      </c>
    </row>
    <row r="1904" spans="1:14" x14ac:dyDescent="0.3">
      <c r="A1904">
        <v>10985</v>
      </c>
      <c r="B1904" s="2">
        <f>_xlfn.XLOOKUP(Table9[[#This Row],[orderID]],orders[orderID],orders[orderDate],,0)</f>
        <v>42093</v>
      </c>
      <c r="C1904">
        <f>_xlfn.XLOOKUP(A1904,order_details[orderID],order_details[productID],,0)</f>
        <v>16</v>
      </c>
      <c r="D1904" t="str">
        <f>_xlfn.XLOOKUP(C1904,products[productID],products[productName],,0)</f>
        <v>Pavlova</v>
      </c>
      <c r="E1904" t="str">
        <f>_xlfn.XLOOKUP(_xlfn.XLOOKUP(Table9[[#This Row],[ProductName ]],products[productName],products[categoryID],,0),categories[categoryID],categories[categoryName],,0)</f>
        <v>Confections</v>
      </c>
      <c r="F1904">
        <v>8</v>
      </c>
      <c r="G1904">
        <v>625</v>
      </c>
      <c r="H1904">
        <v>1</v>
      </c>
      <c r="I1904">
        <f>Table9[[#This Row],[quantity]]*Table9[[#This Row],[unitPrice]]*(1-Table9[[#This Row],[discount]]/100)</f>
        <v>4950</v>
      </c>
      <c r="J1904" t="str">
        <f>_xlfn.XLOOKUP(_xlfn.XLOOKUP(A1904,orders[orderID],orders[customerID],,0),customers__2[customerID],customers__2[companyName],,0)</f>
        <v>Hungry Owl All-Night Grocers</v>
      </c>
      <c r="K1904" t="str">
        <f>_xlfn.XLOOKUP(Table9[[#This Row],[Company Name]],customers__2[companyName],customers__2[country],,0)</f>
        <v>Ireland</v>
      </c>
      <c r="L1904">
        <f>MONTH(Table9[[#This Row],[OrderDate ]])</f>
        <v>3</v>
      </c>
      <c r="M1904" t="str">
        <f>TEXT(Table9[[#This Row],[OrderDate ]],"mmm")</f>
        <v>Mar</v>
      </c>
      <c r="N1904">
        <f>YEAR(Table9[[#This Row],[OrderDate ]])</f>
        <v>2015</v>
      </c>
    </row>
    <row r="1905" spans="1:14" x14ac:dyDescent="0.3">
      <c r="A1905">
        <v>10985</v>
      </c>
      <c r="B1905" s="2">
        <f>_xlfn.XLOOKUP(Table9[[#This Row],[orderID]],orders[orderID],orders[orderDate],,0)</f>
        <v>42093</v>
      </c>
      <c r="C1905">
        <f>_xlfn.XLOOKUP(A1905,order_details[orderID],order_details[productID],,0)</f>
        <v>16</v>
      </c>
      <c r="D1905" t="str">
        <f>_xlfn.XLOOKUP(C1905,products[productID],products[productName],,0)</f>
        <v>Pavlova</v>
      </c>
      <c r="E1905" t="str">
        <f>_xlfn.XLOOKUP(_xlfn.XLOOKUP(Table9[[#This Row],[ProductName ]],products[productName],products[categoryID],,0),categories[categoryID],categories[categoryName],,0)</f>
        <v>Confections</v>
      </c>
      <c r="F1905">
        <v>35</v>
      </c>
      <c r="G1905">
        <v>32</v>
      </c>
      <c r="H1905">
        <v>1</v>
      </c>
      <c r="I1905">
        <f>Table9[[#This Row],[quantity]]*Table9[[#This Row],[unitPrice]]*(1-Table9[[#This Row],[discount]]/100)</f>
        <v>1108.8</v>
      </c>
      <c r="J1905" t="str">
        <f>_xlfn.XLOOKUP(_xlfn.XLOOKUP(A1905,orders[orderID],orders[customerID],,0),customers__2[customerID],customers__2[companyName],,0)</f>
        <v>Hungry Owl All-Night Grocers</v>
      </c>
      <c r="K1905" t="str">
        <f>_xlfn.XLOOKUP(Table9[[#This Row],[Company Name]],customers__2[companyName],customers__2[country],,0)</f>
        <v>Ireland</v>
      </c>
      <c r="L1905">
        <f>MONTH(Table9[[#This Row],[OrderDate ]])</f>
        <v>3</v>
      </c>
      <c r="M1905" t="str">
        <f>TEXT(Table9[[#This Row],[OrderDate ]],"mmm")</f>
        <v>Mar</v>
      </c>
      <c r="N1905">
        <f>YEAR(Table9[[#This Row],[OrderDate ]])</f>
        <v>2015</v>
      </c>
    </row>
    <row r="1906" spans="1:14" x14ac:dyDescent="0.3">
      <c r="A1906">
        <v>10986</v>
      </c>
      <c r="B1906" s="2">
        <f>_xlfn.XLOOKUP(Table9[[#This Row],[orderID]],orders[orderID],orders[orderDate],,0)</f>
        <v>42093</v>
      </c>
      <c r="C1906">
        <f>_xlfn.XLOOKUP(A1906,order_details[orderID],order_details[productID],,0)</f>
        <v>11</v>
      </c>
      <c r="D1906" t="str">
        <f>_xlfn.XLOOKUP(C1906,products[productID],products[productName],,0)</f>
        <v>Queso Cabrales</v>
      </c>
      <c r="E1906" t="str">
        <f>_xlfn.XLOOKUP(_xlfn.XLOOKUP(Table9[[#This Row],[ProductName ]],products[productName],products[categoryID],,0),categories[categoryID],categories[categoryName],,0)</f>
        <v>Dairy Products</v>
      </c>
      <c r="F1906">
        <v>30</v>
      </c>
      <c r="G1906">
        <v>21</v>
      </c>
      <c r="H1906">
        <v>0</v>
      </c>
      <c r="I1906">
        <f>Table9[[#This Row],[quantity]]*Table9[[#This Row],[unitPrice]]*(1-Table9[[#This Row],[discount]]/100)</f>
        <v>630</v>
      </c>
      <c r="J1906" t="str">
        <f>_xlfn.XLOOKUP(_xlfn.XLOOKUP(A1906,orders[orderID],orders[customerID],,0),customers__2[customerID],customers__2[companyName],,0)</f>
        <v>Océano Atlántico Ltda.</v>
      </c>
      <c r="K1906" t="str">
        <f>_xlfn.XLOOKUP(Table9[[#This Row],[Company Name]],customers__2[companyName],customers__2[country],,0)</f>
        <v>Argentina</v>
      </c>
      <c r="L1906">
        <f>MONTH(Table9[[#This Row],[OrderDate ]])</f>
        <v>3</v>
      </c>
      <c r="M1906" t="str">
        <f>TEXT(Table9[[#This Row],[OrderDate ]],"mmm")</f>
        <v>Mar</v>
      </c>
      <c r="N1906">
        <f>YEAR(Table9[[#This Row],[OrderDate ]])</f>
        <v>2015</v>
      </c>
    </row>
    <row r="1907" spans="1:14" x14ac:dyDescent="0.3">
      <c r="A1907">
        <v>10986</v>
      </c>
      <c r="B1907" s="2">
        <f>_xlfn.XLOOKUP(Table9[[#This Row],[orderID]],orders[orderID],orders[orderDate],,0)</f>
        <v>42093</v>
      </c>
      <c r="C1907">
        <f>_xlfn.XLOOKUP(A1907,order_details[orderID],order_details[productID],,0)</f>
        <v>11</v>
      </c>
      <c r="D1907" t="str">
        <f>_xlfn.XLOOKUP(C1907,products[productID],products[productName],,0)</f>
        <v>Queso Cabrales</v>
      </c>
      <c r="E1907" t="str">
        <f>_xlfn.XLOOKUP(_xlfn.XLOOKUP(Table9[[#This Row],[ProductName ]],products[productName],products[categoryID],,0),categories[categoryID],categories[categoryName],,0)</f>
        <v>Dairy Products</v>
      </c>
      <c r="F1907">
        <v>15</v>
      </c>
      <c r="G1907">
        <v>81</v>
      </c>
      <c r="H1907">
        <v>0</v>
      </c>
      <c r="I1907">
        <f>Table9[[#This Row],[quantity]]*Table9[[#This Row],[unitPrice]]*(1-Table9[[#This Row],[discount]]/100)</f>
        <v>1215</v>
      </c>
      <c r="J1907" t="str">
        <f>_xlfn.XLOOKUP(_xlfn.XLOOKUP(A1907,orders[orderID],orders[customerID],,0),customers__2[customerID],customers__2[companyName],,0)</f>
        <v>Océano Atlántico Ltda.</v>
      </c>
      <c r="K1907" t="str">
        <f>_xlfn.XLOOKUP(Table9[[#This Row],[Company Name]],customers__2[companyName],customers__2[country],,0)</f>
        <v>Argentina</v>
      </c>
      <c r="L1907">
        <f>MONTH(Table9[[#This Row],[OrderDate ]])</f>
        <v>3</v>
      </c>
      <c r="M1907" t="str">
        <f>TEXT(Table9[[#This Row],[OrderDate ]],"mmm")</f>
        <v>Mar</v>
      </c>
      <c r="N1907">
        <f>YEAR(Table9[[#This Row],[OrderDate ]])</f>
        <v>2015</v>
      </c>
    </row>
    <row r="1908" spans="1:14" x14ac:dyDescent="0.3">
      <c r="A1908">
        <v>10986</v>
      </c>
      <c r="B1908" s="2">
        <f>_xlfn.XLOOKUP(Table9[[#This Row],[orderID]],orders[orderID],orders[orderDate],,0)</f>
        <v>42093</v>
      </c>
      <c r="C1908">
        <f>_xlfn.XLOOKUP(A1908,order_details[orderID],order_details[productID],,0)</f>
        <v>11</v>
      </c>
      <c r="D1908" t="str">
        <f>_xlfn.XLOOKUP(C1908,products[productID],products[productName],,0)</f>
        <v>Queso Cabrales</v>
      </c>
      <c r="E1908" t="str">
        <f>_xlfn.XLOOKUP(_xlfn.XLOOKUP(Table9[[#This Row],[ProductName ]],products[productName],products[categoryID],,0),categories[categoryID],categories[categoryName],,0)</f>
        <v>Dairy Products</v>
      </c>
      <c r="F1908">
        <v>10</v>
      </c>
      <c r="G1908">
        <v>18</v>
      </c>
      <c r="H1908">
        <v>0</v>
      </c>
      <c r="I1908">
        <f>Table9[[#This Row],[quantity]]*Table9[[#This Row],[unitPrice]]*(1-Table9[[#This Row],[discount]]/100)</f>
        <v>180</v>
      </c>
      <c r="J1908" t="str">
        <f>_xlfn.XLOOKUP(_xlfn.XLOOKUP(A1908,orders[orderID],orders[customerID],,0),customers__2[customerID],customers__2[companyName],,0)</f>
        <v>Océano Atlántico Ltda.</v>
      </c>
      <c r="K1908" t="str">
        <f>_xlfn.XLOOKUP(Table9[[#This Row],[Company Name]],customers__2[companyName],customers__2[country],,0)</f>
        <v>Argentina</v>
      </c>
      <c r="L1908">
        <f>MONTH(Table9[[#This Row],[OrderDate ]])</f>
        <v>3</v>
      </c>
      <c r="M1908" t="str">
        <f>TEXT(Table9[[#This Row],[OrderDate ]],"mmm")</f>
        <v>Mar</v>
      </c>
      <c r="N1908">
        <f>YEAR(Table9[[#This Row],[OrderDate ]])</f>
        <v>2015</v>
      </c>
    </row>
    <row r="1909" spans="1:14" x14ac:dyDescent="0.3">
      <c r="A1909">
        <v>10986</v>
      </c>
      <c r="B1909" s="2">
        <f>_xlfn.XLOOKUP(Table9[[#This Row],[orderID]],orders[orderID],orders[orderDate],,0)</f>
        <v>42093</v>
      </c>
      <c r="C1909">
        <f>_xlfn.XLOOKUP(A1909,order_details[orderID],order_details[productID],,0)</f>
        <v>11</v>
      </c>
      <c r="D1909" t="str">
        <f>_xlfn.XLOOKUP(C1909,products[productID],products[productName],,0)</f>
        <v>Queso Cabrales</v>
      </c>
      <c r="E1909" t="str">
        <f>_xlfn.XLOOKUP(_xlfn.XLOOKUP(Table9[[#This Row],[ProductName ]],products[productName],products[categoryID],,0),categories[categoryID],categories[categoryName],,0)</f>
        <v>Dairy Products</v>
      </c>
      <c r="F1909">
        <v>15</v>
      </c>
      <c r="G1909">
        <v>13</v>
      </c>
      <c r="H1909">
        <v>0</v>
      </c>
      <c r="I1909">
        <f>Table9[[#This Row],[quantity]]*Table9[[#This Row],[unitPrice]]*(1-Table9[[#This Row],[discount]]/100)</f>
        <v>195</v>
      </c>
      <c r="J1909" t="str">
        <f>_xlfn.XLOOKUP(_xlfn.XLOOKUP(A1909,orders[orderID],orders[customerID],,0),customers__2[customerID],customers__2[companyName],,0)</f>
        <v>Océano Atlántico Ltda.</v>
      </c>
      <c r="K1909" t="str">
        <f>_xlfn.XLOOKUP(Table9[[#This Row],[Company Name]],customers__2[companyName],customers__2[country],,0)</f>
        <v>Argentina</v>
      </c>
      <c r="L1909">
        <f>MONTH(Table9[[#This Row],[OrderDate ]])</f>
        <v>3</v>
      </c>
      <c r="M1909" t="str">
        <f>TEXT(Table9[[#This Row],[OrderDate ]],"mmm")</f>
        <v>Mar</v>
      </c>
      <c r="N1909">
        <f>YEAR(Table9[[#This Row],[OrderDate ]])</f>
        <v>2015</v>
      </c>
    </row>
    <row r="1910" spans="1:14" x14ac:dyDescent="0.3">
      <c r="A1910">
        <v>10987</v>
      </c>
      <c r="B1910" s="2">
        <f>_xlfn.XLOOKUP(Table9[[#This Row],[orderID]],orders[orderID],orders[orderDate],,0)</f>
        <v>42094</v>
      </c>
      <c r="C1910">
        <f>_xlfn.XLOOKUP(A1910,order_details[orderID],order_details[productID],,0)</f>
        <v>7</v>
      </c>
      <c r="D1910" t="str">
        <f>_xlfn.XLOOKUP(C1910,products[productID],products[productName],,0)</f>
        <v>Uncle Bob's Organic Dried Pears</v>
      </c>
      <c r="E1910" t="str">
        <f>_xlfn.XLOOKUP(_xlfn.XLOOKUP(Table9[[#This Row],[ProductName ]],products[productName],products[categoryID],,0),categories[categoryID],categories[categoryName],,0)</f>
        <v>Produce</v>
      </c>
      <c r="F1910">
        <v>60</v>
      </c>
      <c r="G1910">
        <v>30</v>
      </c>
      <c r="H1910">
        <v>0</v>
      </c>
      <c r="I1910">
        <f>Table9[[#This Row],[quantity]]*Table9[[#This Row],[unitPrice]]*(1-Table9[[#This Row],[discount]]/100)</f>
        <v>1800</v>
      </c>
      <c r="J1910" t="str">
        <f>_xlfn.XLOOKUP(_xlfn.XLOOKUP(A1910,orders[orderID],orders[customerID],,0),customers__2[customerID],customers__2[companyName],,0)</f>
        <v>Eastern Connection</v>
      </c>
      <c r="K1910" t="str">
        <f>_xlfn.XLOOKUP(Table9[[#This Row],[Company Name]],customers__2[companyName],customers__2[country],,0)</f>
        <v>UK</v>
      </c>
      <c r="L1910">
        <f>MONTH(Table9[[#This Row],[OrderDate ]])</f>
        <v>3</v>
      </c>
      <c r="M1910" t="str">
        <f>TEXT(Table9[[#This Row],[OrderDate ]],"mmm")</f>
        <v>Mar</v>
      </c>
      <c r="N1910">
        <f>YEAR(Table9[[#This Row],[OrderDate ]])</f>
        <v>2015</v>
      </c>
    </row>
    <row r="1911" spans="1:14" x14ac:dyDescent="0.3">
      <c r="A1911">
        <v>10987</v>
      </c>
      <c r="B1911" s="2">
        <f>_xlfn.XLOOKUP(Table9[[#This Row],[orderID]],orders[orderID],orders[orderDate],,0)</f>
        <v>42094</v>
      </c>
      <c r="C1911">
        <f>_xlfn.XLOOKUP(A1911,order_details[orderID],order_details[productID],,0)</f>
        <v>7</v>
      </c>
      <c r="D1911" t="str">
        <f>_xlfn.XLOOKUP(C1911,products[productID],products[productName],,0)</f>
        <v>Uncle Bob's Organic Dried Pears</v>
      </c>
      <c r="E1911" t="str">
        <f>_xlfn.XLOOKUP(_xlfn.XLOOKUP(Table9[[#This Row],[ProductName ]],products[productName],products[categoryID],,0),categories[categoryID],categories[categoryName],,0)</f>
        <v>Produce</v>
      </c>
      <c r="F1911">
        <v>6</v>
      </c>
      <c r="G1911">
        <v>46</v>
      </c>
      <c r="H1911">
        <v>0</v>
      </c>
      <c r="I1911">
        <f>Table9[[#This Row],[quantity]]*Table9[[#This Row],[unitPrice]]*(1-Table9[[#This Row],[discount]]/100)</f>
        <v>276</v>
      </c>
      <c r="J1911" t="str">
        <f>_xlfn.XLOOKUP(_xlfn.XLOOKUP(A1911,orders[orderID],orders[customerID],,0),customers__2[customerID],customers__2[companyName],,0)</f>
        <v>Eastern Connection</v>
      </c>
      <c r="K1911" t="str">
        <f>_xlfn.XLOOKUP(Table9[[#This Row],[Company Name]],customers__2[companyName],customers__2[country],,0)</f>
        <v>UK</v>
      </c>
      <c r="L1911">
        <f>MONTH(Table9[[#This Row],[OrderDate ]])</f>
        <v>3</v>
      </c>
      <c r="M1911" t="str">
        <f>TEXT(Table9[[#This Row],[OrderDate ]],"mmm")</f>
        <v>Mar</v>
      </c>
      <c r="N1911">
        <f>YEAR(Table9[[#This Row],[OrderDate ]])</f>
        <v>2015</v>
      </c>
    </row>
    <row r="1912" spans="1:14" x14ac:dyDescent="0.3">
      <c r="A1912">
        <v>10987</v>
      </c>
      <c r="B1912" s="2">
        <f>_xlfn.XLOOKUP(Table9[[#This Row],[orderID]],orders[orderID],orders[orderDate],,0)</f>
        <v>42094</v>
      </c>
      <c r="C1912">
        <f>_xlfn.XLOOKUP(A1912,order_details[orderID],order_details[productID],,0)</f>
        <v>7</v>
      </c>
      <c r="D1912" t="str">
        <f>_xlfn.XLOOKUP(C1912,products[productID],products[productName],,0)</f>
        <v>Uncle Bob's Organic Dried Pears</v>
      </c>
      <c r="E1912" t="str">
        <f>_xlfn.XLOOKUP(_xlfn.XLOOKUP(Table9[[#This Row],[ProductName ]],products[productName],products[categoryID],,0),categories[categoryID],categories[categoryName],,0)</f>
        <v>Produce</v>
      </c>
      <c r="F1912">
        <v>20</v>
      </c>
      <c r="G1912">
        <v>348</v>
      </c>
      <c r="H1912">
        <v>0</v>
      </c>
      <c r="I1912">
        <f>Table9[[#This Row],[quantity]]*Table9[[#This Row],[unitPrice]]*(1-Table9[[#This Row],[discount]]/100)</f>
        <v>6960</v>
      </c>
      <c r="J1912" t="str">
        <f>_xlfn.XLOOKUP(_xlfn.XLOOKUP(A1912,orders[orderID],orders[customerID],,0),customers__2[customerID],customers__2[companyName],,0)</f>
        <v>Eastern Connection</v>
      </c>
      <c r="K1912" t="str">
        <f>_xlfn.XLOOKUP(Table9[[#This Row],[Company Name]],customers__2[companyName],customers__2[country],,0)</f>
        <v>UK</v>
      </c>
      <c r="L1912">
        <f>MONTH(Table9[[#This Row],[OrderDate ]])</f>
        <v>3</v>
      </c>
      <c r="M1912" t="str">
        <f>TEXT(Table9[[#This Row],[OrderDate ]],"mmm")</f>
        <v>Mar</v>
      </c>
      <c r="N1912">
        <f>YEAR(Table9[[#This Row],[OrderDate ]])</f>
        <v>2015</v>
      </c>
    </row>
    <row r="1913" spans="1:14" x14ac:dyDescent="0.3">
      <c r="A1913">
        <v>10988</v>
      </c>
      <c r="B1913" s="2">
        <f>_xlfn.XLOOKUP(Table9[[#This Row],[orderID]],orders[orderID],orders[orderDate],,0)</f>
        <v>42094</v>
      </c>
      <c r="C1913">
        <f>_xlfn.XLOOKUP(A1913,order_details[orderID],order_details[productID],,0)</f>
        <v>7</v>
      </c>
      <c r="D1913" t="str">
        <f>_xlfn.XLOOKUP(C1913,products[productID],products[productName],,0)</f>
        <v>Uncle Bob's Organic Dried Pears</v>
      </c>
      <c r="E1913" t="str">
        <f>_xlfn.XLOOKUP(_xlfn.XLOOKUP(Table9[[#This Row],[ProductName ]],products[productName],products[categoryID],,0),categories[categoryID],categories[categoryName],,0)</f>
        <v>Produce</v>
      </c>
      <c r="F1913">
        <v>60</v>
      </c>
      <c r="G1913">
        <v>30</v>
      </c>
      <c r="H1913">
        <v>0</v>
      </c>
      <c r="I1913">
        <f>Table9[[#This Row],[quantity]]*Table9[[#This Row],[unitPrice]]*(1-Table9[[#This Row],[discount]]/100)</f>
        <v>1800</v>
      </c>
      <c r="J1913" t="str">
        <f>_xlfn.XLOOKUP(_xlfn.XLOOKUP(A1913,orders[orderID],orders[customerID],,0),customers__2[customerID],customers__2[companyName],,0)</f>
        <v>Rattlesnake Canyon Grocery</v>
      </c>
      <c r="K1913" t="str">
        <f>_xlfn.XLOOKUP(Table9[[#This Row],[Company Name]],customers__2[companyName],customers__2[country],,0)</f>
        <v>USA</v>
      </c>
      <c r="L1913">
        <f>MONTH(Table9[[#This Row],[OrderDate ]])</f>
        <v>3</v>
      </c>
      <c r="M1913" t="str">
        <f>TEXT(Table9[[#This Row],[OrderDate ]],"mmm")</f>
        <v>Mar</v>
      </c>
      <c r="N1913">
        <f>YEAR(Table9[[#This Row],[OrderDate ]])</f>
        <v>2015</v>
      </c>
    </row>
    <row r="1914" spans="1:14" x14ac:dyDescent="0.3">
      <c r="A1914">
        <v>10988</v>
      </c>
      <c r="B1914" s="2">
        <f>_xlfn.XLOOKUP(Table9[[#This Row],[orderID]],orders[orderID],orders[orderDate],,0)</f>
        <v>42094</v>
      </c>
      <c r="C1914">
        <f>_xlfn.XLOOKUP(A1914,order_details[orderID],order_details[productID],,0)</f>
        <v>7</v>
      </c>
      <c r="D1914" t="str">
        <f>_xlfn.XLOOKUP(C1914,products[productID],products[productName],,0)</f>
        <v>Uncle Bob's Organic Dried Pears</v>
      </c>
      <c r="E1914" t="str">
        <f>_xlfn.XLOOKUP(_xlfn.XLOOKUP(Table9[[#This Row],[ProductName ]],products[productName],products[categoryID],,0),categories[categoryID],categories[categoryName],,0)</f>
        <v>Produce</v>
      </c>
      <c r="F1914">
        <v>40</v>
      </c>
      <c r="G1914">
        <v>493</v>
      </c>
      <c r="H1914">
        <v>1</v>
      </c>
      <c r="I1914">
        <f>Table9[[#This Row],[quantity]]*Table9[[#This Row],[unitPrice]]*(1-Table9[[#This Row],[discount]]/100)</f>
        <v>19522.8</v>
      </c>
      <c r="J1914" t="str">
        <f>_xlfn.XLOOKUP(_xlfn.XLOOKUP(A1914,orders[orderID],orders[customerID],,0),customers__2[customerID],customers__2[companyName],,0)</f>
        <v>Rattlesnake Canyon Grocery</v>
      </c>
      <c r="K1914" t="str">
        <f>_xlfn.XLOOKUP(Table9[[#This Row],[Company Name]],customers__2[companyName],customers__2[country],,0)</f>
        <v>USA</v>
      </c>
      <c r="L1914">
        <f>MONTH(Table9[[#This Row],[OrderDate ]])</f>
        <v>3</v>
      </c>
      <c r="M1914" t="str">
        <f>TEXT(Table9[[#This Row],[OrderDate ]],"mmm")</f>
        <v>Mar</v>
      </c>
      <c r="N1914">
        <f>YEAR(Table9[[#This Row],[OrderDate ]])</f>
        <v>2015</v>
      </c>
    </row>
    <row r="1915" spans="1:14" x14ac:dyDescent="0.3">
      <c r="A1915">
        <v>10989</v>
      </c>
      <c r="B1915" s="2">
        <f>_xlfn.XLOOKUP(Table9[[#This Row],[orderID]],orders[orderID],orders[orderDate],,0)</f>
        <v>42094</v>
      </c>
      <c r="C1915">
        <f>_xlfn.XLOOKUP(A1915,order_details[orderID],order_details[productID],,0)</f>
        <v>6</v>
      </c>
      <c r="D1915" t="str">
        <f>_xlfn.XLOOKUP(C1915,products[productID],products[productName],,0)</f>
        <v>Grandma's Boysenberry Spread</v>
      </c>
      <c r="E1915" t="str">
        <f>_xlfn.XLOOKUP(_xlfn.XLOOKUP(Table9[[#This Row],[ProductName ]],products[productName],products[categoryID],,0),categories[categoryID],categories[categoryName],,0)</f>
        <v>Condiments</v>
      </c>
      <c r="F1915">
        <v>40</v>
      </c>
      <c r="G1915">
        <v>25</v>
      </c>
      <c r="H1915">
        <v>0</v>
      </c>
      <c r="I1915">
        <f>Table9[[#This Row],[quantity]]*Table9[[#This Row],[unitPrice]]*(1-Table9[[#This Row],[discount]]/100)</f>
        <v>1000</v>
      </c>
      <c r="J1915" t="str">
        <f>_xlfn.XLOOKUP(_xlfn.XLOOKUP(A1915,orders[orderID],orders[customerID],,0),customers__2[customerID],customers__2[companyName],,0)</f>
        <v>Que Delícia</v>
      </c>
      <c r="K1915" t="str">
        <f>_xlfn.XLOOKUP(Table9[[#This Row],[Company Name]],customers__2[companyName],customers__2[country],,0)</f>
        <v>Brazil</v>
      </c>
      <c r="L1915">
        <f>MONTH(Table9[[#This Row],[OrderDate ]])</f>
        <v>3</v>
      </c>
      <c r="M1915" t="str">
        <f>TEXT(Table9[[#This Row],[OrderDate ]],"mmm")</f>
        <v>Mar</v>
      </c>
      <c r="N1915">
        <f>YEAR(Table9[[#This Row],[OrderDate ]])</f>
        <v>2015</v>
      </c>
    </row>
    <row r="1916" spans="1:14" x14ac:dyDescent="0.3">
      <c r="A1916">
        <v>10989</v>
      </c>
      <c r="B1916" s="2">
        <f>_xlfn.XLOOKUP(Table9[[#This Row],[orderID]],orders[orderID],orders[orderDate],,0)</f>
        <v>42094</v>
      </c>
      <c r="C1916">
        <f>_xlfn.XLOOKUP(A1916,order_details[orderID],order_details[productID],,0)</f>
        <v>6</v>
      </c>
      <c r="D1916" t="str">
        <f>_xlfn.XLOOKUP(C1916,products[productID],products[productName],,0)</f>
        <v>Grandma's Boysenberry Spread</v>
      </c>
      <c r="E1916" t="str">
        <f>_xlfn.XLOOKUP(_xlfn.XLOOKUP(Table9[[#This Row],[ProductName ]],products[productName],products[categoryID],,0),categories[categoryID],categories[categoryName],,0)</f>
        <v>Condiments</v>
      </c>
      <c r="F1916">
        <v>15</v>
      </c>
      <c r="G1916">
        <v>21</v>
      </c>
      <c r="H1916">
        <v>0</v>
      </c>
      <c r="I1916">
        <f>Table9[[#This Row],[quantity]]*Table9[[#This Row],[unitPrice]]*(1-Table9[[#This Row],[discount]]/100)</f>
        <v>315</v>
      </c>
      <c r="J1916" t="str">
        <f>_xlfn.XLOOKUP(_xlfn.XLOOKUP(A1916,orders[orderID],orders[customerID],,0),customers__2[customerID],customers__2[companyName],,0)</f>
        <v>Que Delícia</v>
      </c>
      <c r="K1916" t="str">
        <f>_xlfn.XLOOKUP(Table9[[#This Row],[Company Name]],customers__2[companyName],customers__2[country],,0)</f>
        <v>Brazil</v>
      </c>
      <c r="L1916">
        <f>MONTH(Table9[[#This Row],[OrderDate ]])</f>
        <v>3</v>
      </c>
      <c r="M1916" t="str">
        <f>TEXT(Table9[[#This Row],[OrderDate ]],"mmm")</f>
        <v>Mar</v>
      </c>
      <c r="N1916">
        <f>YEAR(Table9[[#This Row],[OrderDate ]])</f>
        <v>2015</v>
      </c>
    </row>
    <row r="1917" spans="1:14" x14ac:dyDescent="0.3">
      <c r="A1917">
        <v>10989</v>
      </c>
      <c r="B1917" s="2">
        <f>_xlfn.XLOOKUP(Table9[[#This Row],[orderID]],orders[orderID],orders[orderDate],,0)</f>
        <v>42094</v>
      </c>
      <c r="C1917">
        <f>_xlfn.XLOOKUP(A1917,order_details[orderID],order_details[productID],,0)</f>
        <v>6</v>
      </c>
      <c r="D1917" t="str">
        <f>_xlfn.XLOOKUP(C1917,products[productID],products[productName],,0)</f>
        <v>Grandma's Boysenberry Spread</v>
      </c>
      <c r="E1917" t="str">
        <f>_xlfn.XLOOKUP(_xlfn.XLOOKUP(Table9[[#This Row],[ProductName ]],products[productName],products[categoryID],,0),categories[categoryID],categories[categoryName],,0)</f>
        <v>Condiments</v>
      </c>
      <c r="F1917">
        <v>4</v>
      </c>
      <c r="G1917">
        <v>965</v>
      </c>
      <c r="H1917">
        <v>0</v>
      </c>
      <c r="I1917">
        <f>Table9[[#This Row],[quantity]]*Table9[[#This Row],[unitPrice]]*(1-Table9[[#This Row],[discount]]/100)</f>
        <v>3860</v>
      </c>
      <c r="J1917" t="str">
        <f>_xlfn.XLOOKUP(_xlfn.XLOOKUP(A1917,orders[orderID],orders[customerID],,0),customers__2[customerID],customers__2[companyName],,0)</f>
        <v>Que Delícia</v>
      </c>
      <c r="K1917" t="str">
        <f>_xlfn.XLOOKUP(Table9[[#This Row],[Company Name]],customers__2[companyName],customers__2[country],,0)</f>
        <v>Brazil</v>
      </c>
      <c r="L1917">
        <f>MONTH(Table9[[#This Row],[OrderDate ]])</f>
        <v>3</v>
      </c>
      <c r="M1917" t="str">
        <f>TEXT(Table9[[#This Row],[OrderDate ]],"mmm")</f>
        <v>Mar</v>
      </c>
      <c r="N1917">
        <f>YEAR(Table9[[#This Row],[OrderDate ]])</f>
        <v>2015</v>
      </c>
    </row>
    <row r="1918" spans="1:14" x14ac:dyDescent="0.3">
      <c r="A1918">
        <v>10990</v>
      </c>
      <c r="B1918" s="2">
        <f>_xlfn.XLOOKUP(Table9[[#This Row],[orderID]],orders[orderID],orders[orderDate],,0)</f>
        <v>42095</v>
      </c>
      <c r="C1918">
        <f>_xlfn.XLOOKUP(A1918,order_details[orderID],order_details[productID],,0)</f>
        <v>21</v>
      </c>
      <c r="D1918" t="str">
        <f>_xlfn.XLOOKUP(C1918,products[productID],products[productName],,0)</f>
        <v>Sir Rodney's Scones</v>
      </c>
      <c r="E1918" t="str">
        <f>_xlfn.XLOOKUP(_xlfn.XLOOKUP(Table9[[#This Row],[ProductName ]],products[productName],products[categoryID],,0),categories[categoryID],categories[categoryName],,0)</f>
        <v>Confections</v>
      </c>
      <c r="F1918">
        <v>65</v>
      </c>
      <c r="G1918">
        <v>10</v>
      </c>
      <c r="H1918">
        <v>0</v>
      </c>
      <c r="I1918">
        <f>Table9[[#This Row],[quantity]]*Table9[[#This Row],[unitPrice]]*(1-Table9[[#This Row],[discount]]/100)</f>
        <v>650</v>
      </c>
      <c r="J1918" t="str">
        <f>_xlfn.XLOOKUP(_xlfn.XLOOKUP(A1918,orders[orderID],orders[customerID],,0),customers__2[customerID],customers__2[companyName],,0)</f>
        <v>Ernst Handel</v>
      </c>
      <c r="K1918" t="str">
        <f>_xlfn.XLOOKUP(Table9[[#This Row],[Company Name]],customers__2[companyName],customers__2[country],,0)</f>
        <v>Austria</v>
      </c>
      <c r="L1918">
        <f>MONTH(Table9[[#This Row],[OrderDate ]])</f>
        <v>4</v>
      </c>
      <c r="M1918" t="str">
        <f>TEXT(Table9[[#This Row],[OrderDate ]],"mmm")</f>
        <v>Apr</v>
      </c>
      <c r="N1918">
        <f>YEAR(Table9[[#This Row],[OrderDate ]])</f>
        <v>2015</v>
      </c>
    </row>
    <row r="1919" spans="1:14" x14ac:dyDescent="0.3">
      <c r="A1919">
        <v>10990</v>
      </c>
      <c r="B1919" s="2">
        <f>_xlfn.XLOOKUP(Table9[[#This Row],[orderID]],orders[orderID],orders[orderDate],,0)</f>
        <v>42095</v>
      </c>
      <c r="C1919">
        <f>_xlfn.XLOOKUP(A1919,order_details[orderID],order_details[productID],,0)</f>
        <v>21</v>
      </c>
      <c r="D1919" t="str">
        <f>_xlfn.XLOOKUP(C1919,products[productID],products[productName],,0)</f>
        <v>Sir Rodney's Scones</v>
      </c>
      <c r="E1919" t="str">
        <f>_xlfn.XLOOKUP(_xlfn.XLOOKUP(Table9[[#This Row],[ProductName ]],products[productName],products[categoryID],,0),categories[categoryID],categories[categoryName],,0)</f>
        <v>Confections</v>
      </c>
      <c r="F1919">
        <v>60</v>
      </c>
      <c r="G1919">
        <v>14</v>
      </c>
      <c r="H1919">
        <v>15</v>
      </c>
      <c r="I1919">
        <f>Table9[[#This Row],[quantity]]*Table9[[#This Row],[unitPrice]]*(1-Table9[[#This Row],[discount]]/100)</f>
        <v>714</v>
      </c>
      <c r="J1919" t="str">
        <f>_xlfn.XLOOKUP(_xlfn.XLOOKUP(A1919,orders[orderID],orders[customerID],,0),customers__2[customerID],customers__2[companyName],,0)</f>
        <v>Ernst Handel</v>
      </c>
      <c r="K1919" t="str">
        <f>_xlfn.XLOOKUP(Table9[[#This Row],[Company Name]],customers__2[companyName],customers__2[country],,0)</f>
        <v>Austria</v>
      </c>
      <c r="L1919">
        <f>MONTH(Table9[[#This Row],[OrderDate ]])</f>
        <v>4</v>
      </c>
      <c r="M1919" t="str">
        <f>TEXT(Table9[[#This Row],[OrderDate ]],"mmm")</f>
        <v>Apr</v>
      </c>
      <c r="N1919">
        <f>YEAR(Table9[[#This Row],[OrderDate ]])</f>
        <v>2015</v>
      </c>
    </row>
    <row r="1920" spans="1:14" x14ac:dyDescent="0.3">
      <c r="A1920">
        <v>10990</v>
      </c>
      <c r="B1920" s="2">
        <f>_xlfn.XLOOKUP(Table9[[#This Row],[orderID]],orders[orderID],orders[orderDate],,0)</f>
        <v>42095</v>
      </c>
      <c r="C1920">
        <f>_xlfn.XLOOKUP(A1920,order_details[orderID],order_details[productID],,0)</f>
        <v>21</v>
      </c>
      <c r="D1920" t="str">
        <f>_xlfn.XLOOKUP(C1920,products[productID],products[productName],,0)</f>
        <v>Sir Rodney's Scones</v>
      </c>
      <c r="E1920" t="str">
        <f>_xlfn.XLOOKUP(_xlfn.XLOOKUP(Table9[[#This Row],[ProductName ]],products[productName],products[categoryID],,0),categories[categoryID],categories[categoryName],,0)</f>
        <v>Confections</v>
      </c>
      <c r="F1920">
        <v>65</v>
      </c>
      <c r="G1920">
        <v>24</v>
      </c>
      <c r="H1920">
        <v>15</v>
      </c>
      <c r="I1920">
        <f>Table9[[#This Row],[quantity]]*Table9[[#This Row],[unitPrice]]*(1-Table9[[#This Row],[discount]]/100)</f>
        <v>1326</v>
      </c>
      <c r="J1920" t="str">
        <f>_xlfn.XLOOKUP(_xlfn.XLOOKUP(A1920,orders[orderID],orders[customerID],,0),customers__2[customerID],customers__2[companyName],,0)</f>
        <v>Ernst Handel</v>
      </c>
      <c r="K1920" t="str">
        <f>_xlfn.XLOOKUP(Table9[[#This Row],[Company Name]],customers__2[companyName],customers__2[country],,0)</f>
        <v>Austria</v>
      </c>
      <c r="L1920">
        <f>MONTH(Table9[[#This Row],[OrderDate ]])</f>
        <v>4</v>
      </c>
      <c r="M1920" t="str">
        <f>TEXT(Table9[[#This Row],[OrderDate ]],"mmm")</f>
        <v>Apr</v>
      </c>
      <c r="N1920">
        <f>YEAR(Table9[[#This Row],[OrderDate ]])</f>
        <v>2015</v>
      </c>
    </row>
    <row r="1921" spans="1:14" x14ac:dyDescent="0.3">
      <c r="A1921">
        <v>10990</v>
      </c>
      <c r="B1921" s="2">
        <f>_xlfn.XLOOKUP(Table9[[#This Row],[orderID]],orders[orderID],orders[orderDate],,0)</f>
        <v>42095</v>
      </c>
      <c r="C1921">
        <f>_xlfn.XLOOKUP(A1921,order_details[orderID],order_details[productID],,0)</f>
        <v>21</v>
      </c>
      <c r="D1921" t="str">
        <f>_xlfn.XLOOKUP(C1921,products[productID],products[productName],,0)</f>
        <v>Sir Rodney's Scones</v>
      </c>
      <c r="E1921" t="str">
        <f>_xlfn.XLOOKUP(_xlfn.XLOOKUP(Table9[[#This Row],[ProductName ]],products[productName],products[categoryID],,0),categories[categoryID],categories[categoryName],,0)</f>
        <v>Confections</v>
      </c>
      <c r="F1921">
        <v>66</v>
      </c>
      <c r="G1921">
        <v>285</v>
      </c>
      <c r="H1921">
        <v>15</v>
      </c>
      <c r="I1921">
        <f>Table9[[#This Row],[quantity]]*Table9[[#This Row],[unitPrice]]*(1-Table9[[#This Row],[discount]]/100)</f>
        <v>15988.5</v>
      </c>
      <c r="J1921" t="str">
        <f>_xlfn.XLOOKUP(_xlfn.XLOOKUP(A1921,orders[orderID],orders[customerID],,0),customers__2[customerID],customers__2[companyName],,0)</f>
        <v>Ernst Handel</v>
      </c>
      <c r="K1921" t="str">
        <f>_xlfn.XLOOKUP(Table9[[#This Row],[Company Name]],customers__2[companyName],customers__2[country],,0)</f>
        <v>Austria</v>
      </c>
      <c r="L1921">
        <f>MONTH(Table9[[#This Row],[OrderDate ]])</f>
        <v>4</v>
      </c>
      <c r="M1921" t="str">
        <f>TEXT(Table9[[#This Row],[OrderDate ]],"mmm")</f>
        <v>Apr</v>
      </c>
      <c r="N1921">
        <f>YEAR(Table9[[#This Row],[OrderDate ]])</f>
        <v>2015</v>
      </c>
    </row>
    <row r="1922" spans="1:14" x14ac:dyDescent="0.3">
      <c r="A1922">
        <v>10991</v>
      </c>
      <c r="B1922" s="2">
        <f>_xlfn.XLOOKUP(Table9[[#This Row],[orderID]],orders[orderID],orders[orderDate],,0)</f>
        <v>42095</v>
      </c>
      <c r="C1922">
        <f>_xlfn.XLOOKUP(A1922,order_details[orderID],order_details[productID],,0)</f>
        <v>2</v>
      </c>
      <c r="D1922" t="str">
        <f>_xlfn.XLOOKUP(C1922,products[productID],products[productName],,0)</f>
        <v>Chang</v>
      </c>
      <c r="E1922" t="str">
        <f>_xlfn.XLOOKUP(_xlfn.XLOOKUP(Table9[[#This Row],[ProductName ]],products[productName],products[categoryID],,0),categories[categoryID],categories[categoryName],,0)</f>
        <v>Beverages</v>
      </c>
      <c r="F1922">
        <v>50</v>
      </c>
      <c r="G1922">
        <v>19</v>
      </c>
      <c r="H1922">
        <v>2</v>
      </c>
      <c r="I1922">
        <f>Table9[[#This Row],[quantity]]*Table9[[#This Row],[unitPrice]]*(1-Table9[[#This Row],[discount]]/100)</f>
        <v>931</v>
      </c>
      <c r="J1922" t="str">
        <f>_xlfn.XLOOKUP(_xlfn.XLOOKUP(A1922,orders[orderID],orders[customerID],,0),customers__2[customerID],customers__2[companyName],,0)</f>
        <v>QUICK-Stop</v>
      </c>
      <c r="K1922" t="str">
        <f>_xlfn.XLOOKUP(Table9[[#This Row],[Company Name]],customers__2[companyName],customers__2[country],,0)</f>
        <v>Germany</v>
      </c>
      <c r="L1922">
        <f>MONTH(Table9[[#This Row],[OrderDate ]])</f>
        <v>4</v>
      </c>
      <c r="M1922" t="str">
        <f>TEXT(Table9[[#This Row],[OrderDate ]],"mmm")</f>
        <v>Apr</v>
      </c>
      <c r="N1922">
        <f>YEAR(Table9[[#This Row],[OrderDate ]])</f>
        <v>2015</v>
      </c>
    </row>
    <row r="1923" spans="1:14" x14ac:dyDescent="0.3">
      <c r="A1923">
        <v>10991</v>
      </c>
      <c r="B1923" s="2">
        <f>_xlfn.XLOOKUP(Table9[[#This Row],[orderID]],orders[orderID],orders[orderDate],,0)</f>
        <v>42095</v>
      </c>
      <c r="C1923">
        <f>_xlfn.XLOOKUP(A1923,order_details[orderID],order_details[productID],,0)</f>
        <v>2</v>
      </c>
      <c r="D1923" t="str">
        <f>_xlfn.XLOOKUP(C1923,products[productID],products[productName],,0)</f>
        <v>Chang</v>
      </c>
      <c r="E1923" t="str">
        <f>_xlfn.XLOOKUP(_xlfn.XLOOKUP(Table9[[#This Row],[ProductName ]],products[productName],products[categoryID],,0),categories[categoryID],categories[categoryName],,0)</f>
        <v>Beverages</v>
      </c>
      <c r="F1923">
        <v>20</v>
      </c>
      <c r="G1923">
        <v>15</v>
      </c>
      <c r="H1923">
        <v>2</v>
      </c>
      <c r="I1923">
        <f>Table9[[#This Row],[quantity]]*Table9[[#This Row],[unitPrice]]*(1-Table9[[#This Row],[discount]]/100)</f>
        <v>294</v>
      </c>
      <c r="J1923" t="str">
        <f>_xlfn.XLOOKUP(_xlfn.XLOOKUP(A1923,orders[orderID],orders[customerID],,0),customers__2[customerID],customers__2[companyName],,0)</f>
        <v>QUICK-Stop</v>
      </c>
      <c r="K1923" t="str">
        <f>_xlfn.XLOOKUP(Table9[[#This Row],[Company Name]],customers__2[companyName],customers__2[country],,0)</f>
        <v>Germany</v>
      </c>
      <c r="L1923">
        <f>MONTH(Table9[[#This Row],[OrderDate ]])</f>
        <v>4</v>
      </c>
      <c r="M1923" t="str">
        <f>TEXT(Table9[[#This Row],[OrderDate ]],"mmm")</f>
        <v>Apr</v>
      </c>
      <c r="N1923">
        <f>YEAR(Table9[[#This Row],[OrderDate ]])</f>
        <v>2015</v>
      </c>
    </row>
    <row r="1924" spans="1:14" x14ac:dyDescent="0.3">
      <c r="A1924">
        <v>10991</v>
      </c>
      <c r="B1924" s="2">
        <f>_xlfn.XLOOKUP(Table9[[#This Row],[orderID]],orders[orderID],orders[orderDate],,0)</f>
        <v>42095</v>
      </c>
      <c r="C1924">
        <f>_xlfn.XLOOKUP(A1924,order_details[orderID],order_details[productID],,0)</f>
        <v>2</v>
      </c>
      <c r="D1924" t="str">
        <f>_xlfn.XLOOKUP(C1924,products[productID],products[productName],,0)</f>
        <v>Chang</v>
      </c>
      <c r="E1924" t="str">
        <f>_xlfn.XLOOKUP(_xlfn.XLOOKUP(Table9[[#This Row],[ProductName ]],products[productName],products[categoryID],,0),categories[categoryID],categories[categoryName],,0)</f>
        <v>Beverages</v>
      </c>
      <c r="F1924">
        <v>90</v>
      </c>
      <c r="G1924">
        <v>18</v>
      </c>
      <c r="H1924">
        <v>2</v>
      </c>
      <c r="I1924">
        <f>Table9[[#This Row],[quantity]]*Table9[[#This Row],[unitPrice]]*(1-Table9[[#This Row],[discount]]/100)</f>
        <v>1587.6</v>
      </c>
      <c r="J1924" t="str">
        <f>_xlfn.XLOOKUP(_xlfn.XLOOKUP(A1924,orders[orderID],orders[customerID],,0),customers__2[customerID],customers__2[companyName],,0)</f>
        <v>QUICK-Stop</v>
      </c>
      <c r="K1924" t="str">
        <f>_xlfn.XLOOKUP(Table9[[#This Row],[Company Name]],customers__2[companyName],customers__2[country],,0)</f>
        <v>Germany</v>
      </c>
      <c r="L1924">
        <f>MONTH(Table9[[#This Row],[OrderDate ]])</f>
        <v>4</v>
      </c>
      <c r="M1924" t="str">
        <f>TEXT(Table9[[#This Row],[OrderDate ]],"mmm")</f>
        <v>Apr</v>
      </c>
      <c r="N1924">
        <f>YEAR(Table9[[#This Row],[OrderDate ]])</f>
        <v>2015</v>
      </c>
    </row>
    <row r="1925" spans="1:14" x14ac:dyDescent="0.3">
      <c r="A1925">
        <v>10992</v>
      </c>
      <c r="B1925" s="2">
        <f>_xlfn.XLOOKUP(Table9[[#This Row],[orderID]],orders[orderID],orders[orderDate],,0)</f>
        <v>42095</v>
      </c>
      <c r="C1925">
        <f>_xlfn.XLOOKUP(A1925,order_details[orderID],order_details[productID],,0)</f>
        <v>72</v>
      </c>
      <c r="D1925" t="str">
        <f>_xlfn.XLOOKUP(C1925,products[productID],products[productName],,0)</f>
        <v>Mozzarella di Giovanni</v>
      </c>
      <c r="E1925" t="str">
        <f>_xlfn.XLOOKUP(_xlfn.XLOOKUP(Table9[[#This Row],[ProductName ]],products[productName],products[categoryID],,0),categories[categoryID],categories[categoryName],,0)</f>
        <v>Dairy Products</v>
      </c>
      <c r="F1925">
        <v>2</v>
      </c>
      <c r="G1925">
        <v>348</v>
      </c>
      <c r="H1925">
        <v>0</v>
      </c>
      <c r="I1925">
        <f>Table9[[#This Row],[quantity]]*Table9[[#This Row],[unitPrice]]*(1-Table9[[#This Row],[discount]]/100)</f>
        <v>696</v>
      </c>
      <c r="J1925" t="str">
        <f>_xlfn.XLOOKUP(_xlfn.XLOOKUP(A1925,orders[orderID],orders[customerID],,0),customers__2[customerID],customers__2[companyName],,0)</f>
        <v>The Big Cheese</v>
      </c>
      <c r="K1925" t="str">
        <f>_xlfn.XLOOKUP(Table9[[#This Row],[Company Name]],customers__2[companyName],customers__2[country],,0)</f>
        <v>USA</v>
      </c>
      <c r="L1925">
        <f>MONTH(Table9[[#This Row],[OrderDate ]])</f>
        <v>4</v>
      </c>
      <c r="M1925" t="str">
        <f>TEXT(Table9[[#This Row],[OrderDate ]],"mmm")</f>
        <v>Apr</v>
      </c>
      <c r="N1925">
        <f>YEAR(Table9[[#This Row],[OrderDate ]])</f>
        <v>2015</v>
      </c>
    </row>
    <row r="1926" spans="1:14" x14ac:dyDescent="0.3">
      <c r="A1926">
        <v>10993</v>
      </c>
      <c r="B1926" s="2">
        <f>_xlfn.XLOOKUP(Table9[[#This Row],[orderID]],orders[orderID],orders[orderDate],,0)</f>
        <v>42095</v>
      </c>
      <c r="C1926">
        <f>_xlfn.XLOOKUP(A1926,order_details[orderID],order_details[productID],,0)</f>
        <v>29</v>
      </c>
      <c r="D1926" t="str">
        <f>_xlfn.XLOOKUP(C1926,products[productID],products[productName],,0)</f>
        <v>Thüringer Rostbratwurst</v>
      </c>
      <c r="E1926" t="str">
        <f>_xlfn.XLOOKUP(_xlfn.XLOOKUP(Table9[[#This Row],[ProductName ]],products[productName],products[categoryID],,0),categories[categoryID],categories[categoryName],,0)</f>
        <v>Meat &amp; Poultry</v>
      </c>
      <c r="F1926">
        <v>50</v>
      </c>
      <c r="G1926">
        <v>12379</v>
      </c>
      <c r="H1926">
        <v>25</v>
      </c>
      <c r="I1926">
        <f>Table9[[#This Row],[quantity]]*Table9[[#This Row],[unitPrice]]*(1-Table9[[#This Row],[discount]]/100)</f>
        <v>464212.5</v>
      </c>
      <c r="J1926" t="str">
        <f>_xlfn.XLOOKUP(_xlfn.XLOOKUP(A1926,orders[orderID],orders[customerID],,0),customers__2[customerID],customers__2[companyName],,0)</f>
        <v>Folk och fä HB</v>
      </c>
      <c r="K1926" t="str">
        <f>_xlfn.XLOOKUP(Table9[[#This Row],[Company Name]],customers__2[companyName],customers__2[country],,0)</f>
        <v>Sweden</v>
      </c>
      <c r="L1926">
        <f>MONTH(Table9[[#This Row],[OrderDate ]])</f>
        <v>4</v>
      </c>
      <c r="M1926" t="str">
        <f>TEXT(Table9[[#This Row],[OrderDate ]],"mmm")</f>
        <v>Apr</v>
      </c>
      <c r="N1926">
        <f>YEAR(Table9[[#This Row],[OrderDate ]])</f>
        <v>2015</v>
      </c>
    </row>
    <row r="1927" spans="1:14" x14ac:dyDescent="0.3">
      <c r="A1927">
        <v>10993</v>
      </c>
      <c r="B1927" s="2">
        <f>_xlfn.XLOOKUP(Table9[[#This Row],[orderID]],orders[orderID],orders[orderDate],,0)</f>
        <v>42095</v>
      </c>
      <c r="C1927">
        <f>_xlfn.XLOOKUP(A1927,order_details[orderID],order_details[productID],,0)</f>
        <v>29</v>
      </c>
      <c r="D1927" t="str">
        <f>_xlfn.XLOOKUP(C1927,products[productID],products[productName],,0)</f>
        <v>Thüringer Rostbratwurst</v>
      </c>
      <c r="E1927" t="str">
        <f>_xlfn.XLOOKUP(_xlfn.XLOOKUP(Table9[[#This Row],[ProductName ]],products[productName],products[categoryID],,0),categories[categoryID],categories[categoryName],,0)</f>
        <v>Meat &amp; Poultry</v>
      </c>
      <c r="F1927">
        <v>35</v>
      </c>
      <c r="G1927">
        <v>965</v>
      </c>
      <c r="H1927">
        <v>25</v>
      </c>
      <c r="I1927">
        <f>Table9[[#This Row],[quantity]]*Table9[[#This Row],[unitPrice]]*(1-Table9[[#This Row],[discount]]/100)</f>
        <v>25331.25</v>
      </c>
      <c r="J1927" t="str">
        <f>_xlfn.XLOOKUP(_xlfn.XLOOKUP(A1927,orders[orderID],orders[customerID],,0),customers__2[customerID],customers__2[companyName],,0)</f>
        <v>Folk och fä HB</v>
      </c>
      <c r="K1927" t="str">
        <f>_xlfn.XLOOKUP(Table9[[#This Row],[Company Name]],customers__2[companyName],customers__2[country],,0)</f>
        <v>Sweden</v>
      </c>
      <c r="L1927">
        <f>MONTH(Table9[[#This Row],[OrderDate ]])</f>
        <v>4</v>
      </c>
      <c r="M1927" t="str">
        <f>TEXT(Table9[[#This Row],[OrderDate ]],"mmm")</f>
        <v>Apr</v>
      </c>
      <c r="N1927">
        <f>YEAR(Table9[[#This Row],[OrderDate ]])</f>
        <v>2015</v>
      </c>
    </row>
    <row r="1928" spans="1:14" x14ac:dyDescent="0.3">
      <c r="A1928">
        <v>10994</v>
      </c>
      <c r="B1928" s="2">
        <f>_xlfn.XLOOKUP(Table9[[#This Row],[orderID]],orders[orderID],orders[orderDate],,0)</f>
        <v>42096</v>
      </c>
      <c r="C1928">
        <f>_xlfn.XLOOKUP(A1928,order_details[orderID],order_details[productID],,0)</f>
        <v>59</v>
      </c>
      <c r="D1928" t="str">
        <f>_xlfn.XLOOKUP(C1928,products[productID],products[productName],,0)</f>
        <v>Raclette Courdavault</v>
      </c>
      <c r="E1928" t="str">
        <f>_xlfn.XLOOKUP(_xlfn.XLOOKUP(Table9[[#This Row],[ProductName ]],products[productName],products[categoryID],,0),categories[categoryID],categories[categoryName],,0)</f>
        <v>Dairy Products</v>
      </c>
      <c r="F1928">
        <v>18</v>
      </c>
      <c r="G1928">
        <v>55</v>
      </c>
      <c r="H1928">
        <v>5</v>
      </c>
      <c r="I1928">
        <f>Table9[[#This Row],[quantity]]*Table9[[#This Row],[unitPrice]]*(1-Table9[[#This Row],[discount]]/100)</f>
        <v>940.5</v>
      </c>
      <c r="J1928" t="str">
        <f>_xlfn.XLOOKUP(_xlfn.XLOOKUP(A1928,orders[orderID],orders[customerID],,0),customers__2[customerID],customers__2[companyName],,0)</f>
        <v>Vaffeljernet</v>
      </c>
      <c r="K1928" t="str">
        <f>_xlfn.XLOOKUP(Table9[[#This Row],[Company Name]],customers__2[companyName],customers__2[country],,0)</f>
        <v>Denmark</v>
      </c>
      <c r="L1928">
        <f>MONTH(Table9[[#This Row],[OrderDate ]])</f>
        <v>4</v>
      </c>
      <c r="M1928" t="str">
        <f>TEXT(Table9[[#This Row],[OrderDate ]],"mmm")</f>
        <v>Apr</v>
      </c>
      <c r="N1928">
        <f>YEAR(Table9[[#This Row],[OrderDate ]])</f>
        <v>2015</v>
      </c>
    </row>
    <row r="1929" spans="1:14" x14ac:dyDescent="0.3">
      <c r="A1929">
        <v>10995</v>
      </c>
      <c r="B1929" s="2">
        <f>_xlfn.XLOOKUP(Table9[[#This Row],[orderID]],orders[orderID],orders[orderDate],,0)</f>
        <v>42096</v>
      </c>
      <c r="C1929">
        <f>_xlfn.XLOOKUP(A1929,order_details[orderID],order_details[productID],,0)</f>
        <v>51</v>
      </c>
      <c r="D1929" t="str">
        <f>_xlfn.XLOOKUP(C1929,products[productID],products[productName],,0)</f>
        <v>Manjimup Dried Apples</v>
      </c>
      <c r="E1929" t="str">
        <f>_xlfn.XLOOKUP(_xlfn.XLOOKUP(Table9[[#This Row],[ProductName ]],products[productName],products[categoryID],,0),categories[categoryID],categories[categoryName],,0)</f>
        <v>Produce</v>
      </c>
      <c r="F1929">
        <v>20</v>
      </c>
      <c r="G1929">
        <v>53</v>
      </c>
      <c r="H1929">
        <v>0</v>
      </c>
      <c r="I1929">
        <f>Table9[[#This Row],[quantity]]*Table9[[#This Row],[unitPrice]]*(1-Table9[[#This Row],[discount]]/100)</f>
        <v>1060</v>
      </c>
      <c r="J1929" t="str">
        <f>_xlfn.XLOOKUP(_xlfn.XLOOKUP(A1929,orders[orderID],orders[customerID],,0),customers__2[customerID],customers__2[companyName],,0)</f>
        <v>Pericles Comidas clásicas</v>
      </c>
      <c r="K1929" t="str">
        <f>_xlfn.XLOOKUP(Table9[[#This Row],[Company Name]],customers__2[companyName],customers__2[country],,0)</f>
        <v>Mexico</v>
      </c>
      <c r="L1929">
        <f>MONTH(Table9[[#This Row],[OrderDate ]])</f>
        <v>4</v>
      </c>
      <c r="M1929" t="str">
        <f>TEXT(Table9[[#This Row],[OrderDate ]],"mmm")</f>
        <v>Apr</v>
      </c>
      <c r="N1929">
        <f>YEAR(Table9[[#This Row],[OrderDate ]])</f>
        <v>2015</v>
      </c>
    </row>
    <row r="1930" spans="1:14" x14ac:dyDescent="0.3">
      <c r="A1930">
        <v>10995</v>
      </c>
      <c r="B1930" s="2">
        <f>_xlfn.XLOOKUP(Table9[[#This Row],[orderID]],orders[orderID],orders[orderDate],,0)</f>
        <v>42096</v>
      </c>
      <c r="C1930">
        <f>_xlfn.XLOOKUP(A1930,order_details[orderID],order_details[productID],,0)</f>
        <v>51</v>
      </c>
      <c r="D1930" t="str">
        <f>_xlfn.XLOOKUP(C1930,products[productID],products[productName],,0)</f>
        <v>Manjimup Dried Apples</v>
      </c>
      <c r="E1930" t="str">
        <f>_xlfn.XLOOKUP(_xlfn.XLOOKUP(Table9[[#This Row],[ProductName ]],products[productName],products[categoryID],,0),categories[categoryID],categories[categoryName],,0)</f>
        <v>Produce</v>
      </c>
      <c r="F1930">
        <v>4</v>
      </c>
      <c r="G1930">
        <v>34</v>
      </c>
      <c r="H1930">
        <v>0</v>
      </c>
      <c r="I1930">
        <f>Table9[[#This Row],[quantity]]*Table9[[#This Row],[unitPrice]]*(1-Table9[[#This Row],[discount]]/100)</f>
        <v>136</v>
      </c>
      <c r="J1930" t="str">
        <f>_xlfn.XLOOKUP(_xlfn.XLOOKUP(A1930,orders[orderID],orders[customerID],,0),customers__2[customerID],customers__2[companyName],,0)</f>
        <v>Pericles Comidas clásicas</v>
      </c>
      <c r="K1930" t="str">
        <f>_xlfn.XLOOKUP(Table9[[#This Row],[Company Name]],customers__2[companyName],customers__2[country],,0)</f>
        <v>Mexico</v>
      </c>
      <c r="L1930">
        <f>MONTH(Table9[[#This Row],[OrderDate ]])</f>
        <v>4</v>
      </c>
      <c r="M1930" t="str">
        <f>TEXT(Table9[[#This Row],[OrderDate ]],"mmm")</f>
        <v>Apr</v>
      </c>
      <c r="N1930">
        <f>YEAR(Table9[[#This Row],[OrderDate ]])</f>
        <v>2015</v>
      </c>
    </row>
    <row r="1931" spans="1:14" x14ac:dyDescent="0.3">
      <c r="A1931">
        <v>10996</v>
      </c>
      <c r="B1931" s="2">
        <f>_xlfn.XLOOKUP(Table9[[#This Row],[orderID]],orders[orderID],orders[orderDate],,0)</f>
        <v>42096</v>
      </c>
      <c r="C1931">
        <f>_xlfn.XLOOKUP(A1931,order_details[orderID],order_details[productID],,0)</f>
        <v>42</v>
      </c>
      <c r="D1931" t="str">
        <f>_xlfn.XLOOKUP(C1931,products[productID],products[productName],,0)</f>
        <v>Singaporean Hokkien Fried Mee</v>
      </c>
      <c r="E1931" t="str">
        <f>_xlfn.XLOOKUP(_xlfn.XLOOKUP(Table9[[#This Row],[ProductName ]],products[productName],products[categoryID],,0),categories[categoryID],categories[categoryName],,0)</f>
        <v>Grains &amp; Cereals</v>
      </c>
      <c r="F1931">
        <v>40</v>
      </c>
      <c r="G1931">
        <v>14</v>
      </c>
      <c r="H1931">
        <v>0</v>
      </c>
      <c r="I1931">
        <f>Table9[[#This Row],[quantity]]*Table9[[#This Row],[unitPrice]]*(1-Table9[[#This Row],[discount]]/100)</f>
        <v>560</v>
      </c>
      <c r="J1931" t="str">
        <f>_xlfn.XLOOKUP(_xlfn.XLOOKUP(A1931,orders[orderID],orders[customerID],,0),customers__2[customerID],customers__2[companyName],,0)</f>
        <v>QUICK-Stop</v>
      </c>
      <c r="K1931" t="str">
        <f>_xlfn.XLOOKUP(Table9[[#This Row],[Company Name]],customers__2[companyName],customers__2[country],,0)</f>
        <v>Germany</v>
      </c>
      <c r="L1931">
        <f>MONTH(Table9[[#This Row],[OrderDate ]])</f>
        <v>4</v>
      </c>
      <c r="M1931" t="str">
        <f>TEXT(Table9[[#This Row],[OrderDate ]],"mmm")</f>
        <v>Apr</v>
      </c>
      <c r="N1931">
        <f>YEAR(Table9[[#This Row],[OrderDate ]])</f>
        <v>2015</v>
      </c>
    </row>
    <row r="1932" spans="1:14" x14ac:dyDescent="0.3">
      <c r="A1932">
        <v>10997</v>
      </c>
      <c r="B1932" s="2">
        <f>_xlfn.XLOOKUP(Table9[[#This Row],[orderID]],orders[orderID],orders[orderDate],,0)</f>
        <v>42097</v>
      </c>
      <c r="C1932">
        <f>_xlfn.XLOOKUP(A1932,order_details[orderID],order_details[productID],,0)</f>
        <v>32</v>
      </c>
      <c r="D1932" t="str">
        <f>_xlfn.XLOOKUP(C1932,products[productID],products[productName],,0)</f>
        <v>Mascarpone Fabioli</v>
      </c>
      <c r="E1932" t="str">
        <f>_xlfn.XLOOKUP(_xlfn.XLOOKUP(Table9[[#This Row],[ProductName ]],products[productName],products[categoryID],,0),categories[categoryID],categories[categoryName],,0)</f>
        <v>Dairy Products</v>
      </c>
      <c r="F1932">
        <v>50</v>
      </c>
      <c r="G1932">
        <v>32</v>
      </c>
      <c r="H1932">
        <v>0</v>
      </c>
      <c r="I1932">
        <f>Table9[[#This Row],[quantity]]*Table9[[#This Row],[unitPrice]]*(1-Table9[[#This Row],[discount]]/100)</f>
        <v>1600</v>
      </c>
      <c r="J1932" t="str">
        <f>_xlfn.XLOOKUP(_xlfn.XLOOKUP(A1932,orders[orderID],orders[customerID],,0),customers__2[customerID],customers__2[companyName],,0)</f>
        <v>LILA-Supermercado</v>
      </c>
      <c r="K1932" t="str">
        <f>_xlfn.XLOOKUP(Table9[[#This Row],[Company Name]],customers__2[companyName],customers__2[country],,0)</f>
        <v>Venezuela</v>
      </c>
      <c r="L1932">
        <f>MONTH(Table9[[#This Row],[OrderDate ]])</f>
        <v>4</v>
      </c>
      <c r="M1932" t="str">
        <f>TEXT(Table9[[#This Row],[OrderDate ]],"mmm")</f>
        <v>Apr</v>
      </c>
      <c r="N1932">
        <f>YEAR(Table9[[#This Row],[OrderDate ]])</f>
        <v>2015</v>
      </c>
    </row>
    <row r="1933" spans="1:14" x14ac:dyDescent="0.3">
      <c r="A1933">
        <v>10997</v>
      </c>
      <c r="B1933" s="2">
        <f>_xlfn.XLOOKUP(Table9[[#This Row],[orderID]],orders[orderID],orders[orderDate],,0)</f>
        <v>42097</v>
      </c>
      <c r="C1933">
        <f>_xlfn.XLOOKUP(A1933,order_details[orderID],order_details[productID],,0)</f>
        <v>32</v>
      </c>
      <c r="D1933" t="str">
        <f>_xlfn.XLOOKUP(C1933,products[productID],products[productName],,0)</f>
        <v>Mascarpone Fabioli</v>
      </c>
      <c r="E1933" t="str">
        <f>_xlfn.XLOOKUP(_xlfn.XLOOKUP(Table9[[#This Row],[ProductName ]],products[productName],products[categoryID],,0),categories[categoryID],categories[categoryName],,0)</f>
        <v>Dairy Products</v>
      </c>
      <c r="F1933">
        <v>20</v>
      </c>
      <c r="G1933">
        <v>12</v>
      </c>
      <c r="H1933">
        <v>25</v>
      </c>
      <c r="I1933">
        <f>Table9[[#This Row],[quantity]]*Table9[[#This Row],[unitPrice]]*(1-Table9[[#This Row],[discount]]/100)</f>
        <v>180</v>
      </c>
      <c r="J1933" t="str">
        <f>_xlfn.XLOOKUP(_xlfn.XLOOKUP(A1933,orders[orderID],orders[customerID],,0),customers__2[customerID],customers__2[companyName],,0)</f>
        <v>LILA-Supermercado</v>
      </c>
      <c r="K1933" t="str">
        <f>_xlfn.XLOOKUP(Table9[[#This Row],[Company Name]],customers__2[companyName],customers__2[country],,0)</f>
        <v>Venezuela</v>
      </c>
      <c r="L1933">
        <f>MONTH(Table9[[#This Row],[OrderDate ]])</f>
        <v>4</v>
      </c>
      <c r="M1933" t="str">
        <f>TEXT(Table9[[#This Row],[OrderDate ]],"mmm")</f>
        <v>Apr</v>
      </c>
      <c r="N1933">
        <f>YEAR(Table9[[#This Row],[OrderDate ]])</f>
        <v>2015</v>
      </c>
    </row>
    <row r="1934" spans="1:14" x14ac:dyDescent="0.3">
      <c r="A1934">
        <v>10997</v>
      </c>
      <c r="B1934" s="2">
        <f>_xlfn.XLOOKUP(Table9[[#This Row],[orderID]],orders[orderID],orders[orderDate],,0)</f>
        <v>42097</v>
      </c>
      <c r="C1934">
        <f>_xlfn.XLOOKUP(A1934,order_details[orderID],order_details[productID],,0)</f>
        <v>32</v>
      </c>
      <c r="D1934" t="str">
        <f>_xlfn.XLOOKUP(C1934,products[productID],products[productName],,0)</f>
        <v>Mascarpone Fabioli</v>
      </c>
      <c r="E1934" t="str">
        <f>_xlfn.XLOOKUP(_xlfn.XLOOKUP(Table9[[#This Row],[ProductName ]],products[productName],products[categoryID],,0),categories[categoryID],categories[categoryName],,0)</f>
        <v>Dairy Products</v>
      </c>
      <c r="F1934">
        <v>20</v>
      </c>
      <c r="G1934">
        <v>7</v>
      </c>
      <c r="H1934">
        <v>25</v>
      </c>
      <c r="I1934">
        <f>Table9[[#This Row],[quantity]]*Table9[[#This Row],[unitPrice]]*(1-Table9[[#This Row],[discount]]/100)</f>
        <v>105</v>
      </c>
      <c r="J1934" t="str">
        <f>_xlfn.XLOOKUP(_xlfn.XLOOKUP(A1934,orders[orderID],orders[customerID],,0),customers__2[customerID],customers__2[companyName],,0)</f>
        <v>LILA-Supermercado</v>
      </c>
      <c r="K1934" t="str">
        <f>_xlfn.XLOOKUP(Table9[[#This Row],[Company Name]],customers__2[companyName],customers__2[country],,0)</f>
        <v>Venezuela</v>
      </c>
      <c r="L1934">
        <f>MONTH(Table9[[#This Row],[OrderDate ]])</f>
        <v>4</v>
      </c>
      <c r="M1934" t="str">
        <f>TEXT(Table9[[#This Row],[OrderDate ]],"mmm")</f>
        <v>Apr</v>
      </c>
      <c r="N1934">
        <f>YEAR(Table9[[#This Row],[OrderDate ]])</f>
        <v>2015</v>
      </c>
    </row>
    <row r="1935" spans="1:14" x14ac:dyDescent="0.3">
      <c r="A1935">
        <v>10998</v>
      </c>
      <c r="B1935" s="2">
        <f>_xlfn.XLOOKUP(Table9[[#This Row],[orderID]],orders[orderID],orders[orderDate],,0)</f>
        <v>42097</v>
      </c>
      <c r="C1935">
        <f>_xlfn.XLOOKUP(A1935,order_details[orderID],order_details[productID],,0)</f>
        <v>24</v>
      </c>
      <c r="D1935" t="str">
        <f>_xlfn.XLOOKUP(C1935,products[productID],products[productName],,0)</f>
        <v>Guarana Fantastica</v>
      </c>
      <c r="E1935" t="str">
        <f>_xlfn.XLOOKUP(_xlfn.XLOOKUP(Table9[[#This Row],[ProductName ]],products[productName],products[categoryID],,0),categories[categoryID],categories[categoryName],,0)</f>
        <v>Beverages</v>
      </c>
      <c r="F1935">
        <v>12</v>
      </c>
      <c r="G1935">
        <v>45</v>
      </c>
      <c r="H1935">
        <v>0</v>
      </c>
      <c r="I1935">
        <f>Table9[[#This Row],[quantity]]*Table9[[#This Row],[unitPrice]]*(1-Table9[[#This Row],[discount]]/100)</f>
        <v>540</v>
      </c>
      <c r="J1935" t="str">
        <f>_xlfn.XLOOKUP(_xlfn.XLOOKUP(A1935,orders[orderID],orders[customerID],,0),customers__2[customerID],customers__2[companyName],,0)</f>
        <v>Wolski  Zajazd</v>
      </c>
      <c r="K1935" t="str">
        <f>_xlfn.XLOOKUP(Table9[[#This Row],[Company Name]],customers__2[companyName],customers__2[country],,0)</f>
        <v>Poland</v>
      </c>
      <c r="L1935">
        <f>MONTH(Table9[[#This Row],[OrderDate ]])</f>
        <v>4</v>
      </c>
      <c r="M1935" t="str">
        <f>TEXT(Table9[[#This Row],[OrderDate ]],"mmm")</f>
        <v>Apr</v>
      </c>
      <c r="N1935">
        <f>YEAR(Table9[[#This Row],[OrderDate ]])</f>
        <v>2015</v>
      </c>
    </row>
    <row r="1936" spans="1:14" x14ac:dyDescent="0.3">
      <c r="A1936">
        <v>10998</v>
      </c>
      <c r="B1936" s="2">
        <f>_xlfn.XLOOKUP(Table9[[#This Row],[orderID]],orders[orderID],orders[orderDate],,0)</f>
        <v>42097</v>
      </c>
      <c r="C1936">
        <f>_xlfn.XLOOKUP(A1936,order_details[orderID],order_details[productID],,0)</f>
        <v>24</v>
      </c>
      <c r="D1936" t="str">
        <f>_xlfn.XLOOKUP(C1936,products[productID],products[productName],,0)</f>
        <v>Guarana Fantastica</v>
      </c>
      <c r="E1936" t="str">
        <f>_xlfn.XLOOKUP(_xlfn.XLOOKUP(Table9[[#This Row],[ProductName ]],products[productName],products[categoryID],,0),categories[categoryID],categories[categoryName],,0)</f>
        <v>Beverages</v>
      </c>
      <c r="F1936">
        <v>7</v>
      </c>
      <c r="G1936">
        <v>285</v>
      </c>
      <c r="H1936">
        <v>0</v>
      </c>
      <c r="I1936">
        <f>Table9[[#This Row],[quantity]]*Table9[[#This Row],[unitPrice]]*(1-Table9[[#This Row],[discount]]/100)</f>
        <v>1995</v>
      </c>
      <c r="J1936" t="str">
        <f>_xlfn.XLOOKUP(_xlfn.XLOOKUP(A1936,orders[orderID],orders[customerID],,0),customers__2[customerID],customers__2[companyName],,0)</f>
        <v>Wolski  Zajazd</v>
      </c>
      <c r="K1936" t="str">
        <f>_xlfn.XLOOKUP(Table9[[#This Row],[Company Name]],customers__2[companyName],customers__2[country],,0)</f>
        <v>Poland</v>
      </c>
      <c r="L1936">
        <f>MONTH(Table9[[#This Row],[OrderDate ]])</f>
        <v>4</v>
      </c>
      <c r="M1936" t="str">
        <f>TEXT(Table9[[#This Row],[OrderDate ]],"mmm")</f>
        <v>Apr</v>
      </c>
      <c r="N1936">
        <f>YEAR(Table9[[#This Row],[OrderDate ]])</f>
        <v>2015</v>
      </c>
    </row>
    <row r="1937" spans="1:14" x14ac:dyDescent="0.3">
      <c r="A1937">
        <v>10998</v>
      </c>
      <c r="B1937" s="2">
        <f>_xlfn.XLOOKUP(Table9[[#This Row],[orderID]],orders[orderID],orders[orderDate],,0)</f>
        <v>42097</v>
      </c>
      <c r="C1937">
        <f>_xlfn.XLOOKUP(A1937,order_details[orderID],order_details[productID],,0)</f>
        <v>24</v>
      </c>
      <c r="D1937" t="str">
        <f>_xlfn.XLOOKUP(C1937,products[productID],products[productName],,0)</f>
        <v>Guarana Fantastica</v>
      </c>
      <c r="E1937" t="str">
        <f>_xlfn.XLOOKUP(_xlfn.XLOOKUP(Table9[[#This Row],[ProductName ]],products[productName],products[categoryID],,0),categories[categoryID],categories[categoryName],,0)</f>
        <v>Beverages</v>
      </c>
      <c r="F1937">
        <v>20</v>
      </c>
      <c r="G1937">
        <v>10</v>
      </c>
      <c r="H1937">
        <v>0</v>
      </c>
      <c r="I1937">
        <f>Table9[[#This Row],[quantity]]*Table9[[#This Row],[unitPrice]]*(1-Table9[[#This Row],[discount]]/100)</f>
        <v>200</v>
      </c>
      <c r="J1937" t="str">
        <f>_xlfn.XLOOKUP(_xlfn.XLOOKUP(A1937,orders[orderID],orders[customerID],,0),customers__2[customerID],customers__2[companyName],,0)</f>
        <v>Wolski  Zajazd</v>
      </c>
      <c r="K1937" t="str">
        <f>_xlfn.XLOOKUP(Table9[[#This Row],[Company Name]],customers__2[companyName],customers__2[country],,0)</f>
        <v>Poland</v>
      </c>
      <c r="L1937">
        <f>MONTH(Table9[[#This Row],[OrderDate ]])</f>
        <v>4</v>
      </c>
      <c r="M1937" t="str">
        <f>TEXT(Table9[[#This Row],[OrderDate ]],"mmm")</f>
        <v>Apr</v>
      </c>
      <c r="N1937">
        <f>YEAR(Table9[[#This Row],[OrderDate ]])</f>
        <v>2015</v>
      </c>
    </row>
    <row r="1938" spans="1:14" x14ac:dyDescent="0.3">
      <c r="A1938">
        <v>10998</v>
      </c>
      <c r="B1938" s="2">
        <f>_xlfn.XLOOKUP(Table9[[#This Row],[orderID]],orders[orderID],orders[orderDate],,0)</f>
        <v>42097</v>
      </c>
      <c r="C1938">
        <f>_xlfn.XLOOKUP(A1938,order_details[orderID],order_details[productID],,0)</f>
        <v>24</v>
      </c>
      <c r="D1938" t="str">
        <f>_xlfn.XLOOKUP(C1938,products[productID],products[productName],,0)</f>
        <v>Guarana Fantastica</v>
      </c>
      <c r="E1938" t="str">
        <f>_xlfn.XLOOKUP(_xlfn.XLOOKUP(Table9[[#This Row],[ProductName ]],products[productName],products[categoryID],,0),categories[categoryID],categories[categoryName],,0)</f>
        <v>Beverages</v>
      </c>
      <c r="F1938">
        <v>30</v>
      </c>
      <c r="G1938">
        <v>775</v>
      </c>
      <c r="H1938">
        <v>0</v>
      </c>
      <c r="I1938">
        <f>Table9[[#This Row],[quantity]]*Table9[[#This Row],[unitPrice]]*(1-Table9[[#This Row],[discount]]/100)</f>
        <v>23250</v>
      </c>
      <c r="J1938" t="str">
        <f>_xlfn.XLOOKUP(_xlfn.XLOOKUP(A1938,orders[orderID],orders[customerID],,0),customers__2[customerID],customers__2[companyName],,0)</f>
        <v>Wolski  Zajazd</v>
      </c>
      <c r="K1938" t="str">
        <f>_xlfn.XLOOKUP(Table9[[#This Row],[Company Name]],customers__2[companyName],customers__2[country],,0)</f>
        <v>Poland</v>
      </c>
      <c r="L1938">
        <f>MONTH(Table9[[#This Row],[OrderDate ]])</f>
        <v>4</v>
      </c>
      <c r="M1938" t="str">
        <f>TEXT(Table9[[#This Row],[OrderDate ]],"mmm")</f>
        <v>Apr</v>
      </c>
      <c r="N1938">
        <f>YEAR(Table9[[#This Row],[OrderDate ]])</f>
        <v>2015</v>
      </c>
    </row>
    <row r="1939" spans="1:14" x14ac:dyDescent="0.3">
      <c r="A1939">
        <v>10999</v>
      </c>
      <c r="B1939" s="2">
        <f>_xlfn.XLOOKUP(Table9[[#This Row],[orderID]],orders[orderID],orders[orderDate],,0)</f>
        <v>42097</v>
      </c>
      <c r="C1939">
        <f>_xlfn.XLOOKUP(A1939,order_details[orderID],order_details[productID],,0)</f>
        <v>41</v>
      </c>
      <c r="D1939" t="str">
        <f>_xlfn.XLOOKUP(C1939,products[productID],products[productName],,0)</f>
        <v>Jack's New England Clam Chowder</v>
      </c>
      <c r="E1939" t="str">
        <f>_xlfn.XLOOKUP(_xlfn.XLOOKUP(Table9[[#This Row],[ProductName ]],products[productName],products[categoryID],,0),categories[categoryID],categories[categoryName],,0)</f>
        <v>Seafood</v>
      </c>
      <c r="F1939">
        <v>20</v>
      </c>
      <c r="G1939">
        <v>965</v>
      </c>
      <c r="H1939">
        <v>5</v>
      </c>
      <c r="I1939">
        <f>Table9[[#This Row],[quantity]]*Table9[[#This Row],[unitPrice]]*(1-Table9[[#This Row],[discount]]/100)</f>
        <v>18335</v>
      </c>
      <c r="J1939" t="str">
        <f>_xlfn.XLOOKUP(_xlfn.XLOOKUP(A1939,orders[orderID],orders[customerID],,0),customers__2[customerID],customers__2[companyName],,0)</f>
        <v>Ottilies Käseladen</v>
      </c>
      <c r="K1939" t="str">
        <f>_xlfn.XLOOKUP(Table9[[#This Row],[Company Name]],customers__2[companyName],customers__2[country],,0)</f>
        <v>Germany</v>
      </c>
      <c r="L1939">
        <f>MONTH(Table9[[#This Row],[OrderDate ]])</f>
        <v>4</v>
      </c>
      <c r="M1939" t="str">
        <f>TEXT(Table9[[#This Row],[OrderDate ]],"mmm")</f>
        <v>Apr</v>
      </c>
      <c r="N1939">
        <f>YEAR(Table9[[#This Row],[OrderDate ]])</f>
        <v>2015</v>
      </c>
    </row>
    <row r="1940" spans="1:14" x14ac:dyDescent="0.3">
      <c r="A1940">
        <v>10999</v>
      </c>
      <c r="B1940" s="2">
        <f>_xlfn.XLOOKUP(Table9[[#This Row],[orderID]],orders[orderID],orders[orderDate],,0)</f>
        <v>42097</v>
      </c>
      <c r="C1940">
        <f>_xlfn.XLOOKUP(A1940,order_details[orderID],order_details[productID],,0)</f>
        <v>41</v>
      </c>
      <c r="D1940" t="str">
        <f>_xlfn.XLOOKUP(C1940,products[productID],products[productName],,0)</f>
        <v>Jack's New England Clam Chowder</v>
      </c>
      <c r="E1940" t="str">
        <f>_xlfn.XLOOKUP(_xlfn.XLOOKUP(Table9[[#This Row],[ProductName ]],products[productName],products[categoryID],,0),categories[categoryID],categories[categoryName],,0)</f>
        <v>Seafood</v>
      </c>
      <c r="F1940">
        <v>15</v>
      </c>
      <c r="G1940">
        <v>53</v>
      </c>
      <c r="H1940">
        <v>5</v>
      </c>
      <c r="I1940">
        <f>Table9[[#This Row],[quantity]]*Table9[[#This Row],[unitPrice]]*(1-Table9[[#This Row],[discount]]/100)</f>
        <v>755.25</v>
      </c>
      <c r="J1940" t="str">
        <f>_xlfn.XLOOKUP(_xlfn.XLOOKUP(A1940,orders[orderID],orders[customerID],,0),customers__2[customerID],customers__2[companyName],,0)</f>
        <v>Ottilies Käseladen</v>
      </c>
      <c r="K1940" t="str">
        <f>_xlfn.XLOOKUP(Table9[[#This Row],[Company Name]],customers__2[companyName],customers__2[country],,0)</f>
        <v>Germany</v>
      </c>
      <c r="L1940">
        <f>MONTH(Table9[[#This Row],[OrderDate ]])</f>
        <v>4</v>
      </c>
      <c r="M1940" t="str">
        <f>TEXT(Table9[[#This Row],[OrderDate ]],"mmm")</f>
        <v>Apr</v>
      </c>
      <c r="N1940">
        <f>YEAR(Table9[[#This Row],[OrderDate ]])</f>
        <v>2015</v>
      </c>
    </row>
    <row r="1941" spans="1:14" x14ac:dyDescent="0.3">
      <c r="A1941">
        <v>10999</v>
      </c>
      <c r="B1941" s="2">
        <f>_xlfn.XLOOKUP(Table9[[#This Row],[orderID]],orders[orderID],orders[orderDate],,0)</f>
        <v>42097</v>
      </c>
      <c r="C1941">
        <f>_xlfn.XLOOKUP(A1941,order_details[orderID],order_details[productID],,0)</f>
        <v>41</v>
      </c>
      <c r="D1941" t="str">
        <f>_xlfn.XLOOKUP(C1941,products[productID],products[productName],,0)</f>
        <v>Jack's New England Clam Chowder</v>
      </c>
      <c r="E1941" t="str">
        <f>_xlfn.XLOOKUP(_xlfn.XLOOKUP(Table9[[#This Row],[ProductName ]],products[productName],products[categoryID],,0),categories[categoryID],categories[categoryName],,0)</f>
        <v>Seafood</v>
      </c>
      <c r="F1941">
        <v>21</v>
      </c>
      <c r="G1941">
        <v>13</v>
      </c>
      <c r="H1941">
        <v>5</v>
      </c>
      <c r="I1941">
        <f>Table9[[#This Row],[quantity]]*Table9[[#This Row],[unitPrice]]*(1-Table9[[#This Row],[discount]]/100)</f>
        <v>259.34999999999997</v>
      </c>
      <c r="J1941" t="str">
        <f>_xlfn.XLOOKUP(_xlfn.XLOOKUP(A1941,orders[orderID],orders[customerID],,0),customers__2[customerID],customers__2[companyName],,0)</f>
        <v>Ottilies Käseladen</v>
      </c>
      <c r="K1941" t="str">
        <f>_xlfn.XLOOKUP(Table9[[#This Row],[Company Name]],customers__2[companyName],customers__2[country],,0)</f>
        <v>Germany</v>
      </c>
      <c r="L1941">
        <f>MONTH(Table9[[#This Row],[OrderDate ]])</f>
        <v>4</v>
      </c>
      <c r="M1941" t="str">
        <f>TEXT(Table9[[#This Row],[OrderDate ]],"mmm")</f>
        <v>Apr</v>
      </c>
      <c r="N1941">
        <f>YEAR(Table9[[#This Row],[OrderDate ]])</f>
        <v>2015</v>
      </c>
    </row>
    <row r="1942" spans="1:14" x14ac:dyDescent="0.3">
      <c r="A1942">
        <v>11000</v>
      </c>
      <c r="B1942" s="2">
        <f>_xlfn.XLOOKUP(Table9[[#This Row],[orderID]],orders[orderID],orders[orderDate],,0)</f>
        <v>42100</v>
      </c>
      <c r="C1942">
        <f>_xlfn.XLOOKUP(A1942,order_details[orderID],order_details[productID],,0)</f>
        <v>4</v>
      </c>
      <c r="D1942" t="str">
        <f>_xlfn.XLOOKUP(C1942,products[productID],products[productName],,0)</f>
        <v>Chef Anton's Cajun Seasoning</v>
      </c>
      <c r="E1942" t="str">
        <f>_xlfn.XLOOKUP(_xlfn.XLOOKUP(Table9[[#This Row],[ProductName ]],products[productName],products[categoryID],,0),categories[categoryID],categories[categoryName],,0)</f>
        <v>Condiments</v>
      </c>
      <c r="F1942">
        <v>25</v>
      </c>
      <c r="G1942">
        <v>22</v>
      </c>
      <c r="H1942">
        <v>25</v>
      </c>
      <c r="I1942">
        <f>Table9[[#This Row],[quantity]]*Table9[[#This Row],[unitPrice]]*(1-Table9[[#This Row],[discount]]/100)</f>
        <v>412.5</v>
      </c>
      <c r="J1942" t="str">
        <f>_xlfn.XLOOKUP(_xlfn.XLOOKUP(A1942,orders[orderID],orders[customerID],,0),customers__2[customerID],customers__2[companyName],,0)</f>
        <v>Rattlesnake Canyon Grocery</v>
      </c>
      <c r="K1942" t="str">
        <f>_xlfn.XLOOKUP(Table9[[#This Row],[Company Name]],customers__2[companyName],customers__2[country],,0)</f>
        <v>USA</v>
      </c>
      <c r="L1942">
        <f>MONTH(Table9[[#This Row],[OrderDate ]])</f>
        <v>4</v>
      </c>
      <c r="M1942" t="str">
        <f>TEXT(Table9[[#This Row],[OrderDate ]],"mmm")</f>
        <v>Apr</v>
      </c>
      <c r="N1942">
        <f>YEAR(Table9[[#This Row],[OrderDate ]])</f>
        <v>2015</v>
      </c>
    </row>
    <row r="1943" spans="1:14" x14ac:dyDescent="0.3">
      <c r="A1943">
        <v>11000</v>
      </c>
      <c r="B1943" s="2">
        <f>_xlfn.XLOOKUP(Table9[[#This Row],[orderID]],orders[orderID],orders[orderDate],,0)</f>
        <v>42100</v>
      </c>
      <c r="C1943">
        <f>_xlfn.XLOOKUP(A1943,order_details[orderID],order_details[productID],,0)</f>
        <v>4</v>
      </c>
      <c r="D1943" t="str">
        <f>_xlfn.XLOOKUP(C1943,products[productID],products[productName],,0)</f>
        <v>Chef Anton's Cajun Seasoning</v>
      </c>
      <c r="E1943" t="str">
        <f>_xlfn.XLOOKUP(_xlfn.XLOOKUP(Table9[[#This Row],[ProductName ]],products[productName],products[categoryID],,0),categories[categoryID],categories[categoryName],,0)</f>
        <v>Condiments</v>
      </c>
      <c r="F1943">
        <v>30</v>
      </c>
      <c r="G1943">
        <v>45</v>
      </c>
      <c r="H1943">
        <v>25</v>
      </c>
      <c r="I1943">
        <f>Table9[[#This Row],[quantity]]*Table9[[#This Row],[unitPrice]]*(1-Table9[[#This Row],[discount]]/100)</f>
        <v>1012.5</v>
      </c>
      <c r="J1943" t="str">
        <f>_xlfn.XLOOKUP(_xlfn.XLOOKUP(A1943,orders[orderID],orders[customerID],,0),customers__2[customerID],customers__2[companyName],,0)</f>
        <v>Rattlesnake Canyon Grocery</v>
      </c>
      <c r="K1943" t="str">
        <f>_xlfn.XLOOKUP(Table9[[#This Row],[Company Name]],customers__2[companyName],customers__2[country],,0)</f>
        <v>USA</v>
      </c>
      <c r="L1943">
        <f>MONTH(Table9[[#This Row],[OrderDate ]])</f>
        <v>4</v>
      </c>
      <c r="M1943" t="str">
        <f>TEXT(Table9[[#This Row],[OrderDate ]],"mmm")</f>
        <v>Apr</v>
      </c>
      <c r="N1943">
        <f>YEAR(Table9[[#This Row],[OrderDate ]])</f>
        <v>2015</v>
      </c>
    </row>
    <row r="1944" spans="1:14" x14ac:dyDescent="0.3">
      <c r="A1944">
        <v>11000</v>
      </c>
      <c r="B1944" s="2">
        <f>_xlfn.XLOOKUP(Table9[[#This Row],[orderID]],orders[orderID],orders[orderDate],,0)</f>
        <v>42100</v>
      </c>
      <c r="C1944">
        <f>_xlfn.XLOOKUP(A1944,order_details[orderID],order_details[productID],,0)</f>
        <v>4</v>
      </c>
      <c r="D1944" t="str">
        <f>_xlfn.XLOOKUP(C1944,products[productID],products[productName],,0)</f>
        <v>Chef Anton's Cajun Seasoning</v>
      </c>
      <c r="E1944" t="str">
        <f>_xlfn.XLOOKUP(_xlfn.XLOOKUP(Table9[[#This Row],[ProductName ]],products[productName],products[categoryID],,0),categories[categoryID],categories[categoryName],,0)</f>
        <v>Condiments</v>
      </c>
      <c r="F1944">
        <v>30</v>
      </c>
      <c r="G1944">
        <v>13</v>
      </c>
      <c r="H1944">
        <v>0</v>
      </c>
      <c r="I1944">
        <f>Table9[[#This Row],[quantity]]*Table9[[#This Row],[unitPrice]]*(1-Table9[[#This Row],[discount]]/100)</f>
        <v>390</v>
      </c>
      <c r="J1944" t="str">
        <f>_xlfn.XLOOKUP(_xlfn.XLOOKUP(A1944,orders[orderID],orders[customerID],,0),customers__2[customerID],customers__2[companyName],,0)</f>
        <v>Rattlesnake Canyon Grocery</v>
      </c>
      <c r="K1944" t="str">
        <f>_xlfn.XLOOKUP(Table9[[#This Row],[Company Name]],customers__2[companyName],customers__2[country],,0)</f>
        <v>USA</v>
      </c>
      <c r="L1944">
        <f>MONTH(Table9[[#This Row],[OrderDate ]])</f>
        <v>4</v>
      </c>
      <c r="M1944" t="str">
        <f>TEXT(Table9[[#This Row],[OrderDate ]],"mmm")</f>
        <v>Apr</v>
      </c>
      <c r="N1944">
        <f>YEAR(Table9[[#This Row],[OrderDate ]])</f>
        <v>2015</v>
      </c>
    </row>
    <row r="1945" spans="1:14" x14ac:dyDescent="0.3">
      <c r="A1945">
        <v>11001</v>
      </c>
      <c r="B1945" s="2">
        <f>_xlfn.XLOOKUP(Table9[[#This Row],[orderID]],orders[orderID],orders[orderDate],,0)</f>
        <v>42100</v>
      </c>
      <c r="C1945">
        <f>_xlfn.XLOOKUP(A1945,order_details[orderID],order_details[productID],,0)</f>
        <v>7</v>
      </c>
      <c r="D1945" t="str">
        <f>_xlfn.XLOOKUP(C1945,products[productID],products[productName],,0)</f>
        <v>Uncle Bob's Organic Dried Pears</v>
      </c>
      <c r="E1945" t="str">
        <f>_xlfn.XLOOKUP(_xlfn.XLOOKUP(Table9[[#This Row],[ProductName ]],products[productName],products[categoryID],,0),categories[categoryID],categories[categoryName],,0)</f>
        <v>Produce</v>
      </c>
      <c r="F1945">
        <v>60</v>
      </c>
      <c r="G1945">
        <v>30</v>
      </c>
      <c r="H1945">
        <v>0</v>
      </c>
      <c r="I1945">
        <f>Table9[[#This Row],[quantity]]*Table9[[#This Row],[unitPrice]]*(1-Table9[[#This Row],[discount]]/100)</f>
        <v>1800</v>
      </c>
      <c r="J1945" t="str">
        <f>_xlfn.XLOOKUP(_xlfn.XLOOKUP(A1945,orders[orderID],orders[customerID],,0),customers__2[customerID],customers__2[companyName],,0)</f>
        <v>Folk och fä HB</v>
      </c>
      <c r="K1945" t="str">
        <f>_xlfn.XLOOKUP(Table9[[#This Row],[Company Name]],customers__2[companyName],customers__2[country],,0)</f>
        <v>Sweden</v>
      </c>
      <c r="L1945">
        <f>MONTH(Table9[[#This Row],[OrderDate ]])</f>
        <v>4</v>
      </c>
      <c r="M1945" t="str">
        <f>TEXT(Table9[[#This Row],[OrderDate ]],"mmm")</f>
        <v>Apr</v>
      </c>
      <c r="N1945">
        <f>YEAR(Table9[[#This Row],[OrderDate ]])</f>
        <v>2015</v>
      </c>
    </row>
    <row r="1946" spans="1:14" x14ac:dyDescent="0.3">
      <c r="A1946">
        <v>11001</v>
      </c>
      <c r="B1946" s="2">
        <f>_xlfn.XLOOKUP(Table9[[#This Row],[orderID]],orders[orderID],orders[orderDate],,0)</f>
        <v>42100</v>
      </c>
      <c r="C1946">
        <f>_xlfn.XLOOKUP(A1946,order_details[orderID],order_details[productID],,0)</f>
        <v>7</v>
      </c>
      <c r="D1946" t="str">
        <f>_xlfn.XLOOKUP(C1946,products[productID],products[productName],,0)</f>
        <v>Uncle Bob's Organic Dried Pears</v>
      </c>
      <c r="E1946" t="str">
        <f>_xlfn.XLOOKUP(_xlfn.XLOOKUP(Table9[[#This Row],[ProductName ]],products[productName],products[categoryID],,0),categories[categoryID],categories[categoryName],,0)</f>
        <v>Produce</v>
      </c>
      <c r="F1946">
        <v>25</v>
      </c>
      <c r="G1946">
        <v>21</v>
      </c>
      <c r="H1946">
        <v>0</v>
      </c>
      <c r="I1946">
        <f>Table9[[#This Row],[quantity]]*Table9[[#This Row],[unitPrice]]*(1-Table9[[#This Row],[discount]]/100)</f>
        <v>525</v>
      </c>
      <c r="J1946" t="str">
        <f>_xlfn.XLOOKUP(_xlfn.XLOOKUP(A1946,orders[orderID],orders[customerID],,0),customers__2[customerID],customers__2[companyName],,0)</f>
        <v>Folk och fä HB</v>
      </c>
      <c r="K1946" t="str">
        <f>_xlfn.XLOOKUP(Table9[[#This Row],[Company Name]],customers__2[companyName],customers__2[country],,0)</f>
        <v>Sweden</v>
      </c>
      <c r="L1946">
        <f>MONTH(Table9[[#This Row],[OrderDate ]])</f>
        <v>4</v>
      </c>
      <c r="M1946" t="str">
        <f>TEXT(Table9[[#This Row],[OrderDate ]],"mmm")</f>
        <v>Apr</v>
      </c>
      <c r="N1946">
        <f>YEAR(Table9[[#This Row],[OrderDate ]])</f>
        <v>2015</v>
      </c>
    </row>
    <row r="1947" spans="1:14" x14ac:dyDescent="0.3">
      <c r="A1947">
        <v>11001</v>
      </c>
      <c r="B1947" s="2">
        <f>_xlfn.XLOOKUP(Table9[[#This Row],[orderID]],orders[orderID],orders[orderDate],,0)</f>
        <v>42100</v>
      </c>
      <c r="C1947">
        <f>_xlfn.XLOOKUP(A1947,order_details[orderID],order_details[productID],,0)</f>
        <v>7</v>
      </c>
      <c r="D1947" t="str">
        <f>_xlfn.XLOOKUP(C1947,products[productID],products[productName],,0)</f>
        <v>Uncle Bob's Organic Dried Pears</v>
      </c>
      <c r="E1947" t="str">
        <f>_xlfn.XLOOKUP(_xlfn.XLOOKUP(Table9[[#This Row],[ProductName ]],products[productName],products[categoryID],,0),categories[categoryID],categories[categoryName],,0)</f>
        <v>Produce</v>
      </c>
      <c r="F1947">
        <v>25</v>
      </c>
      <c r="G1947">
        <v>12</v>
      </c>
      <c r="H1947">
        <v>0</v>
      </c>
      <c r="I1947">
        <f>Table9[[#This Row],[quantity]]*Table9[[#This Row],[unitPrice]]*(1-Table9[[#This Row],[discount]]/100)</f>
        <v>300</v>
      </c>
      <c r="J1947" t="str">
        <f>_xlfn.XLOOKUP(_xlfn.XLOOKUP(A1947,orders[orderID],orders[customerID],,0),customers__2[customerID],customers__2[companyName],,0)</f>
        <v>Folk och fä HB</v>
      </c>
      <c r="K1947" t="str">
        <f>_xlfn.XLOOKUP(Table9[[#This Row],[Company Name]],customers__2[companyName],customers__2[country],,0)</f>
        <v>Sweden</v>
      </c>
      <c r="L1947">
        <f>MONTH(Table9[[#This Row],[OrderDate ]])</f>
        <v>4</v>
      </c>
      <c r="M1947" t="str">
        <f>TEXT(Table9[[#This Row],[OrderDate ]],"mmm")</f>
        <v>Apr</v>
      </c>
      <c r="N1947">
        <f>YEAR(Table9[[#This Row],[OrderDate ]])</f>
        <v>2015</v>
      </c>
    </row>
    <row r="1948" spans="1:14" x14ac:dyDescent="0.3">
      <c r="A1948">
        <v>11001</v>
      </c>
      <c r="B1948" s="2">
        <f>_xlfn.XLOOKUP(Table9[[#This Row],[orderID]],orders[orderID],orders[orderDate],,0)</f>
        <v>42100</v>
      </c>
      <c r="C1948">
        <f>_xlfn.XLOOKUP(A1948,order_details[orderID],order_details[productID],,0)</f>
        <v>7</v>
      </c>
      <c r="D1948" t="str">
        <f>_xlfn.XLOOKUP(C1948,products[productID],products[productName],,0)</f>
        <v>Uncle Bob's Organic Dried Pears</v>
      </c>
      <c r="E1948" t="str">
        <f>_xlfn.XLOOKUP(_xlfn.XLOOKUP(Table9[[#This Row],[ProductName ]],products[productName],products[categoryID],,0),categories[categoryID],categories[categoryName],,0)</f>
        <v>Produce</v>
      </c>
      <c r="F1948">
        <v>6</v>
      </c>
      <c r="G1948">
        <v>24</v>
      </c>
      <c r="H1948">
        <v>0</v>
      </c>
      <c r="I1948">
        <f>Table9[[#This Row],[quantity]]*Table9[[#This Row],[unitPrice]]*(1-Table9[[#This Row],[discount]]/100)</f>
        <v>144</v>
      </c>
      <c r="J1948" t="str">
        <f>_xlfn.XLOOKUP(_xlfn.XLOOKUP(A1948,orders[orderID],orders[customerID],,0),customers__2[customerID],customers__2[companyName],,0)</f>
        <v>Folk och fä HB</v>
      </c>
      <c r="K1948" t="str">
        <f>_xlfn.XLOOKUP(Table9[[#This Row],[Company Name]],customers__2[companyName],customers__2[country],,0)</f>
        <v>Sweden</v>
      </c>
      <c r="L1948">
        <f>MONTH(Table9[[#This Row],[OrderDate ]])</f>
        <v>4</v>
      </c>
      <c r="M1948" t="str">
        <f>TEXT(Table9[[#This Row],[OrderDate ]],"mmm")</f>
        <v>Apr</v>
      </c>
      <c r="N1948">
        <f>YEAR(Table9[[#This Row],[OrderDate ]])</f>
        <v>2015</v>
      </c>
    </row>
    <row r="1949" spans="1:14" x14ac:dyDescent="0.3">
      <c r="A1949">
        <v>11002</v>
      </c>
      <c r="B1949" s="2">
        <f>_xlfn.XLOOKUP(Table9[[#This Row],[orderID]],orders[orderID],orders[orderDate],,0)</f>
        <v>42100</v>
      </c>
      <c r="C1949">
        <f>_xlfn.XLOOKUP(A1949,order_details[orderID],order_details[productID],,0)</f>
        <v>13</v>
      </c>
      <c r="D1949" t="str">
        <f>_xlfn.XLOOKUP(C1949,products[productID],products[productName],,0)</f>
        <v>Konbu</v>
      </c>
      <c r="E1949" t="str">
        <f>_xlfn.XLOOKUP(_xlfn.XLOOKUP(Table9[[#This Row],[ProductName ]],products[productName],products[categoryID],,0),categories[categoryID],categories[categoryName],,0)</f>
        <v>Seafood</v>
      </c>
      <c r="F1949">
        <v>56</v>
      </c>
      <c r="G1949">
        <v>6</v>
      </c>
      <c r="H1949">
        <v>0</v>
      </c>
      <c r="I1949">
        <f>Table9[[#This Row],[quantity]]*Table9[[#This Row],[unitPrice]]*(1-Table9[[#This Row],[discount]]/100)</f>
        <v>336</v>
      </c>
      <c r="J1949" t="str">
        <f>_xlfn.XLOOKUP(_xlfn.XLOOKUP(A1949,orders[orderID],orders[customerID],,0),customers__2[customerID],customers__2[companyName],,0)</f>
        <v>Save-a-lot Markets</v>
      </c>
      <c r="K1949" t="str">
        <f>_xlfn.XLOOKUP(Table9[[#This Row],[Company Name]],customers__2[companyName],customers__2[country],,0)</f>
        <v>USA</v>
      </c>
      <c r="L1949">
        <f>MONTH(Table9[[#This Row],[OrderDate ]])</f>
        <v>4</v>
      </c>
      <c r="M1949" t="str">
        <f>TEXT(Table9[[#This Row],[OrderDate ]],"mmm")</f>
        <v>Apr</v>
      </c>
      <c r="N1949">
        <f>YEAR(Table9[[#This Row],[OrderDate ]])</f>
        <v>2015</v>
      </c>
    </row>
    <row r="1950" spans="1:14" x14ac:dyDescent="0.3">
      <c r="A1950">
        <v>11002</v>
      </c>
      <c r="B1950" s="2">
        <f>_xlfn.XLOOKUP(Table9[[#This Row],[orderID]],orders[orderID],orders[orderDate],,0)</f>
        <v>42100</v>
      </c>
      <c r="C1950">
        <f>_xlfn.XLOOKUP(A1950,order_details[orderID],order_details[productID],,0)</f>
        <v>13</v>
      </c>
      <c r="D1950" t="str">
        <f>_xlfn.XLOOKUP(C1950,products[productID],products[productName],,0)</f>
        <v>Konbu</v>
      </c>
      <c r="E1950" t="str">
        <f>_xlfn.XLOOKUP(_xlfn.XLOOKUP(Table9[[#This Row],[ProductName ]],products[productName],products[categoryID],,0),categories[categoryID],categories[categoryName],,0)</f>
        <v>Seafood</v>
      </c>
      <c r="F1950">
        <v>15</v>
      </c>
      <c r="G1950">
        <v>18</v>
      </c>
      <c r="H1950">
        <v>15</v>
      </c>
      <c r="I1950">
        <f>Table9[[#This Row],[quantity]]*Table9[[#This Row],[unitPrice]]*(1-Table9[[#This Row],[discount]]/100)</f>
        <v>229.5</v>
      </c>
      <c r="J1950" t="str">
        <f>_xlfn.XLOOKUP(_xlfn.XLOOKUP(A1950,orders[orderID],orders[customerID],,0),customers__2[customerID],customers__2[companyName],,0)</f>
        <v>Save-a-lot Markets</v>
      </c>
      <c r="K1950" t="str">
        <f>_xlfn.XLOOKUP(Table9[[#This Row],[Company Name]],customers__2[companyName],customers__2[country],,0)</f>
        <v>USA</v>
      </c>
      <c r="L1950">
        <f>MONTH(Table9[[#This Row],[OrderDate ]])</f>
        <v>4</v>
      </c>
      <c r="M1950" t="str">
        <f>TEXT(Table9[[#This Row],[OrderDate ]],"mmm")</f>
        <v>Apr</v>
      </c>
      <c r="N1950">
        <f>YEAR(Table9[[#This Row],[OrderDate ]])</f>
        <v>2015</v>
      </c>
    </row>
    <row r="1951" spans="1:14" x14ac:dyDescent="0.3">
      <c r="A1951">
        <v>11002</v>
      </c>
      <c r="B1951" s="2">
        <f>_xlfn.XLOOKUP(Table9[[#This Row],[orderID]],orders[orderID],orders[orderDate],,0)</f>
        <v>42100</v>
      </c>
      <c r="C1951">
        <f>_xlfn.XLOOKUP(A1951,order_details[orderID],order_details[productID],,0)</f>
        <v>13</v>
      </c>
      <c r="D1951" t="str">
        <f>_xlfn.XLOOKUP(C1951,products[productID],products[productName],,0)</f>
        <v>Konbu</v>
      </c>
      <c r="E1951" t="str">
        <f>_xlfn.XLOOKUP(_xlfn.XLOOKUP(Table9[[#This Row],[ProductName ]],products[productName],products[categoryID],,0),categories[categoryID],categories[categoryName],,0)</f>
        <v>Seafood</v>
      </c>
      <c r="F1951">
        <v>24</v>
      </c>
      <c r="G1951">
        <v>14</v>
      </c>
      <c r="H1951">
        <v>15</v>
      </c>
      <c r="I1951">
        <f>Table9[[#This Row],[quantity]]*Table9[[#This Row],[unitPrice]]*(1-Table9[[#This Row],[discount]]/100)</f>
        <v>285.59999999999997</v>
      </c>
      <c r="J1951" t="str">
        <f>_xlfn.XLOOKUP(_xlfn.XLOOKUP(A1951,orders[orderID],orders[customerID],,0),customers__2[customerID],customers__2[companyName],,0)</f>
        <v>Save-a-lot Markets</v>
      </c>
      <c r="K1951" t="str">
        <f>_xlfn.XLOOKUP(Table9[[#This Row],[Company Name]],customers__2[companyName],customers__2[country],,0)</f>
        <v>USA</v>
      </c>
      <c r="L1951">
        <f>MONTH(Table9[[#This Row],[OrderDate ]])</f>
        <v>4</v>
      </c>
      <c r="M1951" t="str">
        <f>TEXT(Table9[[#This Row],[OrderDate ]],"mmm")</f>
        <v>Apr</v>
      </c>
      <c r="N1951">
        <f>YEAR(Table9[[#This Row],[OrderDate ]])</f>
        <v>2015</v>
      </c>
    </row>
    <row r="1952" spans="1:14" x14ac:dyDescent="0.3">
      <c r="A1952">
        <v>11002</v>
      </c>
      <c r="B1952" s="2">
        <f>_xlfn.XLOOKUP(Table9[[#This Row],[orderID]],orders[orderID],orders[orderDate],,0)</f>
        <v>42100</v>
      </c>
      <c r="C1952">
        <f>_xlfn.XLOOKUP(A1952,order_details[orderID],order_details[productID],,0)</f>
        <v>13</v>
      </c>
      <c r="D1952" t="str">
        <f>_xlfn.XLOOKUP(C1952,products[productID],products[productName],,0)</f>
        <v>Konbu</v>
      </c>
      <c r="E1952" t="str">
        <f>_xlfn.XLOOKUP(_xlfn.XLOOKUP(Table9[[#This Row],[ProductName ]],products[productName],products[categoryID],,0),categories[categoryID],categories[categoryName],,0)</f>
        <v>Seafood</v>
      </c>
      <c r="F1952">
        <v>40</v>
      </c>
      <c r="G1952">
        <v>24</v>
      </c>
      <c r="H1952">
        <v>0</v>
      </c>
      <c r="I1952">
        <f>Table9[[#This Row],[quantity]]*Table9[[#This Row],[unitPrice]]*(1-Table9[[#This Row],[discount]]/100)</f>
        <v>960</v>
      </c>
      <c r="J1952" t="str">
        <f>_xlfn.XLOOKUP(_xlfn.XLOOKUP(A1952,orders[orderID],orders[customerID],,0),customers__2[customerID],customers__2[companyName],,0)</f>
        <v>Save-a-lot Markets</v>
      </c>
      <c r="K1952" t="str">
        <f>_xlfn.XLOOKUP(Table9[[#This Row],[Company Name]],customers__2[companyName],customers__2[country],,0)</f>
        <v>USA</v>
      </c>
      <c r="L1952">
        <f>MONTH(Table9[[#This Row],[OrderDate ]])</f>
        <v>4</v>
      </c>
      <c r="M1952" t="str">
        <f>TEXT(Table9[[#This Row],[OrderDate ]],"mmm")</f>
        <v>Apr</v>
      </c>
      <c r="N1952">
        <f>YEAR(Table9[[#This Row],[OrderDate ]])</f>
        <v>2015</v>
      </c>
    </row>
    <row r="1953" spans="1:14" x14ac:dyDescent="0.3">
      <c r="A1953">
        <v>11003</v>
      </c>
      <c r="B1953" s="2">
        <f>_xlfn.XLOOKUP(Table9[[#This Row],[orderID]],orders[orderID],orders[orderDate],,0)</f>
        <v>42100</v>
      </c>
      <c r="C1953">
        <f>_xlfn.XLOOKUP(A1953,order_details[orderID],order_details[productID],,0)</f>
        <v>1</v>
      </c>
      <c r="D1953" t="str">
        <f>_xlfn.XLOOKUP(C1953,products[productID],products[productName],,0)</f>
        <v>Chai</v>
      </c>
      <c r="E1953" t="str">
        <f>_xlfn.XLOOKUP(_xlfn.XLOOKUP(Table9[[#This Row],[ProductName ]],products[productName],products[categoryID],,0),categories[categoryID],categories[categoryName],,0)</f>
        <v>Beverages</v>
      </c>
      <c r="F1953">
        <v>4</v>
      </c>
      <c r="G1953">
        <v>18</v>
      </c>
      <c r="H1953">
        <v>0</v>
      </c>
      <c r="I1953">
        <f>Table9[[#This Row],[quantity]]*Table9[[#This Row],[unitPrice]]*(1-Table9[[#This Row],[discount]]/100)</f>
        <v>72</v>
      </c>
      <c r="J1953" t="str">
        <f>_xlfn.XLOOKUP(_xlfn.XLOOKUP(A1953,orders[orderID],orders[customerID],,0),customers__2[customerID],customers__2[companyName],,0)</f>
        <v>The Cracker Box</v>
      </c>
      <c r="K1953" t="str">
        <f>_xlfn.XLOOKUP(Table9[[#This Row],[Company Name]],customers__2[companyName],customers__2[country],,0)</f>
        <v>USA</v>
      </c>
      <c r="L1953">
        <f>MONTH(Table9[[#This Row],[OrderDate ]])</f>
        <v>4</v>
      </c>
      <c r="M1953" t="str">
        <f>TEXT(Table9[[#This Row],[OrderDate ]],"mmm")</f>
        <v>Apr</v>
      </c>
      <c r="N1953">
        <f>YEAR(Table9[[#This Row],[OrderDate ]])</f>
        <v>2015</v>
      </c>
    </row>
    <row r="1954" spans="1:14" x14ac:dyDescent="0.3">
      <c r="A1954">
        <v>11003</v>
      </c>
      <c r="B1954" s="2">
        <f>_xlfn.XLOOKUP(Table9[[#This Row],[orderID]],orders[orderID],orders[orderDate],,0)</f>
        <v>42100</v>
      </c>
      <c r="C1954">
        <f>_xlfn.XLOOKUP(A1954,order_details[orderID],order_details[productID],,0)</f>
        <v>1</v>
      </c>
      <c r="D1954" t="str">
        <f>_xlfn.XLOOKUP(C1954,products[productID],products[productName],,0)</f>
        <v>Chai</v>
      </c>
      <c r="E1954" t="str">
        <f>_xlfn.XLOOKUP(_xlfn.XLOOKUP(Table9[[#This Row],[ProductName ]],products[productName],products[categoryID],,0),categories[categoryID],categories[categoryName],,0)</f>
        <v>Beverages</v>
      </c>
      <c r="F1954">
        <v>10</v>
      </c>
      <c r="G1954">
        <v>184</v>
      </c>
      <c r="H1954">
        <v>0</v>
      </c>
      <c r="I1954">
        <f>Table9[[#This Row],[quantity]]*Table9[[#This Row],[unitPrice]]*(1-Table9[[#This Row],[discount]]/100)</f>
        <v>1840</v>
      </c>
      <c r="J1954" t="str">
        <f>_xlfn.XLOOKUP(_xlfn.XLOOKUP(A1954,orders[orderID],orders[customerID],,0),customers__2[customerID],customers__2[companyName],,0)</f>
        <v>The Cracker Box</v>
      </c>
      <c r="K1954" t="str">
        <f>_xlfn.XLOOKUP(Table9[[#This Row],[Company Name]],customers__2[companyName],customers__2[country],,0)</f>
        <v>USA</v>
      </c>
      <c r="L1954">
        <f>MONTH(Table9[[#This Row],[OrderDate ]])</f>
        <v>4</v>
      </c>
      <c r="M1954" t="str">
        <f>TEXT(Table9[[#This Row],[OrderDate ]],"mmm")</f>
        <v>Apr</v>
      </c>
      <c r="N1954">
        <f>YEAR(Table9[[#This Row],[OrderDate ]])</f>
        <v>2015</v>
      </c>
    </row>
    <row r="1955" spans="1:14" x14ac:dyDescent="0.3">
      <c r="A1955">
        <v>11003</v>
      </c>
      <c r="B1955" s="2">
        <f>_xlfn.XLOOKUP(Table9[[#This Row],[orderID]],orders[orderID],orders[orderDate],,0)</f>
        <v>42100</v>
      </c>
      <c r="C1955">
        <f>_xlfn.XLOOKUP(A1955,order_details[orderID],order_details[productID],,0)</f>
        <v>1</v>
      </c>
      <c r="D1955" t="str">
        <f>_xlfn.XLOOKUP(C1955,products[productID],products[productName],,0)</f>
        <v>Chai</v>
      </c>
      <c r="E1955" t="str">
        <f>_xlfn.XLOOKUP(_xlfn.XLOOKUP(Table9[[#This Row],[ProductName ]],products[productName],products[categoryID],,0),categories[categoryID],categories[categoryName],,0)</f>
        <v>Beverages</v>
      </c>
      <c r="F1955">
        <v>10</v>
      </c>
      <c r="G1955">
        <v>7</v>
      </c>
      <c r="H1955">
        <v>0</v>
      </c>
      <c r="I1955">
        <f>Table9[[#This Row],[quantity]]*Table9[[#This Row],[unitPrice]]*(1-Table9[[#This Row],[discount]]/100)</f>
        <v>70</v>
      </c>
      <c r="J1955" t="str">
        <f>_xlfn.XLOOKUP(_xlfn.XLOOKUP(A1955,orders[orderID],orders[customerID],,0),customers__2[customerID],customers__2[companyName],,0)</f>
        <v>The Cracker Box</v>
      </c>
      <c r="K1955" t="str">
        <f>_xlfn.XLOOKUP(Table9[[#This Row],[Company Name]],customers__2[companyName],customers__2[country],,0)</f>
        <v>USA</v>
      </c>
      <c r="L1955">
        <f>MONTH(Table9[[#This Row],[OrderDate ]])</f>
        <v>4</v>
      </c>
      <c r="M1955" t="str">
        <f>TEXT(Table9[[#This Row],[OrderDate ]],"mmm")</f>
        <v>Apr</v>
      </c>
      <c r="N1955">
        <f>YEAR(Table9[[#This Row],[OrderDate ]])</f>
        <v>2015</v>
      </c>
    </row>
    <row r="1956" spans="1:14" x14ac:dyDescent="0.3">
      <c r="A1956">
        <v>11004</v>
      </c>
      <c r="B1956" s="2">
        <f>_xlfn.XLOOKUP(Table9[[#This Row],[orderID]],orders[orderID],orders[orderDate],,0)</f>
        <v>42101</v>
      </c>
      <c r="C1956">
        <f>_xlfn.XLOOKUP(A1956,order_details[orderID],order_details[productID],,0)</f>
        <v>26</v>
      </c>
      <c r="D1956" t="str">
        <f>_xlfn.XLOOKUP(C1956,products[productID],products[productName],,0)</f>
        <v>Gumbär Gummibärchen</v>
      </c>
      <c r="E1956" t="str">
        <f>_xlfn.XLOOKUP(_xlfn.XLOOKUP(Table9[[#This Row],[ProductName ]],products[productName],products[categoryID],,0),categories[categoryID],categories[categoryName],,0)</f>
        <v>Confections</v>
      </c>
      <c r="F1956">
        <v>6</v>
      </c>
      <c r="G1956">
        <v>3123</v>
      </c>
      <c r="H1956">
        <v>0</v>
      </c>
      <c r="I1956">
        <f>Table9[[#This Row],[quantity]]*Table9[[#This Row],[unitPrice]]*(1-Table9[[#This Row],[discount]]/100)</f>
        <v>18738</v>
      </c>
      <c r="J1956" t="str">
        <f>_xlfn.XLOOKUP(_xlfn.XLOOKUP(A1956,orders[orderID],orders[customerID],,0),customers__2[customerID],customers__2[companyName],,0)</f>
        <v>Maison Dewey</v>
      </c>
      <c r="K1956" t="str">
        <f>_xlfn.XLOOKUP(Table9[[#This Row],[Company Name]],customers__2[companyName],customers__2[country],,0)</f>
        <v>Belgium</v>
      </c>
      <c r="L1956">
        <f>MONTH(Table9[[#This Row],[OrderDate ]])</f>
        <v>4</v>
      </c>
      <c r="M1956" t="str">
        <f>TEXT(Table9[[#This Row],[OrderDate ]],"mmm")</f>
        <v>Apr</v>
      </c>
      <c r="N1956">
        <f>YEAR(Table9[[#This Row],[OrderDate ]])</f>
        <v>2015</v>
      </c>
    </row>
    <row r="1957" spans="1:14" x14ac:dyDescent="0.3">
      <c r="A1957">
        <v>11004</v>
      </c>
      <c r="B1957" s="2">
        <f>_xlfn.XLOOKUP(Table9[[#This Row],[orderID]],orders[orderID],orders[orderDate],,0)</f>
        <v>42101</v>
      </c>
      <c r="C1957">
        <f>_xlfn.XLOOKUP(A1957,order_details[orderID],order_details[productID],,0)</f>
        <v>26</v>
      </c>
      <c r="D1957" t="str">
        <f>_xlfn.XLOOKUP(C1957,products[productID],products[productName],,0)</f>
        <v>Gumbär Gummibärchen</v>
      </c>
      <c r="E1957" t="str">
        <f>_xlfn.XLOOKUP(_xlfn.XLOOKUP(Table9[[#This Row],[ProductName ]],products[productName],products[categoryID],,0),categories[categoryID],categories[categoryName],,0)</f>
        <v>Confections</v>
      </c>
      <c r="F1957">
        <v>6</v>
      </c>
      <c r="G1957">
        <v>18</v>
      </c>
      <c r="H1957">
        <v>0</v>
      </c>
      <c r="I1957">
        <f>Table9[[#This Row],[quantity]]*Table9[[#This Row],[unitPrice]]*(1-Table9[[#This Row],[discount]]/100)</f>
        <v>108</v>
      </c>
      <c r="J1957" t="str">
        <f>_xlfn.XLOOKUP(_xlfn.XLOOKUP(A1957,orders[orderID],orders[customerID],,0),customers__2[customerID],customers__2[companyName],,0)</f>
        <v>Maison Dewey</v>
      </c>
      <c r="K1957" t="str">
        <f>_xlfn.XLOOKUP(Table9[[#This Row],[Company Name]],customers__2[companyName],customers__2[country],,0)</f>
        <v>Belgium</v>
      </c>
      <c r="L1957">
        <f>MONTH(Table9[[#This Row],[OrderDate ]])</f>
        <v>4</v>
      </c>
      <c r="M1957" t="str">
        <f>TEXT(Table9[[#This Row],[OrderDate ]],"mmm")</f>
        <v>Apr</v>
      </c>
      <c r="N1957">
        <f>YEAR(Table9[[#This Row],[OrderDate ]])</f>
        <v>2015</v>
      </c>
    </row>
    <row r="1958" spans="1:14" x14ac:dyDescent="0.3">
      <c r="A1958">
        <v>11005</v>
      </c>
      <c r="B1958" s="2">
        <f>_xlfn.XLOOKUP(Table9[[#This Row],[orderID]],orders[orderID],orders[orderDate],,0)</f>
        <v>42101</v>
      </c>
      <c r="C1958">
        <f>_xlfn.XLOOKUP(A1958,order_details[orderID],order_details[productID],,0)</f>
        <v>1</v>
      </c>
      <c r="D1958" t="str">
        <f>_xlfn.XLOOKUP(C1958,products[productID],products[productName],,0)</f>
        <v>Chai</v>
      </c>
      <c r="E1958" t="str">
        <f>_xlfn.XLOOKUP(_xlfn.XLOOKUP(Table9[[#This Row],[ProductName ]],products[productName],products[categoryID],,0),categories[categoryID],categories[categoryName],,0)</f>
        <v>Beverages</v>
      </c>
      <c r="F1958">
        <v>2</v>
      </c>
      <c r="G1958">
        <v>18</v>
      </c>
      <c r="H1958">
        <v>0</v>
      </c>
      <c r="I1958">
        <f>Table9[[#This Row],[quantity]]*Table9[[#This Row],[unitPrice]]*(1-Table9[[#This Row],[discount]]/100)</f>
        <v>36</v>
      </c>
      <c r="J1958" t="str">
        <f>_xlfn.XLOOKUP(_xlfn.XLOOKUP(A1958,orders[orderID],orders[customerID],,0),customers__2[customerID],customers__2[companyName],,0)</f>
        <v>Wilman Kala</v>
      </c>
      <c r="K1958" t="str">
        <f>_xlfn.XLOOKUP(Table9[[#This Row],[Company Name]],customers__2[companyName],customers__2[country],,0)</f>
        <v>Finland</v>
      </c>
      <c r="L1958">
        <f>MONTH(Table9[[#This Row],[OrderDate ]])</f>
        <v>4</v>
      </c>
      <c r="M1958" t="str">
        <f>TEXT(Table9[[#This Row],[OrderDate ]],"mmm")</f>
        <v>Apr</v>
      </c>
      <c r="N1958">
        <f>YEAR(Table9[[#This Row],[OrderDate ]])</f>
        <v>2015</v>
      </c>
    </row>
    <row r="1959" spans="1:14" x14ac:dyDescent="0.3">
      <c r="A1959">
        <v>11005</v>
      </c>
      <c r="B1959" s="2">
        <f>_xlfn.XLOOKUP(Table9[[#This Row],[orderID]],orders[orderID],orders[orderDate],,0)</f>
        <v>42101</v>
      </c>
      <c r="C1959">
        <f>_xlfn.XLOOKUP(A1959,order_details[orderID],order_details[productID],,0)</f>
        <v>1</v>
      </c>
      <c r="D1959" t="str">
        <f>_xlfn.XLOOKUP(C1959,products[productID],products[productName],,0)</f>
        <v>Chai</v>
      </c>
      <c r="E1959" t="str">
        <f>_xlfn.XLOOKUP(_xlfn.XLOOKUP(Table9[[#This Row],[ProductName ]],products[productName],products[categoryID],,0),categories[categoryID],categories[categoryName],,0)</f>
        <v>Beverages</v>
      </c>
      <c r="F1959">
        <v>10</v>
      </c>
      <c r="G1959">
        <v>55</v>
      </c>
      <c r="H1959">
        <v>0</v>
      </c>
      <c r="I1959">
        <f>Table9[[#This Row],[quantity]]*Table9[[#This Row],[unitPrice]]*(1-Table9[[#This Row],[discount]]/100)</f>
        <v>550</v>
      </c>
      <c r="J1959" t="str">
        <f>_xlfn.XLOOKUP(_xlfn.XLOOKUP(A1959,orders[orderID],orders[customerID],,0),customers__2[customerID],customers__2[companyName],,0)</f>
        <v>Wilman Kala</v>
      </c>
      <c r="K1959" t="str">
        <f>_xlfn.XLOOKUP(Table9[[#This Row],[Company Name]],customers__2[companyName],customers__2[country],,0)</f>
        <v>Finland</v>
      </c>
      <c r="L1959">
        <f>MONTH(Table9[[#This Row],[OrderDate ]])</f>
        <v>4</v>
      </c>
      <c r="M1959" t="str">
        <f>TEXT(Table9[[#This Row],[OrderDate ]],"mmm")</f>
        <v>Apr</v>
      </c>
      <c r="N1959">
        <f>YEAR(Table9[[#This Row],[OrderDate ]])</f>
        <v>2015</v>
      </c>
    </row>
    <row r="1960" spans="1:14" x14ac:dyDescent="0.3">
      <c r="A1960">
        <v>11006</v>
      </c>
      <c r="B1960" s="2">
        <f>_xlfn.XLOOKUP(Table9[[#This Row],[orderID]],orders[orderID],orders[orderDate],,0)</f>
        <v>42101</v>
      </c>
      <c r="C1960">
        <f>_xlfn.XLOOKUP(A1960,order_details[orderID],order_details[productID],,0)</f>
        <v>1</v>
      </c>
      <c r="D1960" t="str">
        <f>_xlfn.XLOOKUP(C1960,products[productID],products[productName],,0)</f>
        <v>Chai</v>
      </c>
      <c r="E1960" t="str">
        <f>_xlfn.XLOOKUP(_xlfn.XLOOKUP(Table9[[#This Row],[ProductName ]],products[productName],products[categoryID],,0),categories[categoryID],categories[categoryName],,0)</f>
        <v>Beverages</v>
      </c>
      <c r="F1960">
        <v>8</v>
      </c>
      <c r="G1960">
        <v>18</v>
      </c>
      <c r="H1960">
        <v>0</v>
      </c>
      <c r="I1960">
        <f>Table9[[#This Row],[quantity]]*Table9[[#This Row],[unitPrice]]*(1-Table9[[#This Row],[discount]]/100)</f>
        <v>144</v>
      </c>
      <c r="J1960" t="str">
        <f>_xlfn.XLOOKUP(_xlfn.XLOOKUP(A1960,orders[orderID],orders[customerID],,0),customers__2[customerID],customers__2[companyName],,0)</f>
        <v>Great Lakes Food Market</v>
      </c>
      <c r="K1960" t="str">
        <f>_xlfn.XLOOKUP(Table9[[#This Row],[Company Name]],customers__2[companyName],customers__2[country],,0)</f>
        <v>USA</v>
      </c>
      <c r="L1960">
        <f>MONTH(Table9[[#This Row],[OrderDate ]])</f>
        <v>4</v>
      </c>
      <c r="M1960" t="str">
        <f>TEXT(Table9[[#This Row],[OrderDate ]],"mmm")</f>
        <v>Apr</v>
      </c>
      <c r="N1960">
        <f>YEAR(Table9[[#This Row],[OrderDate ]])</f>
        <v>2015</v>
      </c>
    </row>
    <row r="1961" spans="1:14" x14ac:dyDescent="0.3">
      <c r="A1961">
        <v>11006</v>
      </c>
      <c r="B1961" s="2">
        <f>_xlfn.XLOOKUP(Table9[[#This Row],[orderID]],orders[orderID],orders[orderDate],,0)</f>
        <v>42101</v>
      </c>
      <c r="C1961">
        <f>_xlfn.XLOOKUP(A1961,order_details[orderID],order_details[productID],,0)</f>
        <v>1</v>
      </c>
      <c r="D1961" t="str">
        <f>_xlfn.XLOOKUP(C1961,products[productID],products[productName],,0)</f>
        <v>Chai</v>
      </c>
      <c r="E1961" t="str">
        <f>_xlfn.XLOOKUP(_xlfn.XLOOKUP(Table9[[#This Row],[ProductName ]],products[productName],products[categoryID],,0),categories[categoryID],categories[categoryName],,0)</f>
        <v>Beverages</v>
      </c>
      <c r="F1961">
        <v>2</v>
      </c>
      <c r="G1961">
        <v>12379</v>
      </c>
      <c r="H1961">
        <v>25</v>
      </c>
      <c r="I1961">
        <f>Table9[[#This Row],[quantity]]*Table9[[#This Row],[unitPrice]]*(1-Table9[[#This Row],[discount]]/100)</f>
        <v>18568.5</v>
      </c>
      <c r="J1961" t="str">
        <f>_xlfn.XLOOKUP(_xlfn.XLOOKUP(A1961,orders[orderID],orders[customerID],,0),customers__2[customerID],customers__2[companyName],,0)</f>
        <v>Great Lakes Food Market</v>
      </c>
      <c r="K1961" t="str">
        <f>_xlfn.XLOOKUP(Table9[[#This Row],[Company Name]],customers__2[companyName],customers__2[country],,0)</f>
        <v>USA</v>
      </c>
      <c r="L1961">
        <f>MONTH(Table9[[#This Row],[OrderDate ]])</f>
        <v>4</v>
      </c>
      <c r="M1961" t="str">
        <f>TEXT(Table9[[#This Row],[OrderDate ]],"mmm")</f>
        <v>Apr</v>
      </c>
      <c r="N1961">
        <f>YEAR(Table9[[#This Row],[OrderDate ]])</f>
        <v>2015</v>
      </c>
    </row>
    <row r="1962" spans="1:14" x14ac:dyDescent="0.3">
      <c r="A1962">
        <v>11007</v>
      </c>
      <c r="B1962" s="2">
        <f>_xlfn.XLOOKUP(Table9[[#This Row],[orderID]],orders[orderID],orders[orderDate],,0)</f>
        <v>42102</v>
      </c>
      <c r="C1962">
        <f>_xlfn.XLOOKUP(A1962,order_details[orderID],order_details[productID],,0)</f>
        <v>8</v>
      </c>
      <c r="D1962" t="str">
        <f>_xlfn.XLOOKUP(C1962,products[productID],products[productName],,0)</f>
        <v>Northwoods Cranberry Sauce</v>
      </c>
      <c r="E1962" t="str">
        <f>_xlfn.XLOOKUP(_xlfn.XLOOKUP(Table9[[#This Row],[ProductName ]],products[productName],products[categoryID],,0),categories[categoryID],categories[categoryName],,0)</f>
        <v>Condiments</v>
      </c>
      <c r="F1962">
        <v>30</v>
      </c>
      <c r="G1962">
        <v>40</v>
      </c>
      <c r="H1962">
        <v>0</v>
      </c>
      <c r="I1962">
        <f>Table9[[#This Row],[quantity]]*Table9[[#This Row],[unitPrice]]*(1-Table9[[#This Row],[discount]]/100)</f>
        <v>1200</v>
      </c>
      <c r="J1962" t="str">
        <f>_xlfn.XLOOKUP(_xlfn.XLOOKUP(A1962,orders[orderID],orders[customerID],,0),customers__2[customerID],customers__2[companyName],,0)</f>
        <v>Princesa Isabel Vinhos</v>
      </c>
      <c r="K1962" t="str">
        <f>_xlfn.XLOOKUP(Table9[[#This Row],[Company Name]],customers__2[companyName],customers__2[country],,0)</f>
        <v>Portugal</v>
      </c>
      <c r="L1962">
        <f>MONTH(Table9[[#This Row],[OrderDate ]])</f>
        <v>4</v>
      </c>
      <c r="M1962" t="str">
        <f>TEXT(Table9[[#This Row],[OrderDate ]],"mmm")</f>
        <v>Apr</v>
      </c>
      <c r="N1962">
        <f>YEAR(Table9[[#This Row],[OrderDate ]])</f>
        <v>2015</v>
      </c>
    </row>
    <row r="1963" spans="1:14" x14ac:dyDescent="0.3">
      <c r="A1963">
        <v>11007</v>
      </c>
      <c r="B1963" s="2">
        <f>_xlfn.XLOOKUP(Table9[[#This Row],[orderID]],orders[orderID],orders[orderDate],,0)</f>
        <v>42102</v>
      </c>
      <c r="C1963">
        <f>_xlfn.XLOOKUP(A1963,order_details[orderID],order_details[productID],,0)</f>
        <v>8</v>
      </c>
      <c r="D1963" t="str">
        <f>_xlfn.XLOOKUP(C1963,products[productID],products[productName],,0)</f>
        <v>Northwoods Cranberry Sauce</v>
      </c>
      <c r="E1963" t="str">
        <f>_xlfn.XLOOKUP(_xlfn.XLOOKUP(Table9[[#This Row],[ProductName ]],products[productName],products[categoryID],,0),categories[categoryID],categories[categoryName],,0)</f>
        <v>Condiments</v>
      </c>
      <c r="F1963">
        <v>10</v>
      </c>
      <c r="G1963">
        <v>12379</v>
      </c>
      <c r="H1963">
        <v>0</v>
      </c>
      <c r="I1963">
        <f>Table9[[#This Row],[quantity]]*Table9[[#This Row],[unitPrice]]*(1-Table9[[#This Row],[discount]]/100)</f>
        <v>123790</v>
      </c>
      <c r="J1963" t="str">
        <f>_xlfn.XLOOKUP(_xlfn.XLOOKUP(A1963,orders[orderID],orders[customerID],,0),customers__2[customerID],customers__2[companyName],,0)</f>
        <v>Princesa Isabel Vinhos</v>
      </c>
      <c r="K1963" t="str">
        <f>_xlfn.XLOOKUP(Table9[[#This Row],[Company Name]],customers__2[companyName],customers__2[country],,0)</f>
        <v>Portugal</v>
      </c>
      <c r="L1963">
        <f>MONTH(Table9[[#This Row],[OrderDate ]])</f>
        <v>4</v>
      </c>
      <c r="M1963" t="str">
        <f>TEXT(Table9[[#This Row],[OrderDate ]],"mmm")</f>
        <v>Apr</v>
      </c>
      <c r="N1963">
        <f>YEAR(Table9[[#This Row],[OrderDate ]])</f>
        <v>2015</v>
      </c>
    </row>
    <row r="1964" spans="1:14" x14ac:dyDescent="0.3">
      <c r="A1964">
        <v>11007</v>
      </c>
      <c r="B1964" s="2">
        <f>_xlfn.XLOOKUP(Table9[[#This Row],[orderID]],orders[orderID],orders[orderDate],,0)</f>
        <v>42102</v>
      </c>
      <c r="C1964">
        <f>_xlfn.XLOOKUP(A1964,order_details[orderID],order_details[productID],,0)</f>
        <v>8</v>
      </c>
      <c r="D1964" t="str">
        <f>_xlfn.XLOOKUP(C1964,products[productID],products[productName],,0)</f>
        <v>Northwoods Cranberry Sauce</v>
      </c>
      <c r="E1964" t="str">
        <f>_xlfn.XLOOKUP(_xlfn.XLOOKUP(Table9[[#This Row],[ProductName ]],products[productName],products[categoryID],,0),categories[categoryID],categories[categoryName],,0)</f>
        <v>Condiments</v>
      </c>
      <c r="F1964">
        <v>14</v>
      </c>
      <c r="G1964">
        <v>14</v>
      </c>
      <c r="H1964">
        <v>0</v>
      </c>
      <c r="I1964">
        <f>Table9[[#This Row],[quantity]]*Table9[[#This Row],[unitPrice]]*(1-Table9[[#This Row],[discount]]/100)</f>
        <v>196</v>
      </c>
      <c r="J1964" t="str">
        <f>_xlfn.XLOOKUP(_xlfn.XLOOKUP(A1964,orders[orderID],orders[customerID],,0),customers__2[customerID],customers__2[companyName],,0)</f>
        <v>Princesa Isabel Vinhos</v>
      </c>
      <c r="K1964" t="str">
        <f>_xlfn.XLOOKUP(Table9[[#This Row],[Company Name]],customers__2[companyName],customers__2[country],,0)</f>
        <v>Portugal</v>
      </c>
      <c r="L1964">
        <f>MONTH(Table9[[#This Row],[OrderDate ]])</f>
        <v>4</v>
      </c>
      <c r="M1964" t="str">
        <f>TEXT(Table9[[#This Row],[OrderDate ]],"mmm")</f>
        <v>Apr</v>
      </c>
      <c r="N1964">
        <f>YEAR(Table9[[#This Row],[OrderDate ]])</f>
        <v>2015</v>
      </c>
    </row>
    <row r="1965" spans="1:14" x14ac:dyDescent="0.3">
      <c r="A1965">
        <v>11008</v>
      </c>
      <c r="B1965" s="2">
        <f>_xlfn.XLOOKUP(Table9[[#This Row],[orderID]],orders[orderID],orders[orderDate],,0)</f>
        <v>42102</v>
      </c>
      <c r="C1965">
        <f>_xlfn.XLOOKUP(A1965,order_details[orderID],order_details[productID],,0)</f>
        <v>28</v>
      </c>
      <c r="D1965" t="str">
        <f>_xlfn.XLOOKUP(C1965,products[productID],products[productName],,0)</f>
        <v>Rössle Sauerkraut</v>
      </c>
      <c r="E1965" t="str">
        <f>_xlfn.XLOOKUP(_xlfn.XLOOKUP(Table9[[#This Row],[ProductName ]],products[productName],products[categoryID],,0),categories[categoryID],categories[categoryName],,0)</f>
        <v>Produce</v>
      </c>
      <c r="F1965">
        <v>70</v>
      </c>
      <c r="G1965">
        <v>456</v>
      </c>
      <c r="H1965">
        <v>5</v>
      </c>
      <c r="I1965">
        <f>Table9[[#This Row],[quantity]]*Table9[[#This Row],[unitPrice]]*(1-Table9[[#This Row],[discount]]/100)</f>
        <v>30324</v>
      </c>
      <c r="J1965" t="str">
        <f>_xlfn.XLOOKUP(_xlfn.XLOOKUP(A1965,orders[orderID],orders[customerID],,0),customers__2[customerID],customers__2[companyName],,0)</f>
        <v>Ernst Handel</v>
      </c>
      <c r="K1965" t="str">
        <f>_xlfn.XLOOKUP(Table9[[#This Row],[Company Name]],customers__2[companyName],customers__2[country],,0)</f>
        <v>Austria</v>
      </c>
      <c r="L1965">
        <f>MONTH(Table9[[#This Row],[OrderDate ]])</f>
        <v>4</v>
      </c>
      <c r="M1965" t="str">
        <f>TEXT(Table9[[#This Row],[OrderDate ]],"mmm")</f>
        <v>Apr</v>
      </c>
      <c r="N1965">
        <f>YEAR(Table9[[#This Row],[OrderDate ]])</f>
        <v>2015</v>
      </c>
    </row>
    <row r="1966" spans="1:14" x14ac:dyDescent="0.3">
      <c r="A1966">
        <v>11008</v>
      </c>
      <c r="B1966" s="2">
        <f>_xlfn.XLOOKUP(Table9[[#This Row],[orderID]],orders[orderID],orders[orderDate],,0)</f>
        <v>42102</v>
      </c>
      <c r="C1966">
        <f>_xlfn.XLOOKUP(A1966,order_details[orderID],order_details[productID],,0)</f>
        <v>28</v>
      </c>
      <c r="D1966" t="str">
        <f>_xlfn.XLOOKUP(C1966,products[productID],products[productName],,0)</f>
        <v>Rössle Sauerkraut</v>
      </c>
      <c r="E1966" t="str">
        <f>_xlfn.XLOOKUP(_xlfn.XLOOKUP(Table9[[#This Row],[ProductName ]],products[productName],products[categoryID],,0),categories[categoryID],categories[categoryName],,0)</f>
        <v>Produce</v>
      </c>
      <c r="F1966">
        <v>90</v>
      </c>
      <c r="G1966">
        <v>14</v>
      </c>
      <c r="H1966">
        <v>5</v>
      </c>
      <c r="I1966">
        <f>Table9[[#This Row],[quantity]]*Table9[[#This Row],[unitPrice]]*(1-Table9[[#This Row],[discount]]/100)</f>
        <v>1197</v>
      </c>
      <c r="J1966" t="str">
        <f>_xlfn.XLOOKUP(_xlfn.XLOOKUP(A1966,orders[orderID],orders[customerID],,0),customers__2[customerID],customers__2[companyName],,0)</f>
        <v>Ernst Handel</v>
      </c>
      <c r="K1966" t="str">
        <f>_xlfn.XLOOKUP(Table9[[#This Row],[Company Name]],customers__2[companyName],customers__2[country],,0)</f>
        <v>Austria</v>
      </c>
      <c r="L1966">
        <f>MONTH(Table9[[#This Row],[OrderDate ]])</f>
        <v>4</v>
      </c>
      <c r="M1966" t="str">
        <f>TEXT(Table9[[#This Row],[OrderDate ]],"mmm")</f>
        <v>Apr</v>
      </c>
      <c r="N1966">
        <f>YEAR(Table9[[#This Row],[OrderDate ]])</f>
        <v>2015</v>
      </c>
    </row>
    <row r="1967" spans="1:14" x14ac:dyDescent="0.3">
      <c r="A1967">
        <v>11008</v>
      </c>
      <c r="B1967" s="2">
        <f>_xlfn.XLOOKUP(Table9[[#This Row],[orderID]],orders[orderID],orders[orderDate],,0)</f>
        <v>42102</v>
      </c>
      <c r="C1967">
        <f>_xlfn.XLOOKUP(A1967,order_details[orderID],order_details[productID],,0)</f>
        <v>28</v>
      </c>
      <c r="D1967" t="str">
        <f>_xlfn.XLOOKUP(C1967,products[productID],products[productName],,0)</f>
        <v>Rössle Sauerkraut</v>
      </c>
      <c r="E1967" t="str">
        <f>_xlfn.XLOOKUP(_xlfn.XLOOKUP(Table9[[#This Row],[ProductName ]],products[productName],products[categoryID],,0),categories[categoryID],categories[categoryName],,0)</f>
        <v>Produce</v>
      </c>
      <c r="F1967">
        <v>21</v>
      </c>
      <c r="G1967">
        <v>215</v>
      </c>
      <c r="H1967">
        <v>0</v>
      </c>
      <c r="I1967">
        <f>Table9[[#This Row],[quantity]]*Table9[[#This Row],[unitPrice]]*(1-Table9[[#This Row],[discount]]/100)</f>
        <v>4515</v>
      </c>
      <c r="J1967" t="str">
        <f>_xlfn.XLOOKUP(_xlfn.XLOOKUP(A1967,orders[orderID],orders[customerID],,0),customers__2[customerID],customers__2[companyName],,0)</f>
        <v>Ernst Handel</v>
      </c>
      <c r="K1967" t="str">
        <f>_xlfn.XLOOKUP(Table9[[#This Row],[Company Name]],customers__2[companyName],customers__2[country],,0)</f>
        <v>Austria</v>
      </c>
      <c r="L1967">
        <f>MONTH(Table9[[#This Row],[OrderDate ]])</f>
        <v>4</v>
      </c>
      <c r="M1967" t="str">
        <f>TEXT(Table9[[#This Row],[OrderDate ]],"mmm")</f>
        <v>Apr</v>
      </c>
      <c r="N1967">
        <f>YEAR(Table9[[#This Row],[OrderDate ]])</f>
        <v>2015</v>
      </c>
    </row>
    <row r="1968" spans="1:14" x14ac:dyDescent="0.3">
      <c r="A1968">
        <v>11009</v>
      </c>
      <c r="B1968" s="2">
        <f>_xlfn.XLOOKUP(Table9[[#This Row],[orderID]],orders[orderID],orders[orderDate],,0)</f>
        <v>42102</v>
      </c>
      <c r="C1968">
        <f>_xlfn.XLOOKUP(A1968,order_details[orderID],order_details[productID],,0)</f>
        <v>24</v>
      </c>
      <c r="D1968" t="str">
        <f>_xlfn.XLOOKUP(C1968,products[productID],products[productName],,0)</f>
        <v>Guarana Fantastica</v>
      </c>
      <c r="E1968" t="str">
        <f>_xlfn.XLOOKUP(_xlfn.XLOOKUP(Table9[[#This Row],[ProductName ]],products[productName],products[categoryID],,0),categories[categoryID],categories[categoryName],,0)</f>
        <v>Beverages</v>
      </c>
      <c r="F1968">
        <v>12</v>
      </c>
      <c r="G1968">
        <v>45</v>
      </c>
      <c r="H1968">
        <v>0</v>
      </c>
      <c r="I1968">
        <f>Table9[[#This Row],[quantity]]*Table9[[#This Row],[unitPrice]]*(1-Table9[[#This Row],[discount]]/100)</f>
        <v>540</v>
      </c>
      <c r="J1968" t="str">
        <f>_xlfn.XLOOKUP(_xlfn.XLOOKUP(A1968,orders[orderID],orders[customerID],,0),customers__2[customerID],customers__2[companyName],,0)</f>
        <v>Godos Cocina Típica</v>
      </c>
      <c r="K1968" t="str">
        <f>_xlfn.XLOOKUP(Table9[[#This Row],[Company Name]],customers__2[companyName],customers__2[country],,0)</f>
        <v>Spain</v>
      </c>
      <c r="L1968">
        <f>MONTH(Table9[[#This Row],[OrderDate ]])</f>
        <v>4</v>
      </c>
      <c r="M1968" t="str">
        <f>TEXT(Table9[[#This Row],[OrderDate ]],"mmm")</f>
        <v>Apr</v>
      </c>
      <c r="N1968">
        <f>YEAR(Table9[[#This Row],[OrderDate ]])</f>
        <v>2015</v>
      </c>
    </row>
    <row r="1969" spans="1:14" x14ac:dyDescent="0.3">
      <c r="A1969">
        <v>11009</v>
      </c>
      <c r="B1969" s="2">
        <f>_xlfn.XLOOKUP(Table9[[#This Row],[orderID]],orders[orderID],orders[orderDate],,0)</f>
        <v>42102</v>
      </c>
      <c r="C1969">
        <f>_xlfn.XLOOKUP(A1969,order_details[orderID],order_details[productID],,0)</f>
        <v>24</v>
      </c>
      <c r="D1969" t="str">
        <f>_xlfn.XLOOKUP(C1969,products[productID],products[productName],,0)</f>
        <v>Guarana Fantastica</v>
      </c>
      <c r="E1969" t="str">
        <f>_xlfn.XLOOKUP(_xlfn.XLOOKUP(Table9[[#This Row],[ProductName ]],products[productName],products[categoryID],,0),categories[categoryID],categories[categoryName],,0)</f>
        <v>Beverages</v>
      </c>
      <c r="F1969">
        <v>18</v>
      </c>
      <c r="G1969">
        <v>19</v>
      </c>
      <c r="H1969">
        <v>25</v>
      </c>
      <c r="I1969">
        <f>Table9[[#This Row],[quantity]]*Table9[[#This Row],[unitPrice]]*(1-Table9[[#This Row],[discount]]/100)</f>
        <v>256.5</v>
      </c>
      <c r="J1969" t="str">
        <f>_xlfn.XLOOKUP(_xlfn.XLOOKUP(A1969,orders[orderID],orders[customerID],,0),customers__2[customerID],customers__2[companyName],,0)</f>
        <v>Godos Cocina Típica</v>
      </c>
      <c r="K1969" t="str">
        <f>_xlfn.XLOOKUP(Table9[[#This Row],[Company Name]],customers__2[companyName],customers__2[country],,0)</f>
        <v>Spain</v>
      </c>
      <c r="L1969">
        <f>MONTH(Table9[[#This Row],[OrderDate ]])</f>
        <v>4</v>
      </c>
      <c r="M1969" t="str">
        <f>TEXT(Table9[[#This Row],[OrderDate ]],"mmm")</f>
        <v>Apr</v>
      </c>
      <c r="N1969">
        <f>YEAR(Table9[[#This Row],[OrderDate ]])</f>
        <v>2015</v>
      </c>
    </row>
    <row r="1970" spans="1:14" x14ac:dyDescent="0.3">
      <c r="A1970">
        <v>11009</v>
      </c>
      <c r="B1970" s="2">
        <f>_xlfn.XLOOKUP(Table9[[#This Row],[orderID]],orders[orderID],orders[orderDate],,0)</f>
        <v>42102</v>
      </c>
      <c r="C1970">
        <f>_xlfn.XLOOKUP(A1970,order_details[orderID],order_details[productID],,0)</f>
        <v>24</v>
      </c>
      <c r="D1970" t="str">
        <f>_xlfn.XLOOKUP(C1970,products[productID],products[productName],,0)</f>
        <v>Guarana Fantastica</v>
      </c>
      <c r="E1970" t="str">
        <f>_xlfn.XLOOKUP(_xlfn.XLOOKUP(Table9[[#This Row],[ProductName ]],products[productName],products[categoryID],,0),categories[categoryID],categories[categoryName],,0)</f>
        <v>Beverages</v>
      </c>
      <c r="F1970">
        <v>9</v>
      </c>
      <c r="G1970">
        <v>34</v>
      </c>
      <c r="H1970">
        <v>0</v>
      </c>
      <c r="I1970">
        <f>Table9[[#This Row],[quantity]]*Table9[[#This Row],[unitPrice]]*(1-Table9[[#This Row],[discount]]/100)</f>
        <v>306</v>
      </c>
      <c r="J1970" t="str">
        <f>_xlfn.XLOOKUP(_xlfn.XLOOKUP(A1970,orders[orderID],orders[customerID],,0),customers__2[customerID],customers__2[companyName],,0)</f>
        <v>Godos Cocina Típica</v>
      </c>
      <c r="K1970" t="str">
        <f>_xlfn.XLOOKUP(Table9[[#This Row],[Company Name]],customers__2[companyName],customers__2[country],,0)</f>
        <v>Spain</v>
      </c>
      <c r="L1970">
        <f>MONTH(Table9[[#This Row],[OrderDate ]])</f>
        <v>4</v>
      </c>
      <c r="M1970" t="str">
        <f>TEXT(Table9[[#This Row],[OrderDate ]],"mmm")</f>
        <v>Apr</v>
      </c>
      <c r="N1970">
        <f>YEAR(Table9[[#This Row],[OrderDate ]])</f>
        <v>2015</v>
      </c>
    </row>
    <row r="1971" spans="1:14" x14ac:dyDescent="0.3">
      <c r="A1971">
        <v>11010</v>
      </c>
      <c r="B1971" s="2">
        <f>_xlfn.XLOOKUP(Table9[[#This Row],[orderID]],orders[orderID],orders[orderDate],,0)</f>
        <v>42103</v>
      </c>
      <c r="C1971">
        <f>_xlfn.XLOOKUP(A1971,order_details[orderID],order_details[productID],,0)</f>
        <v>7</v>
      </c>
      <c r="D1971" t="str">
        <f>_xlfn.XLOOKUP(C1971,products[productID],products[productName],,0)</f>
        <v>Uncle Bob's Organic Dried Pears</v>
      </c>
      <c r="E1971" t="str">
        <f>_xlfn.XLOOKUP(_xlfn.XLOOKUP(Table9[[#This Row],[ProductName ]],products[productName],products[categoryID],,0),categories[categoryID],categories[categoryName],,0)</f>
        <v>Produce</v>
      </c>
      <c r="F1971">
        <v>20</v>
      </c>
      <c r="G1971">
        <v>30</v>
      </c>
      <c r="H1971">
        <v>0</v>
      </c>
      <c r="I1971">
        <f>Table9[[#This Row],[quantity]]*Table9[[#This Row],[unitPrice]]*(1-Table9[[#This Row],[discount]]/100)</f>
        <v>600</v>
      </c>
      <c r="J1971" t="str">
        <f>_xlfn.XLOOKUP(_xlfn.XLOOKUP(A1971,orders[orderID],orders[customerID],,0),customers__2[customerID],customers__2[companyName],,0)</f>
        <v>Reggiani Caseifici</v>
      </c>
      <c r="K1971" t="str">
        <f>_xlfn.XLOOKUP(Table9[[#This Row],[Company Name]],customers__2[companyName],customers__2[country],,0)</f>
        <v>Italy</v>
      </c>
      <c r="L1971">
        <f>MONTH(Table9[[#This Row],[OrderDate ]])</f>
        <v>4</v>
      </c>
      <c r="M1971" t="str">
        <f>TEXT(Table9[[#This Row],[OrderDate ]],"mmm")</f>
        <v>Apr</v>
      </c>
      <c r="N1971">
        <f>YEAR(Table9[[#This Row],[OrderDate ]])</f>
        <v>2015</v>
      </c>
    </row>
    <row r="1972" spans="1:14" x14ac:dyDescent="0.3">
      <c r="A1972">
        <v>11010</v>
      </c>
      <c r="B1972" s="2">
        <f>_xlfn.XLOOKUP(Table9[[#This Row],[orderID]],orders[orderID],orders[orderDate],,0)</f>
        <v>42103</v>
      </c>
      <c r="C1972">
        <f>_xlfn.XLOOKUP(A1972,order_details[orderID],order_details[productID],,0)</f>
        <v>7</v>
      </c>
      <c r="D1972" t="str">
        <f>_xlfn.XLOOKUP(C1972,products[productID],products[productName],,0)</f>
        <v>Uncle Bob's Organic Dried Pears</v>
      </c>
      <c r="E1972" t="str">
        <f>_xlfn.XLOOKUP(_xlfn.XLOOKUP(Table9[[#This Row],[ProductName ]],products[productName],products[categoryID],,0),categories[categoryID],categories[categoryName],,0)</f>
        <v>Produce</v>
      </c>
      <c r="F1972">
        <v>10</v>
      </c>
      <c r="G1972">
        <v>45</v>
      </c>
      <c r="H1972">
        <v>0</v>
      </c>
      <c r="I1972">
        <f>Table9[[#This Row],[quantity]]*Table9[[#This Row],[unitPrice]]*(1-Table9[[#This Row],[discount]]/100)</f>
        <v>450</v>
      </c>
      <c r="J1972" t="str">
        <f>_xlfn.XLOOKUP(_xlfn.XLOOKUP(A1972,orders[orderID],orders[customerID],,0),customers__2[customerID],customers__2[companyName],,0)</f>
        <v>Reggiani Caseifici</v>
      </c>
      <c r="K1972" t="str">
        <f>_xlfn.XLOOKUP(Table9[[#This Row],[Company Name]],customers__2[companyName],customers__2[country],,0)</f>
        <v>Italy</v>
      </c>
      <c r="L1972">
        <f>MONTH(Table9[[#This Row],[OrderDate ]])</f>
        <v>4</v>
      </c>
      <c r="M1972" t="str">
        <f>TEXT(Table9[[#This Row],[OrderDate ]],"mmm")</f>
        <v>Apr</v>
      </c>
      <c r="N1972">
        <f>YEAR(Table9[[#This Row],[OrderDate ]])</f>
        <v>2015</v>
      </c>
    </row>
    <row r="1973" spans="1:14" x14ac:dyDescent="0.3">
      <c r="A1973">
        <v>11011</v>
      </c>
      <c r="B1973" s="2">
        <f>_xlfn.XLOOKUP(Table9[[#This Row],[orderID]],orders[orderID],orders[orderDate],,0)</f>
        <v>42103</v>
      </c>
      <c r="C1973">
        <f>_xlfn.XLOOKUP(A1973,order_details[orderID],order_details[productID],,0)</f>
        <v>58</v>
      </c>
      <c r="D1973" t="str">
        <f>_xlfn.XLOOKUP(C1973,products[productID],products[productName],,0)</f>
        <v>Escargots de Bourgogne</v>
      </c>
      <c r="E1973" t="str">
        <f>_xlfn.XLOOKUP(_xlfn.XLOOKUP(Table9[[#This Row],[ProductName ]],products[productName],products[categoryID],,0),categories[categoryID],categories[categoryName],,0)</f>
        <v>Seafood</v>
      </c>
      <c r="F1973">
        <v>40</v>
      </c>
      <c r="G1973">
        <v>1325</v>
      </c>
      <c r="H1973">
        <v>5</v>
      </c>
      <c r="I1973">
        <f>Table9[[#This Row],[quantity]]*Table9[[#This Row],[unitPrice]]*(1-Table9[[#This Row],[discount]]/100)</f>
        <v>50350</v>
      </c>
      <c r="J1973" t="str">
        <f>_xlfn.XLOOKUP(_xlfn.XLOOKUP(A1973,orders[orderID],orders[customerID],,0),customers__2[customerID],customers__2[companyName],,0)</f>
        <v>Alfreds Futterkiste</v>
      </c>
      <c r="K1973" t="str">
        <f>_xlfn.XLOOKUP(Table9[[#This Row],[Company Name]],customers__2[companyName],customers__2[country],,0)</f>
        <v>Germany</v>
      </c>
      <c r="L1973">
        <f>MONTH(Table9[[#This Row],[OrderDate ]])</f>
        <v>4</v>
      </c>
      <c r="M1973" t="str">
        <f>TEXT(Table9[[#This Row],[OrderDate ]],"mmm")</f>
        <v>Apr</v>
      </c>
      <c r="N1973">
        <f>YEAR(Table9[[#This Row],[OrderDate ]])</f>
        <v>2015</v>
      </c>
    </row>
    <row r="1974" spans="1:14" x14ac:dyDescent="0.3">
      <c r="A1974">
        <v>11011</v>
      </c>
      <c r="B1974" s="2">
        <f>_xlfn.XLOOKUP(Table9[[#This Row],[orderID]],orders[orderID],orders[orderDate],,0)</f>
        <v>42103</v>
      </c>
      <c r="C1974">
        <f>_xlfn.XLOOKUP(A1974,order_details[orderID],order_details[productID],,0)</f>
        <v>58</v>
      </c>
      <c r="D1974" t="str">
        <f>_xlfn.XLOOKUP(C1974,products[productID],products[productName],,0)</f>
        <v>Escargots de Bourgogne</v>
      </c>
      <c r="E1974" t="str">
        <f>_xlfn.XLOOKUP(_xlfn.XLOOKUP(Table9[[#This Row],[ProductName ]],products[productName],products[categoryID],,0),categories[categoryID],categories[categoryName],,0)</f>
        <v>Seafood</v>
      </c>
      <c r="F1974">
        <v>20</v>
      </c>
      <c r="G1974">
        <v>215</v>
      </c>
      <c r="H1974">
        <v>0</v>
      </c>
      <c r="I1974">
        <f>Table9[[#This Row],[quantity]]*Table9[[#This Row],[unitPrice]]*(1-Table9[[#This Row],[discount]]/100)</f>
        <v>4300</v>
      </c>
      <c r="J1974" t="str">
        <f>_xlfn.XLOOKUP(_xlfn.XLOOKUP(A1974,orders[orderID],orders[customerID],,0),customers__2[customerID],customers__2[companyName],,0)</f>
        <v>Alfreds Futterkiste</v>
      </c>
      <c r="K1974" t="str">
        <f>_xlfn.XLOOKUP(Table9[[#This Row],[Company Name]],customers__2[companyName],customers__2[country],,0)</f>
        <v>Germany</v>
      </c>
      <c r="L1974">
        <f>MONTH(Table9[[#This Row],[OrderDate ]])</f>
        <v>4</v>
      </c>
      <c r="M1974" t="str">
        <f>TEXT(Table9[[#This Row],[OrderDate ]],"mmm")</f>
        <v>Apr</v>
      </c>
      <c r="N1974">
        <f>YEAR(Table9[[#This Row],[OrderDate ]])</f>
        <v>2015</v>
      </c>
    </row>
    <row r="1975" spans="1:14" x14ac:dyDescent="0.3">
      <c r="A1975">
        <v>11012</v>
      </c>
      <c r="B1975" s="2">
        <f>_xlfn.XLOOKUP(Table9[[#This Row],[orderID]],orders[orderID],orders[orderDate],,0)</f>
        <v>42103</v>
      </c>
      <c r="C1975">
        <f>_xlfn.XLOOKUP(A1975,order_details[orderID],order_details[productID],,0)</f>
        <v>19</v>
      </c>
      <c r="D1975" t="str">
        <f>_xlfn.XLOOKUP(C1975,products[productID],products[productName],,0)</f>
        <v>Teatime Chocolate Biscuits</v>
      </c>
      <c r="E1975" t="str">
        <f>_xlfn.XLOOKUP(_xlfn.XLOOKUP(Table9[[#This Row],[ProductName ]],products[productName],products[categoryID],,0),categories[categoryID],categories[categoryName],,0)</f>
        <v>Confections</v>
      </c>
      <c r="F1975">
        <v>50</v>
      </c>
      <c r="G1975">
        <v>92</v>
      </c>
      <c r="H1975">
        <v>5</v>
      </c>
      <c r="I1975">
        <f>Table9[[#This Row],[quantity]]*Table9[[#This Row],[unitPrice]]*(1-Table9[[#This Row],[discount]]/100)</f>
        <v>4370</v>
      </c>
      <c r="J1975" t="str">
        <f>_xlfn.XLOOKUP(_xlfn.XLOOKUP(A1975,orders[orderID],orders[customerID],,0),customers__2[customerID],customers__2[companyName],,0)</f>
        <v>Frankenversand</v>
      </c>
      <c r="K1975" t="str">
        <f>_xlfn.XLOOKUP(Table9[[#This Row],[Company Name]],customers__2[companyName],customers__2[country],,0)</f>
        <v>Germany</v>
      </c>
      <c r="L1975">
        <f>MONTH(Table9[[#This Row],[OrderDate ]])</f>
        <v>4</v>
      </c>
      <c r="M1975" t="str">
        <f>TEXT(Table9[[#This Row],[OrderDate ]],"mmm")</f>
        <v>Apr</v>
      </c>
      <c r="N1975">
        <f>YEAR(Table9[[#This Row],[OrderDate ]])</f>
        <v>2015</v>
      </c>
    </row>
    <row r="1976" spans="1:14" x14ac:dyDescent="0.3">
      <c r="A1976">
        <v>11012</v>
      </c>
      <c r="B1976" s="2">
        <f>_xlfn.XLOOKUP(Table9[[#This Row],[orderID]],orders[orderID],orders[orderDate],,0)</f>
        <v>42103</v>
      </c>
      <c r="C1976">
        <f>_xlfn.XLOOKUP(A1976,order_details[orderID],order_details[productID],,0)</f>
        <v>19</v>
      </c>
      <c r="D1976" t="str">
        <f>_xlfn.XLOOKUP(C1976,products[productID],products[productName],,0)</f>
        <v>Teatime Chocolate Biscuits</v>
      </c>
      <c r="E1976" t="str">
        <f>_xlfn.XLOOKUP(_xlfn.XLOOKUP(Table9[[#This Row],[ProductName ]],products[productName],products[categoryID],,0),categories[categoryID],categories[categoryName],,0)</f>
        <v>Confections</v>
      </c>
      <c r="F1976">
        <v>36</v>
      </c>
      <c r="G1976">
        <v>34</v>
      </c>
      <c r="H1976">
        <v>5</v>
      </c>
      <c r="I1976">
        <f>Table9[[#This Row],[quantity]]*Table9[[#This Row],[unitPrice]]*(1-Table9[[#This Row],[discount]]/100)</f>
        <v>1162.8</v>
      </c>
      <c r="J1976" t="str">
        <f>_xlfn.XLOOKUP(_xlfn.XLOOKUP(A1976,orders[orderID],orders[customerID],,0),customers__2[customerID],customers__2[companyName],,0)</f>
        <v>Frankenversand</v>
      </c>
      <c r="K1976" t="str">
        <f>_xlfn.XLOOKUP(Table9[[#This Row],[Company Name]],customers__2[companyName],customers__2[country],,0)</f>
        <v>Germany</v>
      </c>
      <c r="L1976">
        <f>MONTH(Table9[[#This Row],[OrderDate ]])</f>
        <v>4</v>
      </c>
      <c r="M1976" t="str">
        <f>TEXT(Table9[[#This Row],[OrderDate ]],"mmm")</f>
        <v>Apr</v>
      </c>
      <c r="N1976">
        <f>YEAR(Table9[[#This Row],[OrderDate ]])</f>
        <v>2015</v>
      </c>
    </row>
    <row r="1977" spans="1:14" x14ac:dyDescent="0.3">
      <c r="A1977">
        <v>11012</v>
      </c>
      <c r="B1977" s="2">
        <f>_xlfn.XLOOKUP(Table9[[#This Row],[orderID]],orders[orderID],orders[orderDate],,0)</f>
        <v>42103</v>
      </c>
      <c r="C1977">
        <f>_xlfn.XLOOKUP(A1977,order_details[orderID],order_details[productID],,0)</f>
        <v>19</v>
      </c>
      <c r="D1977" t="str">
        <f>_xlfn.XLOOKUP(C1977,products[productID],products[productName],,0)</f>
        <v>Teatime Chocolate Biscuits</v>
      </c>
      <c r="E1977" t="str">
        <f>_xlfn.XLOOKUP(_xlfn.XLOOKUP(Table9[[#This Row],[ProductName ]],products[productName],products[categoryID],,0),categories[categoryID],categories[categoryName],,0)</f>
        <v>Confections</v>
      </c>
      <c r="F1977">
        <v>60</v>
      </c>
      <c r="G1977">
        <v>215</v>
      </c>
      <c r="H1977">
        <v>5</v>
      </c>
      <c r="I1977">
        <f>Table9[[#This Row],[quantity]]*Table9[[#This Row],[unitPrice]]*(1-Table9[[#This Row],[discount]]/100)</f>
        <v>12255</v>
      </c>
      <c r="J1977" t="str">
        <f>_xlfn.XLOOKUP(_xlfn.XLOOKUP(A1977,orders[orderID],orders[customerID],,0),customers__2[customerID],customers__2[companyName],,0)</f>
        <v>Frankenversand</v>
      </c>
      <c r="K1977" t="str">
        <f>_xlfn.XLOOKUP(Table9[[#This Row],[Company Name]],customers__2[companyName],customers__2[country],,0)</f>
        <v>Germany</v>
      </c>
      <c r="L1977">
        <f>MONTH(Table9[[#This Row],[OrderDate ]])</f>
        <v>4</v>
      </c>
      <c r="M1977" t="str">
        <f>TEXT(Table9[[#This Row],[OrderDate ]],"mmm")</f>
        <v>Apr</v>
      </c>
      <c r="N1977">
        <f>YEAR(Table9[[#This Row],[OrderDate ]])</f>
        <v>2015</v>
      </c>
    </row>
    <row r="1978" spans="1:14" x14ac:dyDescent="0.3">
      <c r="A1978">
        <v>11013</v>
      </c>
      <c r="B1978" s="2">
        <f>_xlfn.XLOOKUP(Table9[[#This Row],[orderID]],orders[orderID],orders[orderDate],,0)</f>
        <v>42103</v>
      </c>
      <c r="C1978">
        <f>_xlfn.XLOOKUP(A1978,order_details[orderID],order_details[productID],,0)</f>
        <v>23</v>
      </c>
      <c r="D1978" t="str">
        <f>_xlfn.XLOOKUP(C1978,products[productID],products[productName],,0)</f>
        <v>Tunnbröd</v>
      </c>
      <c r="E1978" t="str">
        <f>_xlfn.XLOOKUP(_xlfn.XLOOKUP(Table9[[#This Row],[ProductName ]],products[productName],products[categoryID],,0),categories[categoryID],categories[categoryName],,0)</f>
        <v>Grains &amp; Cereals</v>
      </c>
      <c r="F1978">
        <v>10</v>
      </c>
      <c r="G1978">
        <v>9</v>
      </c>
      <c r="H1978">
        <v>0</v>
      </c>
      <c r="I1978">
        <f>Table9[[#This Row],[quantity]]*Table9[[#This Row],[unitPrice]]*(1-Table9[[#This Row],[discount]]/100)</f>
        <v>90</v>
      </c>
      <c r="J1978" t="str">
        <f>_xlfn.XLOOKUP(_xlfn.XLOOKUP(A1978,orders[orderID],orders[customerID],,0),customers__2[customerID],customers__2[companyName],,0)</f>
        <v>Romero y tomillo</v>
      </c>
      <c r="K1978" t="str">
        <f>_xlfn.XLOOKUP(Table9[[#This Row],[Company Name]],customers__2[companyName],customers__2[country],,0)</f>
        <v>Spain</v>
      </c>
      <c r="L1978">
        <f>MONTH(Table9[[#This Row],[OrderDate ]])</f>
        <v>4</v>
      </c>
      <c r="M1978" t="str">
        <f>TEXT(Table9[[#This Row],[OrderDate ]],"mmm")</f>
        <v>Apr</v>
      </c>
      <c r="N1978">
        <f>YEAR(Table9[[#This Row],[OrderDate ]])</f>
        <v>2015</v>
      </c>
    </row>
    <row r="1979" spans="1:14" x14ac:dyDescent="0.3">
      <c r="A1979">
        <v>11013</v>
      </c>
      <c r="B1979" s="2">
        <f>_xlfn.XLOOKUP(Table9[[#This Row],[orderID]],orders[orderID],orders[orderDate],,0)</f>
        <v>42103</v>
      </c>
      <c r="C1979">
        <f>_xlfn.XLOOKUP(A1979,order_details[orderID],order_details[productID],,0)</f>
        <v>23</v>
      </c>
      <c r="D1979" t="str">
        <f>_xlfn.XLOOKUP(C1979,products[productID],products[productName],,0)</f>
        <v>Tunnbröd</v>
      </c>
      <c r="E1979" t="str">
        <f>_xlfn.XLOOKUP(_xlfn.XLOOKUP(Table9[[#This Row],[ProductName ]],products[productName],products[categoryID],,0),categories[categoryID],categories[categoryName],,0)</f>
        <v>Grains &amp; Cereals</v>
      </c>
      <c r="F1979">
        <v>4</v>
      </c>
      <c r="G1979">
        <v>14</v>
      </c>
      <c r="H1979">
        <v>0</v>
      </c>
      <c r="I1979">
        <f>Table9[[#This Row],[quantity]]*Table9[[#This Row],[unitPrice]]*(1-Table9[[#This Row],[discount]]/100)</f>
        <v>56</v>
      </c>
      <c r="J1979" t="str">
        <f>_xlfn.XLOOKUP(_xlfn.XLOOKUP(A1979,orders[orderID],orders[customerID],,0),customers__2[customerID],customers__2[companyName],,0)</f>
        <v>Romero y tomillo</v>
      </c>
      <c r="K1979" t="str">
        <f>_xlfn.XLOOKUP(Table9[[#This Row],[Company Name]],customers__2[companyName],customers__2[country],,0)</f>
        <v>Spain</v>
      </c>
      <c r="L1979">
        <f>MONTH(Table9[[#This Row],[OrderDate ]])</f>
        <v>4</v>
      </c>
      <c r="M1979" t="str">
        <f>TEXT(Table9[[#This Row],[OrderDate ]],"mmm")</f>
        <v>Apr</v>
      </c>
      <c r="N1979">
        <f>YEAR(Table9[[#This Row],[OrderDate ]])</f>
        <v>2015</v>
      </c>
    </row>
    <row r="1980" spans="1:14" x14ac:dyDescent="0.3">
      <c r="A1980">
        <v>11013</v>
      </c>
      <c r="B1980" s="2">
        <f>_xlfn.XLOOKUP(Table9[[#This Row],[orderID]],orders[orderID],orders[orderDate],,0)</f>
        <v>42103</v>
      </c>
      <c r="C1980">
        <f>_xlfn.XLOOKUP(A1980,order_details[orderID],order_details[productID],,0)</f>
        <v>23</v>
      </c>
      <c r="D1980" t="str">
        <f>_xlfn.XLOOKUP(C1980,products[productID],products[productName],,0)</f>
        <v>Tunnbröd</v>
      </c>
      <c r="E1980" t="str">
        <f>_xlfn.XLOOKUP(_xlfn.XLOOKUP(Table9[[#This Row],[ProductName ]],products[productName],products[categoryID],,0),categories[categoryID],categories[categoryName],,0)</f>
        <v>Grains &amp; Cereals</v>
      </c>
      <c r="F1980">
        <v>20</v>
      </c>
      <c r="G1980">
        <v>95</v>
      </c>
      <c r="H1980">
        <v>0</v>
      </c>
      <c r="I1980">
        <f>Table9[[#This Row],[quantity]]*Table9[[#This Row],[unitPrice]]*(1-Table9[[#This Row],[discount]]/100)</f>
        <v>1900</v>
      </c>
      <c r="J1980" t="str">
        <f>_xlfn.XLOOKUP(_xlfn.XLOOKUP(A1980,orders[orderID],orders[customerID],,0),customers__2[customerID],customers__2[companyName],,0)</f>
        <v>Romero y tomillo</v>
      </c>
      <c r="K1980" t="str">
        <f>_xlfn.XLOOKUP(Table9[[#This Row],[Company Name]],customers__2[companyName],customers__2[country],,0)</f>
        <v>Spain</v>
      </c>
      <c r="L1980">
        <f>MONTH(Table9[[#This Row],[OrderDate ]])</f>
        <v>4</v>
      </c>
      <c r="M1980" t="str">
        <f>TEXT(Table9[[#This Row],[OrderDate ]],"mmm")</f>
        <v>Apr</v>
      </c>
      <c r="N1980">
        <f>YEAR(Table9[[#This Row],[OrderDate ]])</f>
        <v>2015</v>
      </c>
    </row>
    <row r="1981" spans="1:14" x14ac:dyDescent="0.3">
      <c r="A1981">
        <v>11013</v>
      </c>
      <c r="B1981" s="2">
        <f>_xlfn.XLOOKUP(Table9[[#This Row],[orderID]],orders[orderID],orders[orderDate],,0)</f>
        <v>42103</v>
      </c>
      <c r="C1981">
        <f>_xlfn.XLOOKUP(A1981,order_details[orderID],order_details[productID],,0)</f>
        <v>23</v>
      </c>
      <c r="D1981" t="str">
        <f>_xlfn.XLOOKUP(C1981,products[productID],products[productName],,0)</f>
        <v>Tunnbröd</v>
      </c>
      <c r="E1981" t="str">
        <f>_xlfn.XLOOKUP(_xlfn.XLOOKUP(Table9[[#This Row],[ProductName ]],products[productName],products[categoryID],,0),categories[categoryID],categories[categoryName],,0)</f>
        <v>Grains &amp; Cereals</v>
      </c>
      <c r="F1981">
        <v>2</v>
      </c>
      <c r="G1981">
        <v>125</v>
      </c>
      <c r="H1981">
        <v>0</v>
      </c>
      <c r="I1981">
        <f>Table9[[#This Row],[quantity]]*Table9[[#This Row],[unitPrice]]*(1-Table9[[#This Row],[discount]]/100)</f>
        <v>250</v>
      </c>
      <c r="J1981" t="str">
        <f>_xlfn.XLOOKUP(_xlfn.XLOOKUP(A1981,orders[orderID],orders[customerID],,0),customers__2[customerID],customers__2[companyName],,0)</f>
        <v>Romero y tomillo</v>
      </c>
      <c r="K1981" t="str">
        <f>_xlfn.XLOOKUP(Table9[[#This Row],[Company Name]],customers__2[companyName],customers__2[country],,0)</f>
        <v>Spain</v>
      </c>
      <c r="L1981">
        <f>MONTH(Table9[[#This Row],[OrderDate ]])</f>
        <v>4</v>
      </c>
      <c r="M1981" t="str">
        <f>TEXT(Table9[[#This Row],[OrderDate ]],"mmm")</f>
        <v>Apr</v>
      </c>
      <c r="N1981">
        <f>YEAR(Table9[[#This Row],[OrderDate ]])</f>
        <v>2015</v>
      </c>
    </row>
    <row r="1982" spans="1:14" x14ac:dyDescent="0.3">
      <c r="A1982">
        <v>11014</v>
      </c>
      <c r="B1982" s="2">
        <f>_xlfn.XLOOKUP(Table9[[#This Row],[orderID]],orders[orderID],orders[orderDate],,0)</f>
        <v>42104</v>
      </c>
      <c r="C1982">
        <f>_xlfn.XLOOKUP(A1982,order_details[orderID],order_details[productID],,0)</f>
        <v>41</v>
      </c>
      <c r="D1982" t="str">
        <f>_xlfn.XLOOKUP(C1982,products[productID],products[productName],,0)</f>
        <v>Jack's New England Clam Chowder</v>
      </c>
      <c r="E1982" t="str">
        <f>_xlfn.XLOOKUP(_xlfn.XLOOKUP(Table9[[#This Row],[ProductName ]],products[productName],products[categoryID],,0),categories[categoryID],categories[categoryName],,0)</f>
        <v>Seafood</v>
      </c>
      <c r="F1982">
        <v>28</v>
      </c>
      <c r="G1982">
        <v>965</v>
      </c>
      <c r="H1982">
        <v>1</v>
      </c>
      <c r="I1982">
        <f>Table9[[#This Row],[quantity]]*Table9[[#This Row],[unitPrice]]*(1-Table9[[#This Row],[discount]]/100)</f>
        <v>26749.8</v>
      </c>
      <c r="J1982" t="str">
        <f>_xlfn.XLOOKUP(_xlfn.XLOOKUP(A1982,orders[orderID],orders[customerID],,0),customers__2[customerID],customers__2[companyName],,0)</f>
        <v>LINO-Delicateses</v>
      </c>
      <c r="K1982" t="str">
        <f>_xlfn.XLOOKUP(Table9[[#This Row],[Company Name]],customers__2[companyName],customers__2[country],,0)</f>
        <v>Venezuela</v>
      </c>
      <c r="L1982">
        <f>MONTH(Table9[[#This Row],[OrderDate ]])</f>
        <v>4</v>
      </c>
      <c r="M1982" t="str">
        <f>TEXT(Table9[[#This Row],[OrderDate ]],"mmm")</f>
        <v>Apr</v>
      </c>
      <c r="N1982">
        <f>YEAR(Table9[[#This Row],[OrderDate ]])</f>
        <v>2015</v>
      </c>
    </row>
    <row r="1983" spans="1:14" x14ac:dyDescent="0.3">
      <c r="A1983">
        <v>11015</v>
      </c>
      <c r="B1983" s="2">
        <f>_xlfn.XLOOKUP(Table9[[#This Row],[orderID]],orders[orderID],orders[orderDate],,0)</f>
        <v>42104</v>
      </c>
      <c r="C1983">
        <f>_xlfn.XLOOKUP(A1983,order_details[orderID],order_details[productID],,0)</f>
        <v>30</v>
      </c>
      <c r="D1983" t="str">
        <f>_xlfn.XLOOKUP(C1983,products[productID],products[productName],,0)</f>
        <v>Nord-Ost Matjeshering</v>
      </c>
      <c r="E1983" t="str">
        <f>_xlfn.XLOOKUP(_xlfn.XLOOKUP(Table9[[#This Row],[ProductName ]],products[productName],products[categoryID],,0),categories[categoryID],categories[categoryName],,0)</f>
        <v>Seafood</v>
      </c>
      <c r="F1983">
        <v>15</v>
      </c>
      <c r="G1983">
        <v>2589</v>
      </c>
      <c r="H1983">
        <v>0</v>
      </c>
      <c r="I1983">
        <f>Table9[[#This Row],[quantity]]*Table9[[#This Row],[unitPrice]]*(1-Table9[[#This Row],[discount]]/100)</f>
        <v>38835</v>
      </c>
      <c r="J1983" t="str">
        <f>_xlfn.XLOOKUP(_xlfn.XLOOKUP(A1983,orders[orderID],orders[customerID],,0),customers__2[customerID],customers__2[companyName],,0)</f>
        <v>Santé Gourmet</v>
      </c>
      <c r="K1983" t="str">
        <f>_xlfn.XLOOKUP(Table9[[#This Row],[Company Name]],customers__2[companyName],customers__2[country],,0)</f>
        <v>Norway</v>
      </c>
      <c r="L1983">
        <f>MONTH(Table9[[#This Row],[OrderDate ]])</f>
        <v>4</v>
      </c>
      <c r="M1983" t="str">
        <f>TEXT(Table9[[#This Row],[OrderDate ]],"mmm")</f>
        <v>Apr</v>
      </c>
      <c r="N1983">
        <f>YEAR(Table9[[#This Row],[OrderDate ]])</f>
        <v>2015</v>
      </c>
    </row>
    <row r="1984" spans="1:14" x14ac:dyDescent="0.3">
      <c r="A1984">
        <v>11015</v>
      </c>
      <c r="B1984" s="2">
        <f>_xlfn.XLOOKUP(Table9[[#This Row],[orderID]],orders[orderID],orders[orderDate],,0)</f>
        <v>42104</v>
      </c>
      <c r="C1984">
        <f>_xlfn.XLOOKUP(A1984,order_details[orderID],order_details[productID],,0)</f>
        <v>30</v>
      </c>
      <c r="D1984" t="str">
        <f>_xlfn.XLOOKUP(C1984,products[productID],products[productName],,0)</f>
        <v>Nord-Ost Matjeshering</v>
      </c>
      <c r="E1984" t="str">
        <f>_xlfn.XLOOKUP(_xlfn.XLOOKUP(Table9[[#This Row],[ProductName ]],products[productName],products[categoryID],,0),categories[categoryID],categories[categoryName],,0)</f>
        <v>Seafood</v>
      </c>
      <c r="F1984">
        <v>18</v>
      </c>
      <c r="G1984">
        <v>13</v>
      </c>
      <c r="H1984">
        <v>0</v>
      </c>
      <c r="I1984">
        <f>Table9[[#This Row],[quantity]]*Table9[[#This Row],[unitPrice]]*(1-Table9[[#This Row],[discount]]/100)</f>
        <v>234</v>
      </c>
      <c r="J1984" t="str">
        <f>_xlfn.XLOOKUP(_xlfn.XLOOKUP(A1984,orders[orderID],orders[customerID],,0),customers__2[customerID],customers__2[companyName],,0)</f>
        <v>Santé Gourmet</v>
      </c>
      <c r="K1984" t="str">
        <f>_xlfn.XLOOKUP(Table9[[#This Row],[Company Name]],customers__2[companyName],customers__2[country],,0)</f>
        <v>Norway</v>
      </c>
      <c r="L1984">
        <f>MONTH(Table9[[#This Row],[OrderDate ]])</f>
        <v>4</v>
      </c>
      <c r="M1984" t="str">
        <f>TEXT(Table9[[#This Row],[OrderDate ]],"mmm")</f>
        <v>Apr</v>
      </c>
      <c r="N1984">
        <f>YEAR(Table9[[#This Row],[OrderDate ]])</f>
        <v>2015</v>
      </c>
    </row>
    <row r="1985" spans="1:14" x14ac:dyDescent="0.3">
      <c r="A1985">
        <v>11016</v>
      </c>
      <c r="B1985" s="2">
        <f>_xlfn.XLOOKUP(Table9[[#This Row],[orderID]],orders[orderID],orders[orderDate],,0)</f>
        <v>42104</v>
      </c>
      <c r="C1985">
        <f>_xlfn.XLOOKUP(A1985,order_details[orderID],order_details[productID],,0)</f>
        <v>31</v>
      </c>
      <c r="D1985" t="str">
        <f>_xlfn.XLOOKUP(C1985,products[productID],products[productName],,0)</f>
        <v>Gorgonzola Telino</v>
      </c>
      <c r="E1985" t="str">
        <f>_xlfn.XLOOKUP(_xlfn.XLOOKUP(Table9[[#This Row],[ProductName ]],products[productName],products[categoryID],,0),categories[categoryID],categories[categoryName],,0)</f>
        <v>Dairy Products</v>
      </c>
      <c r="F1985">
        <v>15</v>
      </c>
      <c r="G1985">
        <v>125</v>
      </c>
      <c r="H1985">
        <v>0</v>
      </c>
      <c r="I1985">
        <f>Table9[[#This Row],[quantity]]*Table9[[#This Row],[unitPrice]]*(1-Table9[[#This Row],[discount]]/100)</f>
        <v>1875</v>
      </c>
      <c r="J1985" t="str">
        <f>_xlfn.XLOOKUP(_xlfn.XLOOKUP(A1985,orders[orderID],orders[customerID],,0),customers__2[customerID],customers__2[companyName],,0)</f>
        <v>Around the Horn</v>
      </c>
      <c r="K1985" t="str">
        <f>_xlfn.XLOOKUP(Table9[[#This Row],[Company Name]],customers__2[companyName],customers__2[country],,0)</f>
        <v>UK</v>
      </c>
      <c r="L1985">
        <f>MONTH(Table9[[#This Row],[OrderDate ]])</f>
        <v>4</v>
      </c>
      <c r="M1985" t="str">
        <f>TEXT(Table9[[#This Row],[OrderDate ]],"mmm")</f>
        <v>Apr</v>
      </c>
      <c r="N1985">
        <f>YEAR(Table9[[#This Row],[OrderDate ]])</f>
        <v>2015</v>
      </c>
    </row>
    <row r="1986" spans="1:14" x14ac:dyDescent="0.3">
      <c r="A1986">
        <v>11016</v>
      </c>
      <c r="B1986" s="2">
        <f>_xlfn.XLOOKUP(Table9[[#This Row],[orderID]],orders[orderID],orders[orderDate],,0)</f>
        <v>42104</v>
      </c>
      <c r="C1986">
        <f>_xlfn.XLOOKUP(A1986,order_details[orderID],order_details[productID],,0)</f>
        <v>31</v>
      </c>
      <c r="D1986" t="str">
        <f>_xlfn.XLOOKUP(C1986,products[productID],products[productName],,0)</f>
        <v>Gorgonzola Telino</v>
      </c>
      <c r="E1986" t="str">
        <f>_xlfn.XLOOKUP(_xlfn.XLOOKUP(Table9[[#This Row],[ProductName ]],products[productName],products[categoryID],,0),categories[categoryID],categories[categoryName],,0)</f>
        <v>Dairy Products</v>
      </c>
      <c r="F1986">
        <v>16</v>
      </c>
      <c r="G1986">
        <v>19</v>
      </c>
      <c r="H1986">
        <v>0</v>
      </c>
      <c r="I1986">
        <f>Table9[[#This Row],[quantity]]*Table9[[#This Row],[unitPrice]]*(1-Table9[[#This Row],[discount]]/100)</f>
        <v>304</v>
      </c>
      <c r="J1986" t="str">
        <f>_xlfn.XLOOKUP(_xlfn.XLOOKUP(A1986,orders[orderID],orders[customerID],,0),customers__2[customerID],customers__2[companyName],,0)</f>
        <v>Around the Horn</v>
      </c>
      <c r="K1986" t="str">
        <f>_xlfn.XLOOKUP(Table9[[#This Row],[Company Name]],customers__2[companyName],customers__2[country],,0)</f>
        <v>UK</v>
      </c>
      <c r="L1986">
        <f>MONTH(Table9[[#This Row],[OrderDate ]])</f>
        <v>4</v>
      </c>
      <c r="M1986" t="str">
        <f>TEXT(Table9[[#This Row],[OrderDate ]],"mmm")</f>
        <v>Apr</v>
      </c>
      <c r="N1986">
        <f>YEAR(Table9[[#This Row],[OrderDate ]])</f>
        <v>2015</v>
      </c>
    </row>
    <row r="1987" spans="1:14" x14ac:dyDescent="0.3">
      <c r="A1987">
        <v>11017</v>
      </c>
      <c r="B1987" s="2">
        <f>_xlfn.XLOOKUP(Table9[[#This Row],[orderID]],orders[orderID],orders[orderDate],,0)</f>
        <v>42107</v>
      </c>
      <c r="C1987">
        <f>_xlfn.XLOOKUP(A1987,order_details[orderID],order_details[productID],,0)</f>
        <v>3</v>
      </c>
      <c r="D1987" t="str">
        <f>_xlfn.XLOOKUP(C1987,products[productID],products[productName],,0)</f>
        <v>Aniseed Syrup</v>
      </c>
      <c r="E1987" t="str">
        <f>_xlfn.XLOOKUP(_xlfn.XLOOKUP(Table9[[#This Row],[ProductName ]],products[productName],products[categoryID],,0),categories[categoryID],categories[categoryName],,0)</f>
        <v>Condiments</v>
      </c>
      <c r="F1987">
        <v>25</v>
      </c>
      <c r="G1987">
        <v>10</v>
      </c>
      <c r="H1987">
        <v>0</v>
      </c>
      <c r="I1987">
        <f>Table9[[#This Row],[quantity]]*Table9[[#This Row],[unitPrice]]*(1-Table9[[#This Row],[discount]]/100)</f>
        <v>250</v>
      </c>
      <c r="J1987" t="str">
        <f>_xlfn.XLOOKUP(_xlfn.XLOOKUP(A1987,orders[orderID],orders[customerID],,0),customers__2[customerID],customers__2[companyName],,0)</f>
        <v>Ernst Handel</v>
      </c>
      <c r="K1987" t="str">
        <f>_xlfn.XLOOKUP(Table9[[#This Row],[Company Name]],customers__2[companyName],customers__2[country],,0)</f>
        <v>Austria</v>
      </c>
      <c r="L1987">
        <f>MONTH(Table9[[#This Row],[OrderDate ]])</f>
        <v>4</v>
      </c>
      <c r="M1987" t="str">
        <f>TEXT(Table9[[#This Row],[OrderDate ]],"mmm")</f>
        <v>Apr</v>
      </c>
      <c r="N1987">
        <f>YEAR(Table9[[#This Row],[OrderDate ]])</f>
        <v>2015</v>
      </c>
    </row>
    <row r="1988" spans="1:14" x14ac:dyDescent="0.3">
      <c r="A1988">
        <v>11017</v>
      </c>
      <c r="B1988" s="2">
        <f>_xlfn.XLOOKUP(Table9[[#This Row],[orderID]],orders[orderID],orders[orderDate],,0)</f>
        <v>42107</v>
      </c>
      <c r="C1988">
        <f>_xlfn.XLOOKUP(A1988,order_details[orderID],order_details[productID],,0)</f>
        <v>3</v>
      </c>
      <c r="D1988" t="str">
        <f>_xlfn.XLOOKUP(C1988,products[productID],products[productName],,0)</f>
        <v>Aniseed Syrup</v>
      </c>
      <c r="E1988" t="str">
        <f>_xlfn.XLOOKUP(_xlfn.XLOOKUP(Table9[[#This Row],[ProductName ]],products[productName],products[categoryID],,0),categories[categoryID],categories[categoryName],,0)</f>
        <v>Condiments</v>
      </c>
      <c r="F1988">
        <v>110</v>
      </c>
      <c r="G1988">
        <v>55</v>
      </c>
      <c r="H1988">
        <v>0</v>
      </c>
      <c r="I1988">
        <f>Table9[[#This Row],[quantity]]*Table9[[#This Row],[unitPrice]]*(1-Table9[[#This Row],[discount]]/100)</f>
        <v>6050</v>
      </c>
      <c r="J1988" t="str">
        <f>_xlfn.XLOOKUP(_xlfn.XLOOKUP(A1988,orders[orderID],orders[customerID],,0),customers__2[customerID],customers__2[companyName],,0)</f>
        <v>Ernst Handel</v>
      </c>
      <c r="K1988" t="str">
        <f>_xlfn.XLOOKUP(Table9[[#This Row],[Company Name]],customers__2[companyName],customers__2[country],,0)</f>
        <v>Austria</v>
      </c>
      <c r="L1988">
        <f>MONTH(Table9[[#This Row],[OrderDate ]])</f>
        <v>4</v>
      </c>
      <c r="M1988" t="str">
        <f>TEXT(Table9[[#This Row],[OrderDate ]],"mmm")</f>
        <v>Apr</v>
      </c>
      <c r="N1988">
        <f>YEAR(Table9[[#This Row],[OrderDate ]])</f>
        <v>2015</v>
      </c>
    </row>
    <row r="1989" spans="1:14" x14ac:dyDescent="0.3">
      <c r="A1989">
        <v>11017</v>
      </c>
      <c r="B1989" s="2">
        <f>_xlfn.XLOOKUP(Table9[[#This Row],[orderID]],orders[orderID],orders[orderDate],,0)</f>
        <v>42107</v>
      </c>
      <c r="C1989">
        <f>_xlfn.XLOOKUP(A1989,order_details[orderID],order_details[productID],,0)</f>
        <v>3</v>
      </c>
      <c r="D1989" t="str">
        <f>_xlfn.XLOOKUP(C1989,products[productID],products[productName],,0)</f>
        <v>Aniseed Syrup</v>
      </c>
      <c r="E1989" t="str">
        <f>_xlfn.XLOOKUP(_xlfn.XLOOKUP(Table9[[#This Row],[ProductName ]],products[productName],products[categoryID],,0),categories[categoryID],categories[categoryName],,0)</f>
        <v>Condiments</v>
      </c>
      <c r="F1989">
        <v>30</v>
      </c>
      <c r="G1989">
        <v>15</v>
      </c>
      <c r="H1989">
        <v>0</v>
      </c>
      <c r="I1989">
        <f>Table9[[#This Row],[quantity]]*Table9[[#This Row],[unitPrice]]*(1-Table9[[#This Row],[discount]]/100)</f>
        <v>450</v>
      </c>
      <c r="J1989" t="str">
        <f>_xlfn.XLOOKUP(_xlfn.XLOOKUP(A1989,orders[orderID],orders[customerID],,0),customers__2[customerID],customers__2[companyName],,0)</f>
        <v>Ernst Handel</v>
      </c>
      <c r="K1989" t="str">
        <f>_xlfn.XLOOKUP(Table9[[#This Row],[Company Name]],customers__2[companyName],customers__2[country],,0)</f>
        <v>Austria</v>
      </c>
      <c r="L1989">
        <f>MONTH(Table9[[#This Row],[OrderDate ]])</f>
        <v>4</v>
      </c>
      <c r="M1989" t="str">
        <f>TEXT(Table9[[#This Row],[OrderDate ]],"mmm")</f>
        <v>Apr</v>
      </c>
      <c r="N1989">
        <f>YEAR(Table9[[#This Row],[OrderDate ]])</f>
        <v>2015</v>
      </c>
    </row>
    <row r="1990" spans="1:14" x14ac:dyDescent="0.3">
      <c r="A1990">
        <v>11018</v>
      </c>
      <c r="B1990" s="2">
        <f>_xlfn.XLOOKUP(Table9[[#This Row],[orderID]],orders[orderID],orders[orderDate],,0)</f>
        <v>42107</v>
      </c>
      <c r="C1990">
        <f>_xlfn.XLOOKUP(A1990,order_details[orderID],order_details[productID],,0)</f>
        <v>12</v>
      </c>
      <c r="D1990" t="str">
        <f>_xlfn.XLOOKUP(C1990,products[productID],products[productName],,0)</f>
        <v>Queso Manchego La Pastora</v>
      </c>
      <c r="E1990" t="str">
        <f>_xlfn.XLOOKUP(_xlfn.XLOOKUP(Table9[[#This Row],[ProductName ]],products[productName],products[categoryID],,0),categories[categoryID],categories[categoryName],,0)</f>
        <v>Dairy Products</v>
      </c>
      <c r="F1990">
        <v>20</v>
      </c>
      <c r="G1990">
        <v>38</v>
      </c>
      <c r="H1990">
        <v>0</v>
      </c>
      <c r="I1990">
        <f>Table9[[#This Row],[quantity]]*Table9[[#This Row],[unitPrice]]*(1-Table9[[#This Row],[discount]]/100)</f>
        <v>760</v>
      </c>
      <c r="J1990" t="str">
        <f>_xlfn.XLOOKUP(_xlfn.XLOOKUP(A1990,orders[orderID],orders[customerID],,0),customers__2[customerID],customers__2[companyName],,0)</f>
        <v>Lonesome Pine Restaurant</v>
      </c>
      <c r="K1990" t="str">
        <f>_xlfn.XLOOKUP(Table9[[#This Row],[Company Name]],customers__2[companyName],customers__2[country],,0)</f>
        <v>USA</v>
      </c>
      <c r="L1990">
        <f>MONTH(Table9[[#This Row],[OrderDate ]])</f>
        <v>4</v>
      </c>
      <c r="M1990" t="str">
        <f>TEXT(Table9[[#This Row],[OrderDate ]],"mmm")</f>
        <v>Apr</v>
      </c>
      <c r="N1990">
        <f>YEAR(Table9[[#This Row],[OrderDate ]])</f>
        <v>2015</v>
      </c>
    </row>
    <row r="1991" spans="1:14" x14ac:dyDescent="0.3">
      <c r="A1991">
        <v>11018</v>
      </c>
      <c r="B1991" s="2">
        <f>_xlfn.XLOOKUP(Table9[[#This Row],[orderID]],orders[orderID],orders[orderDate],,0)</f>
        <v>42107</v>
      </c>
      <c r="C1991">
        <f>_xlfn.XLOOKUP(A1991,order_details[orderID],order_details[productID],,0)</f>
        <v>12</v>
      </c>
      <c r="D1991" t="str">
        <f>_xlfn.XLOOKUP(C1991,products[productID],products[productName],,0)</f>
        <v>Queso Manchego La Pastora</v>
      </c>
      <c r="E1991" t="str">
        <f>_xlfn.XLOOKUP(_xlfn.XLOOKUP(Table9[[#This Row],[ProductName ]],products[productName],products[categoryID],,0),categories[categoryID],categories[categoryName],,0)</f>
        <v>Dairy Products</v>
      </c>
      <c r="F1991">
        <v>10</v>
      </c>
      <c r="G1991">
        <v>625</v>
      </c>
      <c r="H1991">
        <v>0</v>
      </c>
      <c r="I1991">
        <f>Table9[[#This Row],[quantity]]*Table9[[#This Row],[unitPrice]]*(1-Table9[[#This Row],[discount]]/100)</f>
        <v>6250</v>
      </c>
      <c r="J1991" t="str">
        <f>_xlfn.XLOOKUP(_xlfn.XLOOKUP(A1991,orders[orderID],orders[customerID],,0),customers__2[customerID],customers__2[companyName],,0)</f>
        <v>Lonesome Pine Restaurant</v>
      </c>
      <c r="K1991" t="str">
        <f>_xlfn.XLOOKUP(Table9[[#This Row],[Company Name]],customers__2[companyName],customers__2[country],,0)</f>
        <v>USA</v>
      </c>
      <c r="L1991">
        <f>MONTH(Table9[[#This Row],[OrderDate ]])</f>
        <v>4</v>
      </c>
      <c r="M1991" t="str">
        <f>TEXT(Table9[[#This Row],[OrderDate ]],"mmm")</f>
        <v>Apr</v>
      </c>
      <c r="N1991">
        <f>YEAR(Table9[[#This Row],[OrderDate ]])</f>
        <v>2015</v>
      </c>
    </row>
    <row r="1992" spans="1:14" x14ac:dyDescent="0.3">
      <c r="A1992">
        <v>11018</v>
      </c>
      <c r="B1992" s="2">
        <f>_xlfn.XLOOKUP(Table9[[#This Row],[orderID]],orders[orderID],orders[orderDate],,0)</f>
        <v>42107</v>
      </c>
      <c r="C1992">
        <f>_xlfn.XLOOKUP(A1992,order_details[orderID],order_details[productID],,0)</f>
        <v>12</v>
      </c>
      <c r="D1992" t="str">
        <f>_xlfn.XLOOKUP(C1992,products[productID],products[productName],,0)</f>
        <v>Queso Manchego La Pastora</v>
      </c>
      <c r="E1992" t="str">
        <f>_xlfn.XLOOKUP(_xlfn.XLOOKUP(Table9[[#This Row],[ProductName ]],products[productName],products[categoryID],,0),categories[categoryID],categories[categoryName],,0)</f>
        <v>Dairy Products</v>
      </c>
      <c r="F1992">
        <v>5</v>
      </c>
      <c r="G1992">
        <v>38</v>
      </c>
      <c r="H1992">
        <v>0</v>
      </c>
      <c r="I1992">
        <f>Table9[[#This Row],[quantity]]*Table9[[#This Row],[unitPrice]]*(1-Table9[[#This Row],[discount]]/100)</f>
        <v>190</v>
      </c>
      <c r="J1992" t="str">
        <f>_xlfn.XLOOKUP(_xlfn.XLOOKUP(A1992,orders[orderID],orders[customerID],,0),customers__2[customerID],customers__2[companyName],,0)</f>
        <v>Lonesome Pine Restaurant</v>
      </c>
      <c r="K1992" t="str">
        <f>_xlfn.XLOOKUP(Table9[[#This Row],[Company Name]],customers__2[companyName],customers__2[country],,0)</f>
        <v>USA</v>
      </c>
      <c r="L1992">
        <f>MONTH(Table9[[#This Row],[OrderDate ]])</f>
        <v>4</v>
      </c>
      <c r="M1992" t="str">
        <f>TEXT(Table9[[#This Row],[OrderDate ]],"mmm")</f>
        <v>Apr</v>
      </c>
      <c r="N1992">
        <f>YEAR(Table9[[#This Row],[OrderDate ]])</f>
        <v>2015</v>
      </c>
    </row>
    <row r="1993" spans="1:14" x14ac:dyDescent="0.3">
      <c r="A1993">
        <v>11019</v>
      </c>
      <c r="B1993" s="2">
        <f>_xlfn.XLOOKUP(Table9[[#This Row],[orderID]],orders[orderID],orders[orderDate],,0)</f>
        <v>42107</v>
      </c>
      <c r="C1993">
        <f>_xlfn.XLOOKUP(A1993,order_details[orderID],order_details[productID],,0)</f>
        <v>46</v>
      </c>
      <c r="D1993" t="str">
        <f>_xlfn.XLOOKUP(C1993,products[productID],products[productName],,0)</f>
        <v>Spegesild</v>
      </c>
      <c r="E1993" t="str">
        <f>_xlfn.XLOOKUP(_xlfn.XLOOKUP(Table9[[#This Row],[ProductName ]],products[productName],products[categoryID],,0),categories[categoryID],categories[categoryName],,0)</f>
        <v>Seafood</v>
      </c>
      <c r="F1993">
        <v>3</v>
      </c>
      <c r="G1993">
        <v>12</v>
      </c>
      <c r="H1993">
        <v>0</v>
      </c>
      <c r="I1993">
        <f>Table9[[#This Row],[quantity]]*Table9[[#This Row],[unitPrice]]*(1-Table9[[#This Row],[discount]]/100)</f>
        <v>36</v>
      </c>
      <c r="J1993" t="str">
        <f>_xlfn.XLOOKUP(_xlfn.XLOOKUP(A1993,orders[orderID],orders[customerID],,0),customers__2[customerID],customers__2[companyName],,0)</f>
        <v>Rancho grande</v>
      </c>
      <c r="K1993" t="str">
        <f>_xlfn.XLOOKUP(Table9[[#This Row],[Company Name]],customers__2[companyName],customers__2[country],,0)</f>
        <v>Argentina</v>
      </c>
      <c r="L1993">
        <f>MONTH(Table9[[#This Row],[OrderDate ]])</f>
        <v>4</v>
      </c>
      <c r="M1993" t="str">
        <f>TEXT(Table9[[#This Row],[OrderDate ]],"mmm")</f>
        <v>Apr</v>
      </c>
      <c r="N1993">
        <f>YEAR(Table9[[#This Row],[OrderDate ]])</f>
        <v>2015</v>
      </c>
    </row>
    <row r="1994" spans="1:14" x14ac:dyDescent="0.3">
      <c r="A1994">
        <v>11019</v>
      </c>
      <c r="B1994" s="2">
        <f>_xlfn.XLOOKUP(Table9[[#This Row],[orderID]],orders[orderID],orders[orderDate],,0)</f>
        <v>42107</v>
      </c>
      <c r="C1994">
        <f>_xlfn.XLOOKUP(A1994,order_details[orderID],order_details[productID],,0)</f>
        <v>46</v>
      </c>
      <c r="D1994" t="str">
        <f>_xlfn.XLOOKUP(C1994,products[productID],products[productName],,0)</f>
        <v>Spegesild</v>
      </c>
      <c r="E1994" t="str">
        <f>_xlfn.XLOOKUP(_xlfn.XLOOKUP(Table9[[#This Row],[ProductName ]],products[productName],products[categoryID],,0),categories[categoryID],categories[categoryName],,0)</f>
        <v>Seafood</v>
      </c>
      <c r="F1994">
        <v>2</v>
      </c>
      <c r="G1994">
        <v>20</v>
      </c>
      <c r="H1994">
        <v>0</v>
      </c>
      <c r="I1994">
        <f>Table9[[#This Row],[quantity]]*Table9[[#This Row],[unitPrice]]*(1-Table9[[#This Row],[discount]]/100)</f>
        <v>40</v>
      </c>
      <c r="J1994" t="str">
        <f>_xlfn.XLOOKUP(_xlfn.XLOOKUP(A1994,orders[orderID],orders[customerID],,0),customers__2[customerID],customers__2[companyName],,0)</f>
        <v>Rancho grande</v>
      </c>
      <c r="K1994" t="str">
        <f>_xlfn.XLOOKUP(Table9[[#This Row],[Company Name]],customers__2[companyName],customers__2[country],,0)</f>
        <v>Argentina</v>
      </c>
      <c r="L1994">
        <f>MONTH(Table9[[#This Row],[OrderDate ]])</f>
        <v>4</v>
      </c>
      <c r="M1994" t="str">
        <f>TEXT(Table9[[#This Row],[OrderDate ]],"mmm")</f>
        <v>Apr</v>
      </c>
      <c r="N1994">
        <f>YEAR(Table9[[#This Row],[OrderDate ]])</f>
        <v>2015</v>
      </c>
    </row>
    <row r="1995" spans="1:14" x14ac:dyDescent="0.3">
      <c r="A1995">
        <v>11020</v>
      </c>
      <c r="B1995" s="2">
        <f>_xlfn.XLOOKUP(Table9[[#This Row],[orderID]],orders[orderID],orders[orderDate],,0)</f>
        <v>42108</v>
      </c>
      <c r="C1995">
        <f>_xlfn.XLOOKUP(A1995,order_details[orderID],order_details[productID],,0)</f>
        <v>10</v>
      </c>
      <c r="D1995" t="str">
        <f>_xlfn.XLOOKUP(C1995,products[productID],products[productName],,0)</f>
        <v>Ikura</v>
      </c>
      <c r="E1995" t="str">
        <f>_xlfn.XLOOKUP(_xlfn.XLOOKUP(Table9[[#This Row],[ProductName ]],products[productName],products[categoryID],,0),categories[categoryID],categories[categoryName],,0)</f>
        <v>Seafood</v>
      </c>
      <c r="F1995">
        <v>24</v>
      </c>
      <c r="G1995">
        <v>31</v>
      </c>
      <c r="H1995">
        <v>15</v>
      </c>
      <c r="I1995">
        <f>Table9[[#This Row],[quantity]]*Table9[[#This Row],[unitPrice]]*(1-Table9[[#This Row],[discount]]/100)</f>
        <v>632.4</v>
      </c>
      <c r="J1995" t="str">
        <f>_xlfn.XLOOKUP(_xlfn.XLOOKUP(A1995,orders[orderID],orders[customerID],,0),customers__2[customerID],customers__2[companyName],,0)</f>
        <v>Ottilies Käseladen</v>
      </c>
      <c r="K1995" t="str">
        <f>_xlfn.XLOOKUP(Table9[[#This Row],[Company Name]],customers__2[companyName],customers__2[country],,0)</f>
        <v>Germany</v>
      </c>
      <c r="L1995">
        <f>MONTH(Table9[[#This Row],[OrderDate ]])</f>
        <v>4</v>
      </c>
      <c r="M1995" t="str">
        <f>TEXT(Table9[[#This Row],[OrderDate ]],"mmm")</f>
        <v>Apr</v>
      </c>
      <c r="N1995">
        <f>YEAR(Table9[[#This Row],[OrderDate ]])</f>
        <v>2015</v>
      </c>
    </row>
    <row r="1996" spans="1:14" x14ac:dyDescent="0.3">
      <c r="A1996">
        <v>11021</v>
      </c>
      <c r="B1996" s="2">
        <f>_xlfn.XLOOKUP(Table9[[#This Row],[orderID]],orders[orderID],orders[orderDate],,0)</f>
        <v>42108</v>
      </c>
      <c r="C1996">
        <f>_xlfn.XLOOKUP(A1996,order_details[orderID],order_details[productID],,0)</f>
        <v>2</v>
      </c>
      <c r="D1996" t="str">
        <f>_xlfn.XLOOKUP(C1996,products[productID],products[productName],,0)</f>
        <v>Chang</v>
      </c>
      <c r="E1996" t="str">
        <f>_xlfn.XLOOKUP(_xlfn.XLOOKUP(Table9[[#This Row],[ProductName ]],products[productName],products[categoryID],,0),categories[categoryID],categories[categoryName],,0)</f>
        <v>Beverages</v>
      </c>
      <c r="F1996">
        <v>11</v>
      </c>
      <c r="G1996">
        <v>19</v>
      </c>
      <c r="H1996">
        <v>25</v>
      </c>
      <c r="I1996">
        <f>Table9[[#This Row],[quantity]]*Table9[[#This Row],[unitPrice]]*(1-Table9[[#This Row],[discount]]/100)</f>
        <v>156.75</v>
      </c>
      <c r="J1996" t="str">
        <f>_xlfn.XLOOKUP(_xlfn.XLOOKUP(A1996,orders[orderID],orders[customerID],,0),customers__2[customerID],customers__2[companyName],,0)</f>
        <v>QUICK-Stop</v>
      </c>
      <c r="K1996" t="str">
        <f>_xlfn.XLOOKUP(Table9[[#This Row],[Company Name]],customers__2[companyName],customers__2[country],,0)</f>
        <v>Germany</v>
      </c>
      <c r="L1996">
        <f>MONTH(Table9[[#This Row],[OrderDate ]])</f>
        <v>4</v>
      </c>
      <c r="M1996" t="str">
        <f>TEXT(Table9[[#This Row],[OrderDate ]],"mmm")</f>
        <v>Apr</v>
      </c>
      <c r="N1996">
        <f>YEAR(Table9[[#This Row],[OrderDate ]])</f>
        <v>2015</v>
      </c>
    </row>
    <row r="1997" spans="1:14" x14ac:dyDescent="0.3">
      <c r="A1997">
        <v>11021</v>
      </c>
      <c r="B1997" s="2">
        <f>_xlfn.XLOOKUP(Table9[[#This Row],[orderID]],orders[orderID],orders[orderDate],,0)</f>
        <v>42108</v>
      </c>
      <c r="C1997">
        <f>_xlfn.XLOOKUP(A1997,order_details[orderID],order_details[productID],,0)</f>
        <v>2</v>
      </c>
      <c r="D1997" t="str">
        <f>_xlfn.XLOOKUP(C1997,products[productID],products[productName],,0)</f>
        <v>Chang</v>
      </c>
      <c r="E1997" t="str">
        <f>_xlfn.XLOOKUP(_xlfn.XLOOKUP(Table9[[#This Row],[ProductName ]],products[productName],products[categoryID],,0),categories[categoryID],categories[categoryName],,0)</f>
        <v>Beverages</v>
      </c>
      <c r="F1997">
        <v>15</v>
      </c>
      <c r="G1997">
        <v>81</v>
      </c>
      <c r="H1997">
        <v>0</v>
      </c>
      <c r="I1997">
        <f>Table9[[#This Row],[quantity]]*Table9[[#This Row],[unitPrice]]*(1-Table9[[#This Row],[discount]]/100)</f>
        <v>1215</v>
      </c>
      <c r="J1997" t="str">
        <f>_xlfn.XLOOKUP(_xlfn.XLOOKUP(A1997,orders[orderID],orders[customerID],,0),customers__2[customerID],customers__2[companyName],,0)</f>
        <v>QUICK-Stop</v>
      </c>
      <c r="K1997" t="str">
        <f>_xlfn.XLOOKUP(Table9[[#This Row],[Company Name]],customers__2[companyName],customers__2[country],,0)</f>
        <v>Germany</v>
      </c>
      <c r="L1997">
        <f>MONTH(Table9[[#This Row],[OrderDate ]])</f>
        <v>4</v>
      </c>
      <c r="M1997" t="str">
        <f>TEXT(Table9[[#This Row],[OrderDate ]],"mmm")</f>
        <v>Apr</v>
      </c>
      <c r="N1997">
        <f>YEAR(Table9[[#This Row],[OrderDate ]])</f>
        <v>2015</v>
      </c>
    </row>
    <row r="1998" spans="1:14" x14ac:dyDescent="0.3">
      <c r="A1998">
        <v>11021</v>
      </c>
      <c r="B1998" s="2">
        <f>_xlfn.XLOOKUP(Table9[[#This Row],[orderID]],orders[orderID],orders[orderDate],,0)</f>
        <v>42108</v>
      </c>
      <c r="C1998">
        <f>_xlfn.XLOOKUP(A1998,order_details[orderID],order_details[productID],,0)</f>
        <v>2</v>
      </c>
      <c r="D1998" t="str">
        <f>_xlfn.XLOOKUP(C1998,products[productID],products[productName],,0)</f>
        <v>Chang</v>
      </c>
      <c r="E1998" t="str">
        <f>_xlfn.XLOOKUP(_xlfn.XLOOKUP(Table9[[#This Row],[ProductName ]],products[productName],products[categoryID],,0),categories[categoryID],categories[categoryName],,0)</f>
        <v>Beverages</v>
      </c>
      <c r="F1998">
        <v>63</v>
      </c>
      <c r="G1998">
        <v>3123</v>
      </c>
      <c r="H1998">
        <v>0</v>
      </c>
      <c r="I1998">
        <f>Table9[[#This Row],[quantity]]*Table9[[#This Row],[unitPrice]]*(1-Table9[[#This Row],[discount]]/100)</f>
        <v>196749</v>
      </c>
      <c r="J1998" t="str">
        <f>_xlfn.XLOOKUP(_xlfn.XLOOKUP(A1998,orders[orderID],orders[customerID],,0),customers__2[customerID],customers__2[companyName],,0)</f>
        <v>QUICK-Stop</v>
      </c>
      <c r="K1998" t="str">
        <f>_xlfn.XLOOKUP(Table9[[#This Row],[Company Name]],customers__2[companyName],customers__2[country],,0)</f>
        <v>Germany</v>
      </c>
      <c r="L1998">
        <f>MONTH(Table9[[#This Row],[OrderDate ]])</f>
        <v>4</v>
      </c>
      <c r="M1998" t="str">
        <f>TEXT(Table9[[#This Row],[OrderDate ]],"mmm")</f>
        <v>Apr</v>
      </c>
      <c r="N1998">
        <f>YEAR(Table9[[#This Row],[OrderDate ]])</f>
        <v>2015</v>
      </c>
    </row>
    <row r="1999" spans="1:14" x14ac:dyDescent="0.3">
      <c r="A1999">
        <v>11021</v>
      </c>
      <c r="B1999" s="2">
        <f>_xlfn.XLOOKUP(Table9[[#This Row],[orderID]],orders[orderID],orders[orderDate],,0)</f>
        <v>42108</v>
      </c>
      <c r="C1999">
        <f>_xlfn.XLOOKUP(A1999,order_details[orderID],order_details[productID],,0)</f>
        <v>2</v>
      </c>
      <c r="D1999" t="str">
        <f>_xlfn.XLOOKUP(C1999,products[productID],products[productName],,0)</f>
        <v>Chang</v>
      </c>
      <c r="E1999" t="str">
        <f>_xlfn.XLOOKUP(_xlfn.XLOOKUP(Table9[[#This Row],[ProductName ]],products[productName],products[categoryID],,0),categories[categoryID],categories[categoryName],,0)</f>
        <v>Beverages</v>
      </c>
      <c r="F1999">
        <v>44</v>
      </c>
      <c r="G1999">
        <v>53</v>
      </c>
      <c r="H1999">
        <v>25</v>
      </c>
      <c r="I1999">
        <f>Table9[[#This Row],[quantity]]*Table9[[#This Row],[unitPrice]]*(1-Table9[[#This Row],[discount]]/100)</f>
        <v>1749</v>
      </c>
      <c r="J1999" t="str">
        <f>_xlfn.XLOOKUP(_xlfn.XLOOKUP(A1999,orders[orderID],orders[customerID],,0),customers__2[customerID],customers__2[companyName],,0)</f>
        <v>QUICK-Stop</v>
      </c>
      <c r="K1999" t="str">
        <f>_xlfn.XLOOKUP(Table9[[#This Row],[Company Name]],customers__2[companyName],customers__2[country],,0)</f>
        <v>Germany</v>
      </c>
      <c r="L1999">
        <f>MONTH(Table9[[#This Row],[OrderDate ]])</f>
        <v>4</v>
      </c>
      <c r="M1999" t="str">
        <f>TEXT(Table9[[#This Row],[OrderDate ]],"mmm")</f>
        <v>Apr</v>
      </c>
      <c r="N1999">
        <f>YEAR(Table9[[#This Row],[OrderDate ]])</f>
        <v>2015</v>
      </c>
    </row>
    <row r="2000" spans="1:14" x14ac:dyDescent="0.3">
      <c r="A2000">
        <v>11021</v>
      </c>
      <c r="B2000" s="2">
        <f>_xlfn.XLOOKUP(Table9[[#This Row],[orderID]],orders[orderID],orders[orderDate],,0)</f>
        <v>42108</v>
      </c>
      <c r="C2000">
        <f>_xlfn.XLOOKUP(A2000,order_details[orderID],order_details[productID],,0)</f>
        <v>2</v>
      </c>
      <c r="D2000" t="str">
        <f>_xlfn.XLOOKUP(C2000,products[productID],products[productName],,0)</f>
        <v>Chang</v>
      </c>
      <c r="E2000" t="str">
        <f>_xlfn.XLOOKUP(_xlfn.XLOOKUP(Table9[[#This Row],[ProductName ]],products[productName],products[categoryID],,0),categories[categoryID],categories[categoryName],,0)</f>
        <v>Beverages</v>
      </c>
      <c r="F2000">
        <v>35</v>
      </c>
      <c r="G2000">
        <v>348</v>
      </c>
      <c r="H2000">
        <v>0</v>
      </c>
      <c r="I2000">
        <f>Table9[[#This Row],[quantity]]*Table9[[#This Row],[unitPrice]]*(1-Table9[[#This Row],[discount]]/100)</f>
        <v>12180</v>
      </c>
      <c r="J2000" t="str">
        <f>_xlfn.XLOOKUP(_xlfn.XLOOKUP(A2000,orders[orderID],orders[customerID],,0),customers__2[customerID],customers__2[companyName],,0)</f>
        <v>QUICK-Stop</v>
      </c>
      <c r="K2000" t="str">
        <f>_xlfn.XLOOKUP(Table9[[#This Row],[Company Name]],customers__2[companyName],customers__2[country],,0)</f>
        <v>Germany</v>
      </c>
      <c r="L2000">
        <f>MONTH(Table9[[#This Row],[OrderDate ]])</f>
        <v>4</v>
      </c>
      <c r="M2000" t="str">
        <f>TEXT(Table9[[#This Row],[OrderDate ]],"mmm")</f>
        <v>Apr</v>
      </c>
      <c r="N2000">
        <f>YEAR(Table9[[#This Row],[OrderDate ]])</f>
        <v>2015</v>
      </c>
    </row>
    <row r="2001" spans="1:14" x14ac:dyDescent="0.3">
      <c r="A2001">
        <v>11022</v>
      </c>
      <c r="B2001" s="2">
        <f>_xlfn.XLOOKUP(Table9[[#This Row],[orderID]],orders[orderID],orders[orderDate],,0)</f>
        <v>42108</v>
      </c>
      <c r="C2001">
        <f>_xlfn.XLOOKUP(A2001,order_details[orderID],order_details[productID],,0)</f>
        <v>19</v>
      </c>
      <c r="D2001" t="str">
        <f>_xlfn.XLOOKUP(C2001,products[productID],products[productName],,0)</f>
        <v>Teatime Chocolate Biscuits</v>
      </c>
      <c r="E2001" t="str">
        <f>_xlfn.XLOOKUP(_xlfn.XLOOKUP(Table9[[#This Row],[ProductName ]],products[productName],products[categoryID],,0),categories[categoryID],categories[categoryName],,0)</f>
        <v>Confections</v>
      </c>
      <c r="F2001">
        <v>35</v>
      </c>
      <c r="G2001">
        <v>92</v>
      </c>
      <c r="H2001">
        <v>0</v>
      </c>
      <c r="I2001">
        <f>Table9[[#This Row],[quantity]]*Table9[[#This Row],[unitPrice]]*(1-Table9[[#This Row],[discount]]/100)</f>
        <v>3220</v>
      </c>
      <c r="J2001" t="str">
        <f>_xlfn.XLOOKUP(_xlfn.XLOOKUP(A2001,orders[orderID],orders[customerID],,0),customers__2[customerID],customers__2[companyName],,0)</f>
        <v>Hanari Carnes</v>
      </c>
      <c r="K2001" t="str">
        <f>_xlfn.XLOOKUP(Table9[[#This Row],[Company Name]],customers__2[companyName],customers__2[country],,0)</f>
        <v>Brazil</v>
      </c>
      <c r="L2001">
        <f>MONTH(Table9[[#This Row],[OrderDate ]])</f>
        <v>4</v>
      </c>
      <c r="M2001" t="str">
        <f>TEXT(Table9[[#This Row],[OrderDate ]],"mmm")</f>
        <v>Apr</v>
      </c>
      <c r="N2001">
        <f>YEAR(Table9[[#This Row],[OrderDate ]])</f>
        <v>2015</v>
      </c>
    </row>
    <row r="2002" spans="1:14" x14ac:dyDescent="0.3">
      <c r="A2002">
        <v>11022</v>
      </c>
      <c r="B2002" s="2">
        <f>_xlfn.XLOOKUP(Table9[[#This Row],[orderID]],orders[orderID],orders[orderDate],,0)</f>
        <v>42108</v>
      </c>
      <c r="C2002">
        <f>_xlfn.XLOOKUP(A2002,order_details[orderID],order_details[productID],,0)</f>
        <v>19</v>
      </c>
      <c r="D2002" t="str">
        <f>_xlfn.XLOOKUP(C2002,products[productID],products[productName],,0)</f>
        <v>Teatime Chocolate Biscuits</v>
      </c>
      <c r="E2002" t="str">
        <f>_xlfn.XLOOKUP(_xlfn.XLOOKUP(Table9[[#This Row],[ProductName ]],products[productName],products[categoryID],,0),categories[categoryID],categories[categoryName],,0)</f>
        <v>Confections</v>
      </c>
      <c r="F2002">
        <v>30</v>
      </c>
      <c r="G2002">
        <v>36</v>
      </c>
      <c r="H2002">
        <v>0</v>
      </c>
      <c r="I2002">
        <f>Table9[[#This Row],[quantity]]*Table9[[#This Row],[unitPrice]]*(1-Table9[[#This Row],[discount]]/100)</f>
        <v>1080</v>
      </c>
      <c r="J2002" t="str">
        <f>_xlfn.XLOOKUP(_xlfn.XLOOKUP(A2002,orders[orderID],orders[customerID],,0),customers__2[customerID],customers__2[companyName],,0)</f>
        <v>Hanari Carnes</v>
      </c>
      <c r="K2002" t="str">
        <f>_xlfn.XLOOKUP(Table9[[#This Row],[Company Name]],customers__2[companyName],customers__2[country],,0)</f>
        <v>Brazil</v>
      </c>
      <c r="L2002">
        <f>MONTH(Table9[[#This Row],[OrderDate ]])</f>
        <v>4</v>
      </c>
      <c r="M2002" t="str">
        <f>TEXT(Table9[[#This Row],[OrderDate ]],"mmm")</f>
        <v>Apr</v>
      </c>
      <c r="N2002">
        <f>YEAR(Table9[[#This Row],[OrderDate ]])</f>
        <v>2015</v>
      </c>
    </row>
    <row r="2003" spans="1:14" x14ac:dyDescent="0.3">
      <c r="A2003">
        <v>11023</v>
      </c>
      <c r="B2003" s="2">
        <f>_xlfn.XLOOKUP(Table9[[#This Row],[orderID]],orders[orderID],orders[orderDate],,0)</f>
        <v>42108</v>
      </c>
      <c r="C2003">
        <f>_xlfn.XLOOKUP(A2003,order_details[orderID],order_details[productID],,0)</f>
        <v>7</v>
      </c>
      <c r="D2003" t="str">
        <f>_xlfn.XLOOKUP(C2003,products[productID],products[productName],,0)</f>
        <v>Uncle Bob's Organic Dried Pears</v>
      </c>
      <c r="E2003" t="str">
        <f>_xlfn.XLOOKUP(_xlfn.XLOOKUP(Table9[[#This Row],[ProductName ]],products[productName],products[categoryID],,0),categories[categoryID],categories[categoryName],,0)</f>
        <v>Produce</v>
      </c>
      <c r="F2003">
        <v>4</v>
      </c>
      <c r="G2003">
        <v>30</v>
      </c>
      <c r="H2003">
        <v>0</v>
      </c>
      <c r="I2003">
        <f>Table9[[#This Row],[quantity]]*Table9[[#This Row],[unitPrice]]*(1-Table9[[#This Row],[discount]]/100)</f>
        <v>120</v>
      </c>
      <c r="J2003" t="str">
        <f>_xlfn.XLOOKUP(_xlfn.XLOOKUP(A2003,orders[orderID],orders[customerID],,0),customers__2[customerID],customers__2[companyName],,0)</f>
        <v>B's Beverages</v>
      </c>
      <c r="K2003" t="str">
        <f>_xlfn.XLOOKUP(Table9[[#This Row],[Company Name]],customers__2[companyName],customers__2[country],,0)</f>
        <v>UK</v>
      </c>
      <c r="L2003">
        <f>MONTH(Table9[[#This Row],[OrderDate ]])</f>
        <v>4</v>
      </c>
      <c r="M2003" t="str">
        <f>TEXT(Table9[[#This Row],[OrderDate ]],"mmm")</f>
        <v>Apr</v>
      </c>
      <c r="N2003">
        <f>YEAR(Table9[[#This Row],[OrderDate ]])</f>
        <v>2015</v>
      </c>
    </row>
    <row r="2004" spans="1:14" x14ac:dyDescent="0.3">
      <c r="A2004">
        <v>11023</v>
      </c>
      <c r="B2004" s="2">
        <f>_xlfn.XLOOKUP(Table9[[#This Row],[orderID]],orders[orderID],orders[orderDate],,0)</f>
        <v>42108</v>
      </c>
      <c r="C2004">
        <f>_xlfn.XLOOKUP(A2004,order_details[orderID],order_details[productID],,0)</f>
        <v>7</v>
      </c>
      <c r="D2004" t="str">
        <f>_xlfn.XLOOKUP(C2004,products[productID],products[productName],,0)</f>
        <v>Uncle Bob's Organic Dried Pears</v>
      </c>
      <c r="E2004" t="str">
        <f>_xlfn.XLOOKUP(_xlfn.XLOOKUP(Table9[[#This Row],[ProductName ]],products[productName],products[categoryID],,0),categories[categoryID],categories[categoryName],,0)</f>
        <v>Produce</v>
      </c>
      <c r="F2004">
        <v>30</v>
      </c>
      <c r="G2004">
        <v>46</v>
      </c>
      <c r="H2004">
        <v>0</v>
      </c>
      <c r="I2004">
        <f>Table9[[#This Row],[quantity]]*Table9[[#This Row],[unitPrice]]*(1-Table9[[#This Row],[discount]]/100)</f>
        <v>1380</v>
      </c>
      <c r="J2004" t="str">
        <f>_xlfn.XLOOKUP(_xlfn.XLOOKUP(A2004,orders[orderID],orders[customerID],,0),customers__2[customerID],customers__2[companyName],,0)</f>
        <v>B's Beverages</v>
      </c>
      <c r="K2004" t="str">
        <f>_xlfn.XLOOKUP(Table9[[#This Row],[Company Name]],customers__2[companyName],customers__2[country],,0)</f>
        <v>UK</v>
      </c>
      <c r="L2004">
        <f>MONTH(Table9[[#This Row],[OrderDate ]])</f>
        <v>4</v>
      </c>
      <c r="M2004" t="str">
        <f>TEXT(Table9[[#This Row],[OrderDate ]],"mmm")</f>
        <v>Apr</v>
      </c>
      <c r="N2004">
        <f>YEAR(Table9[[#This Row],[OrderDate ]])</f>
        <v>2015</v>
      </c>
    </row>
    <row r="2005" spans="1:14" x14ac:dyDescent="0.3">
      <c r="A2005">
        <v>11024</v>
      </c>
      <c r="B2005" s="2">
        <f>_xlfn.XLOOKUP(Table9[[#This Row],[orderID]],orders[orderID],orders[orderDate],,0)</f>
        <v>42109</v>
      </c>
      <c r="C2005">
        <f>_xlfn.XLOOKUP(A2005,order_details[orderID],order_details[productID],,0)</f>
        <v>26</v>
      </c>
      <c r="D2005" t="str">
        <f>_xlfn.XLOOKUP(C2005,products[productID],products[productName],,0)</f>
        <v>Gumbär Gummibärchen</v>
      </c>
      <c r="E2005" t="str">
        <f>_xlfn.XLOOKUP(_xlfn.XLOOKUP(Table9[[#This Row],[ProductName ]],products[productName],products[categoryID],,0),categories[categoryID],categories[categoryName],,0)</f>
        <v>Confections</v>
      </c>
      <c r="F2005">
        <v>12</v>
      </c>
      <c r="G2005">
        <v>3123</v>
      </c>
      <c r="H2005">
        <v>0</v>
      </c>
      <c r="I2005">
        <f>Table9[[#This Row],[quantity]]*Table9[[#This Row],[unitPrice]]*(1-Table9[[#This Row],[discount]]/100)</f>
        <v>37476</v>
      </c>
      <c r="J2005" t="str">
        <f>_xlfn.XLOOKUP(_xlfn.XLOOKUP(A2005,orders[orderID],orders[customerID],,0),customers__2[customerID],customers__2[companyName],,0)</f>
        <v>Eastern Connection</v>
      </c>
      <c r="K2005" t="str">
        <f>_xlfn.XLOOKUP(Table9[[#This Row],[Company Name]],customers__2[companyName],customers__2[country],,0)</f>
        <v>UK</v>
      </c>
      <c r="L2005">
        <f>MONTH(Table9[[#This Row],[OrderDate ]])</f>
        <v>4</v>
      </c>
      <c r="M2005" t="str">
        <f>TEXT(Table9[[#This Row],[OrderDate ]],"mmm")</f>
        <v>Apr</v>
      </c>
      <c r="N2005">
        <f>YEAR(Table9[[#This Row],[OrderDate ]])</f>
        <v>2015</v>
      </c>
    </row>
    <row r="2006" spans="1:14" x14ac:dyDescent="0.3">
      <c r="A2006">
        <v>11024</v>
      </c>
      <c r="B2006" s="2">
        <f>_xlfn.XLOOKUP(Table9[[#This Row],[orderID]],orders[orderID],orders[orderDate],,0)</f>
        <v>42109</v>
      </c>
      <c r="C2006">
        <f>_xlfn.XLOOKUP(A2006,order_details[orderID],order_details[productID],,0)</f>
        <v>26</v>
      </c>
      <c r="D2006" t="str">
        <f>_xlfn.XLOOKUP(C2006,products[productID],products[productName],,0)</f>
        <v>Gumbär Gummibärchen</v>
      </c>
      <c r="E2006" t="str">
        <f>_xlfn.XLOOKUP(_xlfn.XLOOKUP(Table9[[#This Row],[ProductName ]],products[productName],products[categoryID],,0),categories[categoryID],categories[categoryName],,0)</f>
        <v>Confections</v>
      </c>
      <c r="F2006">
        <v>30</v>
      </c>
      <c r="G2006">
        <v>25</v>
      </c>
      <c r="H2006">
        <v>0</v>
      </c>
      <c r="I2006">
        <f>Table9[[#This Row],[quantity]]*Table9[[#This Row],[unitPrice]]*(1-Table9[[#This Row],[discount]]/100)</f>
        <v>750</v>
      </c>
      <c r="J2006" t="str">
        <f>_xlfn.XLOOKUP(_xlfn.XLOOKUP(A2006,orders[orderID],orders[customerID],,0),customers__2[customerID],customers__2[companyName],,0)</f>
        <v>Eastern Connection</v>
      </c>
      <c r="K2006" t="str">
        <f>_xlfn.XLOOKUP(Table9[[#This Row],[Company Name]],customers__2[companyName],customers__2[country],,0)</f>
        <v>UK</v>
      </c>
      <c r="L2006">
        <f>MONTH(Table9[[#This Row],[OrderDate ]])</f>
        <v>4</v>
      </c>
      <c r="M2006" t="str">
        <f>TEXT(Table9[[#This Row],[OrderDate ]],"mmm")</f>
        <v>Apr</v>
      </c>
      <c r="N2006">
        <f>YEAR(Table9[[#This Row],[OrderDate ]])</f>
        <v>2015</v>
      </c>
    </row>
    <row r="2007" spans="1:14" x14ac:dyDescent="0.3">
      <c r="A2007">
        <v>11024</v>
      </c>
      <c r="B2007" s="2">
        <f>_xlfn.XLOOKUP(Table9[[#This Row],[orderID]],orders[orderID],orders[orderDate],,0)</f>
        <v>42109</v>
      </c>
      <c r="C2007">
        <f>_xlfn.XLOOKUP(A2007,order_details[orderID],order_details[productID],,0)</f>
        <v>26</v>
      </c>
      <c r="D2007" t="str">
        <f>_xlfn.XLOOKUP(C2007,products[productID],products[productName],,0)</f>
        <v>Gumbär Gummibärchen</v>
      </c>
      <c r="E2007" t="str">
        <f>_xlfn.XLOOKUP(_xlfn.XLOOKUP(Table9[[#This Row],[ProductName ]],products[productName],products[categoryID],,0),categories[categoryID],categories[categoryName],,0)</f>
        <v>Confections</v>
      </c>
      <c r="F2007">
        <v>21</v>
      </c>
      <c r="G2007">
        <v>2105</v>
      </c>
      <c r="H2007">
        <v>0</v>
      </c>
      <c r="I2007">
        <f>Table9[[#This Row],[quantity]]*Table9[[#This Row],[unitPrice]]*(1-Table9[[#This Row],[discount]]/100)</f>
        <v>44205</v>
      </c>
      <c r="J2007" t="str">
        <f>_xlfn.XLOOKUP(_xlfn.XLOOKUP(A2007,orders[orderID],orders[customerID],,0),customers__2[customerID],customers__2[companyName],,0)</f>
        <v>Eastern Connection</v>
      </c>
      <c r="K2007" t="str">
        <f>_xlfn.XLOOKUP(Table9[[#This Row],[Company Name]],customers__2[companyName],customers__2[country],,0)</f>
        <v>UK</v>
      </c>
      <c r="L2007">
        <f>MONTH(Table9[[#This Row],[OrderDate ]])</f>
        <v>4</v>
      </c>
      <c r="M2007" t="str">
        <f>TEXT(Table9[[#This Row],[OrderDate ]],"mmm")</f>
        <v>Apr</v>
      </c>
      <c r="N2007">
        <f>YEAR(Table9[[#This Row],[OrderDate ]])</f>
        <v>2015</v>
      </c>
    </row>
    <row r="2008" spans="1:14" x14ac:dyDescent="0.3">
      <c r="A2008">
        <v>11024</v>
      </c>
      <c r="B2008" s="2">
        <f>_xlfn.XLOOKUP(Table9[[#This Row],[orderID]],orders[orderID],orders[orderDate],,0)</f>
        <v>42109</v>
      </c>
      <c r="C2008">
        <f>_xlfn.XLOOKUP(A2008,order_details[orderID],order_details[productID],,0)</f>
        <v>26</v>
      </c>
      <c r="D2008" t="str">
        <f>_xlfn.XLOOKUP(C2008,products[productID],products[productName],,0)</f>
        <v>Gumbär Gummibärchen</v>
      </c>
      <c r="E2008" t="str">
        <f>_xlfn.XLOOKUP(_xlfn.XLOOKUP(Table9[[#This Row],[ProductName ]],products[productName],products[categoryID],,0),categories[categoryID],categories[categoryName],,0)</f>
        <v>Confections</v>
      </c>
      <c r="F2008">
        <v>50</v>
      </c>
      <c r="G2008">
        <v>215</v>
      </c>
      <c r="H2008">
        <v>0</v>
      </c>
      <c r="I2008">
        <f>Table9[[#This Row],[quantity]]*Table9[[#This Row],[unitPrice]]*(1-Table9[[#This Row],[discount]]/100)</f>
        <v>10750</v>
      </c>
      <c r="J2008" t="str">
        <f>_xlfn.XLOOKUP(_xlfn.XLOOKUP(A2008,orders[orderID],orders[customerID],,0),customers__2[customerID],customers__2[companyName],,0)</f>
        <v>Eastern Connection</v>
      </c>
      <c r="K2008" t="str">
        <f>_xlfn.XLOOKUP(Table9[[#This Row],[Company Name]],customers__2[companyName],customers__2[country],,0)</f>
        <v>UK</v>
      </c>
      <c r="L2008">
        <f>MONTH(Table9[[#This Row],[OrderDate ]])</f>
        <v>4</v>
      </c>
      <c r="M2008" t="str">
        <f>TEXT(Table9[[#This Row],[OrderDate ]],"mmm")</f>
        <v>Apr</v>
      </c>
      <c r="N2008">
        <f>YEAR(Table9[[#This Row],[OrderDate ]])</f>
        <v>2015</v>
      </c>
    </row>
    <row r="2009" spans="1:14" x14ac:dyDescent="0.3">
      <c r="A2009">
        <v>11025</v>
      </c>
      <c r="B2009" s="2">
        <f>_xlfn.XLOOKUP(Table9[[#This Row],[orderID]],orders[orderID],orders[orderDate],,0)</f>
        <v>42109</v>
      </c>
      <c r="C2009">
        <f>_xlfn.XLOOKUP(A2009,order_details[orderID],order_details[productID],,0)</f>
        <v>1</v>
      </c>
      <c r="D2009" t="str">
        <f>_xlfn.XLOOKUP(C2009,products[productID],products[productName],,0)</f>
        <v>Chai</v>
      </c>
      <c r="E2009" t="str">
        <f>_xlfn.XLOOKUP(_xlfn.XLOOKUP(Table9[[#This Row],[ProductName ]],products[productName],products[categoryID],,0),categories[categoryID],categories[categoryName],,0)</f>
        <v>Beverages</v>
      </c>
      <c r="F2009">
        <v>10</v>
      </c>
      <c r="G2009">
        <v>18</v>
      </c>
      <c r="H2009">
        <v>1</v>
      </c>
      <c r="I2009">
        <f>Table9[[#This Row],[quantity]]*Table9[[#This Row],[unitPrice]]*(1-Table9[[#This Row],[discount]]/100)</f>
        <v>178.2</v>
      </c>
      <c r="J2009" t="str">
        <f>_xlfn.XLOOKUP(_xlfn.XLOOKUP(A2009,orders[orderID],orders[customerID],,0),customers__2[customerID],customers__2[companyName],,0)</f>
        <v>Wartian Herkku</v>
      </c>
      <c r="K2009" t="str">
        <f>_xlfn.XLOOKUP(Table9[[#This Row],[Company Name]],customers__2[companyName],customers__2[country],,0)</f>
        <v>Finland</v>
      </c>
      <c r="L2009">
        <f>MONTH(Table9[[#This Row],[OrderDate ]])</f>
        <v>4</v>
      </c>
      <c r="M2009" t="str">
        <f>TEXT(Table9[[#This Row],[OrderDate ]],"mmm")</f>
        <v>Apr</v>
      </c>
      <c r="N2009">
        <f>YEAR(Table9[[#This Row],[OrderDate ]])</f>
        <v>2015</v>
      </c>
    </row>
    <row r="2010" spans="1:14" x14ac:dyDescent="0.3">
      <c r="A2010">
        <v>11025</v>
      </c>
      <c r="B2010" s="2">
        <f>_xlfn.XLOOKUP(Table9[[#This Row],[orderID]],orders[orderID],orders[orderDate],,0)</f>
        <v>42109</v>
      </c>
      <c r="C2010">
        <f>_xlfn.XLOOKUP(A2010,order_details[orderID],order_details[productID],,0)</f>
        <v>1</v>
      </c>
      <c r="D2010" t="str">
        <f>_xlfn.XLOOKUP(C2010,products[productID],products[productName],,0)</f>
        <v>Chai</v>
      </c>
      <c r="E2010" t="str">
        <f>_xlfn.XLOOKUP(_xlfn.XLOOKUP(Table9[[#This Row],[ProductName ]],products[productName],products[categoryID],,0),categories[categoryID],categories[categoryName],,0)</f>
        <v>Beverages</v>
      </c>
      <c r="F2010">
        <v>20</v>
      </c>
      <c r="G2010">
        <v>6</v>
      </c>
      <c r="H2010">
        <v>1</v>
      </c>
      <c r="I2010">
        <f>Table9[[#This Row],[quantity]]*Table9[[#This Row],[unitPrice]]*(1-Table9[[#This Row],[discount]]/100)</f>
        <v>118.8</v>
      </c>
      <c r="J2010" t="str">
        <f>_xlfn.XLOOKUP(_xlfn.XLOOKUP(A2010,orders[orderID],orders[customerID],,0),customers__2[customerID],customers__2[companyName],,0)</f>
        <v>Wartian Herkku</v>
      </c>
      <c r="K2010" t="str">
        <f>_xlfn.XLOOKUP(Table9[[#This Row],[Company Name]],customers__2[companyName],customers__2[country],,0)</f>
        <v>Finland</v>
      </c>
      <c r="L2010">
        <f>MONTH(Table9[[#This Row],[OrderDate ]])</f>
        <v>4</v>
      </c>
      <c r="M2010" t="str">
        <f>TEXT(Table9[[#This Row],[OrderDate ]],"mmm")</f>
        <v>Apr</v>
      </c>
      <c r="N2010">
        <f>YEAR(Table9[[#This Row],[OrderDate ]])</f>
        <v>2015</v>
      </c>
    </row>
    <row r="2011" spans="1:14" x14ac:dyDescent="0.3">
      <c r="A2011">
        <v>11026</v>
      </c>
      <c r="B2011" s="2">
        <f>_xlfn.XLOOKUP(Table9[[#This Row],[orderID]],orders[orderID],orders[orderDate],,0)</f>
        <v>42109</v>
      </c>
      <c r="C2011">
        <f>_xlfn.XLOOKUP(A2011,order_details[orderID],order_details[productID],,0)</f>
        <v>18</v>
      </c>
      <c r="D2011" t="str">
        <f>_xlfn.XLOOKUP(C2011,products[productID],products[productName],,0)</f>
        <v>Carnarvon Tigers</v>
      </c>
      <c r="E2011" t="str">
        <f>_xlfn.XLOOKUP(_xlfn.XLOOKUP(Table9[[#This Row],[ProductName ]],products[productName],products[categoryID],,0),categories[categoryID],categories[categoryName],,0)</f>
        <v>Seafood</v>
      </c>
      <c r="F2011">
        <v>8</v>
      </c>
      <c r="G2011">
        <v>625</v>
      </c>
      <c r="H2011">
        <v>0</v>
      </c>
      <c r="I2011">
        <f>Table9[[#This Row],[quantity]]*Table9[[#This Row],[unitPrice]]*(1-Table9[[#This Row],[discount]]/100)</f>
        <v>5000</v>
      </c>
      <c r="J2011" t="str">
        <f>_xlfn.XLOOKUP(_xlfn.XLOOKUP(A2011,orders[orderID],orders[customerID],,0),customers__2[customerID],customers__2[companyName],,0)</f>
        <v>Franchi S.p.A.</v>
      </c>
      <c r="K2011" t="str">
        <f>_xlfn.XLOOKUP(Table9[[#This Row],[Company Name]],customers__2[companyName],customers__2[country],,0)</f>
        <v>Italy</v>
      </c>
      <c r="L2011">
        <f>MONTH(Table9[[#This Row],[OrderDate ]])</f>
        <v>4</v>
      </c>
      <c r="M2011" t="str">
        <f>TEXT(Table9[[#This Row],[OrderDate ]],"mmm")</f>
        <v>Apr</v>
      </c>
      <c r="N2011">
        <f>YEAR(Table9[[#This Row],[OrderDate ]])</f>
        <v>2015</v>
      </c>
    </row>
    <row r="2012" spans="1:14" x14ac:dyDescent="0.3">
      <c r="A2012">
        <v>11026</v>
      </c>
      <c r="B2012" s="2">
        <f>_xlfn.XLOOKUP(Table9[[#This Row],[orderID]],orders[orderID],orders[orderDate],,0)</f>
        <v>42109</v>
      </c>
      <c r="C2012">
        <f>_xlfn.XLOOKUP(A2012,order_details[orderID],order_details[productID],,0)</f>
        <v>18</v>
      </c>
      <c r="D2012" t="str">
        <f>_xlfn.XLOOKUP(C2012,products[productID],products[productName],,0)</f>
        <v>Carnarvon Tigers</v>
      </c>
      <c r="E2012" t="str">
        <f>_xlfn.XLOOKUP(_xlfn.XLOOKUP(Table9[[#This Row],[ProductName ]],products[productName],products[categoryID],,0),categories[categoryID],categories[categoryName],,0)</f>
        <v>Seafood</v>
      </c>
      <c r="F2012">
        <v>10</v>
      </c>
      <c r="G2012">
        <v>53</v>
      </c>
      <c r="H2012">
        <v>0</v>
      </c>
      <c r="I2012">
        <f>Table9[[#This Row],[quantity]]*Table9[[#This Row],[unitPrice]]*(1-Table9[[#This Row],[discount]]/100)</f>
        <v>530</v>
      </c>
      <c r="J2012" t="str">
        <f>_xlfn.XLOOKUP(_xlfn.XLOOKUP(A2012,orders[orderID],orders[customerID],,0),customers__2[customerID],customers__2[companyName],,0)</f>
        <v>Franchi S.p.A.</v>
      </c>
      <c r="K2012" t="str">
        <f>_xlfn.XLOOKUP(Table9[[#This Row],[Company Name]],customers__2[companyName],customers__2[country],,0)</f>
        <v>Italy</v>
      </c>
      <c r="L2012">
        <f>MONTH(Table9[[#This Row],[OrderDate ]])</f>
        <v>4</v>
      </c>
      <c r="M2012" t="str">
        <f>TEXT(Table9[[#This Row],[OrderDate ]],"mmm")</f>
        <v>Apr</v>
      </c>
      <c r="N2012">
        <f>YEAR(Table9[[#This Row],[OrderDate ]])</f>
        <v>2015</v>
      </c>
    </row>
    <row r="2013" spans="1:14" x14ac:dyDescent="0.3">
      <c r="A2013">
        <v>11027</v>
      </c>
      <c r="B2013" s="2">
        <f>_xlfn.XLOOKUP(Table9[[#This Row],[orderID]],orders[orderID],orders[orderDate],,0)</f>
        <v>42110</v>
      </c>
      <c r="C2013">
        <f>_xlfn.XLOOKUP(A2013,order_details[orderID],order_details[productID],,0)</f>
        <v>24</v>
      </c>
      <c r="D2013" t="str">
        <f>_xlfn.XLOOKUP(C2013,products[productID],products[productName],,0)</f>
        <v>Guarana Fantastica</v>
      </c>
      <c r="E2013" t="str">
        <f>_xlfn.XLOOKUP(_xlfn.XLOOKUP(Table9[[#This Row],[ProductName ]],products[productName],products[categoryID],,0),categories[categoryID],categories[categoryName],,0)</f>
        <v>Beverages</v>
      </c>
      <c r="F2013">
        <v>30</v>
      </c>
      <c r="G2013">
        <v>45</v>
      </c>
      <c r="H2013">
        <v>25</v>
      </c>
      <c r="I2013">
        <f>Table9[[#This Row],[quantity]]*Table9[[#This Row],[unitPrice]]*(1-Table9[[#This Row],[discount]]/100)</f>
        <v>1012.5</v>
      </c>
      <c r="J2013" t="str">
        <f>_xlfn.XLOOKUP(_xlfn.XLOOKUP(A2013,orders[orderID],orders[customerID],,0),customers__2[customerID],customers__2[companyName],,0)</f>
        <v>Bottom-Dollar Markets</v>
      </c>
      <c r="K2013" t="str">
        <f>_xlfn.XLOOKUP(Table9[[#This Row],[Company Name]],customers__2[companyName],customers__2[country],,0)</f>
        <v>Canada</v>
      </c>
      <c r="L2013">
        <f>MONTH(Table9[[#This Row],[OrderDate ]])</f>
        <v>4</v>
      </c>
      <c r="M2013" t="str">
        <f>TEXT(Table9[[#This Row],[OrderDate ]],"mmm")</f>
        <v>Apr</v>
      </c>
      <c r="N2013">
        <f>YEAR(Table9[[#This Row],[OrderDate ]])</f>
        <v>2015</v>
      </c>
    </row>
    <row r="2014" spans="1:14" x14ac:dyDescent="0.3">
      <c r="A2014">
        <v>11027</v>
      </c>
      <c r="B2014" s="2">
        <f>_xlfn.XLOOKUP(Table9[[#This Row],[orderID]],orders[orderID],orders[orderDate],,0)</f>
        <v>42110</v>
      </c>
      <c r="C2014">
        <f>_xlfn.XLOOKUP(A2014,order_details[orderID],order_details[productID],,0)</f>
        <v>24</v>
      </c>
      <c r="D2014" t="str">
        <f>_xlfn.XLOOKUP(C2014,products[productID],products[productName],,0)</f>
        <v>Guarana Fantastica</v>
      </c>
      <c r="E2014" t="str">
        <f>_xlfn.XLOOKUP(_xlfn.XLOOKUP(Table9[[#This Row],[ProductName ]],products[productName],products[categoryID],,0),categories[categoryID],categories[categoryName],,0)</f>
        <v>Beverages</v>
      </c>
      <c r="F2014">
        <v>21</v>
      </c>
      <c r="G2014">
        <v>493</v>
      </c>
      <c r="H2014">
        <v>25</v>
      </c>
      <c r="I2014">
        <f>Table9[[#This Row],[quantity]]*Table9[[#This Row],[unitPrice]]*(1-Table9[[#This Row],[discount]]/100)</f>
        <v>7764.75</v>
      </c>
      <c r="J2014" t="str">
        <f>_xlfn.XLOOKUP(_xlfn.XLOOKUP(A2014,orders[orderID],orders[customerID],,0),customers__2[customerID],customers__2[companyName],,0)</f>
        <v>Bottom-Dollar Markets</v>
      </c>
      <c r="K2014" t="str">
        <f>_xlfn.XLOOKUP(Table9[[#This Row],[Company Name]],customers__2[companyName],customers__2[country],,0)</f>
        <v>Canada</v>
      </c>
      <c r="L2014">
        <f>MONTH(Table9[[#This Row],[OrderDate ]])</f>
        <v>4</v>
      </c>
      <c r="M2014" t="str">
        <f>TEXT(Table9[[#This Row],[OrderDate ]],"mmm")</f>
        <v>Apr</v>
      </c>
      <c r="N2014">
        <f>YEAR(Table9[[#This Row],[OrderDate ]])</f>
        <v>2015</v>
      </c>
    </row>
    <row r="2015" spans="1:14" x14ac:dyDescent="0.3">
      <c r="A2015">
        <v>11028</v>
      </c>
      <c r="B2015" s="2">
        <f>_xlfn.XLOOKUP(Table9[[#This Row],[orderID]],orders[orderID],orders[orderDate],,0)</f>
        <v>42110</v>
      </c>
      <c r="C2015">
        <f>_xlfn.XLOOKUP(A2015,order_details[orderID],order_details[productID],,0)</f>
        <v>55</v>
      </c>
      <c r="D2015" t="str">
        <f>_xlfn.XLOOKUP(C2015,products[productID],products[productName],,0)</f>
        <v>Pâté chinois</v>
      </c>
      <c r="E2015" t="str">
        <f>_xlfn.XLOOKUP(_xlfn.XLOOKUP(Table9[[#This Row],[ProductName ]],products[productName],products[categoryID],,0),categories[categoryID],categories[categoryName],,0)</f>
        <v>Meat &amp; Poultry</v>
      </c>
      <c r="F2015">
        <v>35</v>
      </c>
      <c r="G2015">
        <v>24</v>
      </c>
      <c r="H2015">
        <v>0</v>
      </c>
      <c r="I2015">
        <f>Table9[[#This Row],[quantity]]*Table9[[#This Row],[unitPrice]]*(1-Table9[[#This Row],[discount]]/100)</f>
        <v>840</v>
      </c>
      <c r="J2015" t="str">
        <f>_xlfn.XLOOKUP(_xlfn.XLOOKUP(A2015,orders[orderID],orders[customerID],,0),customers__2[customerID],customers__2[companyName],,0)</f>
        <v>Königlich Essen</v>
      </c>
      <c r="K2015" t="str">
        <f>_xlfn.XLOOKUP(Table9[[#This Row],[Company Name]],customers__2[companyName],customers__2[country],,0)</f>
        <v>Germany</v>
      </c>
      <c r="L2015">
        <f>MONTH(Table9[[#This Row],[OrderDate ]])</f>
        <v>4</v>
      </c>
      <c r="M2015" t="str">
        <f>TEXT(Table9[[#This Row],[OrderDate ]],"mmm")</f>
        <v>Apr</v>
      </c>
      <c r="N2015">
        <f>YEAR(Table9[[#This Row],[OrderDate ]])</f>
        <v>2015</v>
      </c>
    </row>
    <row r="2016" spans="1:14" x14ac:dyDescent="0.3">
      <c r="A2016">
        <v>11028</v>
      </c>
      <c r="B2016" s="2">
        <f>_xlfn.XLOOKUP(Table9[[#This Row],[orderID]],orders[orderID],orders[orderDate],,0)</f>
        <v>42110</v>
      </c>
      <c r="C2016">
        <f>_xlfn.XLOOKUP(A2016,order_details[orderID],order_details[productID],,0)</f>
        <v>55</v>
      </c>
      <c r="D2016" t="str">
        <f>_xlfn.XLOOKUP(C2016,products[productID],products[productName],,0)</f>
        <v>Pâté chinois</v>
      </c>
      <c r="E2016" t="str">
        <f>_xlfn.XLOOKUP(_xlfn.XLOOKUP(Table9[[#This Row],[ProductName ]],products[productName],products[categoryID],,0),categories[categoryID],categories[categoryName],,0)</f>
        <v>Meat &amp; Poultry</v>
      </c>
      <c r="F2016">
        <v>24</v>
      </c>
      <c r="G2016">
        <v>55</v>
      </c>
      <c r="H2016">
        <v>0</v>
      </c>
      <c r="I2016">
        <f>Table9[[#This Row],[quantity]]*Table9[[#This Row],[unitPrice]]*(1-Table9[[#This Row],[discount]]/100)</f>
        <v>1320</v>
      </c>
      <c r="J2016" t="str">
        <f>_xlfn.XLOOKUP(_xlfn.XLOOKUP(A2016,orders[orderID],orders[customerID],,0),customers__2[customerID],customers__2[companyName],,0)</f>
        <v>Königlich Essen</v>
      </c>
      <c r="K2016" t="str">
        <f>_xlfn.XLOOKUP(Table9[[#This Row],[Company Name]],customers__2[companyName],customers__2[country],,0)</f>
        <v>Germany</v>
      </c>
      <c r="L2016">
        <f>MONTH(Table9[[#This Row],[OrderDate ]])</f>
        <v>4</v>
      </c>
      <c r="M2016" t="str">
        <f>TEXT(Table9[[#This Row],[OrderDate ]],"mmm")</f>
        <v>Apr</v>
      </c>
      <c r="N2016">
        <f>YEAR(Table9[[#This Row],[OrderDate ]])</f>
        <v>2015</v>
      </c>
    </row>
    <row r="2017" spans="1:14" x14ac:dyDescent="0.3">
      <c r="A2017">
        <v>11029</v>
      </c>
      <c r="B2017" s="2">
        <f>_xlfn.XLOOKUP(Table9[[#This Row],[orderID]],orders[orderID],orders[orderDate],,0)</f>
        <v>42110</v>
      </c>
      <c r="C2017">
        <f>_xlfn.XLOOKUP(A2017,order_details[orderID],order_details[productID],,0)</f>
        <v>56</v>
      </c>
      <c r="D2017" t="str">
        <f>_xlfn.XLOOKUP(C2017,products[productID],products[productName],,0)</f>
        <v>Gnocchi di nonna Alice</v>
      </c>
      <c r="E2017" t="str">
        <f>_xlfn.XLOOKUP(_xlfn.XLOOKUP(Table9[[#This Row],[ProductName ]],products[productName],products[categoryID],,0),categories[categoryID],categories[categoryName],,0)</f>
        <v>Grains &amp; Cereals</v>
      </c>
      <c r="F2017">
        <v>20</v>
      </c>
      <c r="G2017">
        <v>38</v>
      </c>
      <c r="H2017">
        <v>0</v>
      </c>
      <c r="I2017">
        <f>Table9[[#This Row],[quantity]]*Table9[[#This Row],[unitPrice]]*(1-Table9[[#This Row],[discount]]/100)</f>
        <v>760</v>
      </c>
      <c r="J2017" t="str">
        <f>_xlfn.XLOOKUP(_xlfn.XLOOKUP(A2017,orders[orderID],orders[customerID],,0),customers__2[customerID],customers__2[companyName],,0)</f>
        <v>Chop-suey Chinese</v>
      </c>
      <c r="K2017" t="str">
        <f>_xlfn.XLOOKUP(Table9[[#This Row],[Company Name]],customers__2[companyName],customers__2[country],,0)</f>
        <v>Switzerland</v>
      </c>
      <c r="L2017">
        <f>MONTH(Table9[[#This Row],[OrderDate ]])</f>
        <v>4</v>
      </c>
      <c r="M2017" t="str">
        <f>TEXT(Table9[[#This Row],[OrderDate ]],"mmm")</f>
        <v>Apr</v>
      </c>
      <c r="N2017">
        <f>YEAR(Table9[[#This Row],[OrderDate ]])</f>
        <v>2015</v>
      </c>
    </row>
    <row r="2018" spans="1:14" x14ac:dyDescent="0.3">
      <c r="A2018">
        <v>11029</v>
      </c>
      <c r="B2018" s="2">
        <f>_xlfn.XLOOKUP(Table9[[#This Row],[orderID]],orders[orderID],orders[orderDate],,0)</f>
        <v>42110</v>
      </c>
      <c r="C2018">
        <f>_xlfn.XLOOKUP(A2018,order_details[orderID],order_details[productID],,0)</f>
        <v>56</v>
      </c>
      <c r="D2018" t="str">
        <f>_xlfn.XLOOKUP(C2018,products[productID],products[productName],,0)</f>
        <v>Gnocchi di nonna Alice</v>
      </c>
      <c r="E2018" t="str">
        <f>_xlfn.XLOOKUP(_xlfn.XLOOKUP(Table9[[#This Row],[ProductName ]],products[productName],products[categoryID],,0),categories[categoryID],categories[categoryName],,0)</f>
        <v>Grains &amp; Cereals</v>
      </c>
      <c r="F2018">
        <v>12</v>
      </c>
      <c r="G2018">
        <v>439</v>
      </c>
      <c r="H2018">
        <v>0</v>
      </c>
      <c r="I2018">
        <f>Table9[[#This Row],[quantity]]*Table9[[#This Row],[unitPrice]]*(1-Table9[[#This Row],[discount]]/100)</f>
        <v>5268</v>
      </c>
      <c r="J2018" t="str">
        <f>_xlfn.XLOOKUP(_xlfn.XLOOKUP(A2018,orders[orderID],orders[customerID],,0),customers__2[customerID],customers__2[companyName],,0)</f>
        <v>Chop-suey Chinese</v>
      </c>
      <c r="K2018" t="str">
        <f>_xlfn.XLOOKUP(Table9[[#This Row],[Company Name]],customers__2[companyName],customers__2[country],,0)</f>
        <v>Switzerland</v>
      </c>
      <c r="L2018">
        <f>MONTH(Table9[[#This Row],[OrderDate ]])</f>
        <v>4</v>
      </c>
      <c r="M2018" t="str">
        <f>TEXT(Table9[[#This Row],[OrderDate ]],"mmm")</f>
        <v>Apr</v>
      </c>
      <c r="N2018">
        <f>YEAR(Table9[[#This Row],[OrderDate ]])</f>
        <v>2015</v>
      </c>
    </row>
    <row r="2019" spans="1:14" x14ac:dyDescent="0.3">
      <c r="A2019">
        <v>11030</v>
      </c>
      <c r="B2019" s="2">
        <f>_xlfn.XLOOKUP(Table9[[#This Row],[orderID]],orders[orderID],orders[orderDate],,0)</f>
        <v>42111</v>
      </c>
      <c r="C2019">
        <f>_xlfn.XLOOKUP(A2019,order_details[orderID],order_details[productID],,0)</f>
        <v>2</v>
      </c>
      <c r="D2019" t="str">
        <f>_xlfn.XLOOKUP(C2019,products[productID],products[productName],,0)</f>
        <v>Chang</v>
      </c>
      <c r="E2019" t="str">
        <f>_xlfn.XLOOKUP(_xlfn.XLOOKUP(Table9[[#This Row],[ProductName ]],products[productName],products[categoryID],,0),categories[categoryID],categories[categoryName],,0)</f>
        <v>Beverages</v>
      </c>
      <c r="F2019">
        <v>100</v>
      </c>
      <c r="G2019">
        <v>19</v>
      </c>
      <c r="H2019">
        <v>25</v>
      </c>
      <c r="I2019">
        <f>Table9[[#This Row],[quantity]]*Table9[[#This Row],[unitPrice]]*(1-Table9[[#This Row],[discount]]/100)</f>
        <v>1425</v>
      </c>
      <c r="J2019" t="str">
        <f>_xlfn.XLOOKUP(_xlfn.XLOOKUP(A2019,orders[orderID],orders[customerID],,0),customers__2[customerID],customers__2[companyName],,0)</f>
        <v>Save-a-lot Markets</v>
      </c>
      <c r="K2019" t="str">
        <f>_xlfn.XLOOKUP(Table9[[#This Row],[Company Name]],customers__2[companyName],customers__2[country],,0)</f>
        <v>USA</v>
      </c>
      <c r="L2019">
        <f>MONTH(Table9[[#This Row],[OrderDate ]])</f>
        <v>4</v>
      </c>
      <c r="M2019" t="str">
        <f>TEXT(Table9[[#This Row],[OrderDate ]],"mmm")</f>
        <v>Apr</v>
      </c>
      <c r="N2019">
        <f>YEAR(Table9[[#This Row],[OrderDate ]])</f>
        <v>2015</v>
      </c>
    </row>
    <row r="2020" spans="1:14" x14ac:dyDescent="0.3">
      <c r="A2020">
        <v>11030</v>
      </c>
      <c r="B2020" s="2">
        <f>_xlfn.XLOOKUP(Table9[[#This Row],[orderID]],orders[orderID],orders[orderDate],,0)</f>
        <v>42111</v>
      </c>
      <c r="C2020">
        <f>_xlfn.XLOOKUP(A2020,order_details[orderID],order_details[productID],,0)</f>
        <v>2</v>
      </c>
      <c r="D2020" t="str">
        <f>_xlfn.XLOOKUP(C2020,products[productID],products[productName],,0)</f>
        <v>Chang</v>
      </c>
      <c r="E2020" t="str">
        <f>_xlfn.XLOOKUP(_xlfn.XLOOKUP(Table9[[#This Row],[ProductName ]],products[productName],products[categoryID],,0),categories[categoryID],categories[categoryName],,0)</f>
        <v>Beverages</v>
      </c>
      <c r="F2020">
        <v>70</v>
      </c>
      <c r="G2020">
        <v>2135</v>
      </c>
      <c r="H2020">
        <v>0</v>
      </c>
      <c r="I2020">
        <f>Table9[[#This Row],[quantity]]*Table9[[#This Row],[unitPrice]]*(1-Table9[[#This Row],[discount]]/100)</f>
        <v>149450</v>
      </c>
      <c r="J2020" t="str">
        <f>_xlfn.XLOOKUP(_xlfn.XLOOKUP(A2020,orders[orderID],orders[customerID],,0),customers__2[customerID],customers__2[companyName],,0)</f>
        <v>Save-a-lot Markets</v>
      </c>
      <c r="K2020" t="str">
        <f>_xlfn.XLOOKUP(Table9[[#This Row],[Company Name]],customers__2[companyName],customers__2[country],,0)</f>
        <v>USA</v>
      </c>
      <c r="L2020">
        <f>MONTH(Table9[[#This Row],[OrderDate ]])</f>
        <v>4</v>
      </c>
      <c r="M2020" t="str">
        <f>TEXT(Table9[[#This Row],[OrderDate ]],"mmm")</f>
        <v>Apr</v>
      </c>
      <c r="N2020">
        <f>YEAR(Table9[[#This Row],[OrderDate ]])</f>
        <v>2015</v>
      </c>
    </row>
    <row r="2021" spans="1:14" x14ac:dyDescent="0.3">
      <c r="A2021">
        <v>11030</v>
      </c>
      <c r="B2021" s="2">
        <f>_xlfn.XLOOKUP(Table9[[#This Row],[orderID]],orders[orderID],orders[orderDate],,0)</f>
        <v>42111</v>
      </c>
      <c r="C2021">
        <f>_xlfn.XLOOKUP(A2021,order_details[orderID],order_details[productID],,0)</f>
        <v>2</v>
      </c>
      <c r="D2021" t="str">
        <f>_xlfn.XLOOKUP(C2021,products[productID],products[productName],,0)</f>
        <v>Chang</v>
      </c>
      <c r="E2021" t="str">
        <f>_xlfn.XLOOKUP(_xlfn.XLOOKUP(Table9[[#This Row],[ProductName ]],products[productName],products[categoryID],,0),categories[categoryID],categories[categoryName],,0)</f>
        <v>Beverages</v>
      </c>
      <c r="F2021">
        <v>60</v>
      </c>
      <c r="G2021">
        <v>12379</v>
      </c>
      <c r="H2021">
        <v>25</v>
      </c>
      <c r="I2021">
        <f>Table9[[#This Row],[quantity]]*Table9[[#This Row],[unitPrice]]*(1-Table9[[#This Row],[discount]]/100)</f>
        <v>557055</v>
      </c>
      <c r="J2021" t="str">
        <f>_xlfn.XLOOKUP(_xlfn.XLOOKUP(A2021,orders[orderID],orders[customerID],,0),customers__2[customerID],customers__2[companyName],,0)</f>
        <v>Save-a-lot Markets</v>
      </c>
      <c r="K2021" t="str">
        <f>_xlfn.XLOOKUP(Table9[[#This Row],[Company Name]],customers__2[companyName],customers__2[country],,0)</f>
        <v>USA</v>
      </c>
      <c r="L2021">
        <f>MONTH(Table9[[#This Row],[OrderDate ]])</f>
        <v>4</v>
      </c>
      <c r="M2021" t="str">
        <f>TEXT(Table9[[#This Row],[OrderDate ]],"mmm")</f>
        <v>Apr</v>
      </c>
      <c r="N2021">
        <f>YEAR(Table9[[#This Row],[OrderDate ]])</f>
        <v>2015</v>
      </c>
    </row>
    <row r="2022" spans="1:14" x14ac:dyDescent="0.3">
      <c r="A2022">
        <v>11030</v>
      </c>
      <c r="B2022" s="2">
        <f>_xlfn.XLOOKUP(Table9[[#This Row],[orderID]],orders[orderID],orders[orderDate],,0)</f>
        <v>42111</v>
      </c>
      <c r="C2022">
        <f>_xlfn.XLOOKUP(A2022,order_details[orderID],order_details[productID],,0)</f>
        <v>2</v>
      </c>
      <c r="D2022" t="str">
        <f>_xlfn.XLOOKUP(C2022,products[productID],products[productName],,0)</f>
        <v>Chang</v>
      </c>
      <c r="E2022" t="str">
        <f>_xlfn.XLOOKUP(_xlfn.XLOOKUP(Table9[[#This Row],[ProductName ]],products[productName],products[categoryID],,0),categories[categoryID],categories[categoryName],,0)</f>
        <v>Beverages</v>
      </c>
      <c r="F2022">
        <v>100</v>
      </c>
      <c r="G2022">
        <v>55</v>
      </c>
      <c r="H2022">
        <v>25</v>
      </c>
      <c r="I2022">
        <f>Table9[[#This Row],[quantity]]*Table9[[#This Row],[unitPrice]]*(1-Table9[[#This Row],[discount]]/100)</f>
        <v>4125</v>
      </c>
      <c r="J2022" t="str">
        <f>_xlfn.XLOOKUP(_xlfn.XLOOKUP(A2022,orders[orderID],orders[customerID],,0),customers__2[customerID],customers__2[companyName],,0)</f>
        <v>Save-a-lot Markets</v>
      </c>
      <c r="K2022" t="str">
        <f>_xlfn.XLOOKUP(Table9[[#This Row],[Company Name]],customers__2[companyName],customers__2[country],,0)</f>
        <v>USA</v>
      </c>
      <c r="L2022">
        <f>MONTH(Table9[[#This Row],[OrderDate ]])</f>
        <v>4</v>
      </c>
      <c r="M2022" t="str">
        <f>TEXT(Table9[[#This Row],[OrderDate ]],"mmm")</f>
        <v>Apr</v>
      </c>
      <c r="N2022">
        <f>YEAR(Table9[[#This Row],[OrderDate ]])</f>
        <v>2015</v>
      </c>
    </row>
    <row r="2023" spans="1:14" x14ac:dyDescent="0.3">
      <c r="A2023">
        <v>11031</v>
      </c>
      <c r="B2023" s="2">
        <f>_xlfn.XLOOKUP(Table9[[#This Row],[orderID]],orders[orderID],orders[orderDate],,0)</f>
        <v>42111</v>
      </c>
      <c r="C2023">
        <f>_xlfn.XLOOKUP(A2023,order_details[orderID],order_details[productID],,0)</f>
        <v>1</v>
      </c>
      <c r="D2023" t="str">
        <f>_xlfn.XLOOKUP(C2023,products[productID],products[productName],,0)</f>
        <v>Chai</v>
      </c>
      <c r="E2023" t="str">
        <f>_xlfn.XLOOKUP(_xlfn.XLOOKUP(Table9[[#This Row],[ProductName ]],products[productName],products[categoryID],,0),categories[categoryID],categories[categoryName],,0)</f>
        <v>Beverages</v>
      </c>
      <c r="F2023">
        <v>45</v>
      </c>
      <c r="G2023">
        <v>18</v>
      </c>
      <c r="H2023">
        <v>0</v>
      </c>
      <c r="I2023">
        <f>Table9[[#This Row],[quantity]]*Table9[[#This Row],[unitPrice]]*(1-Table9[[#This Row],[discount]]/100)</f>
        <v>810</v>
      </c>
      <c r="J2023" t="str">
        <f>_xlfn.XLOOKUP(_xlfn.XLOOKUP(A2023,orders[orderID],orders[customerID],,0),customers__2[customerID],customers__2[companyName],,0)</f>
        <v>Save-a-lot Markets</v>
      </c>
      <c r="K2023" t="str">
        <f>_xlfn.XLOOKUP(Table9[[#This Row],[Company Name]],customers__2[companyName],customers__2[country],,0)</f>
        <v>USA</v>
      </c>
      <c r="L2023">
        <f>MONTH(Table9[[#This Row],[OrderDate ]])</f>
        <v>4</v>
      </c>
      <c r="M2023" t="str">
        <f>TEXT(Table9[[#This Row],[OrderDate ]],"mmm")</f>
        <v>Apr</v>
      </c>
      <c r="N2023">
        <f>YEAR(Table9[[#This Row],[OrderDate ]])</f>
        <v>2015</v>
      </c>
    </row>
    <row r="2024" spans="1:14" x14ac:dyDescent="0.3">
      <c r="A2024">
        <v>11031</v>
      </c>
      <c r="B2024" s="2">
        <f>_xlfn.XLOOKUP(Table9[[#This Row],[orderID]],orders[orderID],orders[orderDate],,0)</f>
        <v>42111</v>
      </c>
      <c r="C2024">
        <f>_xlfn.XLOOKUP(A2024,order_details[orderID],order_details[productID],,0)</f>
        <v>1</v>
      </c>
      <c r="D2024" t="str">
        <f>_xlfn.XLOOKUP(C2024,products[productID],products[productName],,0)</f>
        <v>Chai</v>
      </c>
      <c r="E2024" t="str">
        <f>_xlfn.XLOOKUP(_xlfn.XLOOKUP(Table9[[#This Row],[ProductName ]],products[productName],products[categoryID],,0),categories[categoryID],categories[categoryName],,0)</f>
        <v>Beverages</v>
      </c>
      <c r="F2024">
        <v>80</v>
      </c>
      <c r="G2024">
        <v>6</v>
      </c>
      <c r="H2024">
        <v>0</v>
      </c>
      <c r="I2024">
        <f>Table9[[#This Row],[quantity]]*Table9[[#This Row],[unitPrice]]*(1-Table9[[#This Row],[discount]]/100)</f>
        <v>480</v>
      </c>
      <c r="J2024" t="str">
        <f>_xlfn.XLOOKUP(_xlfn.XLOOKUP(A2024,orders[orderID],orders[customerID],,0),customers__2[customerID],customers__2[companyName],,0)</f>
        <v>Save-a-lot Markets</v>
      </c>
      <c r="K2024" t="str">
        <f>_xlfn.XLOOKUP(Table9[[#This Row],[Company Name]],customers__2[companyName],customers__2[country],,0)</f>
        <v>USA</v>
      </c>
      <c r="L2024">
        <f>MONTH(Table9[[#This Row],[OrderDate ]])</f>
        <v>4</v>
      </c>
      <c r="M2024" t="str">
        <f>TEXT(Table9[[#This Row],[OrderDate ]],"mmm")</f>
        <v>Apr</v>
      </c>
      <c r="N2024">
        <f>YEAR(Table9[[#This Row],[OrderDate ]])</f>
        <v>2015</v>
      </c>
    </row>
    <row r="2025" spans="1:14" x14ac:dyDescent="0.3">
      <c r="A2025">
        <v>11031</v>
      </c>
      <c r="B2025" s="2">
        <f>_xlfn.XLOOKUP(Table9[[#This Row],[orderID]],orders[orderID],orders[orderDate],,0)</f>
        <v>42111</v>
      </c>
      <c r="C2025">
        <f>_xlfn.XLOOKUP(A2025,order_details[orderID],order_details[productID],,0)</f>
        <v>1</v>
      </c>
      <c r="D2025" t="str">
        <f>_xlfn.XLOOKUP(C2025,products[productID],products[productName],,0)</f>
        <v>Chai</v>
      </c>
      <c r="E2025" t="str">
        <f>_xlfn.XLOOKUP(_xlfn.XLOOKUP(Table9[[#This Row],[ProductName ]],products[productName],products[categoryID],,0),categories[categoryID],categories[categoryName],,0)</f>
        <v>Beverages</v>
      </c>
      <c r="F2025">
        <v>21</v>
      </c>
      <c r="G2025">
        <v>45</v>
      </c>
      <c r="H2025">
        <v>0</v>
      </c>
      <c r="I2025">
        <f>Table9[[#This Row],[quantity]]*Table9[[#This Row],[unitPrice]]*(1-Table9[[#This Row],[discount]]/100)</f>
        <v>945</v>
      </c>
      <c r="J2025" t="str">
        <f>_xlfn.XLOOKUP(_xlfn.XLOOKUP(A2025,orders[orderID],orders[customerID],,0),customers__2[customerID],customers__2[companyName],,0)</f>
        <v>Save-a-lot Markets</v>
      </c>
      <c r="K2025" t="str">
        <f>_xlfn.XLOOKUP(Table9[[#This Row],[Company Name]],customers__2[companyName],customers__2[country],,0)</f>
        <v>USA</v>
      </c>
      <c r="L2025">
        <f>MONTH(Table9[[#This Row],[OrderDate ]])</f>
        <v>4</v>
      </c>
      <c r="M2025" t="str">
        <f>TEXT(Table9[[#This Row],[OrderDate ]],"mmm")</f>
        <v>Apr</v>
      </c>
      <c r="N2025">
        <f>YEAR(Table9[[#This Row],[OrderDate ]])</f>
        <v>2015</v>
      </c>
    </row>
    <row r="2026" spans="1:14" x14ac:dyDescent="0.3">
      <c r="A2026">
        <v>11031</v>
      </c>
      <c r="B2026" s="2">
        <f>_xlfn.XLOOKUP(Table9[[#This Row],[orderID]],orders[orderID],orders[orderDate],,0)</f>
        <v>42111</v>
      </c>
      <c r="C2026">
        <f>_xlfn.XLOOKUP(A2026,order_details[orderID],order_details[productID],,0)</f>
        <v>1</v>
      </c>
      <c r="D2026" t="str">
        <f>_xlfn.XLOOKUP(C2026,products[productID],products[productName],,0)</f>
        <v>Chai</v>
      </c>
      <c r="E2026" t="str">
        <f>_xlfn.XLOOKUP(_xlfn.XLOOKUP(Table9[[#This Row],[ProductName ]],products[productName],products[categoryID],,0),categories[categoryID],categories[categoryName],,0)</f>
        <v>Beverages</v>
      </c>
      <c r="F2026">
        <v>20</v>
      </c>
      <c r="G2026">
        <v>3325</v>
      </c>
      <c r="H2026">
        <v>0</v>
      </c>
      <c r="I2026">
        <f>Table9[[#This Row],[quantity]]*Table9[[#This Row],[unitPrice]]*(1-Table9[[#This Row],[discount]]/100)</f>
        <v>66500</v>
      </c>
      <c r="J2026" t="str">
        <f>_xlfn.XLOOKUP(_xlfn.XLOOKUP(A2026,orders[orderID],orders[customerID],,0),customers__2[customerID],customers__2[companyName],,0)</f>
        <v>Save-a-lot Markets</v>
      </c>
      <c r="K2026" t="str">
        <f>_xlfn.XLOOKUP(Table9[[#This Row],[Company Name]],customers__2[companyName],customers__2[country],,0)</f>
        <v>USA</v>
      </c>
      <c r="L2026">
        <f>MONTH(Table9[[#This Row],[OrderDate ]])</f>
        <v>4</v>
      </c>
      <c r="M2026" t="str">
        <f>TEXT(Table9[[#This Row],[OrderDate ]],"mmm")</f>
        <v>Apr</v>
      </c>
      <c r="N2026">
        <f>YEAR(Table9[[#This Row],[OrderDate ]])</f>
        <v>2015</v>
      </c>
    </row>
    <row r="2027" spans="1:14" x14ac:dyDescent="0.3">
      <c r="A2027">
        <v>11031</v>
      </c>
      <c r="B2027" s="2">
        <f>_xlfn.XLOOKUP(Table9[[#This Row],[orderID]],orders[orderID],orders[orderDate],,0)</f>
        <v>42111</v>
      </c>
      <c r="C2027">
        <f>_xlfn.XLOOKUP(A2027,order_details[orderID],order_details[productID],,0)</f>
        <v>1</v>
      </c>
      <c r="D2027" t="str">
        <f>_xlfn.XLOOKUP(C2027,products[productID],products[productName],,0)</f>
        <v>Chai</v>
      </c>
      <c r="E2027" t="str">
        <f>_xlfn.XLOOKUP(_xlfn.XLOOKUP(Table9[[#This Row],[ProductName ]],products[productName],products[categoryID],,0),categories[categoryID],categories[categoryName],,0)</f>
        <v>Beverages</v>
      </c>
      <c r="F2027">
        <v>16</v>
      </c>
      <c r="G2027">
        <v>215</v>
      </c>
      <c r="H2027">
        <v>0</v>
      </c>
      <c r="I2027">
        <f>Table9[[#This Row],[quantity]]*Table9[[#This Row],[unitPrice]]*(1-Table9[[#This Row],[discount]]/100)</f>
        <v>3440</v>
      </c>
      <c r="J2027" t="str">
        <f>_xlfn.XLOOKUP(_xlfn.XLOOKUP(A2027,orders[orderID],orders[customerID],,0),customers__2[customerID],customers__2[companyName],,0)</f>
        <v>Save-a-lot Markets</v>
      </c>
      <c r="K2027" t="str">
        <f>_xlfn.XLOOKUP(Table9[[#This Row],[Company Name]],customers__2[companyName],customers__2[country],,0)</f>
        <v>USA</v>
      </c>
      <c r="L2027">
        <f>MONTH(Table9[[#This Row],[OrderDate ]])</f>
        <v>4</v>
      </c>
      <c r="M2027" t="str">
        <f>TEXT(Table9[[#This Row],[OrderDate ]],"mmm")</f>
        <v>Apr</v>
      </c>
      <c r="N2027">
        <f>YEAR(Table9[[#This Row],[OrderDate ]])</f>
        <v>2015</v>
      </c>
    </row>
    <row r="2028" spans="1:14" x14ac:dyDescent="0.3">
      <c r="A2028">
        <v>11032</v>
      </c>
      <c r="B2028" s="2">
        <f>_xlfn.XLOOKUP(Table9[[#This Row],[orderID]],orders[orderID],orders[orderDate],,0)</f>
        <v>42111</v>
      </c>
      <c r="C2028">
        <f>_xlfn.XLOOKUP(A2028,order_details[orderID],order_details[productID],,0)</f>
        <v>36</v>
      </c>
      <c r="D2028" t="str">
        <f>_xlfn.XLOOKUP(C2028,products[productID],products[productName],,0)</f>
        <v>Inlagd Sill</v>
      </c>
      <c r="E2028" t="str">
        <f>_xlfn.XLOOKUP(_xlfn.XLOOKUP(Table9[[#This Row],[ProductName ]],products[productName],products[categoryID],,0),categories[categoryID],categories[categoryName],,0)</f>
        <v>Seafood</v>
      </c>
      <c r="F2028">
        <v>35</v>
      </c>
      <c r="G2028">
        <v>19</v>
      </c>
      <c r="H2028">
        <v>0</v>
      </c>
      <c r="I2028">
        <f>Table9[[#This Row],[quantity]]*Table9[[#This Row],[unitPrice]]*(1-Table9[[#This Row],[discount]]/100)</f>
        <v>665</v>
      </c>
      <c r="J2028" t="str">
        <f>_xlfn.XLOOKUP(_xlfn.XLOOKUP(A2028,orders[orderID],orders[customerID],,0),customers__2[customerID],customers__2[companyName],,0)</f>
        <v>White Clover Markets</v>
      </c>
      <c r="K2028" t="str">
        <f>_xlfn.XLOOKUP(Table9[[#This Row],[Company Name]],customers__2[companyName],customers__2[country],,0)</f>
        <v>USA</v>
      </c>
      <c r="L2028">
        <f>MONTH(Table9[[#This Row],[OrderDate ]])</f>
        <v>4</v>
      </c>
      <c r="M2028" t="str">
        <f>TEXT(Table9[[#This Row],[OrderDate ]],"mmm")</f>
        <v>Apr</v>
      </c>
      <c r="N2028">
        <f>YEAR(Table9[[#This Row],[OrderDate ]])</f>
        <v>2015</v>
      </c>
    </row>
    <row r="2029" spans="1:14" x14ac:dyDescent="0.3">
      <c r="A2029">
        <v>11032</v>
      </c>
      <c r="B2029" s="2">
        <f>_xlfn.XLOOKUP(Table9[[#This Row],[orderID]],orders[orderID],orders[orderDate],,0)</f>
        <v>42111</v>
      </c>
      <c r="C2029">
        <f>_xlfn.XLOOKUP(A2029,order_details[orderID],order_details[productID],,0)</f>
        <v>36</v>
      </c>
      <c r="D2029" t="str">
        <f>_xlfn.XLOOKUP(C2029,products[productID],products[productName],,0)</f>
        <v>Inlagd Sill</v>
      </c>
      <c r="E2029" t="str">
        <f>_xlfn.XLOOKUP(_xlfn.XLOOKUP(Table9[[#This Row],[ProductName ]],products[productName],products[categoryID],,0),categories[categoryID],categories[categoryName],,0)</f>
        <v>Seafood</v>
      </c>
      <c r="F2029">
        <v>25</v>
      </c>
      <c r="G2029">
        <v>2635</v>
      </c>
      <c r="H2029">
        <v>0</v>
      </c>
      <c r="I2029">
        <f>Table9[[#This Row],[quantity]]*Table9[[#This Row],[unitPrice]]*(1-Table9[[#This Row],[discount]]/100)</f>
        <v>65875</v>
      </c>
      <c r="J2029" t="str">
        <f>_xlfn.XLOOKUP(_xlfn.XLOOKUP(A2029,orders[orderID],orders[customerID],,0),customers__2[customerID],customers__2[companyName],,0)</f>
        <v>White Clover Markets</v>
      </c>
      <c r="K2029" t="str">
        <f>_xlfn.XLOOKUP(Table9[[#This Row],[Company Name]],customers__2[companyName],customers__2[country],,0)</f>
        <v>USA</v>
      </c>
      <c r="L2029">
        <f>MONTH(Table9[[#This Row],[OrderDate ]])</f>
        <v>4</v>
      </c>
      <c r="M2029" t="str">
        <f>TEXT(Table9[[#This Row],[OrderDate ]],"mmm")</f>
        <v>Apr</v>
      </c>
      <c r="N2029">
        <f>YEAR(Table9[[#This Row],[OrderDate ]])</f>
        <v>2015</v>
      </c>
    </row>
    <row r="2030" spans="1:14" x14ac:dyDescent="0.3">
      <c r="A2030">
        <v>11032</v>
      </c>
      <c r="B2030" s="2">
        <f>_xlfn.XLOOKUP(Table9[[#This Row],[orderID]],orders[orderID],orders[orderDate],,0)</f>
        <v>42111</v>
      </c>
      <c r="C2030">
        <f>_xlfn.XLOOKUP(A2030,order_details[orderID],order_details[productID],,0)</f>
        <v>36</v>
      </c>
      <c r="D2030" t="str">
        <f>_xlfn.XLOOKUP(C2030,products[productID],products[productName],,0)</f>
        <v>Inlagd Sill</v>
      </c>
      <c r="E2030" t="str">
        <f>_xlfn.XLOOKUP(_xlfn.XLOOKUP(Table9[[#This Row],[ProductName ]],products[productName],products[categoryID],,0),categories[categoryID],categories[categoryName],,0)</f>
        <v>Seafood</v>
      </c>
      <c r="F2030">
        <v>30</v>
      </c>
      <c r="G2030">
        <v>55</v>
      </c>
      <c r="H2030">
        <v>0</v>
      </c>
      <c r="I2030">
        <f>Table9[[#This Row],[quantity]]*Table9[[#This Row],[unitPrice]]*(1-Table9[[#This Row],[discount]]/100)</f>
        <v>1650</v>
      </c>
      <c r="J2030" t="str">
        <f>_xlfn.XLOOKUP(_xlfn.XLOOKUP(A2030,orders[orderID],orders[customerID],,0),customers__2[customerID],customers__2[companyName],,0)</f>
        <v>White Clover Markets</v>
      </c>
      <c r="K2030" t="str">
        <f>_xlfn.XLOOKUP(Table9[[#This Row],[Company Name]],customers__2[companyName],customers__2[country],,0)</f>
        <v>USA</v>
      </c>
      <c r="L2030">
        <f>MONTH(Table9[[#This Row],[OrderDate ]])</f>
        <v>4</v>
      </c>
      <c r="M2030" t="str">
        <f>TEXT(Table9[[#This Row],[OrderDate ]],"mmm")</f>
        <v>Apr</v>
      </c>
      <c r="N2030">
        <f>YEAR(Table9[[#This Row],[OrderDate ]])</f>
        <v>2015</v>
      </c>
    </row>
    <row r="2031" spans="1:14" x14ac:dyDescent="0.3">
      <c r="A2031">
        <v>11033</v>
      </c>
      <c r="B2031" s="2">
        <f>_xlfn.XLOOKUP(Table9[[#This Row],[orderID]],orders[orderID],orders[orderDate],,0)</f>
        <v>42111</v>
      </c>
      <c r="C2031">
        <f>_xlfn.XLOOKUP(A2031,order_details[orderID],order_details[productID],,0)</f>
        <v>53</v>
      </c>
      <c r="D2031" t="str">
        <f>_xlfn.XLOOKUP(C2031,products[productID],products[productName],,0)</f>
        <v>Perth Pasties</v>
      </c>
      <c r="E2031" t="str">
        <f>_xlfn.XLOOKUP(_xlfn.XLOOKUP(Table9[[#This Row],[ProductName ]],products[productName],products[categoryID],,0),categories[categoryID],categories[categoryName],,0)</f>
        <v>Meat &amp; Poultry</v>
      </c>
      <c r="F2031">
        <v>70</v>
      </c>
      <c r="G2031">
        <v>328</v>
      </c>
      <c r="H2031">
        <v>1</v>
      </c>
      <c r="I2031">
        <f>Table9[[#This Row],[quantity]]*Table9[[#This Row],[unitPrice]]*(1-Table9[[#This Row],[discount]]/100)</f>
        <v>22730.400000000001</v>
      </c>
      <c r="J2031" t="str">
        <f>_xlfn.XLOOKUP(_xlfn.XLOOKUP(A2031,orders[orderID],orders[customerID],,0),customers__2[customerID],customers__2[companyName],,0)</f>
        <v>Richter Supermarkt</v>
      </c>
      <c r="K2031" t="str">
        <f>_xlfn.XLOOKUP(Table9[[#This Row],[Company Name]],customers__2[companyName],customers__2[country],,0)</f>
        <v>Switzerland</v>
      </c>
      <c r="L2031">
        <f>MONTH(Table9[[#This Row],[OrderDate ]])</f>
        <v>4</v>
      </c>
      <c r="M2031" t="str">
        <f>TEXT(Table9[[#This Row],[OrderDate ]],"mmm")</f>
        <v>Apr</v>
      </c>
      <c r="N2031">
        <f>YEAR(Table9[[#This Row],[OrderDate ]])</f>
        <v>2015</v>
      </c>
    </row>
    <row r="2032" spans="1:14" x14ac:dyDescent="0.3">
      <c r="A2032">
        <v>11033</v>
      </c>
      <c r="B2032" s="2">
        <f>_xlfn.XLOOKUP(Table9[[#This Row],[orderID]],orders[orderID],orders[orderDate],,0)</f>
        <v>42111</v>
      </c>
      <c r="C2032">
        <f>_xlfn.XLOOKUP(A2032,order_details[orderID],order_details[productID],,0)</f>
        <v>53</v>
      </c>
      <c r="D2032" t="str">
        <f>_xlfn.XLOOKUP(C2032,products[productID],products[productName],,0)</f>
        <v>Perth Pasties</v>
      </c>
      <c r="E2032" t="str">
        <f>_xlfn.XLOOKUP(_xlfn.XLOOKUP(Table9[[#This Row],[ProductName ]],products[productName],products[categoryID],,0),categories[categoryID],categories[categoryName],,0)</f>
        <v>Meat &amp; Poultry</v>
      </c>
      <c r="F2032">
        <v>36</v>
      </c>
      <c r="G2032">
        <v>36</v>
      </c>
      <c r="H2032">
        <v>1</v>
      </c>
      <c r="I2032">
        <f>Table9[[#This Row],[quantity]]*Table9[[#This Row],[unitPrice]]*(1-Table9[[#This Row],[discount]]/100)</f>
        <v>1283.04</v>
      </c>
      <c r="J2032" t="str">
        <f>_xlfn.XLOOKUP(_xlfn.XLOOKUP(A2032,orders[orderID],orders[customerID],,0),customers__2[customerID],customers__2[companyName],,0)</f>
        <v>Richter Supermarkt</v>
      </c>
      <c r="K2032" t="str">
        <f>_xlfn.XLOOKUP(Table9[[#This Row],[Company Name]],customers__2[companyName],customers__2[country],,0)</f>
        <v>Switzerland</v>
      </c>
      <c r="L2032">
        <f>MONTH(Table9[[#This Row],[OrderDate ]])</f>
        <v>4</v>
      </c>
      <c r="M2032" t="str">
        <f>TEXT(Table9[[#This Row],[OrderDate ]],"mmm")</f>
        <v>Apr</v>
      </c>
      <c r="N2032">
        <f>YEAR(Table9[[#This Row],[OrderDate ]])</f>
        <v>2015</v>
      </c>
    </row>
    <row r="2033" spans="1:14" x14ac:dyDescent="0.3">
      <c r="A2033">
        <v>11034</v>
      </c>
      <c r="B2033" s="2">
        <f>_xlfn.XLOOKUP(Table9[[#This Row],[orderID]],orders[orderID],orders[orderDate],,0)</f>
        <v>42114</v>
      </c>
      <c r="C2033">
        <f>_xlfn.XLOOKUP(A2033,order_details[orderID],order_details[productID],,0)</f>
        <v>21</v>
      </c>
      <c r="D2033" t="str">
        <f>_xlfn.XLOOKUP(C2033,products[productID],products[productName],,0)</f>
        <v>Sir Rodney's Scones</v>
      </c>
      <c r="E2033" t="str">
        <f>_xlfn.XLOOKUP(_xlfn.XLOOKUP(Table9[[#This Row],[ProductName ]],products[productName],products[categoryID],,0),categories[categoryID],categories[categoryName],,0)</f>
        <v>Confections</v>
      </c>
      <c r="F2033">
        <v>15</v>
      </c>
      <c r="G2033">
        <v>10</v>
      </c>
      <c r="H2033">
        <v>1</v>
      </c>
      <c r="I2033">
        <f>Table9[[#This Row],[quantity]]*Table9[[#This Row],[unitPrice]]*(1-Table9[[#This Row],[discount]]/100)</f>
        <v>148.5</v>
      </c>
      <c r="J2033" t="str">
        <f>_xlfn.XLOOKUP(_xlfn.XLOOKUP(A2033,orders[orderID],orders[customerID],,0),customers__2[customerID],customers__2[companyName],,0)</f>
        <v>Old World Delicatessen</v>
      </c>
      <c r="K2033" t="str">
        <f>_xlfn.XLOOKUP(Table9[[#This Row],[Company Name]],customers__2[companyName],customers__2[country],,0)</f>
        <v>USA</v>
      </c>
      <c r="L2033">
        <f>MONTH(Table9[[#This Row],[OrderDate ]])</f>
        <v>4</v>
      </c>
      <c r="M2033" t="str">
        <f>TEXT(Table9[[#This Row],[OrderDate ]],"mmm")</f>
        <v>Apr</v>
      </c>
      <c r="N2033">
        <f>YEAR(Table9[[#This Row],[OrderDate ]])</f>
        <v>2015</v>
      </c>
    </row>
    <row r="2034" spans="1:14" x14ac:dyDescent="0.3">
      <c r="A2034">
        <v>11034</v>
      </c>
      <c r="B2034" s="2">
        <f>_xlfn.XLOOKUP(Table9[[#This Row],[orderID]],orders[orderID],orders[orderDate],,0)</f>
        <v>42114</v>
      </c>
      <c r="C2034">
        <f>_xlfn.XLOOKUP(A2034,order_details[orderID],order_details[productID],,0)</f>
        <v>21</v>
      </c>
      <c r="D2034" t="str">
        <f>_xlfn.XLOOKUP(C2034,products[productID],products[productName],,0)</f>
        <v>Sir Rodney's Scones</v>
      </c>
      <c r="E2034" t="str">
        <f>_xlfn.XLOOKUP(_xlfn.XLOOKUP(Table9[[#This Row],[ProductName ]],products[productName],products[categoryID],,0),categories[categoryID],categories[categoryName],,0)</f>
        <v>Confections</v>
      </c>
      <c r="F2034">
        <v>12</v>
      </c>
      <c r="G2034">
        <v>1945</v>
      </c>
      <c r="H2034">
        <v>0</v>
      </c>
      <c r="I2034">
        <f>Table9[[#This Row],[quantity]]*Table9[[#This Row],[unitPrice]]*(1-Table9[[#This Row],[discount]]/100)</f>
        <v>23340</v>
      </c>
      <c r="J2034" t="str">
        <f>_xlfn.XLOOKUP(_xlfn.XLOOKUP(A2034,orders[orderID],orders[customerID],,0),customers__2[customerID],customers__2[companyName],,0)</f>
        <v>Old World Delicatessen</v>
      </c>
      <c r="K2034" t="str">
        <f>_xlfn.XLOOKUP(Table9[[#This Row],[Company Name]],customers__2[companyName],customers__2[country],,0)</f>
        <v>USA</v>
      </c>
      <c r="L2034">
        <f>MONTH(Table9[[#This Row],[OrderDate ]])</f>
        <v>4</v>
      </c>
      <c r="M2034" t="str">
        <f>TEXT(Table9[[#This Row],[OrderDate ]],"mmm")</f>
        <v>Apr</v>
      </c>
      <c r="N2034">
        <f>YEAR(Table9[[#This Row],[OrderDate ]])</f>
        <v>2015</v>
      </c>
    </row>
    <row r="2035" spans="1:14" x14ac:dyDescent="0.3">
      <c r="A2035">
        <v>11034</v>
      </c>
      <c r="B2035" s="2">
        <f>_xlfn.XLOOKUP(Table9[[#This Row],[orderID]],orders[orderID],orders[orderDate],,0)</f>
        <v>42114</v>
      </c>
      <c r="C2035">
        <f>_xlfn.XLOOKUP(A2035,order_details[orderID],order_details[productID],,0)</f>
        <v>21</v>
      </c>
      <c r="D2035" t="str">
        <f>_xlfn.XLOOKUP(C2035,products[productID],products[productName],,0)</f>
        <v>Sir Rodney's Scones</v>
      </c>
      <c r="E2035" t="str">
        <f>_xlfn.XLOOKUP(_xlfn.XLOOKUP(Table9[[#This Row],[ProductName ]],products[productName],products[categoryID],,0),categories[categoryID],categories[categoryName],,0)</f>
        <v>Confections</v>
      </c>
      <c r="F2035">
        <v>6</v>
      </c>
      <c r="G2035">
        <v>285</v>
      </c>
      <c r="H2035">
        <v>0</v>
      </c>
      <c r="I2035">
        <f>Table9[[#This Row],[quantity]]*Table9[[#This Row],[unitPrice]]*(1-Table9[[#This Row],[discount]]/100)</f>
        <v>1710</v>
      </c>
      <c r="J2035" t="str">
        <f>_xlfn.XLOOKUP(_xlfn.XLOOKUP(A2035,orders[orderID],orders[customerID],,0),customers__2[customerID],customers__2[companyName],,0)</f>
        <v>Old World Delicatessen</v>
      </c>
      <c r="K2035" t="str">
        <f>_xlfn.XLOOKUP(Table9[[#This Row],[Company Name]],customers__2[companyName],customers__2[country],,0)</f>
        <v>USA</v>
      </c>
      <c r="L2035">
        <f>MONTH(Table9[[#This Row],[OrderDate ]])</f>
        <v>4</v>
      </c>
      <c r="M2035" t="str">
        <f>TEXT(Table9[[#This Row],[OrderDate ]],"mmm")</f>
        <v>Apr</v>
      </c>
      <c r="N2035">
        <f>YEAR(Table9[[#This Row],[OrderDate ]])</f>
        <v>2015</v>
      </c>
    </row>
    <row r="2036" spans="1:14" x14ac:dyDescent="0.3">
      <c r="A2036">
        <v>11035</v>
      </c>
      <c r="B2036" s="2">
        <f>_xlfn.XLOOKUP(Table9[[#This Row],[orderID]],orders[orderID],orders[orderDate],,0)</f>
        <v>42114</v>
      </c>
      <c r="C2036">
        <f>_xlfn.XLOOKUP(A2036,order_details[orderID],order_details[productID],,0)</f>
        <v>1</v>
      </c>
      <c r="D2036" t="str">
        <f>_xlfn.XLOOKUP(C2036,products[productID],products[productName],,0)</f>
        <v>Chai</v>
      </c>
      <c r="E2036" t="str">
        <f>_xlfn.XLOOKUP(_xlfn.XLOOKUP(Table9[[#This Row],[ProductName ]],products[productName],products[categoryID],,0),categories[categoryID],categories[categoryName],,0)</f>
        <v>Beverages</v>
      </c>
      <c r="F2036">
        <v>10</v>
      </c>
      <c r="G2036">
        <v>18</v>
      </c>
      <c r="H2036">
        <v>0</v>
      </c>
      <c r="I2036">
        <f>Table9[[#This Row],[quantity]]*Table9[[#This Row],[unitPrice]]*(1-Table9[[#This Row],[discount]]/100)</f>
        <v>180</v>
      </c>
      <c r="J2036" t="str">
        <f>_xlfn.XLOOKUP(_xlfn.XLOOKUP(A2036,orders[orderID],orders[customerID],,0),customers__2[customerID],customers__2[companyName],,0)</f>
        <v>Suprêmes délices</v>
      </c>
      <c r="K2036" t="str">
        <f>_xlfn.XLOOKUP(Table9[[#This Row],[Company Name]],customers__2[companyName],customers__2[country],,0)</f>
        <v>Belgium</v>
      </c>
      <c r="L2036">
        <f>MONTH(Table9[[#This Row],[OrderDate ]])</f>
        <v>4</v>
      </c>
      <c r="M2036" t="str">
        <f>TEXT(Table9[[#This Row],[OrderDate ]],"mmm")</f>
        <v>Apr</v>
      </c>
      <c r="N2036">
        <f>YEAR(Table9[[#This Row],[OrderDate ]])</f>
        <v>2015</v>
      </c>
    </row>
    <row r="2037" spans="1:14" x14ac:dyDescent="0.3">
      <c r="A2037">
        <v>11035</v>
      </c>
      <c r="B2037" s="2">
        <f>_xlfn.XLOOKUP(Table9[[#This Row],[orderID]],orders[orderID],orders[orderDate],,0)</f>
        <v>42114</v>
      </c>
      <c r="C2037">
        <f>_xlfn.XLOOKUP(A2037,order_details[orderID],order_details[productID],,0)</f>
        <v>1</v>
      </c>
      <c r="D2037" t="str">
        <f>_xlfn.XLOOKUP(C2037,products[productID],products[productName],,0)</f>
        <v>Chai</v>
      </c>
      <c r="E2037" t="str">
        <f>_xlfn.XLOOKUP(_xlfn.XLOOKUP(Table9[[#This Row],[ProductName ]],products[productName],products[categoryID],,0),categories[categoryID],categories[categoryName],,0)</f>
        <v>Beverages</v>
      </c>
      <c r="F2037">
        <v>60</v>
      </c>
      <c r="G2037">
        <v>18</v>
      </c>
      <c r="H2037">
        <v>0</v>
      </c>
      <c r="I2037">
        <f>Table9[[#This Row],[quantity]]*Table9[[#This Row],[unitPrice]]*(1-Table9[[#This Row],[discount]]/100)</f>
        <v>1080</v>
      </c>
      <c r="J2037" t="str">
        <f>_xlfn.XLOOKUP(_xlfn.XLOOKUP(A2037,orders[orderID],orders[customerID],,0),customers__2[customerID],customers__2[companyName],,0)</f>
        <v>Suprêmes délices</v>
      </c>
      <c r="K2037" t="str">
        <f>_xlfn.XLOOKUP(Table9[[#This Row],[Company Name]],customers__2[companyName],customers__2[country],,0)</f>
        <v>Belgium</v>
      </c>
      <c r="L2037">
        <f>MONTH(Table9[[#This Row],[OrderDate ]])</f>
        <v>4</v>
      </c>
      <c r="M2037" t="str">
        <f>TEXT(Table9[[#This Row],[OrderDate ]],"mmm")</f>
        <v>Apr</v>
      </c>
      <c r="N2037">
        <f>YEAR(Table9[[#This Row],[OrderDate ]])</f>
        <v>2015</v>
      </c>
    </row>
    <row r="2038" spans="1:14" x14ac:dyDescent="0.3">
      <c r="A2038">
        <v>11035</v>
      </c>
      <c r="B2038" s="2">
        <f>_xlfn.XLOOKUP(Table9[[#This Row],[orderID]],orders[orderID],orders[orderDate],,0)</f>
        <v>42114</v>
      </c>
      <c r="C2038">
        <f>_xlfn.XLOOKUP(A2038,order_details[orderID],order_details[productID],,0)</f>
        <v>1</v>
      </c>
      <c r="D2038" t="str">
        <f>_xlfn.XLOOKUP(C2038,products[productID],products[productName],,0)</f>
        <v>Chai</v>
      </c>
      <c r="E2038" t="str">
        <f>_xlfn.XLOOKUP(_xlfn.XLOOKUP(Table9[[#This Row],[ProductName ]],products[productName],products[categoryID],,0),categories[categoryID],categories[categoryName],,0)</f>
        <v>Beverages</v>
      </c>
      <c r="F2038">
        <v>30</v>
      </c>
      <c r="G2038">
        <v>14</v>
      </c>
      <c r="H2038">
        <v>0</v>
      </c>
      <c r="I2038">
        <f>Table9[[#This Row],[quantity]]*Table9[[#This Row],[unitPrice]]*(1-Table9[[#This Row],[discount]]/100)</f>
        <v>420</v>
      </c>
      <c r="J2038" t="str">
        <f>_xlfn.XLOOKUP(_xlfn.XLOOKUP(A2038,orders[orderID],orders[customerID],,0),customers__2[customerID],customers__2[companyName],,0)</f>
        <v>Suprêmes délices</v>
      </c>
      <c r="K2038" t="str">
        <f>_xlfn.XLOOKUP(Table9[[#This Row],[Company Name]],customers__2[companyName],customers__2[country],,0)</f>
        <v>Belgium</v>
      </c>
      <c r="L2038">
        <f>MONTH(Table9[[#This Row],[OrderDate ]])</f>
        <v>4</v>
      </c>
      <c r="M2038" t="str">
        <f>TEXT(Table9[[#This Row],[OrderDate ]],"mmm")</f>
        <v>Apr</v>
      </c>
      <c r="N2038">
        <f>YEAR(Table9[[#This Row],[OrderDate ]])</f>
        <v>2015</v>
      </c>
    </row>
    <row r="2039" spans="1:14" x14ac:dyDescent="0.3">
      <c r="A2039">
        <v>11035</v>
      </c>
      <c r="B2039" s="2">
        <f>_xlfn.XLOOKUP(Table9[[#This Row],[orderID]],orders[orderID],orders[orderDate],,0)</f>
        <v>42114</v>
      </c>
      <c r="C2039">
        <f>_xlfn.XLOOKUP(A2039,order_details[orderID],order_details[productID],,0)</f>
        <v>1</v>
      </c>
      <c r="D2039" t="str">
        <f>_xlfn.XLOOKUP(C2039,products[productID],products[productName],,0)</f>
        <v>Chai</v>
      </c>
      <c r="E2039" t="str">
        <f>_xlfn.XLOOKUP(_xlfn.XLOOKUP(Table9[[#This Row],[ProductName ]],products[productName],products[categoryID],,0),categories[categoryID],categories[categoryName],,0)</f>
        <v>Beverages</v>
      </c>
      <c r="F2039">
        <v>10</v>
      </c>
      <c r="G2039">
        <v>745</v>
      </c>
      <c r="H2039">
        <v>0</v>
      </c>
      <c r="I2039">
        <f>Table9[[#This Row],[quantity]]*Table9[[#This Row],[unitPrice]]*(1-Table9[[#This Row],[discount]]/100)</f>
        <v>7450</v>
      </c>
      <c r="J2039" t="str">
        <f>_xlfn.XLOOKUP(_xlfn.XLOOKUP(A2039,orders[orderID],orders[customerID],,0),customers__2[customerID],customers__2[companyName],,0)</f>
        <v>Suprêmes délices</v>
      </c>
      <c r="K2039" t="str">
        <f>_xlfn.XLOOKUP(Table9[[#This Row],[Company Name]],customers__2[companyName],customers__2[country],,0)</f>
        <v>Belgium</v>
      </c>
      <c r="L2039">
        <f>MONTH(Table9[[#This Row],[OrderDate ]])</f>
        <v>4</v>
      </c>
      <c r="M2039" t="str">
        <f>TEXT(Table9[[#This Row],[OrderDate ]],"mmm")</f>
        <v>Apr</v>
      </c>
      <c r="N2039">
        <f>YEAR(Table9[[#This Row],[OrderDate ]])</f>
        <v>2015</v>
      </c>
    </row>
    <row r="2040" spans="1:14" x14ac:dyDescent="0.3">
      <c r="A2040">
        <v>11036</v>
      </c>
      <c r="B2040" s="2">
        <f>_xlfn.XLOOKUP(Table9[[#This Row],[orderID]],orders[orderID],orders[orderDate],,0)</f>
        <v>42114</v>
      </c>
      <c r="C2040">
        <f>_xlfn.XLOOKUP(A2040,order_details[orderID],order_details[productID],,0)</f>
        <v>13</v>
      </c>
      <c r="D2040" t="str">
        <f>_xlfn.XLOOKUP(C2040,products[productID],products[productName],,0)</f>
        <v>Konbu</v>
      </c>
      <c r="E2040" t="str">
        <f>_xlfn.XLOOKUP(_xlfn.XLOOKUP(Table9[[#This Row],[ProductName ]],products[productName],products[categoryID],,0),categories[categoryID],categories[categoryName],,0)</f>
        <v>Seafood</v>
      </c>
      <c r="F2040">
        <v>7</v>
      </c>
      <c r="G2040">
        <v>6</v>
      </c>
      <c r="H2040">
        <v>0</v>
      </c>
      <c r="I2040">
        <f>Table9[[#This Row],[quantity]]*Table9[[#This Row],[unitPrice]]*(1-Table9[[#This Row],[discount]]/100)</f>
        <v>42</v>
      </c>
      <c r="J2040" t="str">
        <f>_xlfn.XLOOKUP(_xlfn.XLOOKUP(A2040,orders[orderID],orders[customerID],,0),customers__2[customerID],customers__2[companyName],,0)</f>
        <v>Drachenblut Delikatessen</v>
      </c>
      <c r="K2040" t="str">
        <f>_xlfn.XLOOKUP(Table9[[#This Row],[Company Name]],customers__2[companyName],customers__2[country],,0)</f>
        <v>Germany</v>
      </c>
      <c r="L2040">
        <f>MONTH(Table9[[#This Row],[OrderDate ]])</f>
        <v>4</v>
      </c>
      <c r="M2040" t="str">
        <f>TEXT(Table9[[#This Row],[OrderDate ]],"mmm")</f>
        <v>Apr</v>
      </c>
      <c r="N2040">
        <f>YEAR(Table9[[#This Row],[OrderDate ]])</f>
        <v>2015</v>
      </c>
    </row>
    <row r="2041" spans="1:14" x14ac:dyDescent="0.3">
      <c r="A2041">
        <v>11036</v>
      </c>
      <c r="B2041" s="2">
        <f>_xlfn.XLOOKUP(Table9[[#This Row],[orderID]],orders[orderID],orders[orderDate],,0)</f>
        <v>42114</v>
      </c>
      <c r="C2041">
        <f>_xlfn.XLOOKUP(A2041,order_details[orderID],order_details[productID],,0)</f>
        <v>13</v>
      </c>
      <c r="D2041" t="str">
        <f>_xlfn.XLOOKUP(C2041,products[productID],products[productName],,0)</f>
        <v>Konbu</v>
      </c>
      <c r="E2041" t="str">
        <f>_xlfn.XLOOKUP(_xlfn.XLOOKUP(Table9[[#This Row],[ProductName ]],products[productName],products[categoryID],,0),categories[categoryID],categories[categoryName],,0)</f>
        <v>Seafood</v>
      </c>
      <c r="F2041">
        <v>30</v>
      </c>
      <c r="G2041">
        <v>55</v>
      </c>
      <c r="H2041">
        <v>0</v>
      </c>
      <c r="I2041">
        <f>Table9[[#This Row],[quantity]]*Table9[[#This Row],[unitPrice]]*(1-Table9[[#This Row],[discount]]/100)</f>
        <v>1650</v>
      </c>
      <c r="J2041" t="str">
        <f>_xlfn.XLOOKUP(_xlfn.XLOOKUP(A2041,orders[orderID],orders[customerID],,0),customers__2[customerID],customers__2[companyName],,0)</f>
        <v>Drachenblut Delikatessen</v>
      </c>
      <c r="K2041" t="str">
        <f>_xlfn.XLOOKUP(Table9[[#This Row],[Company Name]],customers__2[companyName],customers__2[country],,0)</f>
        <v>Germany</v>
      </c>
      <c r="L2041">
        <f>MONTH(Table9[[#This Row],[OrderDate ]])</f>
        <v>4</v>
      </c>
      <c r="M2041" t="str">
        <f>TEXT(Table9[[#This Row],[OrderDate ]],"mmm")</f>
        <v>Apr</v>
      </c>
      <c r="N2041">
        <f>YEAR(Table9[[#This Row],[OrderDate ]])</f>
        <v>2015</v>
      </c>
    </row>
    <row r="2042" spans="1:14" x14ac:dyDescent="0.3">
      <c r="A2042">
        <v>11037</v>
      </c>
      <c r="B2042" s="2">
        <f>_xlfn.XLOOKUP(Table9[[#This Row],[orderID]],orders[orderID],orders[orderDate],,0)</f>
        <v>42115</v>
      </c>
      <c r="C2042">
        <f>_xlfn.XLOOKUP(A2042,order_details[orderID],order_details[productID],,0)</f>
        <v>70</v>
      </c>
      <c r="D2042" t="str">
        <f>_xlfn.XLOOKUP(C2042,products[productID],products[productName],,0)</f>
        <v>Outback Lager</v>
      </c>
      <c r="E2042" t="str">
        <f>_xlfn.XLOOKUP(_xlfn.XLOOKUP(Table9[[#This Row],[ProductName ]],products[productName],products[categoryID],,0),categories[categoryID],categories[categoryName],,0)</f>
        <v>Beverages</v>
      </c>
      <c r="F2042">
        <v>4</v>
      </c>
      <c r="G2042">
        <v>15</v>
      </c>
      <c r="H2042">
        <v>0</v>
      </c>
      <c r="I2042">
        <f>Table9[[#This Row],[quantity]]*Table9[[#This Row],[unitPrice]]*(1-Table9[[#This Row],[discount]]/100)</f>
        <v>60</v>
      </c>
      <c r="J2042" t="str">
        <f>_xlfn.XLOOKUP(_xlfn.XLOOKUP(A2042,orders[orderID],orders[customerID],,0),customers__2[customerID],customers__2[companyName],,0)</f>
        <v>Godos Cocina Típica</v>
      </c>
      <c r="K2042" t="str">
        <f>_xlfn.XLOOKUP(Table9[[#This Row],[Company Name]],customers__2[companyName],customers__2[country],,0)</f>
        <v>Spain</v>
      </c>
      <c r="L2042">
        <f>MONTH(Table9[[#This Row],[OrderDate ]])</f>
        <v>4</v>
      </c>
      <c r="M2042" t="str">
        <f>TEXT(Table9[[#This Row],[OrderDate ]],"mmm")</f>
        <v>Apr</v>
      </c>
      <c r="N2042">
        <f>YEAR(Table9[[#This Row],[OrderDate ]])</f>
        <v>2015</v>
      </c>
    </row>
    <row r="2043" spans="1:14" x14ac:dyDescent="0.3">
      <c r="A2043">
        <v>11038</v>
      </c>
      <c r="B2043" s="2">
        <f>_xlfn.XLOOKUP(Table9[[#This Row],[orderID]],orders[orderID],orders[orderDate],,0)</f>
        <v>42115</v>
      </c>
      <c r="C2043">
        <f>_xlfn.XLOOKUP(A2043,order_details[orderID],order_details[productID],,0)</f>
        <v>40</v>
      </c>
      <c r="D2043" t="str">
        <f>_xlfn.XLOOKUP(C2043,products[productID],products[productName],,0)</f>
        <v>Boston Crab Meat</v>
      </c>
      <c r="E2043" t="str">
        <f>_xlfn.XLOOKUP(_xlfn.XLOOKUP(Table9[[#This Row],[ProductName ]],products[productName],products[categoryID],,0),categories[categoryID],categories[categoryName],,0)</f>
        <v>Seafood</v>
      </c>
      <c r="F2043">
        <v>5</v>
      </c>
      <c r="G2043">
        <v>184</v>
      </c>
      <c r="H2043">
        <v>2</v>
      </c>
      <c r="I2043">
        <f>Table9[[#This Row],[quantity]]*Table9[[#This Row],[unitPrice]]*(1-Table9[[#This Row],[discount]]/100)</f>
        <v>901.6</v>
      </c>
      <c r="J2043" t="str">
        <f>_xlfn.XLOOKUP(_xlfn.XLOOKUP(A2043,orders[orderID],orders[customerID],,0),customers__2[customerID],customers__2[companyName],,0)</f>
        <v>Suprêmes délices</v>
      </c>
      <c r="K2043" t="str">
        <f>_xlfn.XLOOKUP(Table9[[#This Row],[Company Name]],customers__2[companyName],customers__2[country],,0)</f>
        <v>Belgium</v>
      </c>
      <c r="L2043">
        <f>MONTH(Table9[[#This Row],[OrderDate ]])</f>
        <v>4</v>
      </c>
      <c r="M2043" t="str">
        <f>TEXT(Table9[[#This Row],[OrderDate ]],"mmm")</f>
        <v>Apr</v>
      </c>
      <c r="N2043">
        <f>YEAR(Table9[[#This Row],[OrderDate ]])</f>
        <v>2015</v>
      </c>
    </row>
    <row r="2044" spans="1:14" x14ac:dyDescent="0.3">
      <c r="A2044">
        <v>11038</v>
      </c>
      <c r="B2044" s="2">
        <f>_xlfn.XLOOKUP(Table9[[#This Row],[orderID]],orders[orderID],orders[orderDate],,0)</f>
        <v>42115</v>
      </c>
      <c r="C2044">
        <f>_xlfn.XLOOKUP(A2044,order_details[orderID],order_details[productID],,0)</f>
        <v>40</v>
      </c>
      <c r="D2044" t="str">
        <f>_xlfn.XLOOKUP(C2044,products[productID],products[productName],,0)</f>
        <v>Boston Crab Meat</v>
      </c>
      <c r="E2044" t="str">
        <f>_xlfn.XLOOKUP(_xlfn.XLOOKUP(Table9[[#This Row],[ProductName ]],products[productName],products[categoryID],,0),categories[categoryID],categories[categoryName],,0)</f>
        <v>Seafood</v>
      </c>
      <c r="F2044">
        <v>2</v>
      </c>
      <c r="G2044">
        <v>7</v>
      </c>
      <c r="H2044">
        <v>0</v>
      </c>
      <c r="I2044">
        <f>Table9[[#This Row],[quantity]]*Table9[[#This Row],[unitPrice]]*(1-Table9[[#This Row],[discount]]/100)</f>
        <v>14</v>
      </c>
      <c r="J2044" t="str">
        <f>_xlfn.XLOOKUP(_xlfn.XLOOKUP(A2044,orders[orderID],orders[customerID],,0),customers__2[customerID],customers__2[companyName],,0)</f>
        <v>Suprêmes délices</v>
      </c>
      <c r="K2044" t="str">
        <f>_xlfn.XLOOKUP(Table9[[#This Row],[Company Name]],customers__2[companyName],customers__2[country],,0)</f>
        <v>Belgium</v>
      </c>
      <c r="L2044">
        <f>MONTH(Table9[[#This Row],[OrderDate ]])</f>
        <v>4</v>
      </c>
      <c r="M2044" t="str">
        <f>TEXT(Table9[[#This Row],[OrderDate ]],"mmm")</f>
        <v>Apr</v>
      </c>
      <c r="N2044">
        <f>YEAR(Table9[[#This Row],[OrderDate ]])</f>
        <v>2015</v>
      </c>
    </row>
    <row r="2045" spans="1:14" x14ac:dyDescent="0.3">
      <c r="A2045">
        <v>11038</v>
      </c>
      <c r="B2045" s="2">
        <f>_xlfn.XLOOKUP(Table9[[#This Row],[orderID]],orders[orderID],orders[orderDate],,0)</f>
        <v>42115</v>
      </c>
      <c r="C2045">
        <f>_xlfn.XLOOKUP(A2045,order_details[orderID],order_details[productID],,0)</f>
        <v>40</v>
      </c>
      <c r="D2045" t="str">
        <f>_xlfn.XLOOKUP(C2045,products[productID],products[productName],,0)</f>
        <v>Boston Crab Meat</v>
      </c>
      <c r="E2045" t="str">
        <f>_xlfn.XLOOKUP(_xlfn.XLOOKUP(Table9[[#This Row],[ProductName ]],products[productName],products[categoryID],,0),categories[categoryID],categories[categoryName],,0)</f>
        <v>Seafood</v>
      </c>
      <c r="F2045">
        <v>30</v>
      </c>
      <c r="G2045">
        <v>215</v>
      </c>
      <c r="H2045">
        <v>0</v>
      </c>
      <c r="I2045">
        <f>Table9[[#This Row],[quantity]]*Table9[[#This Row],[unitPrice]]*(1-Table9[[#This Row],[discount]]/100)</f>
        <v>6450</v>
      </c>
      <c r="J2045" t="str">
        <f>_xlfn.XLOOKUP(_xlfn.XLOOKUP(A2045,orders[orderID],orders[customerID],,0),customers__2[customerID],customers__2[companyName],,0)</f>
        <v>Suprêmes délices</v>
      </c>
      <c r="K2045" t="str">
        <f>_xlfn.XLOOKUP(Table9[[#This Row],[Company Name]],customers__2[companyName],customers__2[country],,0)</f>
        <v>Belgium</v>
      </c>
      <c r="L2045">
        <f>MONTH(Table9[[#This Row],[OrderDate ]])</f>
        <v>4</v>
      </c>
      <c r="M2045" t="str">
        <f>TEXT(Table9[[#This Row],[OrderDate ]],"mmm")</f>
        <v>Apr</v>
      </c>
      <c r="N2045">
        <f>YEAR(Table9[[#This Row],[OrderDate ]])</f>
        <v>2015</v>
      </c>
    </row>
    <row r="2046" spans="1:14" x14ac:dyDescent="0.3">
      <c r="A2046">
        <v>11039</v>
      </c>
      <c r="B2046" s="2">
        <f>_xlfn.XLOOKUP(Table9[[#This Row],[orderID]],orders[orderID],orders[orderDate],,0)</f>
        <v>42115</v>
      </c>
      <c r="C2046">
        <f>_xlfn.XLOOKUP(A2046,order_details[orderID],order_details[productID],,0)</f>
        <v>28</v>
      </c>
      <c r="D2046" t="str">
        <f>_xlfn.XLOOKUP(C2046,products[productID],products[productName],,0)</f>
        <v>Rössle Sauerkraut</v>
      </c>
      <c r="E2046" t="str">
        <f>_xlfn.XLOOKUP(_xlfn.XLOOKUP(Table9[[#This Row],[ProductName ]],products[productName],products[categoryID],,0),categories[categoryID],categories[categoryName],,0)</f>
        <v>Produce</v>
      </c>
      <c r="F2046">
        <v>20</v>
      </c>
      <c r="G2046">
        <v>456</v>
      </c>
      <c r="H2046">
        <v>0</v>
      </c>
      <c r="I2046">
        <f>Table9[[#This Row],[quantity]]*Table9[[#This Row],[unitPrice]]*(1-Table9[[#This Row],[discount]]/100)</f>
        <v>9120</v>
      </c>
      <c r="J2046" t="str">
        <f>_xlfn.XLOOKUP(_xlfn.XLOOKUP(A2046,orders[orderID],orders[customerID],,0),customers__2[customerID],customers__2[companyName],,0)</f>
        <v>LINO-Delicateses</v>
      </c>
      <c r="K2046" t="str">
        <f>_xlfn.XLOOKUP(Table9[[#This Row],[Company Name]],customers__2[companyName],customers__2[country],,0)</f>
        <v>Venezuela</v>
      </c>
      <c r="L2046">
        <f>MONTH(Table9[[#This Row],[OrderDate ]])</f>
        <v>4</v>
      </c>
      <c r="M2046" t="str">
        <f>TEXT(Table9[[#This Row],[OrderDate ]],"mmm")</f>
        <v>Apr</v>
      </c>
      <c r="N2046">
        <f>YEAR(Table9[[#This Row],[OrderDate ]])</f>
        <v>2015</v>
      </c>
    </row>
    <row r="2047" spans="1:14" x14ac:dyDescent="0.3">
      <c r="A2047">
        <v>11039</v>
      </c>
      <c r="B2047" s="2">
        <f>_xlfn.XLOOKUP(Table9[[#This Row],[orderID]],orders[orderID],orders[orderDate],,0)</f>
        <v>42115</v>
      </c>
      <c r="C2047">
        <f>_xlfn.XLOOKUP(A2047,order_details[orderID],order_details[productID],,0)</f>
        <v>28</v>
      </c>
      <c r="D2047" t="str">
        <f>_xlfn.XLOOKUP(C2047,products[productID],products[productName],,0)</f>
        <v>Rössle Sauerkraut</v>
      </c>
      <c r="E2047" t="str">
        <f>_xlfn.XLOOKUP(_xlfn.XLOOKUP(Table9[[#This Row],[ProductName ]],products[productName],products[categoryID],,0),categories[categoryID],categories[categoryName],,0)</f>
        <v>Produce</v>
      </c>
      <c r="F2047">
        <v>24</v>
      </c>
      <c r="G2047">
        <v>18</v>
      </c>
      <c r="H2047">
        <v>0</v>
      </c>
      <c r="I2047">
        <f>Table9[[#This Row],[quantity]]*Table9[[#This Row],[unitPrice]]*(1-Table9[[#This Row],[discount]]/100)</f>
        <v>432</v>
      </c>
      <c r="J2047" t="str">
        <f>_xlfn.XLOOKUP(_xlfn.XLOOKUP(A2047,orders[orderID],orders[customerID],,0),customers__2[customerID],customers__2[companyName],,0)</f>
        <v>LINO-Delicateses</v>
      </c>
      <c r="K2047" t="str">
        <f>_xlfn.XLOOKUP(Table9[[#This Row],[Company Name]],customers__2[companyName],customers__2[country],,0)</f>
        <v>Venezuela</v>
      </c>
      <c r="L2047">
        <f>MONTH(Table9[[#This Row],[OrderDate ]])</f>
        <v>4</v>
      </c>
      <c r="M2047" t="str">
        <f>TEXT(Table9[[#This Row],[OrderDate ]],"mmm")</f>
        <v>Apr</v>
      </c>
      <c r="N2047">
        <f>YEAR(Table9[[#This Row],[OrderDate ]])</f>
        <v>2015</v>
      </c>
    </row>
    <row r="2048" spans="1:14" x14ac:dyDescent="0.3">
      <c r="A2048">
        <v>11039</v>
      </c>
      <c r="B2048" s="2">
        <f>_xlfn.XLOOKUP(Table9[[#This Row],[orderID]],orders[orderID],orders[orderDate],,0)</f>
        <v>42115</v>
      </c>
      <c r="C2048">
        <f>_xlfn.XLOOKUP(A2048,order_details[orderID],order_details[productID],,0)</f>
        <v>28</v>
      </c>
      <c r="D2048" t="str">
        <f>_xlfn.XLOOKUP(C2048,products[productID],products[productName],,0)</f>
        <v>Rössle Sauerkraut</v>
      </c>
      <c r="E2048" t="str">
        <f>_xlfn.XLOOKUP(_xlfn.XLOOKUP(Table9[[#This Row],[ProductName ]],products[productName],products[categoryID],,0),categories[categoryID],categories[categoryName],,0)</f>
        <v>Produce</v>
      </c>
      <c r="F2048">
        <v>60</v>
      </c>
      <c r="G2048">
        <v>20</v>
      </c>
      <c r="H2048">
        <v>0</v>
      </c>
      <c r="I2048">
        <f>Table9[[#This Row],[quantity]]*Table9[[#This Row],[unitPrice]]*(1-Table9[[#This Row],[discount]]/100)</f>
        <v>1200</v>
      </c>
      <c r="J2048" t="str">
        <f>_xlfn.XLOOKUP(_xlfn.XLOOKUP(A2048,orders[orderID],orders[customerID],,0),customers__2[customerID],customers__2[companyName],,0)</f>
        <v>LINO-Delicateses</v>
      </c>
      <c r="K2048" t="str">
        <f>_xlfn.XLOOKUP(Table9[[#This Row],[Company Name]],customers__2[companyName],customers__2[country],,0)</f>
        <v>Venezuela</v>
      </c>
      <c r="L2048">
        <f>MONTH(Table9[[#This Row],[OrderDate ]])</f>
        <v>4</v>
      </c>
      <c r="M2048" t="str">
        <f>TEXT(Table9[[#This Row],[OrderDate ]],"mmm")</f>
        <v>Apr</v>
      </c>
      <c r="N2048">
        <f>YEAR(Table9[[#This Row],[OrderDate ]])</f>
        <v>2015</v>
      </c>
    </row>
    <row r="2049" spans="1:14" x14ac:dyDescent="0.3">
      <c r="A2049">
        <v>11039</v>
      </c>
      <c r="B2049" s="2">
        <f>_xlfn.XLOOKUP(Table9[[#This Row],[orderID]],orders[orderID],orders[orderDate],,0)</f>
        <v>42115</v>
      </c>
      <c r="C2049">
        <f>_xlfn.XLOOKUP(A2049,order_details[orderID],order_details[productID],,0)</f>
        <v>28</v>
      </c>
      <c r="D2049" t="str">
        <f>_xlfn.XLOOKUP(C2049,products[productID],products[productName],,0)</f>
        <v>Rössle Sauerkraut</v>
      </c>
      <c r="E2049" t="str">
        <f>_xlfn.XLOOKUP(_xlfn.XLOOKUP(Table9[[#This Row],[ProductName ]],products[productName],products[categoryID],,0),categories[categoryID],categories[categoryName],,0)</f>
        <v>Produce</v>
      </c>
      <c r="F2049">
        <v>28</v>
      </c>
      <c r="G2049">
        <v>195</v>
      </c>
      <c r="H2049">
        <v>0</v>
      </c>
      <c r="I2049">
        <f>Table9[[#This Row],[quantity]]*Table9[[#This Row],[unitPrice]]*(1-Table9[[#This Row],[discount]]/100)</f>
        <v>5460</v>
      </c>
      <c r="J2049" t="str">
        <f>_xlfn.XLOOKUP(_xlfn.XLOOKUP(A2049,orders[orderID],orders[customerID],,0),customers__2[customerID],customers__2[companyName],,0)</f>
        <v>LINO-Delicateses</v>
      </c>
      <c r="K2049" t="str">
        <f>_xlfn.XLOOKUP(Table9[[#This Row],[Company Name]],customers__2[companyName],customers__2[country],,0)</f>
        <v>Venezuela</v>
      </c>
      <c r="L2049">
        <f>MONTH(Table9[[#This Row],[OrderDate ]])</f>
        <v>4</v>
      </c>
      <c r="M2049" t="str">
        <f>TEXT(Table9[[#This Row],[OrderDate ]],"mmm")</f>
        <v>Apr</v>
      </c>
      <c r="N2049">
        <f>YEAR(Table9[[#This Row],[OrderDate ]])</f>
        <v>2015</v>
      </c>
    </row>
    <row r="2050" spans="1:14" x14ac:dyDescent="0.3">
      <c r="A2050">
        <v>11040</v>
      </c>
      <c r="B2050" s="2">
        <f>_xlfn.XLOOKUP(Table9[[#This Row],[orderID]],orders[orderID],orders[orderDate],,0)</f>
        <v>42116</v>
      </c>
      <c r="C2050">
        <f>_xlfn.XLOOKUP(A2050,order_details[orderID],order_details[productID],,0)</f>
        <v>21</v>
      </c>
      <c r="D2050" t="str">
        <f>_xlfn.XLOOKUP(C2050,products[productID],products[productName],,0)</f>
        <v>Sir Rodney's Scones</v>
      </c>
      <c r="E2050" t="str">
        <f>_xlfn.XLOOKUP(_xlfn.XLOOKUP(Table9[[#This Row],[ProductName ]],products[productName],products[categoryID],,0),categories[categoryID],categories[categoryName],,0)</f>
        <v>Confections</v>
      </c>
      <c r="F2050">
        <v>20</v>
      </c>
      <c r="G2050">
        <v>10</v>
      </c>
      <c r="H2050">
        <v>0</v>
      </c>
      <c r="I2050">
        <f>Table9[[#This Row],[quantity]]*Table9[[#This Row],[unitPrice]]*(1-Table9[[#This Row],[discount]]/100)</f>
        <v>200</v>
      </c>
      <c r="J2050" t="str">
        <f>_xlfn.XLOOKUP(_xlfn.XLOOKUP(A2050,orders[orderID],orders[customerID],,0),customers__2[customerID],customers__2[companyName],,0)</f>
        <v>Great Lakes Food Market</v>
      </c>
      <c r="K2050" t="str">
        <f>_xlfn.XLOOKUP(Table9[[#This Row],[Company Name]],customers__2[companyName],customers__2[country],,0)</f>
        <v>USA</v>
      </c>
      <c r="L2050">
        <f>MONTH(Table9[[#This Row],[OrderDate ]])</f>
        <v>4</v>
      </c>
      <c r="M2050" t="str">
        <f>TEXT(Table9[[#This Row],[OrderDate ]],"mmm")</f>
        <v>Apr</v>
      </c>
      <c r="N2050">
        <f>YEAR(Table9[[#This Row],[OrderDate ]])</f>
        <v>2015</v>
      </c>
    </row>
    <row r="2051" spans="1:14" x14ac:dyDescent="0.3">
      <c r="A2051">
        <v>11041</v>
      </c>
      <c r="B2051" s="2">
        <f>_xlfn.XLOOKUP(Table9[[#This Row],[orderID]],orders[orderID],orders[orderDate],,0)</f>
        <v>42116</v>
      </c>
      <c r="C2051">
        <f>_xlfn.XLOOKUP(A2051,order_details[orderID],order_details[productID],,0)</f>
        <v>2</v>
      </c>
      <c r="D2051" t="str">
        <f>_xlfn.XLOOKUP(C2051,products[productID],products[productName],,0)</f>
        <v>Chang</v>
      </c>
      <c r="E2051" t="str">
        <f>_xlfn.XLOOKUP(_xlfn.XLOOKUP(Table9[[#This Row],[ProductName ]],products[productName],products[categoryID],,0),categories[categoryID],categories[categoryName],,0)</f>
        <v>Beverages</v>
      </c>
      <c r="F2051">
        <v>30</v>
      </c>
      <c r="G2051">
        <v>19</v>
      </c>
      <c r="H2051">
        <v>2</v>
      </c>
      <c r="I2051">
        <f>Table9[[#This Row],[quantity]]*Table9[[#This Row],[unitPrice]]*(1-Table9[[#This Row],[discount]]/100)</f>
        <v>558.6</v>
      </c>
      <c r="J2051" t="str">
        <f>_xlfn.XLOOKUP(_xlfn.XLOOKUP(A2051,orders[orderID],orders[customerID],,0),customers__2[customerID],customers__2[companyName],,0)</f>
        <v>Chop-suey Chinese</v>
      </c>
      <c r="K2051" t="str">
        <f>_xlfn.XLOOKUP(Table9[[#This Row],[Company Name]],customers__2[companyName],customers__2[country],,0)</f>
        <v>Switzerland</v>
      </c>
      <c r="L2051">
        <f>MONTH(Table9[[#This Row],[OrderDate ]])</f>
        <v>4</v>
      </c>
      <c r="M2051" t="str">
        <f>TEXT(Table9[[#This Row],[OrderDate ]],"mmm")</f>
        <v>Apr</v>
      </c>
      <c r="N2051">
        <f>YEAR(Table9[[#This Row],[OrderDate ]])</f>
        <v>2015</v>
      </c>
    </row>
    <row r="2052" spans="1:14" x14ac:dyDescent="0.3">
      <c r="A2052">
        <v>11041</v>
      </c>
      <c r="B2052" s="2">
        <f>_xlfn.XLOOKUP(Table9[[#This Row],[orderID]],orders[orderID],orders[orderDate],,0)</f>
        <v>42116</v>
      </c>
      <c r="C2052">
        <f>_xlfn.XLOOKUP(A2052,order_details[orderID],order_details[productID],,0)</f>
        <v>2</v>
      </c>
      <c r="D2052" t="str">
        <f>_xlfn.XLOOKUP(C2052,products[productID],products[productName],,0)</f>
        <v>Chang</v>
      </c>
      <c r="E2052" t="str">
        <f>_xlfn.XLOOKUP(_xlfn.XLOOKUP(Table9[[#This Row],[ProductName ]],products[productName],products[categoryID],,0),categories[categoryID],categories[categoryName],,0)</f>
        <v>Beverages</v>
      </c>
      <c r="F2052">
        <v>30</v>
      </c>
      <c r="G2052">
        <v>439</v>
      </c>
      <c r="H2052">
        <v>0</v>
      </c>
      <c r="I2052">
        <f>Table9[[#This Row],[quantity]]*Table9[[#This Row],[unitPrice]]*(1-Table9[[#This Row],[discount]]/100)</f>
        <v>13170</v>
      </c>
      <c r="J2052" t="str">
        <f>_xlfn.XLOOKUP(_xlfn.XLOOKUP(A2052,orders[orderID],orders[customerID],,0),customers__2[customerID],customers__2[companyName],,0)</f>
        <v>Chop-suey Chinese</v>
      </c>
      <c r="K2052" t="str">
        <f>_xlfn.XLOOKUP(Table9[[#This Row],[Company Name]],customers__2[companyName],customers__2[country],,0)</f>
        <v>Switzerland</v>
      </c>
      <c r="L2052">
        <f>MONTH(Table9[[#This Row],[OrderDate ]])</f>
        <v>4</v>
      </c>
      <c r="M2052" t="str">
        <f>TEXT(Table9[[#This Row],[OrderDate ]],"mmm")</f>
        <v>Apr</v>
      </c>
      <c r="N2052">
        <f>YEAR(Table9[[#This Row],[OrderDate ]])</f>
        <v>2015</v>
      </c>
    </row>
    <row r="2053" spans="1:14" x14ac:dyDescent="0.3">
      <c r="A2053">
        <v>11042</v>
      </c>
      <c r="B2053" s="2">
        <f>_xlfn.XLOOKUP(Table9[[#This Row],[orderID]],orders[orderID],orders[orderDate],,0)</f>
        <v>42116</v>
      </c>
      <c r="C2053">
        <f>_xlfn.XLOOKUP(A2053,order_details[orderID],order_details[productID],,0)</f>
        <v>44</v>
      </c>
      <c r="D2053" t="str">
        <f>_xlfn.XLOOKUP(C2053,products[productID],products[productName],,0)</f>
        <v>Gula Malacca</v>
      </c>
      <c r="E2053" t="str">
        <f>_xlfn.XLOOKUP(_xlfn.XLOOKUP(Table9[[#This Row],[ProductName ]],products[productName],products[categoryID],,0),categories[categoryID],categories[categoryName],,0)</f>
        <v>Condiments</v>
      </c>
      <c r="F2053">
        <v>15</v>
      </c>
      <c r="G2053">
        <v>1945</v>
      </c>
      <c r="H2053">
        <v>0</v>
      </c>
      <c r="I2053">
        <f>Table9[[#This Row],[quantity]]*Table9[[#This Row],[unitPrice]]*(1-Table9[[#This Row],[discount]]/100)</f>
        <v>29175</v>
      </c>
      <c r="J2053" t="str">
        <f>_xlfn.XLOOKUP(_xlfn.XLOOKUP(A2053,orders[orderID],orders[customerID],,0),customers__2[customerID],customers__2[companyName],,0)</f>
        <v>Comércio Mineiro</v>
      </c>
      <c r="K2053" t="str">
        <f>_xlfn.XLOOKUP(Table9[[#This Row],[Company Name]],customers__2[companyName],customers__2[country],,0)</f>
        <v>Brazil</v>
      </c>
      <c r="L2053">
        <f>MONTH(Table9[[#This Row],[OrderDate ]])</f>
        <v>4</v>
      </c>
      <c r="M2053" t="str">
        <f>TEXT(Table9[[#This Row],[OrderDate ]],"mmm")</f>
        <v>Apr</v>
      </c>
      <c r="N2053">
        <f>YEAR(Table9[[#This Row],[OrderDate ]])</f>
        <v>2015</v>
      </c>
    </row>
    <row r="2054" spans="1:14" x14ac:dyDescent="0.3">
      <c r="A2054">
        <v>11042</v>
      </c>
      <c r="B2054" s="2">
        <f>_xlfn.XLOOKUP(Table9[[#This Row],[orderID]],orders[orderID],orders[orderDate],,0)</f>
        <v>42116</v>
      </c>
      <c r="C2054">
        <f>_xlfn.XLOOKUP(A2054,order_details[orderID],order_details[productID],,0)</f>
        <v>44</v>
      </c>
      <c r="D2054" t="str">
        <f>_xlfn.XLOOKUP(C2054,products[productID],products[productName],,0)</f>
        <v>Gula Malacca</v>
      </c>
      <c r="E2054" t="str">
        <f>_xlfn.XLOOKUP(_xlfn.XLOOKUP(Table9[[#This Row],[ProductName ]],products[productName],products[categoryID],,0),categories[categoryID],categories[categoryName],,0)</f>
        <v>Condiments</v>
      </c>
      <c r="F2054">
        <v>4</v>
      </c>
      <c r="G2054">
        <v>285</v>
      </c>
      <c r="H2054">
        <v>0</v>
      </c>
      <c r="I2054">
        <f>Table9[[#This Row],[quantity]]*Table9[[#This Row],[unitPrice]]*(1-Table9[[#This Row],[discount]]/100)</f>
        <v>1140</v>
      </c>
      <c r="J2054" t="str">
        <f>_xlfn.XLOOKUP(_xlfn.XLOOKUP(A2054,orders[orderID],orders[customerID],,0),customers__2[customerID],customers__2[companyName],,0)</f>
        <v>Comércio Mineiro</v>
      </c>
      <c r="K2054" t="str">
        <f>_xlfn.XLOOKUP(Table9[[#This Row],[Company Name]],customers__2[companyName],customers__2[country],,0)</f>
        <v>Brazil</v>
      </c>
      <c r="L2054">
        <f>MONTH(Table9[[#This Row],[OrderDate ]])</f>
        <v>4</v>
      </c>
      <c r="M2054" t="str">
        <f>TEXT(Table9[[#This Row],[OrderDate ]],"mmm")</f>
        <v>Apr</v>
      </c>
      <c r="N2054">
        <f>YEAR(Table9[[#This Row],[OrderDate ]])</f>
        <v>2015</v>
      </c>
    </row>
    <row r="2055" spans="1:14" x14ac:dyDescent="0.3">
      <c r="A2055">
        <v>11043</v>
      </c>
      <c r="B2055" s="2">
        <f>_xlfn.XLOOKUP(Table9[[#This Row],[orderID]],orders[orderID],orders[orderDate],,0)</f>
        <v>42116</v>
      </c>
      <c r="C2055">
        <f>_xlfn.XLOOKUP(A2055,order_details[orderID],order_details[productID],,0)</f>
        <v>11</v>
      </c>
      <c r="D2055" t="str">
        <f>_xlfn.XLOOKUP(C2055,products[productID],products[productName],,0)</f>
        <v>Queso Cabrales</v>
      </c>
      <c r="E2055" t="str">
        <f>_xlfn.XLOOKUP(_xlfn.XLOOKUP(Table9[[#This Row],[ProductName ]],products[productName],products[categoryID],,0),categories[categoryID],categories[categoryName],,0)</f>
        <v>Dairy Products</v>
      </c>
      <c r="F2055">
        <v>10</v>
      </c>
      <c r="G2055">
        <v>21</v>
      </c>
      <c r="H2055">
        <v>0</v>
      </c>
      <c r="I2055">
        <f>Table9[[#This Row],[quantity]]*Table9[[#This Row],[unitPrice]]*(1-Table9[[#This Row],[discount]]/100)</f>
        <v>210</v>
      </c>
      <c r="J2055" t="str">
        <f>_xlfn.XLOOKUP(_xlfn.XLOOKUP(A2055,orders[orderID],orders[customerID],,0),customers__2[customerID],customers__2[companyName],,0)</f>
        <v>Spécialités du monde</v>
      </c>
      <c r="K2055" t="str">
        <f>_xlfn.XLOOKUP(Table9[[#This Row],[Company Name]],customers__2[companyName],customers__2[country],,0)</f>
        <v>France</v>
      </c>
      <c r="L2055">
        <f>MONTH(Table9[[#This Row],[OrderDate ]])</f>
        <v>4</v>
      </c>
      <c r="M2055" t="str">
        <f>TEXT(Table9[[#This Row],[OrderDate ]],"mmm")</f>
        <v>Apr</v>
      </c>
      <c r="N2055">
        <f>YEAR(Table9[[#This Row],[OrderDate ]])</f>
        <v>2015</v>
      </c>
    </row>
    <row r="2056" spans="1:14" x14ac:dyDescent="0.3">
      <c r="A2056">
        <v>11044</v>
      </c>
      <c r="B2056" s="2">
        <f>_xlfn.XLOOKUP(Table9[[#This Row],[orderID]],orders[orderID],orders[orderDate],,0)</f>
        <v>42117</v>
      </c>
      <c r="C2056">
        <f>_xlfn.XLOOKUP(A2056,order_details[orderID],order_details[productID],,0)</f>
        <v>62</v>
      </c>
      <c r="D2056" t="str">
        <f>_xlfn.XLOOKUP(C2056,products[productID],products[productName],,0)</f>
        <v>Tarte au sucre</v>
      </c>
      <c r="E2056" t="str">
        <f>_xlfn.XLOOKUP(_xlfn.XLOOKUP(Table9[[#This Row],[ProductName ]],products[productName],products[categoryID],,0),categories[categoryID],categories[categoryName],,0)</f>
        <v>Confections</v>
      </c>
      <c r="F2056">
        <v>12</v>
      </c>
      <c r="G2056">
        <v>493</v>
      </c>
      <c r="H2056">
        <v>0</v>
      </c>
      <c r="I2056">
        <f>Table9[[#This Row],[quantity]]*Table9[[#This Row],[unitPrice]]*(1-Table9[[#This Row],[discount]]/100)</f>
        <v>5916</v>
      </c>
      <c r="J2056" t="str">
        <f>_xlfn.XLOOKUP(_xlfn.XLOOKUP(A2056,orders[orderID],orders[customerID],,0),customers__2[customerID],customers__2[companyName],,0)</f>
        <v>Wolski  Zajazd</v>
      </c>
      <c r="K2056" t="str">
        <f>_xlfn.XLOOKUP(Table9[[#This Row],[Company Name]],customers__2[companyName],customers__2[country],,0)</f>
        <v>Poland</v>
      </c>
      <c r="L2056">
        <f>MONTH(Table9[[#This Row],[OrderDate ]])</f>
        <v>4</v>
      </c>
      <c r="M2056" t="str">
        <f>TEXT(Table9[[#This Row],[OrderDate ]],"mmm")</f>
        <v>Apr</v>
      </c>
      <c r="N2056">
        <f>YEAR(Table9[[#This Row],[OrderDate ]])</f>
        <v>2015</v>
      </c>
    </row>
    <row r="2057" spans="1:14" x14ac:dyDescent="0.3">
      <c r="A2057">
        <v>11045</v>
      </c>
      <c r="B2057" s="2">
        <f>_xlfn.XLOOKUP(Table9[[#This Row],[orderID]],orders[orderID],orders[orderDate],,0)</f>
        <v>42117</v>
      </c>
      <c r="C2057">
        <f>_xlfn.XLOOKUP(A2057,order_details[orderID],order_details[productID],,0)</f>
        <v>33</v>
      </c>
      <c r="D2057" t="str">
        <f>_xlfn.XLOOKUP(C2057,products[productID],products[productName],,0)</f>
        <v>Geitost</v>
      </c>
      <c r="E2057" t="str">
        <f>_xlfn.XLOOKUP(_xlfn.XLOOKUP(Table9[[#This Row],[ProductName ]],products[productName],products[categoryID],,0),categories[categoryID],categories[categoryName],,0)</f>
        <v>Dairy Products</v>
      </c>
      <c r="F2057">
        <v>15</v>
      </c>
      <c r="G2057">
        <v>25</v>
      </c>
      <c r="H2057">
        <v>0</v>
      </c>
      <c r="I2057">
        <f>Table9[[#This Row],[quantity]]*Table9[[#This Row],[unitPrice]]*(1-Table9[[#This Row],[discount]]/100)</f>
        <v>375</v>
      </c>
      <c r="J2057" t="str">
        <f>_xlfn.XLOOKUP(_xlfn.XLOOKUP(A2057,orders[orderID],orders[customerID],,0),customers__2[customerID],customers__2[companyName],,0)</f>
        <v>Bottom-Dollar Markets</v>
      </c>
      <c r="K2057" t="str">
        <f>_xlfn.XLOOKUP(Table9[[#This Row],[Company Name]],customers__2[companyName],customers__2[country],,0)</f>
        <v>Canada</v>
      </c>
      <c r="L2057">
        <f>MONTH(Table9[[#This Row],[OrderDate ]])</f>
        <v>4</v>
      </c>
      <c r="M2057" t="str">
        <f>TEXT(Table9[[#This Row],[OrderDate ]],"mmm")</f>
        <v>Apr</v>
      </c>
      <c r="N2057">
        <f>YEAR(Table9[[#This Row],[OrderDate ]])</f>
        <v>2015</v>
      </c>
    </row>
    <row r="2058" spans="1:14" x14ac:dyDescent="0.3">
      <c r="A2058">
        <v>11045</v>
      </c>
      <c r="B2058" s="2">
        <f>_xlfn.XLOOKUP(Table9[[#This Row],[orderID]],orders[orderID],orders[orderDate],,0)</f>
        <v>42117</v>
      </c>
      <c r="C2058">
        <f>_xlfn.XLOOKUP(A2058,order_details[orderID],order_details[productID],,0)</f>
        <v>33</v>
      </c>
      <c r="D2058" t="str">
        <f>_xlfn.XLOOKUP(C2058,products[productID],products[productName],,0)</f>
        <v>Geitost</v>
      </c>
      <c r="E2058" t="str">
        <f>_xlfn.XLOOKUP(_xlfn.XLOOKUP(Table9[[#This Row],[ProductName ]],products[productName],products[categoryID],,0),categories[categoryID],categories[categoryName],,0)</f>
        <v>Dairy Products</v>
      </c>
      <c r="F2058">
        <v>24</v>
      </c>
      <c r="G2058">
        <v>53</v>
      </c>
      <c r="H2058">
        <v>0</v>
      </c>
      <c r="I2058">
        <f>Table9[[#This Row],[quantity]]*Table9[[#This Row],[unitPrice]]*(1-Table9[[#This Row],[discount]]/100)</f>
        <v>1272</v>
      </c>
      <c r="J2058" t="str">
        <f>_xlfn.XLOOKUP(_xlfn.XLOOKUP(A2058,orders[orderID],orders[customerID],,0),customers__2[customerID],customers__2[companyName],,0)</f>
        <v>Bottom-Dollar Markets</v>
      </c>
      <c r="K2058" t="str">
        <f>_xlfn.XLOOKUP(Table9[[#This Row],[Company Name]],customers__2[companyName],customers__2[country],,0)</f>
        <v>Canada</v>
      </c>
      <c r="L2058">
        <f>MONTH(Table9[[#This Row],[OrderDate ]])</f>
        <v>4</v>
      </c>
      <c r="M2058" t="str">
        <f>TEXT(Table9[[#This Row],[OrderDate ]],"mmm")</f>
        <v>Apr</v>
      </c>
      <c r="N2058">
        <f>YEAR(Table9[[#This Row],[OrderDate ]])</f>
        <v>2015</v>
      </c>
    </row>
    <row r="2059" spans="1:14" x14ac:dyDescent="0.3">
      <c r="A2059">
        <v>11046</v>
      </c>
      <c r="B2059" s="2">
        <f>_xlfn.XLOOKUP(Table9[[#This Row],[orderID]],orders[orderID],orders[orderDate],,0)</f>
        <v>42117</v>
      </c>
      <c r="C2059">
        <f>_xlfn.XLOOKUP(A2059,order_details[orderID],order_details[productID],,0)</f>
        <v>12</v>
      </c>
      <c r="D2059" t="str">
        <f>_xlfn.XLOOKUP(C2059,products[productID],products[productName],,0)</f>
        <v>Queso Manchego La Pastora</v>
      </c>
      <c r="E2059" t="str">
        <f>_xlfn.XLOOKUP(_xlfn.XLOOKUP(Table9[[#This Row],[ProductName ]],products[productName],products[categoryID],,0),categories[categoryID],categories[categoryName],,0)</f>
        <v>Dairy Products</v>
      </c>
      <c r="F2059">
        <v>20</v>
      </c>
      <c r="G2059">
        <v>38</v>
      </c>
      <c r="H2059">
        <v>5</v>
      </c>
      <c r="I2059">
        <f>Table9[[#This Row],[quantity]]*Table9[[#This Row],[unitPrice]]*(1-Table9[[#This Row],[discount]]/100)</f>
        <v>722</v>
      </c>
      <c r="J2059" t="str">
        <f>_xlfn.XLOOKUP(_xlfn.XLOOKUP(A2059,orders[orderID],orders[customerID],,0),customers__2[customerID],customers__2[companyName],,0)</f>
        <v>Die Wandernde Kuh</v>
      </c>
      <c r="K2059" t="str">
        <f>_xlfn.XLOOKUP(Table9[[#This Row],[Company Name]],customers__2[companyName],customers__2[country],,0)</f>
        <v>Germany</v>
      </c>
      <c r="L2059">
        <f>MONTH(Table9[[#This Row],[OrderDate ]])</f>
        <v>4</v>
      </c>
      <c r="M2059" t="str">
        <f>TEXT(Table9[[#This Row],[OrderDate ]],"mmm")</f>
        <v>Apr</v>
      </c>
      <c r="N2059">
        <f>YEAR(Table9[[#This Row],[OrderDate ]])</f>
        <v>2015</v>
      </c>
    </row>
    <row r="2060" spans="1:14" x14ac:dyDescent="0.3">
      <c r="A2060">
        <v>11046</v>
      </c>
      <c r="B2060" s="2">
        <f>_xlfn.XLOOKUP(Table9[[#This Row],[orderID]],orders[orderID],orders[orderDate],,0)</f>
        <v>42117</v>
      </c>
      <c r="C2060">
        <f>_xlfn.XLOOKUP(A2060,order_details[orderID],order_details[productID],,0)</f>
        <v>12</v>
      </c>
      <c r="D2060" t="str">
        <f>_xlfn.XLOOKUP(C2060,products[productID],products[productName],,0)</f>
        <v>Queso Manchego La Pastora</v>
      </c>
      <c r="E2060" t="str">
        <f>_xlfn.XLOOKUP(_xlfn.XLOOKUP(Table9[[#This Row],[ProductName ]],products[productName],products[categoryID],,0),categories[categoryID],categories[categoryName],,0)</f>
        <v>Dairy Products</v>
      </c>
      <c r="F2060">
        <v>15</v>
      </c>
      <c r="G2060">
        <v>32</v>
      </c>
      <c r="H2060">
        <v>5</v>
      </c>
      <c r="I2060">
        <f>Table9[[#This Row],[quantity]]*Table9[[#This Row],[unitPrice]]*(1-Table9[[#This Row],[discount]]/100)</f>
        <v>456</v>
      </c>
      <c r="J2060" t="str">
        <f>_xlfn.XLOOKUP(_xlfn.XLOOKUP(A2060,orders[orderID],orders[customerID],,0),customers__2[customerID],customers__2[companyName],,0)</f>
        <v>Die Wandernde Kuh</v>
      </c>
      <c r="K2060" t="str">
        <f>_xlfn.XLOOKUP(Table9[[#This Row],[Company Name]],customers__2[companyName],customers__2[country],,0)</f>
        <v>Germany</v>
      </c>
      <c r="L2060">
        <f>MONTH(Table9[[#This Row],[OrderDate ]])</f>
        <v>4</v>
      </c>
      <c r="M2060" t="str">
        <f>TEXT(Table9[[#This Row],[OrderDate ]],"mmm")</f>
        <v>Apr</v>
      </c>
      <c r="N2060">
        <f>YEAR(Table9[[#This Row],[OrderDate ]])</f>
        <v>2015</v>
      </c>
    </row>
    <row r="2061" spans="1:14" x14ac:dyDescent="0.3">
      <c r="A2061">
        <v>11046</v>
      </c>
      <c r="B2061" s="2">
        <f>_xlfn.XLOOKUP(Table9[[#This Row],[orderID]],orders[orderID],orders[orderDate],,0)</f>
        <v>42117</v>
      </c>
      <c r="C2061">
        <f>_xlfn.XLOOKUP(A2061,order_details[orderID],order_details[productID],,0)</f>
        <v>12</v>
      </c>
      <c r="D2061" t="str">
        <f>_xlfn.XLOOKUP(C2061,products[productID],products[productName],,0)</f>
        <v>Queso Manchego La Pastora</v>
      </c>
      <c r="E2061" t="str">
        <f>_xlfn.XLOOKUP(_xlfn.XLOOKUP(Table9[[#This Row],[ProductName ]],products[productName],products[categoryID],,0),categories[categoryID],categories[categoryName],,0)</f>
        <v>Dairy Products</v>
      </c>
      <c r="F2061">
        <v>18</v>
      </c>
      <c r="G2061">
        <v>18</v>
      </c>
      <c r="H2061">
        <v>5</v>
      </c>
      <c r="I2061">
        <f>Table9[[#This Row],[quantity]]*Table9[[#This Row],[unitPrice]]*(1-Table9[[#This Row],[discount]]/100)</f>
        <v>307.8</v>
      </c>
      <c r="J2061" t="str">
        <f>_xlfn.XLOOKUP(_xlfn.XLOOKUP(A2061,orders[orderID],orders[customerID],,0),customers__2[customerID],customers__2[companyName],,0)</f>
        <v>Die Wandernde Kuh</v>
      </c>
      <c r="K2061" t="str">
        <f>_xlfn.XLOOKUP(Table9[[#This Row],[Company Name]],customers__2[companyName],customers__2[country],,0)</f>
        <v>Germany</v>
      </c>
      <c r="L2061">
        <f>MONTH(Table9[[#This Row],[OrderDate ]])</f>
        <v>4</v>
      </c>
      <c r="M2061" t="str">
        <f>TEXT(Table9[[#This Row],[OrderDate ]],"mmm")</f>
        <v>Apr</v>
      </c>
      <c r="N2061">
        <f>YEAR(Table9[[#This Row],[OrderDate ]])</f>
        <v>2015</v>
      </c>
    </row>
    <row r="2062" spans="1:14" x14ac:dyDescent="0.3">
      <c r="A2062">
        <v>11047</v>
      </c>
      <c r="B2062" s="2">
        <f>_xlfn.XLOOKUP(Table9[[#This Row],[orderID]],orders[orderID],orders[orderDate],,0)</f>
        <v>42118</v>
      </c>
      <c r="C2062">
        <f>_xlfn.XLOOKUP(A2062,order_details[orderID],order_details[productID],,0)</f>
        <v>1</v>
      </c>
      <c r="D2062" t="str">
        <f>_xlfn.XLOOKUP(C2062,products[productID],products[productName],,0)</f>
        <v>Chai</v>
      </c>
      <c r="E2062" t="str">
        <f>_xlfn.XLOOKUP(_xlfn.XLOOKUP(Table9[[#This Row],[ProductName ]],products[productName],products[categoryID],,0),categories[categoryID],categories[categoryName],,0)</f>
        <v>Beverages</v>
      </c>
      <c r="F2062">
        <v>25</v>
      </c>
      <c r="G2062">
        <v>18</v>
      </c>
      <c r="H2062">
        <v>25</v>
      </c>
      <c r="I2062">
        <f>Table9[[#This Row],[quantity]]*Table9[[#This Row],[unitPrice]]*(1-Table9[[#This Row],[discount]]/100)</f>
        <v>337.5</v>
      </c>
      <c r="J2062" t="str">
        <f>_xlfn.XLOOKUP(_xlfn.XLOOKUP(A2062,orders[orderID],orders[customerID],,0),customers__2[customerID],customers__2[companyName],,0)</f>
        <v>Eastern Connection</v>
      </c>
      <c r="K2062" t="str">
        <f>_xlfn.XLOOKUP(Table9[[#This Row],[Company Name]],customers__2[companyName],customers__2[country],,0)</f>
        <v>UK</v>
      </c>
      <c r="L2062">
        <f>MONTH(Table9[[#This Row],[OrderDate ]])</f>
        <v>4</v>
      </c>
      <c r="M2062" t="str">
        <f>TEXT(Table9[[#This Row],[OrderDate ]],"mmm")</f>
        <v>Apr</v>
      </c>
      <c r="N2062">
        <f>YEAR(Table9[[#This Row],[OrderDate ]])</f>
        <v>2015</v>
      </c>
    </row>
    <row r="2063" spans="1:14" x14ac:dyDescent="0.3">
      <c r="A2063">
        <v>11047</v>
      </c>
      <c r="B2063" s="2">
        <f>_xlfn.XLOOKUP(Table9[[#This Row],[orderID]],orders[orderID],orders[orderDate],,0)</f>
        <v>42118</v>
      </c>
      <c r="C2063">
        <f>_xlfn.XLOOKUP(A2063,order_details[orderID],order_details[productID],,0)</f>
        <v>1</v>
      </c>
      <c r="D2063" t="str">
        <f>_xlfn.XLOOKUP(C2063,products[productID],products[productName],,0)</f>
        <v>Chai</v>
      </c>
      <c r="E2063" t="str">
        <f>_xlfn.XLOOKUP(_xlfn.XLOOKUP(Table9[[#This Row],[ProductName ]],products[productName],products[categoryID],,0),categories[categoryID],categories[categoryName],,0)</f>
        <v>Beverages</v>
      </c>
      <c r="F2063">
        <v>30</v>
      </c>
      <c r="G2063">
        <v>2135</v>
      </c>
      <c r="H2063">
        <v>25</v>
      </c>
      <c r="I2063">
        <f>Table9[[#This Row],[quantity]]*Table9[[#This Row],[unitPrice]]*(1-Table9[[#This Row],[discount]]/100)</f>
        <v>48037.5</v>
      </c>
      <c r="J2063" t="str">
        <f>_xlfn.XLOOKUP(_xlfn.XLOOKUP(A2063,orders[orderID],orders[customerID],,0),customers__2[customerID],customers__2[companyName],,0)</f>
        <v>Eastern Connection</v>
      </c>
      <c r="K2063" t="str">
        <f>_xlfn.XLOOKUP(Table9[[#This Row],[Company Name]],customers__2[companyName],customers__2[country],,0)</f>
        <v>UK</v>
      </c>
      <c r="L2063">
        <f>MONTH(Table9[[#This Row],[OrderDate ]])</f>
        <v>4</v>
      </c>
      <c r="M2063" t="str">
        <f>TEXT(Table9[[#This Row],[OrderDate ]],"mmm")</f>
        <v>Apr</v>
      </c>
      <c r="N2063">
        <f>YEAR(Table9[[#This Row],[OrderDate ]])</f>
        <v>2015</v>
      </c>
    </row>
    <row r="2064" spans="1:14" x14ac:dyDescent="0.3">
      <c r="A2064">
        <v>11048</v>
      </c>
      <c r="B2064" s="2">
        <f>_xlfn.XLOOKUP(Table9[[#This Row],[orderID]],orders[orderID],orders[orderDate],,0)</f>
        <v>42118</v>
      </c>
      <c r="C2064">
        <f>_xlfn.XLOOKUP(A2064,order_details[orderID],order_details[productID],,0)</f>
        <v>68</v>
      </c>
      <c r="D2064" t="str">
        <f>_xlfn.XLOOKUP(C2064,products[productID],products[productName],,0)</f>
        <v>Scottish Longbreads</v>
      </c>
      <c r="E2064" t="str">
        <f>_xlfn.XLOOKUP(_xlfn.XLOOKUP(Table9[[#This Row],[ProductName ]],products[productName],products[categoryID],,0),categories[categoryID],categories[categoryName],,0)</f>
        <v>Confections</v>
      </c>
      <c r="F2064">
        <v>42</v>
      </c>
      <c r="G2064">
        <v>125</v>
      </c>
      <c r="H2064">
        <v>0</v>
      </c>
      <c r="I2064">
        <f>Table9[[#This Row],[quantity]]*Table9[[#This Row],[unitPrice]]*(1-Table9[[#This Row],[discount]]/100)</f>
        <v>5250</v>
      </c>
      <c r="J2064" t="str">
        <f>_xlfn.XLOOKUP(_xlfn.XLOOKUP(A2064,orders[orderID],orders[customerID],,0),customers__2[customerID],customers__2[companyName],,0)</f>
        <v>Bottom-Dollar Markets</v>
      </c>
      <c r="K2064" t="str">
        <f>_xlfn.XLOOKUP(Table9[[#This Row],[Company Name]],customers__2[companyName],customers__2[country],,0)</f>
        <v>Canada</v>
      </c>
      <c r="L2064">
        <f>MONTH(Table9[[#This Row],[OrderDate ]])</f>
        <v>4</v>
      </c>
      <c r="M2064" t="str">
        <f>TEXT(Table9[[#This Row],[OrderDate ]],"mmm")</f>
        <v>Apr</v>
      </c>
      <c r="N2064">
        <f>YEAR(Table9[[#This Row],[OrderDate ]])</f>
        <v>2015</v>
      </c>
    </row>
    <row r="2065" spans="1:14" x14ac:dyDescent="0.3">
      <c r="A2065">
        <v>11049</v>
      </c>
      <c r="B2065" s="2">
        <f>_xlfn.XLOOKUP(Table9[[#This Row],[orderID]],orders[orderID],orders[orderDate],,0)</f>
        <v>42118</v>
      </c>
      <c r="C2065">
        <f>_xlfn.XLOOKUP(A2065,order_details[orderID],order_details[productID],,0)</f>
        <v>2</v>
      </c>
      <c r="D2065" t="str">
        <f>_xlfn.XLOOKUP(C2065,products[productID],products[productName],,0)</f>
        <v>Chang</v>
      </c>
      <c r="E2065" t="str">
        <f>_xlfn.XLOOKUP(_xlfn.XLOOKUP(Table9[[#This Row],[ProductName ]],products[productName],products[categoryID],,0),categories[categoryID],categories[categoryName],,0)</f>
        <v>Beverages</v>
      </c>
      <c r="F2065">
        <v>10</v>
      </c>
      <c r="G2065">
        <v>19</v>
      </c>
      <c r="H2065">
        <v>2</v>
      </c>
      <c r="I2065">
        <f>Table9[[#This Row],[quantity]]*Table9[[#This Row],[unitPrice]]*(1-Table9[[#This Row],[discount]]/100)</f>
        <v>186.2</v>
      </c>
      <c r="J2065" t="str">
        <f>_xlfn.XLOOKUP(_xlfn.XLOOKUP(A2065,orders[orderID],orders[customerID],,0),customers__2[customerID],customers__2[companyName],,0)</f>
        <v>Gourmet Lanchonetes</v>
      </c>
      <c r="K2065" t="str">
        <f>_xlfn.XLOOKUP(Table9[[#This Row],[Company Name]],customers__2[companyName],customers__2[country],,0)</f>
        <v>Brazil</v>
      </c>
      <c r="L2065">
        <f>MONTH(Table9[[#This Row],[OrderDate ]])</f>
        <v>4</v>
      </c>
      <c r="M2065" t="str">
        <f>TEXT(Table9[[#This Row],[OrderDate ]],"mmm")</f>
        <v>Apr</v>
      </c>
      <c r="N2065">
        <f>YEAR(Table9[[#This Row],[OrderDate ]])</f>
        <v>2015</v>
      </c>
    </row>
    <row r="2066" spans="1:14" x14ac:dyDescent="0.3">
      <c r="A2066">
        <v>11049</v>
      </c>
      <c r="B2066" s="2">
        <f>_xlfn.XLOOKUP(Table9[[#This Row],[orderID]],orders[orderID],orders[orderDate],,0)</f>
        <v>42118</v>
      </c>
      <c r="C2066">
        <f>_xlfn.XLOOKUP(A2066,order_details[orderID],order_details[productID],,0)</f>
        <v>2</v>
      </c>
      <c r="D2066" t="str">
        <f>_xlfn.XLOOKUP(C2066,products[productID],products[productName],,0)</f>
        <v>Chang</v>
      </c>
      <c r="E2066" t="str">
        <f>_xlfn.XLOOKUP(_xlfn.XLOOKUP(Table9[[#This Row],[ProductName ]],products[productName],products[categoryID],,0),categories[categoryID],categories[categoryName],,0)</f>
        <v>Beverages</v>
      </c>
      <c r="F2066">
        <v>4</v>
      </c>
      <c r="G2066">
        <v>38</v>
      </c>
      <c r="H2066">
        <v>2</v>
      </c>
      <c r="I2066">
        <f>Table9[[#This Row],[quantity]]*Table9[[#This Row],[unitPrice]]*(1-Table9[[#This Row],[discount]]/100)</f>
        <v>148.96</v>
      </c>
      <c r="J2066" t="str">
        <f>_xlfn.XLOOKUP(_xlfn.XLOOKUP(A2066,orders[orderID],orders[customerID],,0),customers__2[customerID],customers__2[companyName],,0)</f>
        <v>Gourmet Lanchonetes</v>
      </c>
      <c r="K2066" t="str">
        <f>_xlfn.XLOOKUP(Table9[[#This Row],[Company Name]],customers__2[companyName],customers__2[country],,0)</f>
        <v>Brazil</v>
      </c>
      <c r="L2066">
        <f>MONTH(Table9[[#This Row],[OrderDate ]])</f>
        <v>4</v>
      </c>
      <c r="M2066" t="str">
        <f>TEXT(Table9[[#This Row],[OrderDate ]],"mmm")</f>
        <v>Apr</v>
      </c>
      <c r="N2066">
        <f>YEAR(Table9[[#This Row],[OrderDate ]])</f>
        <v>2015</v>
      </c>
    </row>
    <row r="2067" spans="1:14" x14ac:dyDescent="0.3">
      <c r="A2067">
        <v>11050</v>
      </c>
      <c r="B2067" s="2">
        <f>_xlfn.XLOOKUP(Table9[[#This Row],[orderID]],orders[orderID],orders[orderDate],,0)</f>
        <v>42121</v>
      </c>
      <c r="C2067">
        <f>_xlfn.XLOOKUP(A2067,order_details[orderID],order_details[productID],,0)</f>
        <v>76</v>
      </c>
      <c r="D2067" t="str">
        <f>_xlfn.XLOOKUP(C2067,products[productID],products[productName],,0)</f>
        <v>Lakkaliköri</v>
      </c>
      <c r="E2067" t="str">
        <f>_xlfn.XLOOKUP(_xlfn.XLOOKUP(Table9[[#This Row],[ProductName ]],products[productName],products[categoryID],,0),categories[categoryID],categories[categoryName],,0)</f>
        <v>Beverages</v>
      </c>
      <c r="F2067">
        <v>50</v>
      </c>
      <c r="G2067">
        <v>18</v>
      </c>
      <c r="H2067">
        <v>1</v>
      </c>
      <c r="I2067">
        <f>Table9[[#This Row],[quantity]]*Table9[[#This Row],[unitPrice]]*(1-Table9[[#This Row],[discount]]/100)</f>
        <v>891</v>
      </c>
      <c r="J2067" t="str">
        <f>_xlfn.XLOOKUP(_xlfn.XLOOKUP(A2067,orders[orderID],orders[customerID],,0),customers__2[customerID],customers__2[companyName],,0)</f>
        <v>Folk och fä HB</v>
      </c>
      <c r="K2067" t="str">
        <f>_xlfn.XLOOKUP(Table9[[#This Row],[Company Name]],customers__2[companyName],customers__2[country],,0)</f>
        <v>Sweden</v>
      </c>
      <c r="L2067">
        <f>MONTH(Table9[[#This Row],[OrderDate ]])</f>
        <v>4</v>
      </c>
      <c r="M2067" t="str">
        <f>TEXT(Table9[[#This Row],[OrderDate ]],"mmm")</f>
        <v>Apr</v>
      </c>
      <c r="N2067">
        <f>YEAR(Table9[[#This Row],[OrderDate ]])</f>
        <v>2015</v>
      </c>
    </row>
    <row r="2068" spans="1:14" x14ac:dyDescent="0.3">
      <c r="A2068">
        <v>11051</v>
      </c>
      <c r="B2068" s="2">
        <f>_xlfn.XLOOKUP(Table9[[#This Row],[orderID]],orders[orderID],orders[orderDate],,0)</f>
        <v>42121</v>
      </c>
      <c r="C2068">
        <f>_xlfn.XLOOKUP(A2068,order_details[orderID],order_details[productID],,0)</f>
        <v>24</v>
      </c>
      <c r="D2068" t="str">
        <f>_xlfn.XLOOKUP(C2068,products[productID],products[productName],,0)</f>
        <v>Guarana Fantastica</v>
      </c>
      <c r="E2068" t="str">
        <f>_xlfn.XLOOKUP(_xlfn.XLOOKUP(Table9[[#This Row],[ProductName ]],products[productName],products[categoryID],,0),categories[categoryID],categories[categoryName],,0)</f>
        <v>Beverages</v>
      </c>
      <c r="F2068">
        <v>10</v>
      </c>
      <c r="G2068">
        <v>45</v>
      </c>
      <c r="H2068">
        <v>2</v>
      </c>
      <c r="I2068">
        <f>Table9[[#This Row],[quantity]]*Table9[[#This Row],[unitPrice]]*(1-Table9[[#This Row],[discount]]/100)</f>
        <v>441</v>
      </c>
      <c r="J2068" t="str">
        <f>_xlfn.XLOOKUP(_xlfn.XLOOKUP(A2068,orders[orderID],orders[customerID],,0),customers__2[customerID],customers__2[companyName],,0)</f>
        <v>La maison d'Asie</v>
      </c>
      <c r="K2068" t="str">
        <f>_xlfn.XLOOKUP(Table9[[#This Row],[Company Name]],customers__2[companyName],customers__2[country],,0)</f>
        <v>France</v>
      </c>
      <c r="L2068">
        <f>MONTH(Table9[[#This Row],[OrderDate ]])</f>
        <v>4</v>
      </c>
      <c r="M2068" t="str">
        <f>TEXT(Table9[[#This Row],[OrderDate ]],"mmm")</f>
        <v>Apr</v>
      </c>
      <c r="N2068">
        <f>YEAR(Table9[[#This Row],[OrderDate ]])</f>
        <v>2015</v>
      </c>
    </row>
    <row r="2069" spans="1:14" x14ac:dyDescent="0.3">
      <c r="A2069">
        <v>11052</v>
      </c>
      <c r="B2069" s="2">
        <f>_xlfn.XLOOKUP(Table9[[#This Row],[orderID]],orders[orderID],orders[orderDate],,0)</f>
        <v>42121</v>
      </c>
      <c r="C2069">
        <f>_xlfn.XLOOKUP(A2069,order_details[orderID],order_details[productID],,0)</f>
        <v>43</v>
      </c>
      <c r="D2069" t="str">
        <f>_xlfn.XLOOKUP(C2069,products[productID],products[productName],,0)</f>
        <v>Ipoh Coffee</v>
      </c>
      <c r="E2069" t="str">
        <f>_xlfn.XLOOKUP(_xlfn.XLOOKUP(Table9[[#This Row],[ProductName ]],products[productName],products[categoryID],,0),categories[categoryID],categories[categoryName],,0)</f>
        <v>Beverages</v>
      </c>
      <c r="F2069">
        <v>30</v>
      </c>
      <c r="G2069">
        <v>46</v>
      </c>
      <c r="H2069">
        <v>2</v>
      </c>
      <c r="I2069">
        <f>Table9[[#This Row],[quantity]]*Table9[[#This Row],[unitPrice]]*(1-Table9[[#This Row],[discount]]/100)</f>
        <v>1352.3999999999999</v>
      </c>
      <c r="J2069" t="str">
        <f>_xlfn.XLOOKUP(_xlfn.XLOOKUP(A2069,orders[orderID],orders[customerID],,0),customers__2[customerID],customers__2[companyName],,0)</f>
        <v>Hanari Carnes</v>
      </c>
      <c r="K2069" t="str">
        <f>_xlfn.XLOOKUP(Table9[[#This Row],[Company Name]],customers__2[companyName],customers__2[country],,0)</f>
        <v>Brazil</v>
      </c>
      <c r="L2069">
        <f>MONTH(Table9[[#This Row],[OrderDate ]])</f>
        <v>4</v>
      </c>
      <c r="M2069" t="str">
        <f>TEXT(Table9[[#This Row],[OrderDate ]],"mmm")</f>
        <v>Apr</v>
      </c>
      <c r="N2069">
        <f>YEAR(Table9[[#This Row],[OrderDate ]])</f>
        <v>2015</v>
      </c>
    </row>
    <row r="2070" spans="1:14" x14ac:dyDescent="0.3">
      <c r="A2070">
        <v>11052</v>
      </c>
      <c r="B2070" s="2">
        <f>_xlfn.XLOOKUP(Table9[[#This Row],[orderID]],orders[orderID],orders[orderDate],,0)</f>
        <v>42121</v>
      </c>
      <c r="C2070">
        <f>_xlfn.XLOOKUP(A2070,order_details[orderID],order_details[productID],,0)</f>
        <v>43</v>
      </c>
      <c r="D2070" t="str">
        <f>_xlfn.XLOOKUP(C2070,products[productID],products[productName],,0)</f>
        <v>Ipoh Coffee</v>
      </c>
      <c r="E2070" t="str">
        <f>_xlfn.XLOOKUP(_xlfn.XLOOKUP(Table9[[#This Row],[ProductName ]],products[productName],products[categoryID],,0),categories[categoryID],categories[categoryName],,0)</f>
        <v>Beverages</v>
      </c>
      <c r="F2070">
        <v>10</v>
      </c>
      <c r="G2070">
        <v>285</v>
      </c>
      <c r="H2070">
        <v>2</v>
      </c>
      <c r="I2070">
        <f>Table9[[#This Row],[quantity]]*Table9[[#This Row],[unitPrice]]*(1-Table9[[#This Row],[discount]]/100)</f>
        <v>2793</v>
      </c>
      <c r="J2070" t="str">
        <f>_xlfn.XLOOKUP(_xlfn.XLOOKUP(A2070,orders[orderID],orders[customerID],,0),customers__2[customerID],customers__2[companyName],,0)</f>
        <v>Hanari Carnes</v>
      </c>
      <c r="K2070" t="str">
        <f>_xlfn.XLOOKUP(Table9[[#This Row],[Company Name]],customers__2[companyName],customers__2[country],,0)</f>
        <v>Brazil</v>
      </c>
      <c r="L2070">
        <f>MONTH(Table9[[#This Row],[OrderDate ]])</f>
        <v>4</v>
      </c>
      <c r="M2070" t="str">
        <f>TEXT(Table9[[#This Row],[OrderDate ]],"mmm")</f>
        <v>Apr</v>
      </c>
      <c r="N2070">
        <f>YEAR(Table9[[#This Row],[OrderDate ]])</f>
        <v>2015</v>
      </c>
    </row>
    <row r="2071" spans="1:14" x14ac:dyDescent="0.3">
      <c r="A2071">
        <v>11053</v>
      </c>
      <c r="B2071" s="2">
        <f>_xlfn.XLOOKUP(Table9[[#This Row],[orderID]],orders[orderID],orders[orderDate],,0)</f>
        <v>42121</v>
      </c>
      <c r="C2071">
        <f>_xlfn.XLOOKUP(A2071,order_details[orderID],order_details[productID],,0)</f>
        <v>18</v>
      </c>
      <c r="D2071" t="str">
        <f>_xlfn.XLOOKUP(C2071,products[productID],products[productName],,0)</f>
        <v>Carnarvon Tigers</v>
      </c>
      <c r="E2071" t="str">
        <f>_xlfn.XLOOKUP(_xlfn.XLOOKUP(Table9[[#This Row],[ProductName ]],products[productName],products[categoryID],,0),categories[categoryID],categories[categoryName],,0)</f>
        <v>Seafood</v>
      </c>
      <c r="F2071">
        <v>35</v>
      </c>
      <c r="G2071">
        <v>625</v>
      </c>
      <c r="H2071">
        <v>2</v>
      </c>
      <c r="I2071">
        <f>Table9[[#This Row],[quantity]]*Table9[[#This Row],[unitPrice]]*(1-Table9[[#This Row],[discount]]/100)</f>
        <v>21437.5</v>
      </c>
      <c r="J2071" t="str">
        <f>_xlfn.XLOOKUP(_xlfn.XLOOKUP(A2071,orders[orderID],orders[customerID],,0),customers__2[customerID],customers__2[companyName],,0)</f>
        <v>Piccolo und mehr</v>
      </c>
      <c r="K2071" t="str">
        <f>_xlfn.XLOOKUP(Table9[[#This Row],[Company Name]],customers__2[companyName],customers__2[country],,0)</f>
        <v>Austria</v>
      </c>
      <c r="L2071">
        <f>MONTH(Table9[[#This Row],[OrderDate ]])</f>
        <v>4</v>
      </c>
      <c r="M2071" t="str">
        <f>TEXT(Table9[[#This Row],[OrderDate ]],"mmm")</f>
        <v>Apr</v>
      </c>
      <c r="N2071">
        <f>YEAR(Table9[[#This Row],[OrderDate ]])</f>
        <v>2015</v>
      </c>
    </row>
    <row r="2072" spans="1:14" x14ac:dyDescent="0.3">
      <c r="A2072">
        <v>11053</v>
      </c>
      <c r="B2072" s="2">
        <f>_xlfn.XLOOKUP(Table9[[#This Row],[orderID]],orders[orderID],orders[orderDate],,0)</f>
        <v>42121</v>
      </c>
      <c r="C2072">
        <f>_xlfn.XLOOKUP(A2072,order_details[orderID],order_details[productID],,0)</f>
        <v>18</v>
      </c>
      <c r="D2072" t="str">
        <f>_xlfn.XLOOKUP(C2072,products[productID],products[productName],,0)</f>
        <v>Carnarvon Tigers</v>
      </c>
      <c r="E2072" t="str">
        <f>_xlfn.XLOOKUP(_xlfn.XLOOKUP(Table9[[#This Row],[ProductName ]],products[productName],products[categoryID],,0),categories[categoryID],categories[categoryName],,0)</f>
        <v>Seafood</v>
      </c>
      <c r="F2072">
        <v>20</v>
      </c>
      <c r="G2072">
        <v>32</v>
      </c>
      <c r="H2072">
        <v>0</v>
      </c>
      <c r="I2072">
        <f>Table9[[#This Row],[quantity]]*Table9[[#This Row],[unitPrice]]*(1-Table9[[#This Row],[discount]]/100)</f>
        <v>640</v>
      </c>
      <c r="J2072" t="str">
        <f>_xlfn.XLOOKUP(_xlfn.XLOOKUP(A2072,orders[orderID],orders[customerID],,0),customers__2[customerID],customers__2[companyName],,0)</f>
        <v>Piccolo und mehr</v>
      </c>
      <c r="K2072" t="str">
        <f>_xlfn.XLOOKUP(Table9[[#This Row],[Company Name]],customers__2[companyName],customers__2[country],,0)</f>
        <v>Austria</v>
      </c>
      <c r="L2072">
        <f>MONTH(Table9[[#This Row],[OrderDate ]])</f>
        <v>4</v>
      </c>
      <c r="M2072" t="str">
        <f>TEXT(Table9[[#This Row],[OrderDate ]],"mmm")</f>
        <v>Apr</v>
      </c>
      <c r="N2072">
        <f>YEAR(Table9[[#This Row],[OrderDate ]])</f>
        <v>2015</v>
      </c>
    </row>
    <row r="2073" spans="1:14" x14ac:dyDescent="0.3">
      <c r="A2073">
        <v>11053</v>
      </c>
      <c r="B2073" s="2">
        <f>_xlfn.XLOOKUP(Table9[[#This Row],[orderID]],orders[orderID],orders[orderDate],,0)</f>
        <v>42121</v>
      </c>
      <c r="C2073">
        <f>_xlfn.XLOOKUP(A2073,order_details[orderID],order_details[productID],,0)</f>
        <v>18</v>
      </c>
      <c r="D2073" t="str">
        <f>_xlfn.XLOOKUP(C2073,products[productID],products[productName],,0)</f>
        <v>Carnarvon Tigers</v>
      </c>
      <c r="E2073" t="str">
        <f>_xlfn.XLOOKUP(_xlfn.XLOOKUP(Table9[[#This Row],[ProductName ]],products[productName],products[categoryID],,0),categories[categoryID],categories[categoryName],,0)</f>
        <v>Seafood</v>
      </c>
      <c r="F2073">
        <v>25</v>
      </c>
      <c r="G2073">
        <v>3325</v>
      </c>
      <c r="H2073">
        <v>2</v>
      </c>
      <c r="I2073">
        <f>Table9[[#This Row],[quantity]]*Table9[[#This Row],[unitPrice]]*(1-Table9[[#This Row],[discount]]/100)</f>
        <v>81462.5</v>
      </c>
      <c r="J2073" t="str">
        <f>_xlfn.XLOOKUP(_xlfn.XLOOKUP(A2073,orders[orderID],orders[customerID],,0),customers__2[customerID],customers__2[companyName],,0)</f>
        <v>Piccolo und mehr</v>
      </c>
      <c r="K2073" t="str">
        <f>_xlfn.XLOOKUP(Table9[[#This Row],[Company Name]],customers__2[companyName],customers__2[country],,0)</f>
        <v>Austria</v>
      </c>
      <c r="L2073">
        <f>MONTH(Table9[[#This Row],[OrderDate ]])</f>
        <v>4</v>
      </c>
      <c r="M2073" t="str">
        <f>TEXT(Table9[[#This Row],[OrderDate ]],"mmm")</f>
        <v>Apr</v>
      </c>
      <c r="N2073">
        <f>YEAR(Table9[[#This Row],[OrderDate ]])</f>
        <v>2015</v>
      </c>
    </row>
    <row r="2074" spans="1:14" x14ac:dyDescent="0.3">
      <c r="A2074">
        <v>11054</v>
      </c>
      <c r="B2074" s="2">
        <f>_xlfn.XLOOKUP(Table9[[#This Row],[orderID]],orders[orderID],orders[orderDate],,0)</f>
        <v>42122</v>
      </c>
      <c r="C2074">
        <f>_xlfn.XLOOKUP(A2074,order_details[orderID],order_details[productID],,0)</f>
        <v>33</v>
      </c>
      <c r="D2074" t="str">
        <f>_xlfn.XLOOKUP(C2074,products[productID],products[productName],,0)</f>
        <v>Geitost</v>
      </c>
      <c r="E2074" t="str">
        <f>_xlfn.XLOOKUP(_xlfn.XLOOKUP(Table9[[#This Row],[ProductName ]],products[productName],products[categoryID],,0),categories[categoryID],categories[categoryName],,0)</f>
        <v>Dairy Products</v>
      </c>
      <c r="F2074">
        <v>10</v>
      </c>
      <c r="G2074">
        <v>25</v>
      </c>
      <c r="H2074">
        <v>0</v>
      </c>
      <c r="I2074">
        <f>Table9[[#This Row],[quantity]]*Table9[[#This Row],[unitPrice]]*(1-Table9[[#This Row],[discount]]/100)</f>
        <v>250</v>
      </c>
      <c r="J2074" t="str">
        <f>_xlfn.XLOOKUP(_xlfn.XLOOKUP(A2074,orders[orderID],orders[customerID],,0),customers__2[customerID],customers__2[companyName],,0)</f>
        <v>Cactus Comidas para llevar</v>
      </c>
      <c r="K2074" t="str">
        <f>_xlfn.XLOOKUP(Table9[[#This Row],[Company Name]],customers__2[companyName],customers__2[country],,0)</f>
        <v>Argentina</v>
      </c>
      <c r="L2074">
        <f>MONTH(Table9[[#This Row],[OrderDate ]])</f>
        <v>4</v>
      </c>
      <c r="M2074" t="str">
        <f>TEXT(Table9[[#This Row],[OrderDate ]],"mmm")</f>
        <v>Apr</v>
      </c>
      <c r="N2074">
        <f>YEAR(Table9[[#This Row],[OrderDate ]])</f>
        <v>2015</v>
      </c>
    </row>
    <row r="2075" spans="1:14" x14ac:dyDescent="0.3">
      <c r="A2075">
        <v>11054</v>
      </c>
      <c r="B2075" s="2">
        <f>_xlfn.XLOOKUP(Table9[[#This Row],[orderID]],orders[orderID],orders[orderDate],,0)</f>
        <v>42122</v>
      </c>
      <c r="C2075">
        <f>_xlfn.XLOOKUP(A2075,order_details[orderID],order_details[productID],,0)</f>
        <v>33</v>
      </c>
      <c r="D2075" t="str">
        <f>_xlfn.XLOOKUP(C2075,products[productID],products[productName],,0)</f>
        <v>Geitost</v>
      </c>
      <c r="E2075" t="str">
        <f>_xlfn.XLOOKUP(_xlfn.XLOOKUP(Table9[[#This Row],[ProductName ]],products[productName],products[categoryID],,0),categories[categoryID],categories[categoryName],,0)</f>
        <v>Dairy Products</v>
      </c>
      <c r="F2075">
        <v>20</v>
      </c>
      <c r="G2075">
        <v>14</v>
      </c>
      <c r="H2075">
        <v>0</v>
      </c>
      <c r="I2075">
        <f>Table9[[#This Row],[quantity]]*Table9[[#This Row],[unitPrice]]*(1-Table9[[#This Row],[discount]]/100)</f>
        <v>280</v>
      </c>
      <c r="J2075" t="str">
        <f>_xlfn.XLOOKUP(_xlfn.XLOOKUP(A2075,orders[orderID],orders[customerID],,0),customers__2[customerID],customers__2[companyName],,0)</f>
        <v>Cactus Comidas para llevar</v>
      </c>
      <c r="K2075" t="str">
        <f>_xlfn.XLOOKUP(Table9[[#This Row],[Company Name]],customers__2[companyName],customers__2[country],,0)</f>
        <v>Argentina</v>
      </c>
      <c r="L2075">
        <f>MONTH(Table9[[#This Row],[OrderDate ]])</f>
        <v>4</v>
      </c>
      <c r="M2075" t="str">
        <f>TEXT(Table9[[#This Row],[OrderDate ]],"mmm")</f>
        <v>Apr</v>
      </c>
      <c r="N2075">
        <f>YEAR(Table9[[#This Row],[OrderDate ]])</f>
        <v>2015</v>
      </c>
    </row>
    <row r="2076" spans="1:14" x14ac:dyDescent="0.3">
      <c r="A2076">
        <v>11055</v>
      </c>
      <c r="B2076" s="2">
        <f>_xlfn.XLOOKUP(Table9[[#This Row],[orderID]],orders[orderID],orders[orderDate],,0)</f>
        <v>42122</v>
      </c>
      <c r="C2076">
        <f>_xlfn.XLOOKUP(A2076,order_details[orderID],order_details[productID],,0)</f>
        <v>24</v>
      </c>
      <c r="D2076" t="str">
        <f>_xlfn.XLOOKUP(C2076,products[productID],products[productName],,0)</f>
        <v>Guarana Fantastica</v>
      </c>
      <c r="E2076" t="str">
        <f>_xlfn.XLOOKUP(_xlfn.XLOOKUP(Table9[[#This Row],[ProductName ]],products[productName],products[categoryID],,0),categories[categoryID],categories[categoryName],,0)</f>
        <v>Beverages</v>
      </c>
      <c r="F2076">
        <v>15</v>
      </c>
      <c r="G2076">
        <v>45</v>
      </c>
      <c r="H2076">
        <v>0</v>
      </c>
      <c r="I2076">
        <f>Table9[[#This Row],[quantity]]*Table9[[#This Row],[unitPrice]]*(1-Table9[[#This Row],[discount]]/100)</f>
        <v>675</v>
      </c>
      <c r="J2076" t="str">
        <f>_xlfn.XLOOKUP(_xlfn.XLOOKUP(A2076,orders[orderID],orders[customerID],,0),customers__2[customerID],customers__2[companyName],,0)</f>
        <v>HILARION-Abastos</v>
      </c>
      <c r="K2076" t="str">
        <f>_xlfn.XLOOKUP(Table9[[#This Row],[Company Name]],customers__2[companyName],customers__2[country],,0)</f>
        <v>Venezuela</v>
      </c>
      <c r="L2076">
        <f>MONTH(Table9[[#This Row],[OrderDate ]])</f>
        <v>4</v>
      </c>
      <c r="M2076" t="str">
        <f>TEXT(Table9[[#This Row],[OrderDate ]],"mmm")</f>
        <v>Apr</v>
      </c>
      <c r="N2076">
        <f>YEAR(Table9[[#This Row],[OrderDate ]])</f>
        <v>2015</v>
      </c>
    </row>
    <row r="2077" spans="1:14" x14ac:dyDescent="0.3">
      <c r="A2077">
        <v>11055</v>
      </c>
      <c r="B2077" s="2">
        <f>_xlfn.XLOOKUP(Table9[[#This Row],[orderID]],orders[orderID],orders[orderDate],,0)</f>
        <v>42122</v>
      </c>
      <c r="C2077">
        <f>_xlfn.XLOOKUP(A2077,order_details[orderID],order_details[productID],,0)</f>
        <v>24</v>
      </c>
      <c r="D2077" t="str">
        <f>_xlfn.XLOOKUP(C2077,products[productID],products[productName],,0)</f>
        <v>Guarana Fantastica</v>
      </c>
      <c r="E2077" t="str">
        <f>_xlfn.XLOOKUP(_xlfn.XLOOKUP(Table9[[#This Row],[ProductName ]],products[productName],products[categoryID],,0),categories[categoryID],categories[categoryName],,0)</f>
        <v>Beverages</v>
      </c>
      <c r="F2077">
        <v>15</v>
      </c>
      <c r="G2077">
        <v>14</v>
      </c>
      <c r="H2077">
        <v>0</v>
      </c>
      <c r="I2077">
        <f>Table9[[#This Row],[quantity]]*Table9[[#This Row],[unitPrice]]*(1-Table9[[#This Row],[discount]]/100)</f>
        <v>210</v>
      </c>
      <c r="J2077" t="str">
        <f>_xlfn.XLOOKUP(_xlfn.XLOOKUP(A2077,orders[orderID],orders[customerID],,0),customers__2[customerID],customers__2[companyName],,0)</f>
        <v>HILARION-Abastos</v>
      </c>
      <c r="K2077" t="str">
        <f>_xlfn.XLOOKUP(Table9[[#This Row],[Company Name]],customers__2[companyName],customers__2[country],,0)</f>
        <v>Venezuela</v>
      </c>
      <c r="L2077">
        <f>MONTH(Table9[[#This Row],[OrderDate ]])</f>
        <v>4</v>
      </c>
      <c r="M2077" t="str">
        <f>TEXT(Table9[[#This Row],[OrderDate ]],"mmm")</f>
        <v>Apr</v>
      </c>
      <c r="N2077">
        <f>YEAR(Table9[[#This Row],[OrderDate ]])</f>
        <v>2015</v>
      </c>
    </row>
    <row r="2078" spans="1:14" x14ac:dyDescent="0.3">
      <c r="A2078">
        <v>11055</v>
      </c>
      <c r="B2078" s="2">
        <f>_xlfn.XLOOKUP(Table9[[#This Row],[orderID]],orders[orderID],orders[orderDate],,0)</f>
        <v>42122</v>
      </c>
      <c r="C2078">
        <f>_xlfn.XLOOKUP(A2078,order_details[orderID],order_details[productID],,0)</f>
        <v>24</v>
      </c>
      <c r="D2078" t="str">
        <f>_xlfn.XLOOKUP(C2078,products[productID],products[productName],,0)</f>
        <v>Guarana Fantastica</v>
      </c>
      <c r="E2078" t="str">
        <f>_xlfn.XLOOKUP(_xlfn.XLOOKUP(Table9[[#This Row],[ProductName ]],products[productName],products[categoryID],,0),categories[categoryID],categories[categoryName],,0)</f>
        <v>Beverages</v>
      </c>
      <c r="F2078">
        <v>20</v>
      </c>
      <c r="G2078">
        <v>53</v>
      </c>
      <c r="H2078">
        <v>0</v>
      </c>
      <c r="I2078">
        <f>Table9[[#This Row],[quantity]]*Table9[[#This Row],[unitPrice]]*(1-Table9[[#This Row],[discount]]/100)</f>
        <v>1060</v>
      </c>
      <c r="J2078" t="str">
        <f>_xlfn.XLOOKUP(_xlfn.XLOOKUP(A2078,orders[orderID],orders[customerID],,0),customers__2[customerID],customers__2[companyName],,0)</f>
        <v>HILARION-Abastos</v>
      </c>
      <c r="K2078" t="str">
        <f>_xlfn.XLOOKUP(Table9[[#This Row],[Company Name]],customers__2[companyName],customers__2[country],,0)</f>
        <v>Venezuela</v>
      </c>
      <c r="L2078">
        <f>MONTH(Table9[[#This Row],[OrderDate ]])</f>
        <v>4</v>
      </c>
      <c r="M2078" t="str">
        <f>TEXT(Table9[[#This Row],[OrderDate ]],"mmm")</f>
        <v>Apr</v>
      </c>
      <c r="N2078">
        <f>YEAR(Table9[[#This Row],[OrderDate ]])</f>
        <v>2015</v>
      </c>
    </row>
    <row r="2079" spans="1:14" x14ac:dyDescent="0.3">
      <c r="A2079">
        <v>11055</v>
      </c>
      <c r="B2079" s="2">
        <f>_xlfn.XLOOKUP(Table9[[#This Row],[orderID]],orders[orderID],orders[orderDate],,0)</f>
        <v>42122</v>
      </c>
      <c r="C2079">
        <f>_xlfn.XLOOKUP(A2079,order_details[orderID],order_details[productID],,0)</f>
        <v>24</v>
      </c>
      <c r="D2079" t="str">
        <f>_xlfn.XLOOKUP(C2079,products[productID],products[productName],,0)</f>
        <v>Guarana Fantastica</v>
      </c>
      <c r="E2079" t="str">
        <f>_xlfn.XLOOKUP(_xlfn.XLOOKUP(Table9[[#This Row],[ProductName ]],products[productName],products[categoryID],,0),categories[categoryID],categories[categoryName],,0)</f>
        <v>Beverages</v>
      </c>
      <c r="F2079">
        <v>20</v>
      </c>
      <c r="G2079">
        <v>195</v>
      </c>
      <c r="H2079">
        <v>0</v>
      </c>
      <c r="I2079">
        <f>Table9[[#This Row],[quantity]]*Table9[[#This Row],[unitPrice]]*(1-Table9[[#This Row],[discount]]/100)</f>
        <v>3900</v>
      </c>
      <c r="J2079" t="str">
        <f>_xlfn.XLOOKUP(_xlfn.XLOOKUP(A2079,orders[orderID],orders[customerID],,0),customers__2[customerID],customers__2[companyName],,0)</f>
        <v>HILARION-Abastos</v>
      </c>
      <c r="K2079" t="str">
        <f>_xlfn.XLOOKUP(Table9[[#This Row],[Company Name]],customers__2[companyName],customers__2[country],,0)</f>
        <v>Venezuela</v>
      </c>
      <c r="L2079">
        <f>MONTH(Table9[[#This Row],[OrderDate ]])</f>
        <v>4</v>
      </c>
      <c r="M2079" t="str">
        <f>TEXT(Table9[[#This Row],[OrderDate ]],"mmm")</f>
        <v>Apr</v>
      </c>
      <c r="N2079">
        <f>YEAR(Table9[[#This Row],[OrderDate ]])</f>
        <v>2015</v>
      </c>
    </row>
    <row r="2080" spans="1:14" x14ac:dyDescent="0.3">
      <c r="A2080">
        <v>11056</v>
      </c>
      <c r="B2080" s="2">
        <f>_xlfn.XLOOKUP(Table9[[#This Row],[orderID]],orders[orderID],orders[orderDate],,0)</f>
        <v>42122</v>
      </c>
      <c r="C2080">
        <f>_xlfn.XLOOKUP(A2080,order_details[orderID],order_details[productID],,0)</f>
        <v>7</v>
      </c>
      <c r="D2080" t="str">
        <f>_xlfn.XLOOKUP(C2080,products[productID],products[productName],,0)</f>
        <v>Uncle Bob's Organic Dried Pears</v>
      </c>
      <c r="E2080" t="str">
        <f>_xlfn.XLOOKUP(_xlfn.XLOOKUP(Table9[[#This Row],[ProductName ]],products[productName],products[categoryID],,0),categories[categoryID],categories[categoryName],,0)</f>
        <v>Produce</v>
      </c>
      <c r="F2080">
        <v>40</v>
      </c>
      <c r="G2080">
        <v>30</v>
      </c>
      <c r="H2080">
        <v>0</v>
      </c>
      <c r="I2080">
        <f>Table9[[#This Row],[quantity]]*Table9[[#This Row],[unitPrice]]*(1-Table9[[#This Row],[discount]]/100)</f>
        <v>1200</v>
      </c>
      <c r="J2080" t="str">
        <f>_xlfn.XLOOKUP(_xlfn.XLOOKUP(A2080,orders[orderID],orders[customerID],,0),customers__2[customerID],customers__2[companyName],,0)</f>
        <v>Eastern Connection</v>
      </c>
      <c r="K2080" t="str">
        <f>_xlfn.XLOOKUP(Table9[[#This Row],[Company Name]],customers__2[companyName],customers__2[country],,0)</f>
        <v>UK</v>
      </c>
      <c r="L2080">
        <f>MONTH(Table9[[#This Row],[OrderDate ]])</f>
        <v>4</v>
      </c>
      <c r="M2080" t="str">
        <f>TEXT(Table9[[#This Row],[OrderDate ]],"mmm")</f>
        <v>Apr</v>
      </c>
      <c r="N2080">
        <f>YEAR(Table9[[#This Row],[OrderDate ]])</f>
        <v>2015</v>
      </c>
    </row>
    <row r="2081" spans="1:14" x14ac:dyDescent="0.3">
      <c r="A2081">
        <v>11056</v>
      </c>
      <c r="B2081" s="2">
        <f>_xlfn.XLOOKUP(Table9[[#This Row],[orderID]],orders[orderID],orders[orderDate],,0)</f>
        <v>42122</v>
      </c>
      <c r="C2081">
        <f>_xlfn.XLOOKUP(A2081,order_details[orderID],order_details[productID],,0)</f>
        <v>7</v>
      </c>
      <c r="D2081" t="str">
        <f>_xlfn.XLOOKUP(C2081,products[productID],products[productName],,0)</f>
        <v>Uncle Bob's Organic Dried Pears</v>
      </c>
      <c r="E2081" t="str">
        <f>_xlfn.XLOOKUP(_xlfn.XLOOKUP(Table9[[#This Row],[ProductName ]],products[productName],products[categoryID],,0),categories[categoryID],categories[categoryName],,0)</f>
        <v>Produce</v>
      </c>
      <c r="F2081">
        <v>35</v>
      </c>
      <c r="G2081">
        <v>24</v>
      </c>
      <c r="H2081">
        <v>0</v>
      </c>
      <c r="I2081">
        <f>Table9[[#This Row],[quantity]]*Table9[[#This Row],[unitPrice]]*(1-Table9[[#This Row],[discount]]/100)</f>
        <v>840</v>
      </c>
      <c r="J2081" t="str">
        <f>_xlfn.XLOOKUP(_xlfn.XLOOKUP(A2081,orders[orderID],orders[customerID],,0),customers__2[customerID],customers__2[companyName],,0)</f>
        <v>Eastern Connection</v>
      </c>
      <c r="K2081" t="str">
        <f>_xlfn.XLOOKUP(Table9[[#This Row],[Company Name]],customers__2[companyName],customers__2[country],,0)</f>
        <v>UK</v>
      </c>
      <c r="L2081">
        <f>MONTH(Table9[[#This Row],[OrderDate ]])</f>
        <v>4</v>
      </c>
      <c r="M2081" t="str">
        <f>TEXT(Table9[[#This Row],[OrderDate ]],"mmm")</f>
        <v>Apr</v>
      </c>
      <c r="N2081">
        <f>YEAR(Table9[[#This Row],[OrderDate ]])</f>
        <v>2015</v>
      </c>
    </row>
    <row r="2082" spans="1:14" x14ac:dyDescent="0.3">
      <c r="A2082">
        <v>11056</v>
      </c>
      <c r="B2082" s="2">
        <f>_xlfn.XLOOKUP(Table9[[#This Row],[orderID]],orders[orderID],orders[orderDate],,0)</f>
        <v>42122</v>
      </c>
      <c r="C2082">
        <f>_xlfn.XLOOKUP(A2082,order_details[orderID],order_details[productID],,0)</f>
        <v>7</v>
      </c>
      <c r="D2082" t="str">
        <f>_xlfn.XLOOKUP(C2082,products[productID],products[productName],,0)</f>
        <v>Uncle Bob's Organic Dried Pears</v>
      </c>
      <c r="E2082" t="str">
        <f>_xlfn.XLOOKUP(_xlfn.XLOOKUP(Table9[[#This Row],[ProductName ]],products[productName],products[categoryID],,0),categories[categoryID],categories[categoryName],,0)</f>
        <v>Produce</v>
      </c>
      <c r="F2082">
        <v>50</v>
      </c>
      <c r="G2082">
        <v>34</v>
      </c>
      <c r="H2082">
        <v>0</v>
      </c>
      <c r="I2082">
        <f>Table9[[#This Row],[quantity]]*Table9[[#This Row],[unitPrice]]*(1-Table9[[#This Row],[discount]]/100)</f>
        <v>1700</v>
      </c>
      <c r="J2082" t="str">
        <f>_xlfn.XLOOKUP(_xlfn.XLOOKUP(A2082,orders[orderID],orders[customerID],,0),customers__2[customerID],customers__2[companyName],,0)</f>
        <v>Eastern Connection</v>
      </c>
      <c r="K2082" t="str">
        <f>_xlfn.XLOOKUP(Table9[[#This Row],[Company Name]],customers__2[companyName],customers__2[country],,0)</f>
        <v>UK</v>
      </c>
      <c r="L2082">
        <f>MONTH(Table9[[#This Row],[OrderDate ]])</f>
        <v>4</v>
      </c>
      <c r="M2082" t="str">
        <f>TEXT(Table9[[#This Row],[OrderDate ]],"mmm")</f>
        <v>Apr</v>
      </c>
      <c r="N2082">
        <f>YEAR(Table9[[#This Row],[OrderDate ]])</f>
        <v>2015</v>
      </c>
    </row>
    <row r="2083" spans="1:14" x14ac:dyDescent="0.3">
      <c r="A2083">
        <v>11057</v>
      </c>
      <c r="B2083" s="2">
        <f>_xlfn.XLOOKUP(Table9[[#This Row],[orderID]],orders[orderID],orders[orderDate],,0)</f>
        <v>42123</v>
      </c>
      <c r="C2083">
        <f>_xlfn.XLOOKUP(A2083,order_details[orderID],order_details[productID],,0)</f>
        <v>70</v>
      </c>
      <c r="D2083" t="str">
        <f>_xlfn.XLOOKUP(C2083,products[productID],products[productName],,0)</f>
        <v>Outback Lager</v>
      </c>
      <c r="E2083" t="str">
        <f>_xlfn.XLOOKUP(_xlfn.XLOOKUP(Table9[[#This Row],[ProductName ]],products[productName],products[categoryID],,0),categories[categoryID],categories[categoryName],,0)</f>
        <v>Beverages</v>
      </c>
      <c r="F2083">
        <v>3</v>
      </c>
      <c r="G2083">
        <v>15</v>
      </c>
      <c r="H2083">
        <v>0</v>
      </c>
      <c r="I2083">
        <f>Table9[[#This Row],[quantity]]*Table9[[#This Row],[unitPrice]]*(1-Table9[[#This Row],[discount]]/100)</f>
        <v>45</v>
      </c>
      <c r="J2083" t="str">
        <f>_xlfn.XLOOKUP(_xlfn.XLOOKUP(A2083,orders[orderID],orders[customerID],,0),customers__2[customerID],customers__2[companyName],,0)</f>
        <v>North/South</v>
      </c>
      <c r="K2083" t="str">
        <f>_xlfn.XLOOKUP(Table9[[#This Row],[Company Name]],customers__2[companyName],customers__2[country],,0)</f>
        <v>UK</v>
      </c>
      <c r="L2083">
        <f>MONTH(Table9[[#This Row],[OrderDate ]])</f>
        <v>4</v>
      </c>
      <c r="M2083" t="str">
        <f>TEXT(Table9[[#This Row],[OrderDate ]],"mmm")</f>
        <v>Apr</v>
      </c>
      <c r="N2083">
        <f>YEAR(Table9[[#This Row],[OrderDate ]])</f>
        <v>2015</v>
      </c>
    </row>
    <row r="2084" spans="1:14" x14ac:dyDescent="0.3">
      <c r="A2084">
        <v>11058</v>
      </c>
      <c r="B2084" s="2">
        <f>_xlfn.XLOOKUP(Table9[[#This Row],[orderID]],orders[orderID],orders[orderDate],,0)</f>
        <v>42123</v>
      </c>
      <c r="C2084">
        <f>_xlfn.XLOOKUP(A2084,order_details[orderID],order_details[productID],,0)</f>
        <v>21</v>
      </c>
      <c r="D2084" t="str">
        <f>_xlfn.XLOOKUP(C2084,products[productID],products[productName],,0)</f>
        <v>Sir Rodney's Scones</v>
      </c>
      <c r="E2084" t="str">
        <f>_xlfn.XLOOKUP(_xlfn.XLOOKUP(Table9[[#This Row],[ProductName ]],products[productName],products[categoryID],,0),categories[categoryID],categories[categoryName],,0)</f>
        <v>Confections</v>
      </c>
      <c r="F2084">
        <v>3</v>
      </c>
      <c r="G2084">
        <v>10</v>
      </c>
      <c r="H2084">
        <v>0</v>
      </c>
      <c r="I2084">
        <f>Table9[[#This Row],[quantity]]*Table9[[#This Row],[unitPrice]]*(1-Table9[[#This Row],[discount]]/100)</f>
        <v>30</v>
      </c>
      <c r="J2084" t="str">
        <f>_xlfn.XLOOKUP(_xlfn.XLOOKUP(A2084,orders[orderID],orders[customerID],,0),customers__2[customerID],customers__2[companyName],,0)</f>
        <v>Blauer See Delikatessen</v>
      </c>
      <c r="K2084" t="str">
        <f>_xlfn.XLOOKUP(Table9[[#This Row],[Company Name]],customers__2[companyName],customers__2[country],,0)</f>
        <v>Germany</v>
      </c>
      <c r="L2084">
        <f>MONTH(Table9[[#This Row],[OrderDate ]])</f>
        <v>4</v>
      </c>
      <c r="M2084" t="str">
        <f>TEXT(Table9[[#This Row],[OrderDate ]],"mmm")</f>
        <v>Apr</v>
      </c>
      <c r="N2084">
        <f>YEAR(Table9[[#This Row],[OrderDate ]])</f>
        <v>2015</v>
      </c>
    </row>
    <row r="2085" spans="1:14" x14ac:dyDescent="0.3">
      <c r="A2085">
        <v>11058</v>
      </c>
      <c r="B2085" s="2">
        <f>_xlfn.XLOOKUP(Table9[[#This Row],[orderID]],orders[orderID],orders[orderDate],,0)</f>
        <v>42123</v>
      </c>
      <c r="C2085">
        <f>_xlfn.XLOOKUP(A2085,order_details[orderID],order_details[productID],,0)</f>
        <v>21</v>
      </c>
      <c r="D2085" t="str">
        <f>_xlfn.XLOOKUP(C2085,products[productID],products[productName],,0)</f>
        <v>Sir Rodney's Scones</v>
      </c>
      <c r="E2085" t="str">
        <f>_xlfn.XLOOKUP(_xlfn.XLOOKUP(Table9[[#This Row],[ProductName ]],products[productName],products[categoryID],,0),categories[categoryID],categories[categoryName],,0)</f>
        <v>Confections</v>
      </c>
      <c r="F2085">
        <v>21</v>
      </c>
      <c r="G2085">
        <v>34</v>
      </c>
      <c r="H2085">
        <v>0</v>
      </c>
      <c r="I2085">
        <f>Table9[[#This Row],[quantity]]*Table9[[#This Row],[unitPrice]]*(1-Table9[[#This Row],[discount]]/100)</f>
        <v>714</v>
      </c>
      <c r="J2085" t="str">
        <f>_xlfn.XLOOKUP(_xlfn.XLOOKUP(A2085,orders[orderID],orders[customerID],,0),customers__2[customerID],customers__2[companyName],,0)</f>
        <v>Blauer See Delikatessen</v>
      </c>
      <c r="K2085" t="str">
        <f>_xlfn.XLOOKUP(Table9[[#This Row],[Company Name]],customers__2[companyName],customers__2[country],,0)</f>
        <v>Germany</v>
      </c>
      <c r="L2085">
        <f>MONTH(Table9[[#This Row],[OrderDate ]])</f>
        <v>4</v>
      </c>
      <c r="M2085" t="str">
        <f>TEXT(Table9[[#This Row],[OrderDate ]],"mmm")</f>
        <v>Apr</v>
      </c>
      <c r="N2085">
        <f>YEAR(Table9[[#This Row],[OrderDate ]])</f>
        <v>2015</v>
      </c>
    </row>
    <row r="2086" spans="1:14" x14ac:dyDescent="0.3">
      <c r="A2086">
        <v>11058</v>
      </c>
      <c r="B2086" s="2">
        <f>_xlfn.XLOOKUP(Table9[[#This Row],[orderID]],orders[orderID],orders[orderDate],,0)</f>
        <v>42123</v>
      </c>
      <c r="C2086">
        <f>_xlfn.XLOOKUP(A2086,order_details[orderID],order_details[productID],,0)</f>
        <v>21</v>
      </c>
      <c r="D2086" t="str">
        <f>_xlfn.XLOOKUP(C2086,products[productID],products[productName],,0)</f>
        <v>Sir Rodney's Scones</v>
      </c>
      <c r="E2086" t="str">
        <f>_xlfn.XLOOKUP(_xlfn.XLOOKUP(Table9[[#This Row],[ProductName ]],products[productName],products[categoryID],,0),categories[categoryID],categories[categoryName],,0)</f>
        <v>Confections</v>
      </c>
      <c r="F2086">
        <v>4</v>
      </c>
      <c r="G2086">
        <v>285</v>
      </c>
      <c r="H2086">
        <v>0</v>
      </c>
      <c r="I2086">
        <f>Table9[[#This Row],[quantity]]*Table9[[#This Row],[unitPrice]]*(1-Table9[[#This Row],[discount]]/100)</f>
        <v>1140</v>
      </c>
      <c r="J2086" t="str">
        <f>_xlfn.XLOOKUP(_xlfn.XLOOKUP(A2086,orders[orderID],orders[customerID],,0),customers__2[customerID],customers__2[companyName],,0)</f>
        <v>Blauer See Delikatessen</v>
      </c>
      <c r="K2086" t="str">
        <f>_xlfn.XLOOKUP(Table9[[#This Row],[Company Name]],customers__2[companyName],customers__2[country],,0)</f>
        <v>Germany</v>
      </c>
      <c r="L2086">
        <f>MONTH(Table9[[#This Row],[OrderDate ]])</f>
        <v>4</v>
      </c>
      <c r="M2086" t="str">
        <f>TEXT(Table9[[#This Row],[OrderDate ]],"mmm")</f>
        <v>Apr</v>
      </c>
      <c r="N2086">
        <f>YEAR(Table9[[#This Row],[OrderDate ]])</f>
        <v>2015</v>
      </c>
    </row>
    <row r="2087" spans="1:14" x14ac:dyDescent="0.3">
      <c r="A2087">
        <v>11059</v>
      </c>
      <c r="B2087" s="2">
        <f>_xlfn.XLOOKUP(Table9[[#This Row],[orderID]],orders[orderID],orders[orderDate],,0)</f>
        <v>42123</v>
      </c>
      <c r="C2087">
        <f>_xlfn.XLOOKUP(A2087,order_details[orderID],order_details[productID],,0)</f>
        <v>13</v>
      </c>
      <c r="D2087" t="str">
        <f>_xlfn.XLOOKUP(C2087,products[productID],products[productName],,0)</f>
        <v>Konbu</v>
      </c>
      <c r="E2087" t="str">
        <f>_xlfn.XLOOKUP(_xlfn.XLOOKUP(Table9[[#This Row],[ProductName ]],products[productName],products[categoryID],,0),categories[categoryID],categories[categoryName],,0)</f>
        <v>Seafood</v>
      </c>
      <c r="F2087">
        <v>30</v>
      </c>
      <c r="G2087">
        <v>6</v>
      </c>
      <c r="H2087">
        <v>0</v>
      </c>
      <c r="I2087">
        <f>Table9[[#This Row],[quantity]]*Table9[[#This Row],[unitPrice]]*(1-Table9[[#This Row],[discount]]/100)</f>
        <v>180</v>
      </c>
      <c r="J2087" t="str">
        <f>_xlfn.XLOOKUP(_xlfn.XLOOKUP(A2087,orders[orderID],orders[customerID],,0),customers__2[customerID],customers__2[companyName],,0)</f>
        <v>Ricardo Adocicados</v>
      </c>
      <c r="K2087" t="str">
        <f>_xlfn.XLOOKUP(Table9[[#This Row],[Company Name]],customers__2[companyName],customers__2[country],,0)</f>
        <v>Brazil</v>
      </c>
      <c r="L2087">
        <f>MONTH(Table9[[#This Row],[OrderDate ]])</f>
        <v>4</v>
      </c>
      <c r="M2087" t="str">
        <f>TEXT(Table9[[#This Row],[OrderDate ]],"mmm")</f>
        <v>Apr</v>
      </c>
      <c r="N2087">
        <f>YEAR(Table9[[#This Row],[OrderDate ]])</f>
        <v>2015</v>
      </c>
    </row>
    <row r="2088" spans="1:14" x14ac:dyDescent="0.3">
      <c r="A2088">
        <v>11059</v>
      </c>
      <c r="B2088" s="2">
        <f>_xlfn.XLOOKUP(Table9[[#This Row],[orderID]],orders[orderID],orders[orderDate],,0)</f>
        <v>42123</v>
      </c>
      <c r="C2088">
        <f>_xlfn.XLOOKUP(A2088,order_details[orderID],order_details[productID],,0)</f>
        <v>13</v>
      </c>
      <c r="D2088" t="str">
        <f>_xlfn.XLOOKUP(C2088,products[productID],products[productName],,0)</f>
        <v>Konbu</v>
      </c>
      <c r="E2088" t="str">
        <f>_xlfn.XLOOKUP(_xlfn.XLOOKUP(Table9[[#This Row],[ProductName ]],products[productName],products[categoryID],,0),categories[categoryID],categories[categoryName],,0)</f>
        <v>Seafood</v>
      </c>
      <c r="F2088">
        <v>12</v>
      </c>
      <c r="G2088">
        <v>39</v>
      </c>
      <c r="H2088">
        <v>0</v>
      </c>
      <c r="I2088">
        <f>Table9[[#This Row],[quantity]]*Table9[[#This Row],[unitPrice]]*(1-Table9[[#This Row],[discount]]/100)</f>
        <v>468</v>
      </c>
      <c r="J2088" t="str">
        <f>_xlfn.XLOOKUP(_xlfn.XLOOKUP(A2088,orders[orderID],orders[customerID],,0),customers__2[customerID],customers__2[companyName],,0)</f>
        <v>Ricardo Adocicados</v>
      </c>
      <c r="K2088" t="str">
        <f>_xlfn.XLOOKUP(Table9[[#This Row],[Company Name]],customers__2[companyName],customers__2[country],,0)</f>
        <v>Brazil</v>
      </c>
      <c r="L2088">
        <f>MONTH(Table9[[#This Row],[OrderDate ]])</f>
        <v>4</v>
      </c>
      <c r="M2088" t="str">
        <f>TEXT(Table9[[#This Row],[OrderDate ]],"mmm")</f>
        <v>Apr</v>
      </c>
      <c r="N2088">
        <f>YEAR(Table9[[#This Row],[OrderDate ]])</f>
        <v>2015</v>
      </c>
    </row>
    <row r="2089" spans="1:14" x14ac:dyDescent="0.3">
      <c r="A2089">
        <v>11059</v>
      </c>
      <c r="B2089" s="2">
        <f>_xlfn.XLOOKUP(Table9[[#This Row],[orderID]],orders[orderID],orders[orderDate],,0)</f>
        <v>42123</v>
      </c>
      <c r="C2089">
        <f>_xlfn.XLOOKUP(A2089,order_details[orderID],order_details[productID],,0)</f>
        <v>13</v>
      </c>
      <c r="D2089" t="str">
        <f>_xlfn.XLOOKUP(C2089,products[productID],products[productName],,0)</f>
        <v>Konbu</v>
      </c>
      <c r="E2089" t="str">
        <f>_xlfn.XLOOKUP(_xlfn.XLOOKUP(Table9[[#This Row],[ProductName ]],products[productName],products[categoryID],,0),categories[categoryID],categories[categoryName],,0)</f>
        <v>Seafood</v>
      </c>
      <c r="F2089">
        <v>35</v>
      </c>
      <c r="G2089">
        <v>34</v>
      </c>
      <c r="H2089">
        <v>0</v>
      </c>
      <c r="I2089">
        <f>Table9[[#This Row],[quantity]]*Table9[[#This Row],[unitPrice]]*(1-Table9[[#This Row],[discount]]/100)</f>
        <v>1190</v>
      </c>
      <c r="J2089" t="str">
        <f>_xlfn.XLOOKUP(_xlfn.XLOOKUP(A2089,orders[orderID],orders[customerID],,0),customers__2[customerID],customers__2[companyName],,0)</f>
        <v>Ricardo Adocicados</v>
      </c>
      <c r="K2089" t="str">
        <f>_xlfn.XLOOKUP(Table9[[#This Row],[Company Name]],customers__2[companyName],customers__2[country],,0)</f>
        <v>Brazil</v>
      </c>
      <c r="L2089">
        <f>MONTH(Table9[[#This Row],[OrderDate ]])</f>
        <v>4</v>
      </c>
      <c r="M2089" t="str">
        <f>TEXT(Table9[[#This Row],[OrderDate ]],"mmm")</f>
        <v>Apr</v>
      </c>
      <c r="N2089">
        <f>YEAR(Table9[[#This Row],[OrderDate ]])</f>
        <v>2015</v>
      </c>
    </row>
    <row r="2090" spans="1:14" x14ac:dyDescent="0.3">
      <c r="A2090">
        <v>11060</v>
      </c>
      <c r="B2090" s="2">
        <f>_xlfn.XLOOKUP(Table9[[#This Row],[orderID]],orders[orderID],orders[orderDate],,0)</f>
        <v>42124</v>
      </c>
      <c r="C2090">
        <f>_xlfn.XLOOKUP(A2090,order_details[orderID],order_details[productID],,0)</f>
        <v>60</v>
      </c>
      <c r="D2090" t="str">
        <f>_xlfn.XLOOKUP(C2090,products[productID],products[productName],,0)</f>
        <v>Camembert Pierrot</v>
      </c>
      <c r="E2090" t="str">
        <f>_xlfn.XLOOKUP(_xlfn.XLOOKUP(Table9[[#This Row],[ProductName ]],products[productName],products[categoryID],,0),categories[categoryID],categories[categoryName],,0)</f>
        <v>Dairy Products</v>
      </c>
      <c r="F2090">
        <v>4</v>
      </c>
      <c r="G2090">
        <v>34</v>
      </c>
      <c r="H2090">
        <v>0</v>
      </c>
      <c r="I2090">
        <f>Table9[[#This Row],[quantity]]*Table9[[#This Row],[unitPrice]]*(1-Table9[[#This Row],[discount]]/100)</f>
        <v>136</v>
      </c>
      <c r="J2090" t="str">
        <f>_xlfn.XLOOKUP(_xlfn.XLOOKUP(A2090,orders[orderID],orders[customerID],,0),customers__2[customerID],customers__2[companyName],,0)</f>
        <v>Franchi S.p.A.</v>
      </c>
      <c r="K2090" t="str">
        <f>_xlfn.XLOOKUP(Table9[[#This Row],[Company Name]],customers__2[companyName],customers__2[country],,0)</f>
        <v>Italy</v>
      </c>
      <c r="L2090">
        <f>MONTH(Table9[[#This Row],[OrderDate ]])</f>
        <v>4</v>
      </c>
      <c r="M2090" t="str">
        <f>TEXT(Table9[[#This Row],[OrderDate ]],"mmm")</f>
        <v>Apr</v>
      </c>
      <c r="N2090">
        <f>YEAR(Table9[[#This Row],[OrderDate ]])</f>
        <v>2015</v>
      </c>
    </row>
    <row r="2091" spans="1:14" x14ac:dyDescent="0.3">
      <c r="A2091">
        <v>11060</v>
      </c>
      <c r="B2091" s="2">
        <f>_xlfn.XLOOKUP(Table9[[#This Row],[orderID]],orders[orderID],orders[orderDate],,0)</f>
        <v>42124</v>
      </c>
      <c r="C2091">
        <f>_xlfn.XLOOKUP(A2091,order_details[orderID],order_details[productID],,0)</f>
        <v>60</v>
      </c>
      <c r="D2091" t="str">
        <f>_xlfn.XLOOKUP(C2091,products[productID],products[productName],,0)</f>
        <v>Camembert Pierrot</v>
      </c>
      <c r="E2091" t="str">
        <f>_xlfn.XLOOKUP(_xlfn.XLOOKUP(Table9[[#This Row],[ProductName ]],products[productName],products[categoryID],,0),categories[categoryID],categories[categoryName],,0)</f>
        <v>Dairy Products</v>
      </c>
      <c r="F2091">
        <v>10</v>
      </c>
      <c r="G2091">
        <v>13</v>
      </c>
      <c r="H2091">
        <v>0</v>
      </c>
      <c r="I2091">
        <f>Table9[[#This Row],[quantity]]*Table9[[#This Row],[unitPrice]]*(1-Table9[[#This Row],[discount]]/100)</f>
        <v>130</v>
      </c>
      <c r="J2091" t="str">
        <f>_xlfn.XLOOKUP(_xlfn.XLOOKUP(A2091,orders[orderID],orders[customerID],,0),customers__2[customerID],customers__2[companyName],,0)</f>
        <v>Franchi S.p.A.</v>
      </c>
      <c r="K2091" t="str">
        <f>_xlfn.XLOOKUP(Table9[[#This Row],[Company Name]],customers__2[companyName],customers__2[country],,0)</f>
        <v>Italy</v>
      </c>
      <c r="L2091">
        <f>MONTH(Table9[[#This Row],[OrderDate ]])</f>
        <v>4</v>
      </c>
      <c r="M2091" t="str">
        <f>TEXT(Table9[[#This Row],[OrderDate ]],"mmm")</f>
        <v>Apr</v>
      </c>
      <c r="N2091">
        <f>YEAR(Table9[[#This Row],[OrderDate ]])</f>
        <v>2015</v>
      </c>
    </row>
    <row r="2092" spans="1:14" x14ac:dyDescent="0.3">
      <c r="A2092">
        <v>11061</v>
      </c>
      <c r="B2092" s="2">
        <f>_xlfn.XLOOKUP(Table9[[#This Row],[orderID]],orders[orderID],orders[orderDate],,0)</f>
        <v>42124</v>
      </c>
      <c r="C2092">
        <f>_xlfn.XLOOKUP(A2092,order_details[orderID],order_details[productID],,0)</f>
        <v>60</v>
      </c>
      <c r="D2092" t="str">
        <f>_xlfn.XLOOKUP(C2092,products[productID],products[productName],,0)</f>
        <v>Camembert Pierrot</v>
      </c>
      <c r="E2092" t="str">
        <f>_xlfn.XLOOKUP(_xlfn.XLOOKUP(Table9[[#This Row],[ProductName ]],products[productName],products[categoryID],,0),categories[categoryID],categories[categoryName],,0)</f>
        <v>Dairy Products</v>
      </c>
      <c r="F2092">
        <v>15</v>
      </c>
      <c r="G2092">
        <v>34</v>
      </c>
      <c r="H2092">
        <v>0</v>
      </c>
      <c r="I2092">
        <f>Table9[[#This Row],[quantity]]*Table9[[#This Row],[unitPrice]]*(1-Table9[[#This Row],[discount]]/100)</f>
        <v>510</v>
      </c>
      <c r="J2092" t="str">
        <f>_xlfn.XLOOKUP(_xlfn.XLOOKUP(A2092,orders[orderID],orders[customerID],,0),customers__2[customerID],customers__2[companyName],,0)</f>
        <v>Great Lakes Food Market</v>
      </c>
      <c r="K2092" t="str">
        <f>_xlfn.XLOOKUP(Table9[[#This Row],[Company Name]],customers__2[companyName],customers__2[country],,0)</f>
        <v>USA</v>
      </c>
      <c r="L2092">
        <f>MONTH(Table9[[#This Row],[OrderDate ]])</f>
        <v>4</v>
      </c>
      <c r="M2092" t="str">
        <f>TEXT(Table9[[#This Row],[OrderDate ]],"mmm")</f>
        <v>Apr</v>
      </c>
      <c r="N2092">
        <f>YEAR(Table9[[#This Row],[OrderDate ]])</f>
        <v>2015</v>
      </c>
    </row>
    <row r="2093" spans="1:14" x14ac:dyDescent="0.3">
      <c r="A2093">
        <v>11062</v>
      </c>
      <c r="B2093" s="2">
        <f>_xlfn.XLOOKUP(Table9[[#This Row],[orderID]],orders[orderID],orders[orderDate],,0)</f>
        <v>42124</v>
      </c>
      <c r="C2093">
        <f>_xlfn.XLOOKUP(A2093,order_details[orderID],order_details[productID],,0)</f>
        <v>53</v>
      </c>
      <c r="D2093" t="str">
        <f>_xlfn.XLOOKUP(C2093,products[productID],products[productName],,0)</f>
        <v>Perth Pasties</v>
      </c>
      <c r="E2093" t="str">
        <f>_xlfn.XLOOKUP(_xlfn.XLOOKUP(Table9[[#This Row],[ProductName ]],products[productName],products[categoryID],,0),categories[categoryID],categories[categoryName],,0)</f>
        <v>Meat &amp; Poultry</v>
      </c>
      <c r="F2093">
        <v>10</v>
      </c>
      <c r="G2093">
        <v>328</v>
      </c>
      <c r="H2093">
        <v>2</v>
      </c>
      <c r="I2093">
        <f>Table9[[#This Row],[quantity]]*Table9[[#This Row],[unitPrice]]*(1-Table9[[#This Row],[discount]]/100)</f>
        <v>3214.4</v>
      </c>
      <c r="J2093" t="str">
        <f>_xlfn.XLOOKUP(_xlfn.XLOOKUP(A2093,orders[orderID],orders[customerID],,0),customers__2[customerID],customers__2[companyName],,0)</f>
        <v>Reggiani Caseifici</v>
      </c>
      <c r="K2093" t="str">
        <f>_xlfn.XLOOKUP(Table9[[#This Row],[Company Name]],customers__2[companyName],customers__2[country],,0)</f>
        <v>Italy</v>
      </c>
      <c r="L2093">
        <f>MONTH(Table9[[#This Row],[OrderDate ]])</f>
        <v>4</v>
      </c>
      <c r="M2093" t="str">
        <f>TEXT(Table9[[#This Row],[OrderDate ]],"mmm")</f>
        <v>Apr</v>
      </c>
      <c r="N2093">
        <f>YEAR(Table9[[#This Row],[OrderDate ]])</f>
        <v>2015</v>
      </c>
    </row>
    <row r="2094" spans="1:14" x14ac:dyDescent="0.3">
      <c r="A2094">
        <v>11062</v>
      </c>
      <c r="B2094" s="2">
        <f>_xlfn.XLOOKUP(Table9[[#This Row],[orderID]],orders[orderID],orders[orderDate],,0)</f>
        <v>42124</v>
      </c>
      <c r="C2094">
        <f>_xlfn.XLOOKUP(A2094,order_details[orderID],order_details[productID],,0)</f>
        <v>53</v>
      </c>
      <c r="D2094" t="str">
        <f>_xlfn.XLOOKUP(C2094,products[productID],products[productName],,0)</f>
        <v>Perth Pasties</v>
      </c>
      <c r="E2094" t="str">
        <f>_xlfn.XLOOKUP(_xlfn.XLOOKUP(Table9[[#This Row],[ProductName ]],products[productName],products[categoryID],,0),categories[categoryID],categories[categoryName],,0)</f>
        <v>Meat &amp; Poultry</v>
      </c>
      <c r="F2094">
        <v>12</v>
      </c>
      <c r="G2094">
        <v>15</v>
      </c>
      <c r="H2094">
        <v>2</v>
      </c>
      <c r="I2094">
        <f>Table9[[#This Row],[quantity]]*Table9[[#This Row],[unitPrice]]*(1-Table9[[#This Row],[discount]]/100)</f>
        <v>176.4</v>
      </c>
      <c r="J2094" t="str">
        <f>_xlfn.XLOOKUP(_xlfn.XLOOKUP(A2094,orders[orderID],orders[customerID],,0),customers__2[customerID],customers__2[companyName],,0)</f>
        <v>Reggiani Caseifici</v>
      </c>
      <c r="K2094" t="str">
        <f>_xlfn.XLOOKUP(Table9[[#This Row],[Company Name]],customers__2[companyName],customers__2[country],,0)</f>
        <v>Italy</v>
      </c>
      <c r="L2094">
        <f>MONTH(Table9[[#This Row],[OrderDate ]])</f>
        <v>4</v>
      </c>
      <c r="M2094" t="str">
        <f>TEXT(Table9[[#This Row],[OrderDate ]],"mmm")</f>
        <v>Apr</v>
      </c>
      <c r="N2094">
        <f>YEAR(Table9[[#This Row],[OrderDate ]])</f>
        <v>2015</v>
      </c>
    </row>
    <row r="2095" spans="1:14" x14ac:dyDescent="0.3">
      <c r="A2095">
        <v>11063</v>
      </c>
      <c r="B2095" s="2">
        <f>_xlfn.XLOOKUP(Table9[[#This Row],[orderID]],orders[orderID],orders[orderDate],,0)</f>
        <v>42124</v>
      </c>
      <c r="C2095">
        <f>_xlfn.XLOOKUP(A2095,order_details[orderID],order_details[productID],,0)</f>
        <v>34</v>
      </c>
      <c r="D2095" t="str">
        <f>_xlfn.XLOOKUP(C2095,products[productID],products[productName],,0)</f>
        <v>Sasquatch Ale</v>
      </c>
      <c r="E2095" t="str">
        <f>_xlfn.XLOOKUP(_xlfn.XLOOKUP(Table9[[#This Row],[ProductName ]],products[productName],products[categoryID],,0),categories[categoryID],categories[categoryName],,0)</f>
        <v>Beverages</v>
      </c>
      <c r="F2095">
        <v>30</v>
      </c>
      <c r="G2095">
        <v>14</v>
      </c>
      <c r="H2095">
        <v>0</v>
      </c>
      <c r="I2095">
        <f>Table9[[#This Row],[quantity]]*Table9[[#This Row],[unitPrice]]*(1-Table9[[#This Row],[discount]]/100)</f>
        <v>420</v>
      </c>
      <c r="J2095" t="str">
        <f>_xlfn.XLOOKUP(_xlfn.XLOOKUP(A2095,orders[orderID],orders[customerID],,0),customers__2[customerID],customers__2[companyName],,0)</f>
        <v>Hungry Owl All-Night Grocers</v>
      </c>
      <c r="K2095" t="str">
        <f>_xlfn.XLOOKUP(Table9[[#This Row],[Company Name]],customers__2[companyName],customers__2[country],,0)</f>
        <v>Ireland</v>
      </c>
      <c r="L2095">
        <f>MONTH(Table9[[#This Row],[OrderDate ]])</f>
        <v>4</v>
      </c>
      <c r="M2095" t="str">
        <f>TEXT(Table9[[#This Row],[OrderDate ]],"mmm")</f>
        <v>Apr</v>
      </c>
      <c r="N2095">
        <f>YEAR(Table9[[#This Row],[OrderDate ]])</f>
        <v>2015</v>
      </c>
    </row>
    <row r="2096" spans="1:14" x14ac:dyDescent="0.3">
      <c r="A2096">
        <v>11063</v>
      </c>
      <c r="B2096" s="2">
        <f>_xlfn.XLOOKUP(Table9[[#This Row],[orderID]],orders[orderID],orders[orderDate],,0)</f>
        <v>42124</v>
      </c>
      <c r="C2096">
        <f>_xlfn.XLOOKUP(A2096,order_details[orderID],order_details[productID],,0)</f>
        <v>34</v>
      </c>
      <c r="D2096" t="str">
        <f>_xlfn.XLOOKUP(C2096,products[productID],products[productName],,0)</f>
        <v>Sasquatch Ale</v>
      </c>
      <c r="E2096" t="str">
        <f>_xlfn.XLOOKUP(_xlfn.XLOOKUP(Table9[[#This Row],[ProductName ]],products[productName],products[categoryID],,0),categories[categoryID],categories[categoryName],,0)</f>
        <v>Beverages</v>
      </c>
      <c r="F2096">
        <v>40</v>
      </c>
      <c r="G2096">
        <v>184</v>
      </c>
      <c r="H2096">
        <v>1</v>
      </c>
      <c r="I2096">
        <f>Table9[[#This Row],[quantity]]*Table9[[#This Row],[unitPrice]]*(1-Table9[[#This Row],[discount]]/100)</f>
        <v>7286.4</v>
      </c>
      <c r="J2096" t="str">
        <f>_xlfn.XLOOKUP(_xlfn.XLOOKUP(A2096,orders[orderID],orders[customerID],,0),customers__2[customerID],customers__2[companyName],,0)</f>
        <v>Hungry Owl All-Night Grocers</v>
      </c>
      <c r="K2096" t="str">
        <f>_xlfn.XLOOKUP(Table9[[#This Row],[Company Name]],customers__2[companyName],customers__2[country],,0)</f>
        <v>Ireland</v>
      </c>
      <c r="L2096">
        <f>MONTH(Table9[[#This Row],[OrderDate ]])</f>
        <v>4</v>
      </c>
      <c r="M2096" t="str">
        <f>TEXT(Table9[[#This Row],[OrderDate ]],"mmm")</f>
        <v>Apr</v>
      </c>
      <c r="N2096">
        <f>YEAR(Table9[[#This Row],[OrderDate ]])</f>
        <v>2015</v>
      </c>
    </row>
    <row r="2097" spans="1:14" x14ac:dyDescent="0.3">
      <c r="A2097">
        <v>11063</v>
      </c>
      <c r="B2097" s="2">
        <f>_xlfn.XLOOKUP(Table9[[#This Row],[orderID]],orders[orderID],orders[orderDate],,0)</f>
        <v>42124</v>
      </c>
      <c r="C2097">
        <f>_xlfn.XLOOKUP(A2097,order_details[orderID],order_details[productID],,0)</f>
        <v>34</v>
      </c>
      <c r="D2097" t="str">
        <f>_xlfn.XLOOKUP(C2097,products[productID],products[productName],,0)</f>
        <v>Sasquatch Ale</v>
      </c>
      <c r="E2097" t="str">
        <f>_xlfn.XLOOKUP(_xlfn.XLOOKUP(Table9[[#This Row],[ProductName ]],products[productName],products[categoryID],,0),categories[categoryID],categories[categoryName],,0)</f>
        <v>Beverages</v>
      </c>
      <c r="F2097">
        <v>30</v>
      </c>
      <c r="G2097">
        <v>965</v>
      </c>
      <c r="H2097">
        <v>1</v>
      </c>
      <c r="I2097">
        <f>Table9[[#This Row],[quantity]]*Table9[[#This Row],[unitPrice]]*(1-Table9[[#This Row],[discount]]/100)</f>
        <v>28660.5</v>
      </c>
      <c r="J2097" t="str">
        <f>_xlfn.XLOOKUP(_xlfn.XLOOKUP(A2097,orders[orderID],orders[customerID],,0),customers__2[customerID],customers__2[companyName],,0)</f>
        <v>Hungry Owl All-Night Grocers</v>
      </c>
      <c r="K2097" t="str">
        <f>_xlfn.XLOOKUP(Table9[[#This Row],[Company Name]],customers__2[companyName],customers__2[country],,0)</f>
        <v>Ireland</v>
      </c>
      <c r="L2097">
        <f>MONTH(Table9[[#This Row],[OrderDate ]])</f>
        <v>4</v>
      </c>
      <c r="M2097" t="str">
        <f>TEXT(Table9[[#This Row],[OrderDate ]],"mmm")</f>
        <v>Apr</v>
      </c>
      <c r="N2097">
        <f>YEAR(Table9[[#This Row],[OrderDate ]])</f>
        <v>2015</v>
      </c>
    </row>
    <row r="2098" spans="1:14" x14ac:dyDescent="0.3">
      <c r="A2098">
        <v>11064</v>
      </c>
      <c r="B2098" s="2">
        <f>_xlfn.XLOOKUP(Table9[[#This Row],[orderID]],orders[orderID],orders[orderDate],,0)</f>
        <v>42125</v>
      </c>
      <c r="C2098">
        <f>_xlfn.XLOOKUP(A2098,order_details[orderID],order_details[productID],,0)</f>
        <v>17</v>
      </c>
      <c r="D2098" t="str">
        <f>_xlfn.XLOOKUP(C2098,products[productID],products[productName],,0)</f>
        <v>Alice Mutton</v>
      </c>
      <c r="E2098" t="str">
        <f>_xlfn.XLOOKUP(_xlfn.XLOOKUP(Table9[[#This Row],[ProductName ]],products[productName],products[categoryID],,0),categories[categoryID],categories[categoryName],,0)</f>
        <v>Meat &amp; Poultry</v>
      </c>
      <c r="F2098">
        <v>77</v>
      </c>
      <c r="G2098">
        <v>39</v>
      </c>
      <c r="H2098">
        <v>1</v>
      </c>
      <c r="I2098">
        <f>Table9[[#This Row],[quantity]]*Table9[[#This Row],[unitPrice]]*(1-Table9[[#This Row],[discount]]/100)</f>
        <v>2972.97</v>
      </c>
      <c r="J2098" t="str">
        <f>_xlfn.XLOOKUP(_xlfn.XLOOKUP(A2098,orders[orderID],orders[customerID],,0),customers__2[customerID],customers__2[companyName],,0)</f>
        <v>Save-a-lot Markets</v>
      </c>
      <c r="K2098" t="str">
        <f>_xlfn.XLOOKUP(Table9[[#This Row],[Company Name]],customers__2[companyName],customers__2[country],,0)</f>
        <v>USA</v>
      </c>
      <c r="L2098">
        <f>MONTH(Table9[[#This Row],[OrderDate ]])</f>
        <v>5</v>
      </c>
      <c r="M2098" t="str">
        <f>TEXT(Table9[[#This Row],[OrderDate ]],"mmm")</f>
        <v>May</v>
      </c>
      <c r="N2098">
        <f>YEAR(Table9[[#This Row],[OrderDate ]])</f>
        <v>2015</v>
      </c>
    </row>
    <row r="2099" spans="1:14" x14ac:dyDescent="0.3">
      <c r="A2099">
        <v>11064</v>
      </c>
      <c r="B2099" s="2">
        <f>_xlfn.XLOOKUP(Table9[[#This Row],[orderID]],orders[orderID],orders[orderDate],,0)</f>
        <v>42125</v>
      </c>
      <c r="C2099">
        <f>_xlfn.XLOOKUP(A2099,order_details[orderID],order_details[productID],,0)</f>
        <v>17</v>
      </c>
      <c r="D2099" t="str">
        <f>_xlfn.XLOOKUP(C2099,products[productID],products[productName],,0)</f>
        <v>Alice Mutton</v>
      </c>
      <c r="E2099" t="str">
        <f>_xlfn.XLOOKUP(_xlfn.XLOOKUP(Table9[[#This Row],[ProductName ]],products[productName],products[categoryID],,0),categories[categoryID],categories[categoryName],,0)</f>
        <v>Meat &amp; Poultry</v>
      </c>
      <c r="F2099">
        <v>12</v>
      </c>
      <c r="G2099">
        <v>965</v>
      </c>
      <c r="H2099">
        <v>0</v>
      </c>
      <c r="I2099">
        <f>Table9[[#This Row],[quantity]]*Table9[[#This Row],[unitPrice]]*(1-Table9[[#This Row],[discount]]/100)</f>
        <v>11580</v>
      </c>
      <c r="J2099" t="str">
        <f>_xlfn.XLOOKUP(_xlfn.XLOOKUP(A2099,orders[orderID],orders[customerID],,0),customers__2[customerID],customers__2[companyName],,0)</f>
        <v>Save-a-lot Markets</v>
      </c>
      <c r="K2099" t="str">
        <f>_xlfn.XLOOKUP(Table9[[#This Row],[Company Name]],customers__2[companyName],customers__2[country],,0)</f>
        <v>USA</v>
      </c>
      <c r="L2099">
        <f>MONTH(Table9[[#This Row],[OrderDate ]])</f>
        <v>5</v>
      </c>
      <c r="M2099" t="str">
        <f>TEXT(Table9[[#This Row],[OrderDate ]],"mmm")</f>
        <v>May</v>
      </c>
      <c r="N2099">
        <f>YEAR(Table9[[#This Row],[OrderDate ]])</f>
        <v>2015</v>
      </c>
    </row>
    <row r="2100" spans="1:14" x14ac:dyDescent="0.3">
      <c r="A2100">
        <v>11064</v>
      </c>
      <c r="B2100" s="2">
        <f>_xlfn.XLOOKUP(Table9[[#This Row],[orderID]],orders[orderID],orders[orderDate],,0)</f>
        <v>42125</v>
      </c>
      <c r="C2100">
        <f>_xlfn.XLOOKUP(A2100,order_details[orderID],order_details[productID],,0)</f>
        <v>17</v>
      </c>
      <c r="D2100" t="str">
        <f>_xlfn.XLOOKUP(C2100,products[productID],products[productName],,0)</f>
        <v>Alice Mutton</v>
      </c>
      <c r="E2100" t="str">
        <f>_xlfn.XLOOKUP(_xlfn.XLOOKUP(Table9[[#This Row],[ProductName ]],products[productName],products[categoryID],,0),categories[categoryID],categories[categoryName],,0)</f>
        <v>Meat &amp; Poultry</v>
      </c>
      <c r="F2100">
        <v>25</v>
      </c>
      <c r="G2100">
        <v>328</v>
      </c>
      <c r="H2100">
        <v>1</v>
      </c>
      <c r="I2100">
        <f>Table9[[#This Row],[quantity]]*Table9[[#This Row],[unitPrice]]*(1-Table9[[#This Row],[discount]]/100)</f>
        <v>8118</v>
      </c>
      <c r="J2100" t="str">
        <f>_xlfn.XLOOKUP(_xlfn.XLOOKUP(A2100,orders[orderID],orders[customerID],,0),customers__2[customerID],customers__2[companyName],,0)</f>
        <v>Save-a-lot Markets</v>
      </c>
      <c r="K2100" t="str">
        <f>_xlfn.XLOOKUP(Table9[[#This Row],[Company Name]],customers__2[companyName],customers__2[country],,0)</f>
        <v>USA</v>
      </c>
      <c r="L2100">
        <f>MONTH(Table9[[#This Row],[OrderDate ]])</f>
        <v>5</v>
      </c>
      <c r="M2100" t="str">
        <f>TEXT(Table9[[#This Row],[OrderDate ]],"mmm")</f>
        <v>May</v>
      </c>
      <c r="N2100">
        <f>YEAR(Table9[[#This Row],[OrderDate ]])</f>
        <v>2015</v>
      </c>
    </row>
    <row r="2101" spans="1:14" x14ac:dyDescent="0.3">
      <c r="A2101">
        <v>11064</v>
      </c>
      <c r="B2101" s="2">
        <f>_xlfn.XLOOKUP(Table9[[#This Row],[orderID]],orders[orderID],orders[orderDate],,0)</f>
        <v>42125</v>
      </c>
      <c r="C2101">
        <f>_xlfn.XLOOKUP(A2101,order_details[orderID],order_details[productID],,0)</f>
        <v>17</v>
      </c>
      <c r="D2101" t="str">
        <f>_xlfn.XLOOKUP(C2101,products[productID],products[productName],,0)</f>
        <v>Alice Mutton</v>
      </c>
      <c r="E2101" t="str">
        <f>_xlfn.XLOOKUP(_xlfn.XLOOKUP(Table9[[#This Row],[ProductName ]],products[productName],products[categoryID],,0),categories[categoryID],categories[categoryName],,0)</f>
        <v>Meat &amp; Poultry</v>
      </c>
      <c r="F2101">
        <v>4</v>
      </c>
      <c r="G2101">
        <v>24</v>
      </c>
      <c r="H2101">
        <v>1</v>
      </c>
      <c r="I2101">
        <f>Table9[[#This Row],[quantity]]*Table9[[#This Row],[unitPrice]]*(1-Table9[[#This Row],[discount]]/100)</f>
        <v>95.039999999999992</v>
      </c>
      <c r="J2101" t="str">
        <f>_xlfn.XLOOKUP(_xlfn.XLOOKUP(A2101,orders[orderID],orders[customerID],,0),customers__2[customerID],customers__2[companyName],,0)</f>
        <v>Save-a-lot Markets</v>
      </c>
      <c r="K2101" t="str">
        <f>_xlfn.XLOOKUP(Table9[[#This Row],[Company Name]],customers__2[companyName],customers__2[country],,0)</f>
        <v>USA</v>
      </c>
      <c r="L2101">
        <f>MONTH(Table9[[#This Row],[OrderDate ]])</f>
        <v>5</v>
      </c>
      <c r="M2101" t="str">
        <f>TEXT(Table9[[#This Row],[OrderDate ]],"mmm")</f>
        <v>May</v>
      </c>
      <c r="N2101">
        <f>YEAR(Table9[[#This Row],[OrderDate ]])</f>
        <v>2015</v>
      </c>
    </row>
    <row r="2102" spans="1:14" x14ac:dyDescent="0.3">
      <c r="A2102">
        <v>11064</v>
      </c>
      <c r="B2102" s="2">
        <f>_xlfn.XLOOKUP(Table9[[#This Row],[orderID]],orders[orderID],orders[orderDate],,0)</f>
        <v>42125</v>
      </c>
      <c r="C2102">
        <f>_xlfn.XLOOKUP(A2102,order_details[orderID],order_details[productID],,0)</f>
        <v>17</v>
      </c>
      <c r="D2102" t="str">
        <f>_xlfn.XLOOKUP(C2102,products[productID],products[productName],,0)</f>
        <v>Alice Mutton</v>
      </c>
      <c r="E2102" t="str">
        <f>_xlfn.XLOOKUP(_xlfn.XLOOKUP(Table9[[#This Row],[ProductName ]],products[productName],products[categoryID],,0),categories[categoryID],categories[categoryName],,0)</f>
        <v>Meat &amp; Poultry</v>
      </c>
      <c r="F2102">
        <v>55</v>
      </c>
      <c r="G2102">
        <v>125</v>
      </c>
      <c r="H2102">
        <v>0</v>
      </c>
      <c r="I2102">
        <f>Table9[[#This Row],[quantity]]*Table9[[#This Row],[unitPrice]]*(1-Table9[[#This Row],[discount]]/100)</f>
        <v>6875</v>
      </c>
      <c r="J2102" t="str">
        <f>_xlfn.XLOOKUP(_xlfn.XLOOKUP(A2102,orders[orderID],orders[customerID],,0),customers__2[customerID],customers__2[companyName],,0)</f>
        <v>Save-a-lot Markets</v>
      </c>
      <c r="K2102" t="str">
        <f>_xlfn.XLOOKUP(Table9[[#This Row],[Company Name]],customers__2[companyName],customers__2[country],,0)</f>
        <v>USA</v>
      </c>
      <c r="L2102">
        <f>MONTH(Table9[[#This Row],[OrderDate ]])</f>
        <v>5</v>
      </c>
      <c r="M2102" t="str">
        <f>TEXT(Table9[[#This Row],[OrderDate ]],"mmm")</f>
        <v>May</v>
      </c>
      <c r="N2102">
        <f>YEAR(Table9[[#This Row],[OrderDate ]])</f>
        <v>2015</v>
      </c>
    </row>
    <row r="2103" spans="1:14" x14ac:dyDescent="0.3">
      <c r="A2103">
        <v>11065</v>
      </c>
      <c r="B2103" s="2">
        <f>_xlfn.XLOOKUP(Table9[[#This Row],[orderID]],orders[orderID],orders[orderDate],,0)</f>
        <v>42125</v>
      </c>
      <c r="C2103">
        <f>_xlfn.XLOOKUP(A2103,order_details[orderID],order_details[productID],,0)</f>
        <v>30</v>
      </c>
      <c r="D2103" t="str">
        <f>_xlfn.XLOOKUP(C2103,products[productID],products[productName],,0)</f>
        <v>Nord-Ost Matjeshering</v>
      </c>
      <c r="E2103" t="str">
        <f>_xlfn.XLOOKUP(_xlfn.XLOOKUP(Table9[[#This Row],[ProductName ]],products[productName],products[categoryID],,0),categories[categoryID],categories[categoryName],,0)</f>
        <v>Seafood</v>
      </c>
      <c r="F2103">
        <v>4</v>
      </c>
      <c r="G2103">
        <v>2589</v>
      </c>
      <c r="H2103">
        <v>25</v>
      </c>
      <c r="I2103">
        <f>Table9[[#This Row],[quantity]]*Table9[[#This Row],[unitPrice]]*(1-Table9[[#This Row],[discount]]/100)</f>
        <v>7767</v>
      </c>
      <c r="J2103" t="str">
        <f>_xlfn.XLOOKUP(_xlfn.XLOOKUP(A2103,orders[orderID],orders[customerID],,0),customers__2[customerID],customers__2[companyName],,0)</f>
        <v>LILA-Supermercado</v>
      </c>
      <c r="K2103" t="str">
        <f>_xlfn.XLOOKUP(Table9[[#This Row],[Company Name]],customers__2[companyName],customers__2[country],,0)</f>
        <v>Venezuela</v>
      </c>
      <c r="L2103">
        <f>MONTH(Table9[[#This Row],[OrderDate ]])</f>
        <v>5</v>
      </c>
      <c r="M2103" t="str">
        <f>TEXT(Table9[[#This Row],[OrderDate ]],"mmm")</f>
        <v>May</v>
      </c>
      <c r="N2103">
        <f>YEAR(Table9[[#This Row],[OrderDate ]])</f>
        <v>2015</v>
      </c>
    </row>
    <row r="2104" spans="1:14" x14ac:dyDescent="0.3">
      <c r="A2104">
        <v>11065</v>
      </c>
      <c r="B2104" s="2">
        <f>_xlfn.XLOOKUP(Table9[[#This Row],[orderID]],orders[orderID],orders[orderDate],,0)</f>
        <v>42125</v>
      </c>
      <c r="C2104">
        <f>_xlfn.XLOOKUP(A2104,order_details[orderID],order_details[productID],,0)</f>
        <v>30</v>
      </c>
      <c r="D2104" t="str">
        <f>_xlfn.XLOOKUP(C2104,products[productID],products[productName],,0)</f>
        <v>Nord-Ost Matjeshering</v>
      </c>
      <c r="E2104" t="str">
        <f>_xlfn.XLOOKUP(_xlfn.XLOOKUP(Table9[[#This Row],[ProductName ]],products[productName],products[categoryID],,0),categories[categoryID],categories[categoryName],,0)</f>
        <v>Seafood</v>
      </c>
      <c r="F2104">
        <v>20</v>
      </c>
      <c r="G2104">
        <v>745</v>
      </c>
      <c r="H2104">
        <v>25</v>
      </c>
      <c r="I2104">
        <f>Table9[[#This Row],[quantity]]*Table9[[#This Row],[unitPrice]]*(1-Table9[[#This Row],[discount]]/100)</f>
        <v>11175</v>
      </c>
      <c r="J2104" t="str">
        <f>_xlfn.XLOOKUP(_xlfn.XLOOKUP(A2104,orders[orderID],orders[customerID],,0),customers__2[customerID],customers__2[companyName],,0)</f>
        <v>LILA-Supermercado</v>
      </c>
      <c r="K2104" t="str">
        <f>_xlfn.XLOOKUP(Table9[[#This Row],[Company Name]],customers__2[companyName],customers__2[country],,0)</f>
        <v>Venezuela</v>
      </c>
      <c r="L2104">
        <f>MONTH(Table9[[#This Row],[OrderDate ]])</f>
        <v>5</v>
      </c>
      <c r="M2104" t="str">
        <f>TEXT(Table9[[#This Row],[OrderDate ]],"mmm")</f>
        <v>May</v>
      </c>
      <c r="N2104">
        <f>YEAR(Table9[[#This Row],[OrderDate ]])</f>
        <v>2015</v>
      </c>
    </row>
    <row r="2105" spans="1:14" x14ac:dyDescent="0.3">
      <c r="A2105">
        <v>11066</v>
      </c>
      <c r="B2105" s="2">
        <f>_xlfn.XLOOKUP(Table9[[#This Row],[orderID]],orders[orderID],orders[orderDate],,0)</f>
        <v>42125</v>
      </c>
      <c r="C2105">
        <f>_xlfn.XLOOKUP(A2105,order_details[orderID],order_details[productID],,0)</f>
        <v>16</v>
      </c>
      <c r="D2105" t="str">
        <f>_xlfn.XLOOKUP(C2105,products[productID],products[productName],,0)</f>
        <v>Pavlova</v>
      </c>
      <c r="E2105" t="str">
        <f>_xlfn.XLOOKUP(_xlfn.XLOOKUP(Table9[[#This Row],[ProductName ]],products[productName],products[categoryID],,0),categories[categoryID],categories[categoryName],,0)</f>
        <v>Confections</v>
      </c>
      <c r="F2105">
        <v>3</v>
      </c>
      <c r="G2105">
        <v>1745</v>
      </c>
      <c r="H2105">
        <v>0</v>
      </c>
      <c r="I2105">
        <f>Table9[[#This Row],[quantity]]*Table9[[#This Row],[unitPrice]]*(1-Table9[[#This Row],[discount]]/100)</f>
        <v>5235</v>
      </c>
      <c r="J2105" t="str">
        <f>_xlfn.XLOOKUP(_xlfn.XLOOKUP(A2105,orders[orderID],orders[customerID],,0),customers__2[customerID],customers__2[companyName],,0)</f>
        <v>White Clover Markets</v>
      </c>
      <c r="K2105" t="str">
        <f>_xlfn.XLOOKUP(Table9[[#This Row],[Company Name]],customers__2[companyName],customers__2[country],,0)</f>
        <v>USA</v>
      </c>
      <c r="L2105">
        <f>MONTH(Table9[[#This Row],[OrderDate ]])</f>
        <v>5</v>
      </c>
      <c r="M2105" t="str">
        <f>TEXT(Table9[[#This Row],[OrderDate ]],"mmm")</f>
        <v>May</v>
      </c>
      <c r="N2105">
        <f>YEAR(Table9[[#This Row],[OrderDate ]])</f>
        <v>2015</v>
      </c>
    </row>
    <row r="2106" spans="1:14" x14ac:dyDescent="0.3">
      <c r="A2106">
        <v>11066</v>
      </c>
      <c r="B2106" s="2">
        <f>_xlfn.XLOOKUP(Table9[[#This Row],[orderID]],orders[orderID],orders[orderDate],,0)</f>
        <v>42125</v>
      </c>
      <c r="C2106">
        <f>_xlfn.XLOOKUP(A2106,order_details[orderID],order_details[productID],,0)</f>
        <v>16</v>
      </c>
      <c r="D2106" t="str">
        <f>_xlfn.XLOOKUP(C2106,products[productID],products[productName],,0)</f>
        <v>Pavlova</v>
      </c>
      <c r="E2106" t="str">
        <f>_xlfn.XLOOKUP(_xlfn.XLOOKUP(Table9[[#This Row],[ProductName ]],products[productName],products[categoryID],,0),categories[categoryID],categories[categoryName],,0)</f>
        <v>Confections</v>
      </c>
      <c r="F2106">
        <v>42</v>
      </c>
      <c r="G2106">
        <v>92</v>
      </c>
      <c r="H2106">
        <v>0</v>
      </c>
      <c r="I2106">
        <f>Table9[[#This Row],[quantity]]*Table9[[#This Row],[unitPrice]]*(1-Table9[[#This Row],[discount]]/100)</f>
        <v>3864</v>
      </c>
      <c r="J2106" t="str">
        <f>_xlfn.XLOOKUP(_xlfn.XLOOKUP(A2106,orders[orderID],orders[customerID],,0),customers__2[customerID],customers__2[companyName],,0)</f>
        <v>White Clover Markets</v>
      </c>
      <c r="K2106" t="str">
        <f>_xlfn.XLOOKUP(Table9[[#This Row],[Company Name]],customers__2[companyName],customers__2[country],,0)</f>
        <v>USA</v>
      </c>
      <c r="L2106">
        <f>MONTH(Table9[[#This Row],[OrderDate ]])</f>
        <v>5</v>
      </c>
      <c r="M2106" t="str">
        <f>TEXT(Table9[[#This Row],[OrderDate ]],"mmm")</f>
        <v>May</v>
      </c>
      <c r="N2106">
        <f>YEAR(Table9[[#This Row],[OrderDate ]])</f>
        <v>2015</v>
      </c>
    </row>
    <row r="2107" spans="1:14" x14ac:dyDescent="0.3">
      <c r="A2107">
        <v>11066</v>
      </c>
      <c r="B2107" s="2">
        <f>_xlfn.XLOOKUP(Table9[[#This Row],[orderID]],orders[orderID],orders[orderDate],,0)</f>
        <v>42125</v>
      </c>
      <c r="C2107">
        <f>_xlfn.XLOOKUP(A2107,order_details[orderID],order_details[productID],,0)</f>
        <v>16</v>
      </c>
      <c r="D2107" t="str">
        <f>_xlfn.XLOOKUP(C2107,products[productID],products[productName],,0)</f>
        <v>Pavlova</v>
      </c>
      <c r="E2107" t="str">
        <f>_xlfn.XLOOKUP(_xlfn.XLOOKUP(Table9[[#This Row],[ProductName ]],products[productName],products[categoryID],,0),categories[categoryID],categories[categoryName],,0)</f>
        <v>Confections</v>
      </c>
      <c r="F2107">
        <v>35</v>
      </c>
      <c r="G2107">
        <v>14</v>
      </c>
      <c r="H2107">
        <v>0</v>
      </c>
      <c r="I2107">
        <f>Table9[[#This Row],[quantity]]*Table9[[#This Row],[unitPrice]]*(1-Table9[[#This Row],[discount]]/100)</f>
        <v>490</v>
      </c>
      <c r="J2107" t="str">
        <f>_xlfn.XLOOKUP(_xlfn.XLOOKUP(A2107,orders[orderID],orders[customerID],,0),customers__2[customerID],customers__2[companyName],,0)</f>
        <v>White Clover Markets</v>
      </c>
      <c r="K2107" t="str">
        <f>_xlfn.XLOOKUP(Table9[[#This Row],[Company Name]],customers__2[companyName],customers__2[country],,0)</f>
        <v>USA</v>
      </c>
      <c r="L2107">
        <f>MONTH(Table9[[#This Row],[OrderDate ]])</f>
        <v>5</v>
      </c>
      <c r="M2107" t="str">
        <f>TEXT(Table9[[#This Row],[OrderDate ]],"mmm")</f>
        <v>May</v>
      </c>
      <c r="N2107">
        <f>YEAR(Table9[[#This Row],[OrderDate ]])</f>
        <v>2015</v>
      </c>
    </row>
    <row r="2108" spans="1:14" x14ac:dyDescent="0.3">
      <c r="A2108">
        <v>11067</v>
      </c>
      <c r="B2108" s="2">
        <f>_xlfn.XLOOKUP(Table9[[#This Row],[orderID]],orders[orderID],orders[orderDate],,0)</f>
        <v>42128</v>
      </c>
      <c r="C2108">
        <f>_xlfn.XLOOKUP(A2108,order_details[orderID],order_details[productID],,0)</f>
        <v>41</v>
      </c>
      <c r="D2108" t="str">
        <f>_xlfn.XLOOKUP(C2108,products[productID],products[productName],,0)</f>
        <v>Jack's New England Clam Chowder</v>
      </c>
      <c r="E2108" t="str">
        <f>_xlfn.XLOOKUP(_xlfn.XLOOKUP(Table9[[#This Row],[ProductName ]],products[productName],products[categoryID],,0),categories[categoryID],categories[categoryName],,0)</f>
        <v>Seafood</v>
      </c>
      <c r="F2108">
        <v>9</v>
      </c>
      <c r="G2108">
        <v>965</v>
      </c>
      <c r="H2108">
        <v>0</v>
      </c>
      <c r="I2108">
        <f>Table9[[#This Row],[quantity]]*Table9[[#This Row],[unitPrice]]*(1-Table9[[#This Row],[discount]]/100)</f>
        <v>8685</v>
      </c>
      <c r="J2108" t="str">
        <f>_xlfn.XLOOKUP(_xlfn.XLOOKUP(A2108,orders[orderID],orders[customerID],,0),customers__2[customerID],customers__2[companyName],,0)</f>
        <v>Drachenblut Delikatessen</v>
      </c>
      <c r="K2108" t="str">
        <f>_xlfn.XLOOKUP(Table9[[#This Row],[Company Name]],customers__2[companyName],customers__2[country],,0)</f>
        <v>Germany</v>
      </c>
      <c r="L2108">
        <f>MONTH(Table9[[#This Row],[OrderDate ]])</f>
        <v>5</v>
      </c>
      <c r="M2108" t="str">
        <f>TEXT(Table9[[#This Row],[OrderDate ]],"mmm")</f>
        <v>May</v>
      </c>
      <c r="N2108">
        <f>YEAR(Table9[[#This Row],[OrderDate ]])</f>
        <v>2015</v>
      </c>
    </row>
    <row r="2109" spans="1:14" x14ac:dyDescent="0.3">
      <c r="A2109">
        <v>11068</v>
      </c>
      <c r="B2109" s="2">
        <f>_xlfn.XLOOKUP(Table9[[#This Row],[orderID]],orders[orderID],orders[orderDate],,0)</f>
        <v>42128</v>
      </c>
      <c r="C2109">
        <f>_xlfn.XLOOKUP(A2109,order_details[orderID],order_details[productID],,0)</f>
        <v>28</v>
      </c>
      <c r="D2109" t="str">
        <f>_xlfn.XLOOKUP(C2109,products[productID],products[productName],,0)</f>
        <v>Rössle Sauerkraut</v>
      </c>
      <c r="E2109" t="str">
        <f>_xlfn.XLOOKUP(_xlfn.XLOOKUP(Table9[[#This Row],[ProductName ]],products[productName],products[categoryID],,0),categories[categoryID],categories[categoryName],,0)</f>
        <v>Produce</v>
      </c>
      <c r="F2109">
        <v>8</v>
      </c>
      <c r="G2109">
        <v>456</v>
      </c>
      <c r="H2109">
        <v>15</v>
      </c>
      <c r="I2109">
        <f>Table9[[#This Row],[quantity]]*Table9[[#This Row],[unitPrice]]*(1-Table9[[#This Row],[discount]]/100)</f>
        <v>3100.7999999999997</v>
      </c>
      <c r="J2109" t="str">
        <f>_xlfn.XLOOKUP(_xlfn.XLOOKUP(A2109,orders[orderID],orders[customerID],,0),customers__2[customerID],customers__2[companyName],,0)</f>
        <v>Queen Cozinha</v>
      </c>
      <c r="K2109" t="str">
        <f>_xlfn.XLOOKUP(Table9[[#This Row],[Company Name]],customers__2[companyName],customers__2[country],,0)</f>
        <v>Brazil</v>
      </c>
      <c r="L2109">
        <f>MONTH(Table9[[#This Row],[OrderDate ]])</f>
        <v>5</v>
      </c>
      <c r="M2109" t="str">
        <f>TEXT(Table9[[#This Row],[OrderDate ]],"mmm")</f>
        <v>May</v>
      </c>
      <c r="N2109">
        <f>YEAR(Table9[[#This Row],[OrderDate ]])</f>
        <v>2015</v>
      </c>
    </row>
    <row r="2110" spans="1:14" x14ac:dyDescent="0.3">
      <c r="A2110">
        <v>11068</v>
      </c>
      <c r="B2110" s="2">
        <f>_xlfn.XLOOKUP(Table9[[#This Row],[orderID]],orders[orderID],orders[orderDate],,0)</f>
        <v>42128</v>
      </c>
      <c r="C2110">
        <f>_xlfn.XLOOKUP(A2110,order_details[orderID],order_details[productID],,0)</f>
        <v>28</v>
      </c>
      <c r="D2110" t="str">
        <f>_xlfn.XLOOKUP(C2110,products[productID],products[productName],,0)</f>
        <v>Rössle Sauerkraut</v>
      </c>
      <c r="E2110" t="str">
        <f>_xlfn.XLOOKUP(_xlfn.XLOOKUP(Table9[[#This Row],[ProductName ]],products[productName],products[categoryID],,0),categories[categoryID],categories[categoryName],,0)</f>
        <v>Produce</v>
      </c>
      <c r="F2110">
        <v>36</v>
      </c>
      <c r="G2110">
        <v>46</v>
      </c>
      <c r="H2110">
        <v>15</v>
      </c>
      <c r="I2110">
        <f>Table9[[#This Row],[quantity]]*Table9[[#This Row],[unitPrice]]*(1-Table9[[#This Row],[discount]]/100)</f>
        <v>1407.6</v>
      </c>
      <c r="J2110" t="str">
        <f>_xlfn.XLOOKUP(_xlfn.XLOOKUP(A2110,orders[orderID],orders[customerID],,0),customers__2[customerID],customers__2[companyName],,0)</f>
        <v>Queen Cozinha</v>
      </c>
      <c r="K2110" t="str">
        <f>_xlfn.XLOOKUP(Table9[[#This Row],[Company Name]],customers__2[companyName],customers__2[country],,0)</f>
        <v>Brazil</v>
      </c>
      <c r="L2110">
        <f>MONTH(Table9[[#This Row],[OrderDate ]])</f>
        <v>5</v>
      </c>
      <c r="M2110" t="str">
        <f>TEXT(Table9[[#This Row],[OrderDate ]],"mmm")</f>
        <v>May</v>
      </c>
      <c r="N2110">
        <f>YEAR(Table9[[#This Row],[OrderDate ]])</f>
        <v>2015</v>
      </c>
    </row>
    <row r="2111" spans="1:14" x14ac:dyDescent="0.3">
      <c r="A2111">
        <v>11068</v>
      </c>
      <c r="B2111" s="2">
        <f>_xlfn.XLOOKUP(Table9[[#This Row],[orderID]],orders[orderID],orders[orderDate],,0)</f>
        <v>42128</v>
      </c>
      <c r="C2111">
        <f>_xlfn.XLOOKUP(A2111,order_details[orderID],order_details[productID],,0)</f>
        <v>28</v>
      </c>
      <c r="D2111" t="str">
        <f>_xlfn.XLOOKUP(C2111,products[productID],products[productName],,0)</f>
        <v>Rössle Sauerkraut</v>
      </c>
      <c r="E2111" t="str">
        <f>_xlfn.XLOOKUP(_xlfn.XLOOKUP(Table9[[#This Row],[ProductName ]],products[productName],products[categoryID],,0),categories[categoryID],categories[categoryName],,0)</f>
        <v>Produce</v>
      </c>
      <c r="F2111">
        <v>28</v>
      </c>
      <c r="G2111">
        <v>13</v>
      </c>
      <c r="H2111">
        <v>15</v>
      </c>
      <c r="I2111">
        <f>Table9[[#This Row],[quantity]]*Table9[[#This Row],[unitPrice]]*(1-Table9[[#This Row],[discount]]/100)</f>
        <v>309.39999999999998</v>
      </c>
      <c r="J2111" t="str">
        <f>_xlfn.XLOOKUP(_xlfn.XLOOKUP(A2111,orders[orderID],orders[customerID],,0),customers__2[customerID],customers__2[companyName],,0)</f>
        <v>Queen Cozinha</v>
      </c>
      <c r="K2111" t="str">
        <f>_xlfn.XLOOKUP(Table9[[#This Row],[Company Name]],customers__2[companyName],customers__2[country],,0)</f>
        <v>Brazil</v>
      </c>
      <c r="L2111">
        <f>MONTH(Table9[[#This Row],[OrderDate ]])</f>
        <v>5</v>
      </c>
      <c r="M2111" t="str">
        <f>TEXT(Table9[[#This Row],[OrderDate ]],"mmm")</f>
        <v>May</v>
      </c>
      <c r="N2111">
        <f>YEAR(Table9[[#This Row],[OrderDate ]])</f>
        <v>2015</v>
      </c>
    </row>
    <row r="2112" spans="1:14" x14ac:dyDescent="0.3">
      <c r="A2112">
        <v>11069</v>
      </c>
      <c r="B2112" s="2">
        <f>_xlfn.XLOOKUP(Table9[[#This Row],[orderID]],orders[orderID],orders[orderDate],,0)</f>
        <v>42128</v>
      </c>
      <c r="C2112">
        <f>_xlfn.XLOOKUP(A2112,order_details[orderID],order_details[productID],,0)</f>
        <v>39</v>
      </c>
      <c r="D2112" t="str">
        <f>_xlfn.XLOOKUP(C2112,products[productID],products[productName],,0)</f>
        <v>Chartreuse verte</v>
      </c>
      <c r="E2112" t="str">
        <f>_xlfn.XLOOKUP(_xlfn.XLOOKUP(Table9[[#This Row],[ProductName ]],products[productName],products[categoryID],,0),categories[categoryID],categories[categoryName],,0)</f>
        <v>Beverages</v>
      </c>
      <c r="F2112">
        <v>20</v>
      </c>
      <c r="G2112">
        <v>18</v>
      </c>
      <c r="H2112">
        <v>0</v>
      </c>
      <c r="I2112">
        <f>Table9[[#This Row],[quantity]]*Table9[[#This Row],[unitPrice]]*(1-Table9[[#This Row],[discount]]/100)</f>
        <v>360</v>
      </c>
      <c r="J2112" t="str">
        <f>_xlfn.XLOOKUP(_xlfn.XLOOKUP(A2112,orders[orderID],orders[customerID],,0),customers__2[customerID],customers__2[companyName],,0)</f>
        <v>Tortuga Restaurante</v>
      </c>
      <c r="K2112" t="str">
        <f>_xlfn.XLOOKUP(Table9[[#This Row],[Company Name]],customers__2[companyName],customers__2[country],,0)</f>
        <v>Mexico</v>
      </c>
      <c r="L2112">
        <f>MONTH(Table9[[#This Row],[OrderDate ]])</f>
        <v>5</v>
      </c>
      <c r="M2112" t="str">
        <f>TEXT(Table9[[#This Row],[OrderDate ]],"mmm")</f>
        <v>May</v>
      </c>
      <c r="N2112">
        <f>YEAR(Table9[[#This Row],[OrderDate ]])</f>
        <v>2015</v>
      </c>
    </row>
    <row r="2113" spans="1:14" x14ac:dyDescent="0.3">
      <c r="A2113">
        <v>11070</v>
      </c>
      <c r="B2113" s="2">
        <f>_xlfn.XLOOKUP(Table9[[#This Row],[orderID]],orders[orderID],orders[orderDate],,0)</f>
        <v>42129</v>
      </c>
      <c r="C2113">
        <f>_xlfn.XLOOKUP(A2113,order_details[orderID],order_details[productID],,0)</f>
        <v>1</v>
      </c>
      <c r="D2113" t="str">
        <f>_xlfn.XLOOKUP(C2113,products[productID],products[productName],,0)</f>
        <v>Chai</v>
      </c>
      <c r="E2113" t="str">
        <f>_xlfn.XLOOKUP(_xlfn.XLOOKUP(Table9[[#This Row],[ProductName ]],products[productName],products[categoryID],,0),categories[categoryID],categories[categoryName],,0)</f>
        <v>Beverages</v>
      </c>
      <c r="F2113">
        <v>40</v>
      </c>
      <c r="G2113">
        <v>18</v>
      </c>
      <c r="H2113">
        <v>15</v>
      </c>
      <c r="I2113">
        <f>Table9[[#This Row],[quantity]]*Table9[[#This Row],[unitPrice]]*(1-Table9[[#This Row],[discount]]/100)</f>
        <v>612</v>
      </c>
      <c r="J2113" t="str">
        <f>_xlfn.XLOOKUP(_xlfn.XLOOKUP(A2113,orders[orderID],orders[customerID],,0),customers__2[customerID],customers__2[companyName],,0)</f>
        <v>Lehmanns Marktstand</v>
      </c>
      <c r="K2113" t="str">
        <f>_xlfn.XLOOKUP(Table9[[#This Row],[Company Name]],customers__2[companyName],customers__2[country],,0)</f>
        <v>Germany</v>
      </c>
      <c r="L2113">
        <f>MONTH(Table9[[#This Row],[OrderDate ]])</f>
        <v>5</v>
      </c>
      <c r="M2113" t="str">
        <f>TEXT(Table9[[#This Row],[OrderDate ]],"mmm")</f>
        <v>May</v>
      </c>
      <c r="N2113">
        <f>YEAR(Table9[[#This Row],[OrderDate ]])</f>
        <v>2015</v>
      </c>
    </row>
    <row r="2114" spans="1:14" x14ac:dyDescent="0.3">
      <c r="A2114">
        <v>11070</v>
      </c>
      <c r="B2114" s="2">
        <f>_xlfn.XLOOKUP(Table9[[#This Row],[orderID]],orders[orderID],orders[orderDate],,0)</f>
        <v>42129</v>
      </c>
      <c r="C2114">
        <f>_xlfn.XLOOKUP(A2114,order_details[orderID],order_details[productID],,0)</f>
        <v>1</v>
      </c>
      <c r="D2114" t="str">
        <f>_xlfn.XLOOKUP(C2114,products[productID],products[productName],,0)</f>
        <v>Chai</v>
      </c>
      <c r="E2114" t="str">
        <f>_xlfn.XLOOKUP(_xlfn.XLOOKUP(Table9[[#This Row],[ProductName ]],products[productName],products[categoryID],,0),categories[categoryID],categories[categoryName],,0)</f>
        <v>Beverages</v>
      </c>
      <c r="F2114">
        <v>20</v>
      </c>
      <c r="G2114">
        <v>19</v>
      </c>
      <c r="H2114">
        <v>15</v>
      </c>
      <c r="I2114">
        <f>Table9[[#This Row],[quantity]]*Table9[[#This Row],[unitPrice]]*(1-Table9[[#This Row],[discount]]/100)</f>
        <v>323</v>
      </c>
      <c r="J2114" t="str">
        <f>_xlfn.XLOOKUP(_xlfn.XLOOKUP(A2114,orders[orderID],orders[customerID],,0),customers__2[customerID],customers__2[companyName],,0)</f>
        <v>Lehmanns Marktstand</v>
      </c>
      <c r="K2114" t="str">
        <f>_xlfn.XLOOKUP(Table9[[#This Row],[Company Name]],customers__2[companyName],customers__2[country],,0)</f>
        <v>Germany</v>
      </c>
      <c r="L2114">
        <f>MONTH(Table9[[#This Row],[OrderDate ]])</f>
        <v>5</v>
      </c>
      <c r="M2114" t="str">
        <f>TEXT(Table9[[#This Row],[OrderDate ]],"mmm")</f>
        <v>May</v>
      </c>
      <c r="N2114">
        <f>YEAR(Table9[[#This Row],[OrderDate ]])</f>
        <v>2015</v>
      </c>
    </row>
    <row r="2115" spans="1:14" x14ac:dyDescent="0.3">
      <c r="A2115">
        <v>11070</v>
      </c>
      <c r="B2115" s="2">
        <f>_xlfn.XLOOKUP(Table9[[#This Row],[orderID]],orders[orderID],orders[orderDate],,0)</f>
        <v>42129</v>
      </c>
      <c r="C2115">
        <f>_xlfn.XLOOKUP(A2115,order_details[orderID],order_details[productID],,0)</f>
        <v>1</v>
      </c>
      <c r="D2115" t="str">
        <f>_xlfn.XLOOKUP(C2115,products[productID],products[productName],,0)</f>
        <v>Chai</v>
      </c>
      <c r="E2115" t="str">
        <f>_xlfn.XLOOKUP(_xlfn.XLOOKUP(Table9[[#This Row],[ProductName ]],products[productName],products[categoryID],,0),categories[categoryID],categories[categoryName],,0)</f>
        <v>Beverages</v>
      </c>
      <c r="F2115">
        <v>30</v>
      </c>
      <c r="G2115">
        <v>1745</v>
      </c>
      <c r="H2115">
        <v>15</v>
      </c>
      <c r="I2115">
        <f>Table9[[#This Row],[quantity]]*Table9[[#This Row],[unitPrice]]*(1-Table9[[#This Row],[discount]]/100)</f>
        <v>44497.5</v>
      </c>
      <c r="J2115" t="str">
        <f>_xlfn.XLOOKUP(_xlfn.XLOOKUP(A2115,orders[orderID],orders[customerID],,0),customers__2[customerID],customers__2[companyName],,0)</f>
        <v>Lehmanns Marktstand</v>
      </c>
      <c r="K2115" t="str">
        <f>_xlfn.XLOOKUP(Table9[[#This Row],[Company Name]],customers__2[companyName],customers__2[country],,0)</f>
        <v>Germany</v>
      </c>
      <c r="L2115">
        <f>MONTH(Table9[[#This Row],[OrderDate ]])</f>
        <v>5</v>
      </c>
      <c r="M2115" t="str">
        <f>TEXT(Table9[[#This Row],[OrderDate ]],"mmm")</f>
        <v>May</v>
      </c>
      <c r="N2115">
        <f>YEAR(Table9[[#This Row],[OrderDate ]])</f>
        <v>2015</v>
      </c>
    </row>
    <row r="2116" spans="1:14" x14ac:dyDescent="0.3">
      <c r="A2116">
        <v>11070</v>
      </c>
      <c r="B2116" s="2">
        <f>_xlfn.XLOOKUP(Table9[[#This Row],[orderID]],orders[orderID],orders[orderDate],,0)</f>
        <v>42129</v>
      </c>
      <c r="C2116">
        <f>_xlfn.XLOOKUP(A2116,order_details[orderID],order_details[productID],,0)</f>
        <v>1</v>
      </c>
      <c r="D2116" t="str">
        <f>_xlfn.XLOOKUP(C2116,products[productID],products[productName],,0)</f>
        <v>Chai</v>
      </c>
      <c r="E2116" t="str">
        <f>_xlfn.XLOOKUP(_xlfn.XLOOKUP(Table9[[#This Row],[ProductName ]],products[productName],products[categoryID],,0),categories[categoryID],categories[categoryName],,0)</f>
        <v>Beverages</v>
      </c>
      <c r="F2116">
        <v>20</v>
      </c>
      <c r="G2116">
        <v>125</v>
      </c>
      <c r="H2116">
        <v>0</v>
      </c>
      <c r="I2116">
        <f>Table9[[#This Row],[quantity]]*Table9[[#This Row],[unitPrice]]*(1-Table9[[#This Row],[discount]]/100)</f>
        <v>2500</v>
      </c>
      <c r="J2116" t="str">
        <f>_xlfn.XLOOKUP(_xlfn.XLOOKUP(A2116,orders[orderID],orders[customerID],,0),customers__2[customerID],customers__2[companyName],,0)</f>
        <v>Lehmanns Marktstand</v>
      </c>
      <c r="K2116" t="str">
        <f>_xlfn.XLOOKUP(Table9[[#This Row],[Company Name]],customers__2[companyName],customers__2[country],,0)</f>
        <v>Germany</v>
      </c>
      <c r="L2116">
        <f>MONTH(Table9[[#This Row],[OrderDate ]])</f>
        <v>5</v>
      </c>
      <c r="M2116" t="str">
        <f>TEXT(Table9[[#This Row],[OrderDate ]],"mmm")</f>
        <v>May</v>
      </c>
      <c r="N2116">
        <f>YEAR(Table9[[#This Row],[OrderDate ]])</f>
        <v>2015</v>
      </c>
    </row>
    <row r="2117" spans="1:14" x14ac:dyDescent="0.3">
      <c r="A2117">
        <v>11071</v>
      </c>
      <c r="B2117" s="2">
        <f>_xlfn.XLOOKUP(Table9[[#This Row],[orderID]],orders[orderID],orders[orderDate],,0)</f>
        <v>42129</v>
      </c>
      <c r="C2117">
        <f>_xlfn.XLOOKUP(A2117,order_details[orderID],order_details[productID],,0)</f>
        <v>7</v>
      </c>
      <c r="D2117" t="str">
        <f>_xlfn.XLOOKUP(C2117,products[productID],products[productName],,0)</f>
        <v>Uncle Bob's Organic Dried Pears</v>
      </c>
      <c r="E2117" t="str">
        <f>_xlfn.XLOOKUP(_xlfn.XLOOKUP(Table9[[#This Row],[ProductName ]],products[productName],products[categoryID],,0),categories[categoryID],categories[categoryName],,0)</f>
        <v>Produce</v>
      </c>
      <c r="F2117">
        <v>15</v>
      </c>
      <c r="G2117">
        <v>30</v>
      </c>
      <c r="H2117">
        <v>5</v>
      </c>
      <c r="I2117">
        <f>Table9[[#This Row],[quantity]]*Table9[[#This Row],[unitPrice]]*(1-Table9[[#This Row],[discount]]/100)</f>
        <v>427.5</v>
      </c>
      <c r="J2117" t="str">
        <f>_xlfn.XLOOKUP(_xlfn.XLOOKUP(A2117,orders[orderID],orders[customerID],,0),customers__2[customerID],customers__2[companyName],,0)</f>
        <v>LILA-Supermercado</v>
      </c>
      <c r="K2117" t="str">
        <f>_xlfn.XLOOKUP(Table9[[#This Row],[Company Name]],customers__2[companyName],customers__2[country],,0)</f>
        <v>Venezuela</v>
      </c>
      <c r="L2117">
        <f>MONTH(Table9[[#This Row],[OrderDate ]])</f>
        <v>5</v>
      </c>
      <c r="M2117" t="str">
        <f>TEXT(Table9[[#This Row],[OrderDate ]],"mmm")</f>
        <v>May</v>
      </c>
      <c r="N2117">
        <f>YEAR(Table9[[#This Row],[OrderDate ]])</f>
        <v>2015</v>
      </c>
    </row>
    <row r="2118" spans="1:14" x14ac:dyDescent="0.3">
      <c r="A2118">
        <v>11071</v>
      </c>
      <c r="B2118" s="2">
        <f>_xlfn.XLOOKUP(Table9[[#This Row],[orderID]],orders[orderID],orders[orderDate],,0)</f>
        <v>42129</v>
      </c>
      <c r="C2118">
        <f>_xlfn.XLOOKUP(A2118,order_details[orderID],order_details[productID],,0)</f>
        <v>7</v>
      </c>
      <c r="D2118" t="str">
        <f>_xlfn.XLOOKUP(C2118,products[productID],products[productName],,0)</f>
        <v>Uncle Bob's Organic Dried Pears</v>
      </c>
      <c r="E2118" t="str">
        <f>_xlfn.XLOOKUP(_xlfn.XLOOKUP(Table9[[#This Row],[ProductName ]],products[productName],products[categoryID],,0),categories[categoryID],categories[categoryName],,0)</f>
        <v>Produce</v>
      </c>
      <c r="F2118">
        <v>10</v>
      </c>
      <c r="G2118">
        <v>6</v>
      </c>
      <c r="H2118">
        <v>5</v>
      </c>
      <c r="I2118">
        <f>Table9[[#This Row],[quantity]]*Table9[[#This Row],[unitPrice]]*(1-Table9[[#This Row],[discount]]/100)</f>
        <v>57</v>
      </c>
      <c r="J2118" t="str">
        <f>_xlfn.XLOOKUP(_xlfn.XLOOKUP(A2118,orders[orderID],orders[customerID],,0),customers__2[customerID],customers__2[companyName],,0)</f>
        <v>LILA-Supermercado</v>
      </c>
      <c r="K2118" t="str">
        <f>_xlfn.XLOOKUP(Table9[[#This Row],[Company Name]],customers__2[companyName],customers__2[country],,0)</f>
        <v>Venezuela</v>
      </c>
      <c r="L2118">
        <f>MONTH(Table9[[#This Row],[OrderDate ]])</f>
        <v>5</v>
      </c>
      <c r="M2118" t="str">
        <f>TEXT(Table9[[#This Row],[OrderDate ]],"mmm")</f>
        <v>May</v>
      </c>
      <c r="N2118">
        <f>YEAR(Table9[[#This Row],[OrderDate ]])</f>
        <v>2015</v>
      </c>
    </row>
    <row r="2119" spans="1:14" x14ac:dyDescent="0.3">
      <c r="A2119">
        <v>11072</v>
      </c>
      <c r="B2119" s="2">
        <f>_xlfn.XLOOKUP(Table9[[#This Row],[orderID]],orders[orderID],orders[orderDate],,0)</f>
        <v>42129</v>
      </c>
      <c r="C2119">
        <f>_xlfn.XLOOKUP(A2119,order_details[orderID],order_details[productID],,0)</f>
        <v>2</v>
      </c>
      <c r="D2119" t="str">
        <f>_xlfn.XLOOKUP(C2119,products[productID],products[productName],,0)</f>
        <v>Chang</v>
      </c>
      <c r="E2119" t="str">
        <f>_xlfn.XLOOKUP(_xlfn.XLOOKUP(Table9[[#This Row],[ProductName ]],products[productName],products[categoryID],,0),categories[categoryID],categories[categoryName],,0)</f>
        <v>Beverages</v>
      </c>
      <c r="F2119">
        <v>8</v>
      </c>
      <c r="G2119">
        <v>19</v>
      </c>
      <c r="H2119">
        <v>0</v>
      </c>
      <c r="I2119">
        <f>Table9[[#This Row],[quantity]]*Table9[[#This Row],[unitPrice]]*(1-Table9[[#This Row],[discount]]/100)</f>
        <v>152</v>
      </c>
      <c r="J2119" t="str">
        <f>_xlfn.XLOOKUP(_xlfn.XLOOKUP(A2119,orders[orderID],orders[customerID],,0),customers__2[customerID],customers__2[companyName],,0)</f>
        <v>Ernst Handel</v>
      </c>
      <c r="K2119" t="str">
        <f>_xlfn.XLOOKUP(Table9[[#This Row],[Company Name]],customers__2[companyName],customers__2[country],,0)</f>
        <v>Austria</v>
      </c>
      <c r="L2119">
        <f>MONTH(Table9[[#This Row],[OrderDate ]])</f>
        <v>5</v>
      </c>
      <c r="M2119" t="str">
        <f>TEXT(Table9[[#This Row],[OrderDate ]],"mmm")</f>
        <v>May</v>
      </c>
      <c r="N2119">
        <f>YEAR(Table9[[#This Row],[OrderDate ]])</f>
        <v>2015</v>
      </c>
    </row>
    <row r="2120" spans="1:14" x14ac:dyDescent="0.3">
      <c r="A2120">
        <v>11072</v>
      </c>
      <c r="B2120" s="2">
        <f>_xlfn.XLOOKUP(Table9[[#This Row],[orderID]],orders[orderID],orders[orderDate],,0)</f>
        <v>42129</v>
      </c>
      <c r="C2120">
        <f>_xlfn.XLOOKUP(A2120,order_details[orderID],order_details[productID],,0)</f>
        <v>2</v>
      </c>
      <c r="D2120" t="str">
        <f>_xlfn.XLOOKUP(C2120,products[productID],products[productName],,0)</f>
        <v>Chang</v>
      </c>
      <c r="E2120" t="str">
        <f>_xlfn.XLOOKUP(_xlfn.XLOOKUP(Table9[[#This Row],[ProductName ]],products[productName],products[categoryID],,0),categories[categoryID],categories[categoryName],,0)</f>
        <v>Beverages</v>
      </c>
      <c r="F2120">
        <v>40</v>
      </c>
      <c r="G2120">
        <v>965</v>
      </c>
      <c r="H2120">
        <v>0</v>
      </c>
      <c r="I2120">
        <f>Table9[[#This Row],[quantity]]*Table9[[#This Row],[unitPrice]]*(1-Table9[[#This Row],[discount]]/100)</f>
        <v>38600</v>
      </c>
      <c r="J2120" t="str">
        <f>_xlfn.XLOOKUP(_xlfn.XLOOKUP(A2120,orders[orderID],orders[customerID],,0),customers__2[customerID],customers__2[companyName],,0)</f>
        <v>Ernst Handel</v>
      </c>
      <c r="K2120" t="str">
        <f>_xlfn.XLOOKUP(Table9[[#This Row],[Company Name]],customers__2[companyName],customers__2[country],,0)</f>
        <v>Austria</v>
      </c>
      <c r="L2120">
        <f>MONTH(Table9[[#This Row],[OrderDate ]])</f>
        <v>5</v>
      </c>
      <c r="M2120" t="str">
        <f>TEXT(Table9[[#This Row],[OrderDate ]],"mmm")</f>
        <v>May</v>
      </c>
      <c r="N2120">
        <f>YEAR(Table9[[#This Row],[OrderDate ]])</f>
        <v>2015</v>
      </c>
    </row>
    <row r="2121" spans="1:14" x14ac:dyDescent="0.3">
      <c r="A2121">
        <v>11072</v>
      </c>
      <c r="B2121" s="2">
        <f>_xlfn.XLOOKUP(Table9[[#This Row],[orderID]],orders[orderID],orders[orderDate],,0)</f>
        <v>42129</v>
      </c>
      <c r="C2121">
        <f>_xlfn.XLOOKUP(A2121,order_details[orderID],order_details[productID],,0)</f>
        <v>2</v>
      </c>
      <c r="D2121" t="str">
        <f>_xlfn.XLOOKUP(C2121,products[productID],products[productName],,0)</f>
        <v>Chang</v>
      </c>
      <c r="E2121" t="str">
        <f>_xlfn.XLOOKUP(_xlfn.XLOOKUP(Table9[[#This Row],[ProductName ]],products[productName],products[categoryID],,0),categories[categoryID],categories[categoryName],,0)</f>
        <v>Beverages</v>
      </c>
      <c r="F2121">
        <v>22</v>
      </c>
      <c r="G2121">
        <v>1625</v>
      </c>
      <c r="H2121">
        <v>0</v>
      </c>
      <c r="I2121">
        <f>Table9[[#This Row],[quantity]]*Table9[[#This Row],[unitPrice]]*(1-Table9[[#This Row],[discount]]/100)</f>
        <v>35750</v>
      </c>
      <c r="J2121" t="str">
        <f>_xlfn.XLOOKUP(_xlfn.XLOOKUP(A2121,orders[orderID],orders[customerID],,0),customers__2[customerID],customers__2[companyName],,0)</f>
        <v>Ernst Handel</v>
      </c>
      <c r="K2121" t="str">
        <f>_xlfn.XLOOKUP(Table9[[#This Row],[Company Name]],customers__2[companyName],customers__2[country],,0)</f>
        <v>Austria</v>
      </c>
      <c r="L2121">
        <f>MONTH(Table9[[#This Row],[OrderDate ]])</f>
        <v>5</v>
      </c>
      <c r="M2121" t="str">
        <f>TEXT(Table9[[#This Row],[OrderDate ]],"mmm")</f>
        <v>May</v>
      </c>
      <c r="N2121">
        <f>YEAR(Table9[[#This Row],[OrderDate ]])</f>
        <v>2015</v>
      </c>
    </row>
    <row r="2122" spans="1:14" x14ac:dyDescent="0.3">
      <c r="A2122">
        <v>11072</v>
      </c>
      <c r="B2122" s="2">
        <f>_xlfn.XLOOKUP(Table9[[#This Row],[orderID]],orders[orderID],orders[orderDate],,0)</f>
        <v>42129</v>
      </c>
      <c r="C2122">
        <f>_xlfn.XLOOKUP(A2122,order_details[orderID],order_details[productID],,0)</f>
        <v>2</v>
      </c>
      <c r="D2122" t="str">
        <f>_xlfn.XLOOKUP(C2122,products[productID],products[productName],,0)</f>
        <v>Chang</v>
      </c>
      <c r="E2122" t="str">
        <f>_xlfn.XLOOKUP(_xlfn.XLOOKUP(Table9[[#This Row],[ProductName ]],products[productName],products[categoryID],,0),categories[categoryID],categories[categoryName],,0)</f>
        <v>Beverages</v>
      </c>
      <c r="F2122">
        <v>130</v>
      </c>
      <c r="G2122">
        <v>3325</v>
      </c>
      <c r="H2122">
        <v>0</v>
      </c>
      <c r="I2122">
        <f>Table9[[#This Row],[quantity]]*Table9[[#This Row],[unitPrice]]*(1-Table9[[#This Row],[discount]]/100)</f>
        <v>432250</v>
      </c>
      <c r="J2122" t="str">
        <f>_xlfn.XLOOKUP(_xlfn.XLOOKUP(A2122,orders[orderID],orders[customerID],,0),customers__2[customerID],customers__2[companyName],,0)</f>
        <v>Ernst Handel</v>
      </c>
      <c r="K2122" t="str">
        <f>_xlfn.XLOOKUP(Table9[[#This Row],[Company Name]],customers__2[companyName],customers__2[country],,0)</f>
        <v>Austria</v>
      </c>
      <c r="L2122">
        <f>MONTH(Table9[[#This Row],[OrderDate ]])</f>
        <v>5</v>
      </c>
      <c r="M2122" t="str">
        <f>TEXT(Table9[[#This Row],[OrderDate ]],"mmm")</f>
        <v>May</v>
      </c>
      <c r="N2122">
        <f>YEAR(Table9[[#This Row],[OrderDate ]])</f>
        <v>2015</v>
      </c>
    </row>
    <row r="2123" spans="1:14" x14ac:dyDescent="0.3">
      <c r="A2123">
        <v>11073</v>
      </c>
      <c r="B2123" s="2">
        <f>_xlfn.XLOOKUP(Table9[[#This Row],[orderID]],orders[orderID],orders[orderDate],,0)</f>
        <v>42129</v>
      </c>
      <c r="C2123">
        <f>_xlfn.XLOOKUP(A2123,order_details[orderID],order_details[productID],,0)</f>
        <v>11</v>
      </c>
      <c r="D2123" t="str">
        <f>_xlfn.XLOOKUP(C2123,products[productID],products[productName],,0)</f>
        <v>Queso Cabrales</v>
      </c>
      <c r="E2123" t="str">
        <f>_xlfn.XLOOKUP(_xlfn.XLOOKUP(Table9[[#This Row],[ProductName ]],products[productName],products[categoryID],,0),categories[categoryID],categories[categoryName],,0)</f>
        <v>Dairy Products</v>
      </c>
      <c r="F2123">
        <v>10</v>
      </c>
      <c r="G2123">
        <v>21</v>
      </c>
      <c r="H2123">
        <v>0</v>
      </c>
      <c r="I2123">
        <f>Table9[[#This Row],[quantity]]*Table9[[#This Row],[unitPrice]]*(1-Table9[[#This Row],[discount]]/100)</f>
        <v>210</v>
      </c>
      <c r="J2123" t="str">
        <f>_xlfn.XLOOKUP(_xlfn.XLOOKUP(A2123,orders[orderID],orders[customerID],,0),customers__2[customerID],customers__2[companyName],,0)</f>
        <v>Pericles Comidas clásicas</v>
      </c>
      <c r="K2123" t="str">
        <f>_xlfn.XLOOKUP(Table9[[#This Row],[Company Name]],customers__2[companyName],customers__2[country],,0)</f>
        <v>Mexico</v>
      </c>
      <c r="L2123">
        <f>MONTH(Table9[[#This Row],[OrderDate ]])</f>
        <v>5</v>
      </c>
      <c r="M2123" t="str">
        <f>TEXT(Table9[[#This Row],[OrderDate ]],"mmm")</f>
        <v>May</v>
      </c>
      <c r="N2123">
        <f>YEAR(Table9[[#This Row],[OrderDate ]])</f>
        <v>2015</v>
      </c>
    </row>
    <row r="2124" spans="1:14" x14ac:dyDescent="0.3">
      <c r="A2124">
        <v>11073</v>
      </c>
      <c r="B2124" s="2">
        <f>_xlfn.XLOOKUP(Table9[[#This Row],[orderID]],orders[orderID],orders[orderDate],,0)</f>
        <v>42129</v>
      </c>
      <c r="C2124">
        <f>_xlfn.XLOOKUP(A2124,order_details[orderID],order_details[productID],,0)</f>
        <v>11</v>
      </c>
      <c r="D2124" t="str">
        <f>_xlfn.XLOOKUP(C2124,products[productID],products[productName],,0)</f>
        <v>Queso Cabrales</v>
      </c>
      <c r="E2124" t="str">
        <f>_xlfn.XLOOKUP(_xlfn.XLOOKUP(Table9[[#This Row],[ProductName ]],products[productName],products[categoryID],,0),categories[categoryID],categories[categoryName],,0)</f>
        <v>Dairy Products</v>
      </c>
      <c r="F2124">
        <v>20</v>
      </c>
      <c r="G2124">
        <v>45</v>
      </c>
      <c r="H2124">
        <v>0</v>
      </c>
      <c r="I2124">
        <f>Table9[[#This Row],[quantity]]*Table9[[#This Row],[unitPrice]]*(1-Table9[[#This Row],[discount]]/100)</f>
        <v>900</v>
      </c>
      <c r="J2124" t="str">
        <f>_xlfn.XLOOKUP(_xlfn.XLOOKUP(A2124,orders[orderID],orders[customerID],,0),customers__2[customerID],customers__2[companyName],,0)</f>
        <v>Pericles Comidas clásicas</v>
      </c>
      <c r="K2124" t="str">
        <f>_xlfn.XLOOKUP(Table9[[#This Row],[Company Name]],customers__2[companyName],customers__2[country],,0)</f>
        <v>Mexico</v>
      </c>
      <c r="L2124">
        <f>MONTH(Table9[[#This Row],[OrderDate ]])</f>
        <v>5</v>
      </c>
      <c r="M2124" t="str">
        <f>TEXT(Table9[[#This Row],[OrderDate ]],"mmm")</f>
        <v>May</v>
      </c>
      <c r="N2124">
        <f>YEAR(Table9[[#This Row],[OrderDate ]])</f>
        <v>2015</v>
      </c>
    </row>
    <row r="2125" spans="1:14" x14ac:dyDescent="0.3">
      <c r="A2125">
        <v>11074</v>
      </c>
      <c r="B2125" s="2">
        <f>_xlfn.XLOOKUP(Table9[[#This Row],[orderID]],orders[orderID],orders[orderDate],,0)</f>
        <v>42130</v>
      </c>
      <c r="C2125">
        <f>_xlfn.XLOOKUP(A2125,order_details[orderID],order_details[productID],,0)</f>
        <v>16</v>
      </c>
      <c r="D2125" t="str">
        <f>_xlfn.XLOOKUP(C2125,products[productID],products[productName],,0)</f>
        <v>Pavlova</v>
      </c>
      <c r="E2125" t="str">
        <f>_xlfn.XLOOKUP(_xlfn.XLOOKUP(Table9[[#This Row],[ProductName ]],products[productName],products[categoryID],,0),categories[categoryID],categories[categoryName],,0)</f>
        <v>Confections</v>
      </c>
      <c r="F2125">
        <v>14</v>
      </c>
      <c r="G2125">
        <v>1745</v>
      </c>
      <c r="H2125">
        <v>5</v>
      </c>
      <c r="I2125">
        <f>Table9[[#This Row],[quantity]]*Table9[[#This Row],[unitPrice]]*(1-Table9[[#This Row],[discount]]/100)</f>
        <v>23208.5</v>
      </c>
      <c r="J2125" t="str">
        <f>_xlfn.XLOOKUP(_xlfn.XLOOKUP(A2125,orders[orderID],orders[customerID],,0),customers__2[customerID],customers__2[companyName],,0)</f>
        <v>Simons bistro</v>
      </c>
      <c r="K2125" t="str">
        <f>_xlfn.XLOOKUP(Table9[[#This Row],[Company Name]],customers__2[companyName],customers__2[country],,0)</f>
        <v>Denmark</v>
      </c>
      <c r="L2125">
        <f>MONTH(Table9[[#This Row],[OrderDate ]])</f>
        <v>5</v>
      </c>
      <c r="M2125" t="str">
        <f>TEXT(Table9[[#This Row],[OrderDate ]],"mmm")</f>
        <v>May</v>
      </c>
      <c r="N2125">
        <f>YEAR(Table9[[#This Row],[OrderDate ]])</f>
        <v>2015</v>
      </c>
    </row>
    <row r="2126" spans="1:14" x14ac:dyDescent="0.3">
      <c r="A2126">
        <v>11075</v>
      </c>
      <c r="B2126" s="2">
        <f>_xlfn.XLOOKUP(Table9[[#This Row],[orderID]],orders[orderID],orders[orderDate],,0)</f>
        <v>42130</v>
      </c>
      <c r="C2126">
        <f>_xlfn.XLOOKUP(A2126,order_details[orderID],order_details[productID],,0)</f>
        <v>2</v>
      </c>
      <c r="D2126" t="str">
        <f>_xlfn.XLOOKUP(C2126,products[productID],products[productName],,0)</f>
        <v>Chang</v>
      </c>
      <c r="E2126" t="str">
        <f>_xlfn.XLOOKUP(_xlfn.XLOOKUP(Table9[[#This Row],[ProductName ]],products[productName],products[categoryID],,0),categories[categoryID],categories[categoryName],,0)</f>
        <v>Beverages</v>
      </c>
      <c r="F2126">
        <v>10</v>
      </c>
      <c r="G2126">
        <v>19</v>
      </c>
      <c r="H2126">
        <v>15</v>
      </c>
      <c r="I2126">
        <f>Table9[[#This Row],[quantity]]*Table9[[#This Row],[unitPrice]]*(1-Table9[[#This Row],[discount]]/100)</f>
        <v>161.5</v>
      </c>
      <c r="J2126" t="str">
        <f>_xlfn.XLOOKUP(_xlfn.XLOOKUP(A2126,orders[orderID],orders[customerID],,0),customers__2[customerID],customers__2[companyName],,0)</f>
        <v>Richter Supermarkt</v>
      </c>
      <c r="K2126" t="str">
        <f>_xlfn.XLOOKUP(Table9[[#This Row],[Company Name]],customers__2[companyName],customers__2[country],,0)</f>
        <v>Switzerland</v>
      </c>
      <c r="L2126">
        <f>MONTH(Table9[[#This Row],[OrderDate ]])</f>
        <v>5</v>
      </c>
      <c r="M2126" t="str">
        <f>TEXT(Table9[[#This Row],[OrderDate ]],"mmm")</f>
        <v>May</v>
      </c>
      <c r="N2126">
        <f>YEAR(Table9[[#This Row],[OrderDate ]])</f>
        <v>2015</v>
      </c>
    </row>
    <row r="2127" spans="1:14" x14ac:dyDescent="0.3">
      <c r="A2127">
        <v>11075</v>
      </c>
      <c r="B2127" s="2">
        <f>_xlfn.XLOOKUP(Table9[[#This Row],[orderID]],orders[orderID],orders[orderDate],,0)</f>
        <v>42130</v>
      </c>
      <c r="C2127">
        <f>_xlfn.XLOOKUP(A2127,order_details[orderID],order_details[productID],,0)</f>
        <v>2</v>
      </c>
      <c r="D2127" t="str">
        <f>_xlfn.XLOOKUP(C2127,products[productID],products[productName],,0)</f>
        <v>Chang</v>
      </c>
      <c r="E2127" t="str">
        <f>_xlfn.XLOOKUP(_xlfn.XLOOKUP(Table9[[#This Row],[ProductName ]],products[productName],products[categoryID],,0),categories[categoryID],categories[categoryName],,0)</f>
        <v>Beverages</v>
      </c>
      <c r="F2127">
        <v>30</v>
      </c>
      <c r="G2127">
        <v>12</v>
      </c>
      <c r="H2127">
        <v>15</v>
      </c>
      <c r="I2127">
        <f>Table9[[#This Row],[quantity]]*Table9[[#This Row],[unitPrice]]*(1-Table9[[#This Row],[discount]]/100)</f>
        <v>306</v>
      </c>
      <c r="J2127" t="str">
        <f>_xlfn.XLOOKUP(_xlfn.XLOOKUP(A2127,orders[orderID],orders[customerID],,0),customers__2[customerID],customers__2[companyName],,0)</f>
        <v>Richter Supermarkt</v>
      </c>
      <c r="K2127" t="str">
        <f>_xlfn.XLOOKUP(Table9[[#This Row],[Company Name]],customers__2[companyName],customers__2[country],,0)</f>
        <v>Switzerland</v>
      </c>
      <c r="L2127">
        <f>MONTH(Table9[[#This Row],[OrderDate ]])</f>
        <v>5</v>
      </c>
      <c r="M2127" t="str">
        <f>TEXT(Table9[[#This Row],[OrderDate ]],"mmm")</f>
        <v>May</v>
      </c>
      <c r="N2127">
        <f>YEAR(Table9[[#This Row],[OrderDate ]])</f>
        <v>2015</v>
      </c>
    </row>
    <row r="2128" spans="1:14" x14ac:dyDescent="0.3">
      <c r="A2128">
        <v>11075</v>
      </c>
      <c r="B2128" s="2">
        <f>_xlfn.XLOOKUP(Table9[[#This Row],[orderID]],orders[orderID],orders[orderDate],,0)</f>
        <v>42130</v>
      </c>
      <c r="C2128">
        <f>_xlfn.XLOOKUP(A2128,order_details[orderID],order_details[productID],,0)</f>
        <v>2</v>
      </c>
      <c r="D2128" t="str">
        <f>_xlfn.XLOOKUP(C2128,products[productID],products[productName],,0)</f>
        <v>Chang</v>
      </c>
      <c r="E2128" t="str">
        <f>_xlfn.XLOOKUP(_xlfn.XLOOKUP(Table9[[#This Row],[ProductName ]],products[productName],products[categoryID],,0),categories[categoryID],categories[categoryName],,0)</f>
        <v>Beverages</v>
      </c>
      <c r="F2128">
        <v>2</v>
      </c>
      <c r="G2128">
        <v>18</v>
      </c>
      <c r="H2128">
        <v>15</v>
      </c>
      <c r="I2128">
        <f>Table9[[#This Row],[quantity]]*Table9[[#This Row],[unitPrice]]*(1-Table9[[#This Row],[discount]]/100)</f>
        <v>30.599999999999998</v>
      </c>
      <c r="J2128" t="str">
        <f>_xlfn.XLOOKUP(_xlfn.XLOOKUP(A2128,orders[orderID],orders[customerID],,0),customers__2[customerID],customers__2[companyName],,0)</f>
        <v>Richter Supermarkt</v>
      </c>
      <c r="K2128" t="str">
        <f>_xlfn.XLOOKUP(Table9[[#This Row],[Company Name]],customers__2[companyName],customers__2[country],,0)</f>
        <v>Switzerland</v>
      </c>
      <c r="L2128">
        <f>MONTH(Table9[[#This Row],[OrderDate ]])</f>
        <v>5</v>
      </c>
      <c r="M2128" t="str">
        <f>TEXT(Table9[[#This Row],[OrderDate ]],"mmm")</f>
        <v>May</v>
      </c>
      <c r="N2128">
        <f>YEAR(Table9[[#This Row],[OrderDate ]])</f>
        <v>2015</v>
      </c>
    </row>
    <row r="2129" spans="1:14" x14ac:dyDescent="0.3">
      <c r="A2129">
        <v>11076</v>
      </c>
      <c r="B2129" s="2">
        <f>_xlfn.XLOOKUP(Table9[[#This Row],[orderID]],orders[orderID],orders[orderDate],,0)</f>
        <v>42130</v>
      </c>
      <c r="C2129">
        <f>_xlfn.XLOOKUP(A2129,order_details[orderID],order_details[productID],,0)</f>
        <v>6</v>
      </c>
      <c r="D2129" t="str">
        <f>_xlfn.XLOOKUP(C2129,products[productID],products[productName],,0)</f>
        <v>Grandma's Boysenberry Spread</v>
      </c>
      <c r="E2129" t="str">
        <f>_xlfn.XLOOKUP(_xlfn.XLOOKUP(Table9[[#This Row],[ProductName ]],products[productName],products[categoryID],,0),categories[categoryID],categories[categoryName],,0)</f>
        <v>Condiments</v>
      </c>
      <c r="F2129">
        <v>20</v>
      </c>
      <c r="G2129">
        <v>25</v>
      </c>
      <c r="H2129">
        <v>25</v>
      </c>
      <c r="I2129">
        <f>Table9[[#This Row],[quantity]]*Table9[[#This Row],[unitPrice]]*(1-Table9[[#This Row],[discount]]/100)</f>
        <v>375</v>
      </c>
      <c r="J2129" t="str">
        <f>_xlfn.XLOOKUP(_xlfn.XLOOKUP(A2129,orders[orderID],orders[customerID],,0),customers__2[customerID],customers__2[companyName],,0)</f>
        <v>Bon app'</v>
      </c>
      <c r="K2129" t="str">
        <f>_xlfn.XLOOKUP(Table9[[#This Row],[Company Name]],customers__2[companyName],customers__2[country],,0)</f>
        <v>France</v>
      </c>
      <c r="L2129">
        <f>MONTH(Table9[[#This Row],[OrderDate ]])</f>
        <v>5</v>
      </c>
      <c r="M2129" t="str">
        <f>TEXT(Table9[[#This Row],[OrderDate ]],"mmm")</f>
        <v>May</v>
      </c>
      <c r="N2129">
        <f>YEAR(Table9[[#This Row],[OrderDate ]])</f>
        <v>2015</v>
      </c>
    </row>
    <row r="2130" spans="1:14" x14ac:dyDescent="0.3">
      <c r="A2130">
        <v>11076</v>
      </c>
      <c r="B2130" s="2">
        <f>_xlfn.XLOOKUP(Table9[[#This Row],[orderID]],orders[orderID],orders[orderDate],,0)</f>
        <v>42130</v>
      </c>
      <c r="C2130">
        <f>_xlfn.XLOOKUP(A2130,order_details[orderID],order_details[productID],,0)</f>
        <v>6</v>
      </c>
      <c r="D2130" t="str">
        <f>_xlfn.XLOOKUP(C2130,products[productID],products[productName],,0)</f>
        <v>Grandma's Boysenberry Spread</v>
      </c>
      <c r="E2130" t="str">
        <f>_xlfn.XLOOKUP(_xlfn.XLOOKUP(Table9[[#This Row],[ProductName ]],products[productName],products[categoryID],,0),categories[categoryID],categories[categoryName],,0)</f>
        <v>Condiments</v>
      </c>
      <c r="F2130">
        <v>20</v>
      </c>
      <c r="G2130">
        <v>2325</v>
      </c>
      <c r="H2130">
        <v>25</v>
      </c>
      <c r="I2130">
        <f>Table9[[#This Row],[quantity]]*Table9[[#This Row],[unitPrice]]*(1-Table9[[#This Row],[discount]]/100)</f>
        <v>34875</v>
      </c>
      <c r="J2130" t="str">
        <f>_xlfn.XLOOKUP(_xlfn.XLOOKUP(A2130,orders[orderID],orders[customerID],,0),customers__2[customerID],customers__2[companyName],,0)</f>
        <v>Bon app'</v>
      </c>
      <c r="K2130" t="str">
        <f>_xlfn.XLOOKUP(Table9[[#This Row],[Company Name]],customers__2[companyName],customers__2[country],,0)</f>
        <v>France</v>
      </c>
      <c r="L2130">
        <f>MONTH(Table9[[#This Row],[OrderDate ]])</f>
        <v>5</v>
      </c>
      <c r="M2130" t="str">
        <f>TEXT(Table9[[#This Row],[OrderDate ]],"mmm")</f>
        <v>May</v>
      </c>
      <c r="N2130">
        <f>YEAR(Table9[[#This Row],[OrderDate ]])</f>
        <v>2015</v>
      </c>
    </row>
    <row r="2131" spans="1:14" x14ac:dyDescent="0.3">
      <c r="A2131">
        <v>11076</v>
      </c>
      <c r="B2131" s="2">
        <f>_xlfn.XLOOKUP(Table9[[#This Row],[orderID]],orders[orderID],orders[orderDate],,0)</f>
        <v>42130</v>
      </c>
      <c r="C2131">
        <f>_xlfn.XLOOKUP(A2131,order_details[orderID],order_details[productID],,0)</f>
        <v>6</v>
      </c>
      <c r="D2131" t="str">
        <f>_xlfn.XLOOKUP(C2131,products[productID],products[productName],,0)</f>
        <v>Grandma's Boysenberry Spread</v>
      </c>
      <c r="E2131" t="str">
        <f>_xlfn.XLOOKUP(_xlfn.XLOOKUP(Table9[[#This Row],[ProductName ]],products[productName],products[categoryID],,0),categories[categoryID],categories[categoryName],,0)</f>
        <v>Condiments</v>
      </c>
      <c r="F2131">
        <v>10</v>
      </c>
      <c r="G2131">
        <v>92</v>
      </c>
      <c r="H2131">
        <v>25</v>
      </c>
      <c r="I2131">
        <f>Table9[[#This Row],[quantity]]*Table9[[#This Row],[unitPrice]]*(1-Table9[[#This Row],[discount]]/100)</f>
        <v>690</v>
      </c>
      <c r="J2131" t="str">
        <f>_xlfn.XLOOKUP(_xlfn.XLOOKUP(A2131,orders[orderID],orders[customerID],,0),customers__2[customerID],customers__2[companyName],,0)</f>
        <v>Bon app'</v>
      </c>
      <c r="K2131" t="str">
        <f>_xlfn.XLOOKUP(Table9[[#This Row],[Company Name]],customers__2[companyName],customers__2[country],,0)</f>
        <v>France</v>
      </c>
      <c r="L2131">
        <f>MONTH(Table9[[#This Row],[OrderDate ]])</f>
        <v>5</v>
      </c>
      <c r="M2131" t="str">
        <f>TEXT(Table9[[#This Row],[OrderDate ]],"mmm")</f>
        <v>May</v>
      </c>
      <c r="N2131">
        <f>YEAR(Table9[[#This Row],[OrderDate ]])</f>
        <v>2015</v>
      </c>
    </row>
    <row r="2132" spans="1:14" x14ac:dyDescent="0.3">
      <c r="A2132">
        <v>11077</v>
      </c>
      <c r="B2132" s="2">
        <f>_xlfn.XLOOKUP(Table9[[#This Row],[orderID]],orders[orderID],orders[orderDate],,0)</f>
        <v>42130</v>
      </c>
      <c r="C2132">
        <f>_xlfn.XLOOKUP(A2132,order_details[orderID],order_details[productID],,0)</f>
        <v>2</v>
      </c>
      <c r="D2132" t="str">
        <f>_xlfn.XLOOKUP(C2132,products[productID],products[productName],,0)</f>
        <v>Chang</v>
      </c>
      <c r="E2132" t="str">
        <f>_xlfn.XLOOKUP(_xlfn.XLOOKUP(Table9[[#This Row],[ProductName ]],products[productName],products[categoryID],,0),categories[categoryID],categories[categoryName],,0)</f>
        <v>Beverages</v>
      </c>
      <c r="F2132">
        <v>24</v>
      </c>
      <c r="G2132">
        <v>19</v>
      </c>
      <c r="H2132">
        <v>2</v>
      </c>
      <c r="I2132">
        <f>Table9[[#This Row],[quantity]]*Table9[[#This Row],[unitPrice]]*(1-Table9[[#This Row],[discount]]/100)</f>
        <v>446.88</v>
      </c>
      <c r="J2132" t="str">
        <f>_xlfn.XLOOKUP(_xlfn.XLOOKUP(A2132,orders[orderID],orders[customerID],,0),customers__2[customerID],customers__2[companyName],,0)</f>
        <v>Rattlesnake Canyon Grocery</v>
      </c>
      <c r="K2132" t="str">
        <f>_xlfn.XLOOKUP(Table9[[#This Row],[Company Name]],customers__2[companyName],customers__2[country],,0)</f>
        <v>USA</v>
      </c>
      <c r="L2132">
        <f>MONTH(Table9[[#This Row],[OrderDate ]])</f>
        <v>5</v>
      </c>
      <c r="M2132" t="str">
        <f>TEXT(Table9[[#This Row],[OrderDate ]],"mmm")</f>
        <v>May</v>
      </c>
      <c r="N2132">
        <f>YEAR(Table9[[#This Row],[OrderDate ]])</f>
        <v>2015</v>
      </c>
    </row>
    <row r="2133" spans="1:14" x14ac:dyDescent="0.3">
      <c r="A2133">
        <v>11077</v>
      </c>
      <c r="B2133" s="2">
        <f>_xlfn.XLOOKUP(Table9[[#This Row],[orderID]],orders[orderID],orders[orderDate],,0)</f>
        <v>42130</v>
      </c>
      <c r="C2133">
        <f>_xlfn.XLOOKUP(A2133,order_details[orderID],order_details[productID],,0)</f>
        <v>2</v>
      </c>
      <c r="D2133" t="str">
        <f>_xlfn.XLOOKUP(C2133,products[productID],products[productName],,0)</f>
        <v>Chang</v>
      </c>
      <c r="E2133" t="str">
        <f>_xlfn.XLOOKUP(_xlfn.XLOOKUP(Table9[[#This Row],[ProductName ]],products[productName],products[categoryID],,0),categories[categoryID],categories[categoryName],,0)</f>
        <v>Beverages</v>
      </c>
      <c r="F2133">
        <v>4</v>
      </c>
      <c r="G2133">
        <v>10</v>
      </c>
      <c r="H2133">
        <v>0</v>
      </c>
      <c r="I2133">
        <f>Table9[[#This Row],[quantity]]*Table9[[#This Row],[unitPrice]]*(1-Table9[[#This Row],[discount]]/100)</f>
        <v>40</v>
      </c>
      <c r="J2133" t="str">
        <f>_xlfn.XLOOKUP(_xlfn.XLOOKUP(A2133,orders[orderID],orders[customerID],,0),customers__2[customerID],customers__2[companyName],,0)</f>
        <v>Rattlesnake Canyon Grocery</v>
      </c>
      <c r="K2133" t="str">
        <f>_xlfn.XLOOKUP(Table9[[#This Row],[Company Name]],customers__2[companyName],customers__2[country],,0)</f>
        <v>USA</v>
      </c>
      <c r="L2133">
        <f>MONTH(Table9[[#This Row],[OrderDate ]])</f>
        <v>5</v>
      </c>
      <c r="M2133" t="str">
        <f>TEXT(Table9[[#This Row],[OrderDate ]],"mmm")</f>
        <v>May</v>
      </c>
      <c r="N2133">
        <f>YEAR(Table9[[#This Row],[OrderDate ]])</f>
        <v>2015</v>
      </c>
    </row>
    <row r="2134" spans="1:14" x14ac:dyDescent="0.3">
      <c r="A2134">
        <v>11077</v>
      </c>
      <c r="B2134" s="2">
        <f>_xlfn.XLOOKUP(Table9[[#This Row],[orderID]],orders[orderID],orders[orderDate],,0)</f>
        <v>42130</v>
      </c>
      <c r="C2134">
        <f>_xlfn.XLOOKUP(A2134,order_details[orderID],order_details[productID],,0)</f>
        <v>2</v>
      </c>
      <c r="D2134" t="str">
        <f>_xlfn.XLOOKUP(C2134,products[productID],products[productName],,0)</f>
        <v>Chang</v>
      </c>
      <c r="E2134" t="str">
        <f>_xlfn.XLOOKUP(_xlfn.XLOOKUP(Table9[[#This Row],[ProductName ]],products[productName],products[categoryID],,0),categories[categoryID],categories[categoryName],,0)</f>
        <v>Beverages</v>
      </c>
      <c r="F2134">
        <v>1</v>
      </c>
      <c r="G2134">
        <v>22</v>
      </c>
      <c r="H2134">
        <v>0</v>
      </c>
      <c r="I2134">
        <f>Table9[[#This Row],[quantity]]*Table9[[#This Row],[unitPrice]]*(1-Table9[[#This Row],[discount]]/100)</f>
        <v>22</v>
      </c>
      <c r="J2134" t="str">
        <f>_xlfn.XLOOKUP(_xlfn.XLOOKUP(A2134,orders[orderID],orders[customerID],,0),customers__2[customerID],customers__2[companyName],,0)</f>
        <v>Rattlesnake Canyon Grocery</v>
      </c>
      <c r="K2134" t="str">
        <f>_xlfn.XLOOKUP(Table9[[#This Row],[Company Name]],customers__2[companyName],customers__2[country],,0)</f>
        <v>USA</v>
      </c>
      <c r="L2134">
        <f>MONTH(Table9[[#This Row],[OrderDate ]])</f>
        <v>5</v>
      </c>
      <c r="M2134" t="str">
        <f>TEXT(Table9[[#This Row],[OrderDate ]],"mmm")</f>
        <v>May</v>
      </c>
      <c r="N2134">
        <f>YEAR(Table9[[#This Row],[OrderDate ]])</f>
        <v>2015</v>
      </c>
    </row>
    <row r="2135" spans="1:14" x14ac:dyDescent="0.3">
      <c r="A2135">
        <v>11077</v>
      </c>
      <c r="B2135" s="2">
        <f>_xlfn.XLOOKUP(Table9[[#This Row],[orderID]],orders[orderID],orders[orderDate],,0)</f>
        <v>42130</v>
      </c>
      <c r="C2135">
        <f>_xlfn.XLOOKUP(A2135,order_details[orderID],order_details[productID],,0)</f>
        <v>2</v>
      </c>
      <c r="D2135" t="str">
        <f>_xlfn.XLOOKUP(C2135,products[productID],products[productName],,0)</f>
        <v>Chang</v>
      </c>
      <c r="E2135" t="str">
        <f>_xlfn.XLOOKUP(_xlfn.XLOOKUP(Table9[[#This Row],[ProductName ]],products[productName],products[categoryID],,0),categories[categoryID],categories[categoryName],,0)</f>
        <v>Beverages</v>
      </c>
      <c r="F2135">
        <v>1</v>
      </c>
      <c r="G2135">
        <v>25</v>
      </c>
      <c r="H2135">
        <v>2</v>
      </c>
      <c r="I2135">
        <f>Table9[[#This Row],[quantity]]*Table9[[#This Row],[unitPrice]]*(1-Table9[[#This Row],[discount]]/100)</f>
        <v>24.5</v>
      </c>
      <c r="J2135" t="str">
        <f>_xlfn.XLOOKUP(_xlfn.XLOOKUP(A2135,orders[orderID],orders[customerID],,0),customers__2[customerID],customers__2[companyName],,0)</f>
        <v>Rattlesnake Canyon Grocery</v>
      </c>
      <c r="K2135" t="str">
        <f>_xlfn.XLOOKUP(Table9[[#This Row],[Company Name]],customers__2[companyName],customers__2[country],,0)</f>
        <v>USA</v>
      </c>
      <c r="L2135">
        <f>MONTH(Table9[[#This Row],[OrderDate ]])</f>
        <v>5</v>
      </c>
      <c r="M2135" t="str">
        <f>TEXT(Table9[[#This Row],[OrderDate ]],"mmm")</f>
        <v>May</v>
      </c>
      <c r="N2135">
        <f>YEAR(Table9[[#This Row],[OrderDate ]])</f>
        <v>2015</v>
      </c>
    </row>
    <row r="2136" spans="1:14" x14ac:dyDescent="0.3">
      <c r="A2136">
        <v>11077</v>
      </c>
      <c r="B2136" s="2">
        <f>_xlfn.XLOOKUP(Table9[[#This Row],[orderID]],orders[orderID],orders[orderDate],,0)</f>
        <v>42130</v>
      </c>
      <c r="C2136">
        <f>_xlfn.XLOOKUP(A2136,order_details[orderID],order_details[productID],,0)</f>
        <v>2</v>
      </c>
      <c r="D2136" t="str">
        <f>_xlfn.XLOOKUP(C2136,products[productID],products[productName],,0)</f>
        <v>Chang</v>
      </c>
      <c r="E2136" t="str">
        <f>_xlfn.XLOOKUP(_xlfn.XLOOKUP(Table9[[#This Row],[ProductName ]],products[productName],products[categoryID],,0),categories[categoryID],categories[categoryName],,0)</f>
        <v>Beverages</v>
      </c>
      <c r="F2136">
        <v>1</v>
      </c>
      <c r="G2136">
        <v>30</v>
      </c>
      <c r="H2136">
        <v>5</v>
      </c>
      <c r="I2136">
        <f>Table9[[#This Row],[quantity]]*Table9[[#This Row],[unitPrice]]*(1-Table9[[#This Row],[discount]]/100)</f>
        <v>28.5</v>
      </c>
      <c r="J2136" t="str">
        <f>_xlfn.XLOOKUP(_xlfn.XLOOKUP(A2136,orders[orderID],orders[customerID],,0),customers__2[customerID],customers__2[companyName],,0)</f>
        <v>Rattlesnake Canyon Grocery</v>
      </c>
      <c r="K2136" t="str">
        <f>_xlfn.XLOOKUP(Table9[[#This Row],[Company Name]],customers__2[companyName],customers__2[country],,0)</f>
        <v>USA</v>
      </c>
      <c r="L2136">
        <f>MONTH(Table9[[#This Row],[OrderDate ]])</f>
        <v>5</v>
      </c>
      <c r="M2136" t="str">
        <f>TEXT(Table9[[#This Row],[OrderDate ]],"mmm")</f>
        <v>May</v>
      </c>
      <c r="N2136">
        <f>YEAR(Table9[[#This Row],[OrderDate ]])</f>
        <v>2015</v>
      </c>
    </row>
    <row r="2137" spans="1:14" x14ac:dyDescent="0.3">
      <c r="A2137">
        <v>11077</v>
      </c>
      <c r="B2137" s="2">
        <f>_xlfn.XLOOKUP(Table9[[#This Row],[orderID]],orders[orderID],orders[orderDate],,0)</f>
        <v>42130</v>
      </c>
      <c r="C2137">
        <f>_xlfn.XLOOKUP(A2137,order_details[orderID],order_details[productID],,0)</f>
        <v>2</v>
      </c>
      <c r="D2137" t="str">
        <f>_xlfn.XLOOKUP(C2137,products[productID],products[productName],,0)</f>
        <v>Chang</v>
      </c>
      <c r="E2137" t="str">
        <f>_xlfn.XLOOKUP(_xlfn.XLOOKUP(Table9[[#This Row],[ProductName ]],products[productName],products[categoryID],,0),categories[categoryID],categories[categoryName],,0)</f>
        <v>Beverages</v>
      </c>
      <c r="F2137">
        <v>2</v>
      </c>
      <c r="G2137">
        <v>40</v>
      </c>
      <c r="H2137">
        <v>1</v>
      </c>
      <c r="I2137">
        <f>Table9[[#This Row],[quantity]]*Table9[[#This Row],[unitPrice]]*(1-Table9[[#This Row],[discount]]/100)</f>
        <v>79.2</v>
      </c>
      <c r="J2137" t="str">
        <f>_xlfn.XLOOKUP(_xlfn.XLOOKUP(A2137,orders[orderID],orders[customerID],,0),customers__2[customerID],customers__2[companyName],,0)</f>
        <v>Rattlesnake Canyon Grocery</v>
      </c>
      <c r="K2137" t="str">
        <f>_xlfn.XLOOKUP(Table9[[#This Row],[Company Name]],customers__2[companyName],customers__2[country],,0)</f>
        <v>USA</v>
      </c>
      <c r="L2137">
        <f>MONTH(Table9[[#This Row],[OrderDate ]])</f>
        <v>5</v>
      </c>
      <c r="M2137" t="str">
        <f>TEXT(Table9[[#This Row],[OrderDate ]],"mmm")</f>
        <v>May</v>
      </c>
      <c r="N2137">
        <f>YEAR(Table9[[#This Row],[OrderDate ]])</f>
        <v>2015</v>
      </c>
    </row>
    <row r="2138" spans="1:14" x14ac:dyDescent="0.3">
      <c r="A2138">
        <v>11077</v>
      </c>
      <c r="B2138" s="2">
        <f>_xlfn.XLOOKUP(Table9[[#This Row],[orderID]],orders[orderID],orders[orderDate],,0)</f>
        <v>42130</v>
      </c>
      <c r="C2138">
        <f>_xlfn.XLOOKUP(A2138,order_details[orderID],order_details[productID],,0)</f>
        <v>2</v>
      </c>
      <c r="D2138" t="str">
        <f>_xlfn.XLOOKUP(C2138,products[productID],products[productName],,0)</f>
        <v>Chang</v>
      </c>
      <c r="E2138" t="str">
        <f>_xlfn.XLOOKUP(_xlfn.XLOOKUP(Table9[[#This Row],[ProductName ]],products[productName],products[categoryID],,0),categories[categoryID],categories[categoryName],,0)</f>
        <v>Beverages</v>
      </c>
      <c r="F2138">
        <v>1</v>
      </c>
      <c r="G2138">
        <v>31</v>
      </c>
      <c r="H2138">
        <v>0</v>
      </c>
      <c r="I2138">
        <f>Table9[[#This Row],[quantity]]*Table9[[#This Row],[unitPrice]]*(1-Table9[[#This Row],[discount]]/100)</f>
        <v>31</v>
      </c>
      <c r="J2138" t="str">
        <f>_xlfn.XLOOKUP(_xlfn.XLOOKUP(A2138,orders[orderID],orders[customerID],,0),customers__2[customerID],customers__2[companyName],,0)</f>
        <v>Rattlesnake Canyon Grocery</v>
      </c>
      <c r="K2138" t="str">
        <f>_xlfn.XLOOKUP(Table9[[#This Row],[Company Name]],customers__2[companyName],customers__2[country],,0)</f>
        <v>USA</v>
      </c>
      <c r="L2138">
        <f>MONTH(Table9[[#This Row],[OrderDate ]])</f>
        <v>5</v>
      </c>
      <c r="M2138" t="str">
        <f>TEXT(Table9[[#This Row],[OrderDate ]],"mmm")</f>
        <v>May</v>
      </c>
      <c r="N2138">
        <f>YEAR(Table9[[#This Row],[OrderDate ]])</f>
        <v>2015</v>
      </c>
    </row>
    <row r="2139" spans="1:14" x14ac:dyDescent="0.3">
      <c r="A2139">
        <v>11077</v>
      </c>
      <c r="B2139" s="2">
        <f>_xlfn.XLOOKUP(Table9[[#This Row],[orderID]],orders[orderID],orders[orderDate],,0)</f>
        <v>42130</v>
      </c>
      <c r="C2139">
        <f>_xlfn.XLOOKUP(A2139,order_details[orderID],order_details[productID],,0)</f>
        <v>2</v>
      </c>
      <c r="D2139" t="str">
        <f>_xlfn.XLOOKUP(C2139,products[productID],products[productName],,0)</f>
        <v>Chang</v>
      </c>
      <c r="E2139" t="str">
        <f>_xlfn.XLOOKUP(_xlfn.XLOOKUP(Table9[[#This Row],[ProductName ]],products[productName],products[categoryID],,0),categories[categoryID],categories[categoryName],,0)</f>
        <v>Beverages</v>
      </c>
      <c r="F2139">
        <v>2</v>
      </c>
      <c r="G2139">
        <v>38</v>
      </c>
      <c r="H2139">
        <v>5</v>
      </c>
      <c r="I2139">
        <f>Table9[[#This Row],[quantity]]*Table9[[#This Row],[unitPrice]]*(1-Table9[[#This Row],[discount]]/100)</f>
        <v>72.2</v>
      </c>
      <c r="J2139" t="str">
        <f>_xlfn.XLOOKUP(_xlfn.XLOOKUP(A2139,orders[orderID],orders[customerID],,0),customers__2[customerID],customers__2[companyName],,0)</f>
        <v>Rattlesnake Canyon Grocery</v>
      </c>
      <c r="K2139" t="str">
        <f>_xlfn.XLOOKUP(Table9[[#This Row],[Company Name]],customers__2[companyName],customers__2[country],,0)</f>
        <v>USA</v>
      </c>
      <c r="L2139">
        <f>MONTH(Table9[[#This Row],[OrderDate ]])</f>
        <v>5</v>
      </c>
      <c r="M2139" t="str">
        <f>TEXT(Table9[[#This Row],[OrderDate ]],"mmm")</f>
        <v>May</v>
      </c>
      <c r="N2139">
        <f>YEAR(Table9[[#This Row],[OrderDate ]])</f>
        <v>2015</v>
      </c>
    </row>
    <row r="2140" spans="1:14" x14ac:dyDescent="0.3">
      <c r="A2140">
        <v>11077</v>
      </c>
      <c r="B2140" s="2">
        <f>_xlfn.XLOOKUP(Table9[[#This Row],[orderID]],orders[orderID],orders[orderDate],,0)</f>
        <v>42130</v>
      </c>
      <c r="C2140">
        <f>_xlfn.XLOOKUP(A2140,order_details[orderID],order_details[productID],,0)</f>
        <v>2</v>
      </c>
      <c r="D2140" t="str">
        <f>_xlfn.XLOOKUP(C2140,products[productID],products[productName],,0)</f>
        <v>Chang</v>
      </c>
      <c r="E2140" t="str">
        <f>_xlfn.XLOOKUP(_xlfn.XLOOKUP(Table9[[#This Row],[ProductName ]],products[productName],products[categoryID],,0),categories[categoryID],categories[categoryName],,0)</f>
        <v>Beverages</v>
      </c>
      <c r="F2140">
        <v>4</v>
      </c>
      <c r="G2140">
        <v>6</v>
      </c>
      <c r="H2140">
        <v>0</v>
      </c>
      <c r="I2140">
        <f>Table9[[#This Row],[quantity]]*Table9[[#This Row],[unitPrice]]*(1-Table9[[#This Row],[discount]]/100)</f>
        <v>24</v>
      </c>
      <c r="J2140" t="str">
        <f>_xlfn.XLOOKUP(_xlfn.XLOOKUP(A2140,orders[orderID],orders[customerID],,0),customers__2[customerID],customers__2[companyName],,0)</f>
        <v>Rattlesnake Canyon Grocery</v>
      </c>
      <c r="K2140" t="str">
        <f>_xlfn.XLOOKUP(Table9[[#This Row],[Company Name]],customers__2[companyName],customers__2[country],,0)</f>
        <v>USA</v>
      </c>
      <c r="L2140">
        <f>MONTH(Table9[[#This Row],[OrderDate ]])</f>
        <v>5</v>
      </c>
      <c r="M2140" t="str">
        <f>TEXT(Table9[[#This Row],[OrderDate ]],"mmm")</f>
        <v>May</v>
      </c>
      <c r="N2140">
        <f>YEAR(Table9[[#This Row],[OrderDate ]])</f>
        <v>2015</v>
      </c>
    </row>
    <row r="2141" spans="1:14" x14ac:dyDescent="0.3">
      <c r="A2141">
        <v>11077</v>
      </c>
      <c r="B2141" s="2">
        <f>_xlfn.XLOOKUP(Table9[[#This Row],[orderID]],orders[orderID],orders[orderDate],,0)</f>
        <v>42130</v>
      </c>
      <c r="C2141">
        <f>_xlfn.XLOOKUP(A2141,order_details[orderID],order_details[productID],,0)</f>
        <v>2</v>
      </c>
      <c r="D2141" t="str">
        <f>_xlfn.XLOOKUP(C2141,products[productID],products[productName],,0)</f>
        <v>Chang</v>
      </c>
      <c r="E2141" t="str">
        <f>_xlfn.XLOOKUP(_xlfn.XLOOKUP(Table9[[#This Row],[ProductName ]],products[productName],products[categoryID],,0),categories[categoryID],categories[categoryName],,0)</f>
        <v>Beverages</v>
      </c>
      <c r="F2141">
        <v>1</v>
      </c>
      <c r="G2141">
        <v>2325</v>
      </c>
      <c r="H2141">
        <v>3</v>
      </c>
      <c r="I2141">
        <f>Table9[[#This Row],[quantity]]*Table9[[#This Row],[unitPrice]]*(1-Table9[[#This Row],[discount]]/100)</f>
        <v>2255.25</v>
      </c>
      <c r="J2141" t="str">
        <f>_xlfn.XLOOKUP(_xlfn.XLOOKUP(A2141,orders[orderID],orders[customerID],,0),customers__2[customerID],customers__2[companyName],,0)</f>
        <v>Rattlesnake Canyon Grocery</v>
      </c>
      <c r="K2141" t="str">
        <f>_xlfn.XLOOKUP(Table9[[#This Row],[Company Name]],customers__2[companyName],customers__2[country],,0)</f>
        <v>USA</v>
      </c>
      <c r="L2141">
        <f>MONTH(Table9[[#This Row],[OrderDate ]])</f>
        <v>5</v>
      </c>
      <c r="M2141" t="str">
        <f>TEXT(Table9[[#This Row],[OrderDate ]],"mmm")</f>
        <v>May</v>
      </c>
      <c r="N2141">
        <f>YEAR(Table9[[#This Row],[OrderDate ]])</f>
        <v>2015</v>
      </c>
    </row>
    <row r="2142" spans="1:14" x14ac:dyDescent="0.3">
      <c r="A2142">
        <v>11077</v>
      </c>
      <c r="B2142" s="2">
        <f>_xlfn.XLOOKUP(Table9[[#This Row],[orderID]],orders[orderID],orders[orderDate],,0)</f>
        <v>42130</v>
      </c>
      <c r="C2142">
        <f>_xlfn.XLOOKUP(A2142,order_details[orderID],order_details[productID],,0)</f>
        <v>2</v>
      </c>
      <c r="D2142" t="str">
        <f>_xlfn.XLOOKUP(C2142,products[productID],products[productName],,0)</f>
        <v>Chang</v>
      </c>
      <c r="E2142" t="str">
        <f>_xlfn.XLOOKUP(_xlfn.XLOOKUP(Table9[[#This Row],[ProductName ]],products[productName],products[categoryID],,0),categories[categoryID],categories[categoryName],,0)</f>
        <v>Beverages</v>
      </c>
      <c r="F2142">
        <v>2</v>
      </c>
      <c r="G2142">
        <v>1745</v>
      </c>
      <c r="H2142">
        <v>3</v>
      </c>
      <c r="I2142">
        <f>Table9[[#This Row],[quantity]]*Table9[[#This Row],[unitPrice]]*(1-Table9[[#This Row],[discount]]/100)</f>
        <v>3385.2999999999997</v>
      </c>
      <c r="J2142" t="str">
        <f>_xlfn.XLOOKUP(_xlfn.XLOOKUP(A2142,orders[orderID],orders[customerID],,0),customers__2[customerID],customers__2[companyName],,0)</f>
        <v>Rattlesnake Canyon Grocery</v>
      </c>
      <c r="K2142" t="str">
        <f>_xlfn.XLOOKUP(Table9[[#This Row],[Company Name]],customers__2[companyName],customers__2[country],,0)</f>
        <v>USA</v>
      </c>
      <c r="L2142">
        <f>MONTH(Table9[[#This Row],[OrderDate ]])</f>
        <v>5</v>
      </c>
      <c r="M2142" t="str">
        <f>TEXT(Table9[[#This Row],[OrderDate ]],"mmm")</f>
        <v>May</v>
      </c>
      <c r="N2142">
        <f>YEAR(Table9[[#This Row],[OrderDate ]])</f>
        <v>2015</v>
      </c>
    </row>
    <row r="2143" spans="1:14" x14ac:dyDescent="0.3">
      <c r="A2143">
        <v>11077</v>
      </c>
      <c r="B2143" s="2">
        <f>_xlfn.XLOOKUP(Table9[[#This Row],[orderID]],orders[orderID],orders[orderDate],,0)</f>
        <v>42130</v>
      </c>
      <c r="C2143">
        <f>_xlfn.XLOOKUP(A2143,order_details[orderID],order_details[productID],,0)</f>
        <v>2</v>
      </c>
      <c r="D2143" t="str">
        <f>_xlfn.XLOOKUP(C2143,products[productID],products[productName],,0)</f>
        <v>Chang</v>
      </c>
      <c r="E2143" t="str">
        <f>_xlfn.XLOOKUP(_xlfn.XLOOKUP(Table9[[#This Row],[ProductName ]],products[productName],products[categoryID],,0),categories[categoryID],categories[categoryName],,0)</f>
        <v>Beverages</v>
      </c>
      <c r="F2143">
        <v>1</v>
      </c>
      <c r="G2143">
        <v>81</v>
      </c>
      <c r="H2143">
        <v>4</v>
      </c>
      <c r="I2143">
        <f>Table9[[#This Row],[quantity]]*Table9[[#This Row],[unitPrice]]*(1-Table9[[#This Row],[discount]]/100)</f>
        <v>77.759999999999991</v>
      </c>
      <c r="J2143" t="str">
        <f>_xlfn.XLOOKUP(_xlfn.XLOOKUP(A2143,orders[orderID],orders[customerID],,0),customers__2[customerID],customers__2[companyName],,0)</f>
        <v>Rattlesnake Canyon Grocery</v>
      </c>
      <c r="K2143" t="str">
        <f>_xlfn.XLOOKUP(Table9[[#This Row],[Company Name]],customers__2[companyName],customers__2[country],,0)</f>
        <v>USA</v>
      </c>
      <c r="L2143">
        <f>MONTH(Table9[[#This Row],[OrderDate ]])</f>
        <v>5</v>
      </c>
      <c r="M2143" t="str">
        <f>TEXT(Table9[[#This Row],[OrderDate ]],"mmm")</f>
        <v>May</v>
      </c>
      <c r="N2143">
        <f>YEAR(Table9[[#This Row],[OrderDate ]])</f>
        <v>2015</v>
      </c>
    </row>
    <row r="2144" spans="1:14" x14ac:dyDescent="0.3">
      <c r="A2144">
        <v>11077</v>
      </c>
      <c r="B2144" s="2">
        <f>_xlfn.XLOOKUP(Table9[[#This Row],[orderID]],orders[orderID],orders[orderDate],,0)</f>
        <v>42130</v>
      </c>
      <c r="C2144">
        <f>_xlfn.XLOOKUP(A2144,order_details[orderID],order_details[productID],,0)</f>
        <v>2</v>
      </c>
      <c r="D2144" t="str">
        <f>_xlfn.XLOOKUP(C2144,products[productID],products[productName],,0)</f>
        <v>Chang</v>
      </c>
      <c r="E2144" t="str">
        <f>_xlfn.XLOOKUP(_xlfn.XLOOKUP(Table9[[#This Row],[ProductName ]],products[productName],products[categoryID],,0),categories[categoryID],categories[categoryName],,0)</f>
        <v>Beverages</v>
      </c>
      <c r="F2144">
        <v>2</v>
      </c>
      <c r="G2144">
        <v>9</v>
      </c>
      <c r="H2144">
        <v>0</v>
      </c>
      <c r="I2144">
        <f>Table9[[#This Row],[quantity]]*Table9[[#This Row],[unitPrice]]*(1-Table9[[#This Row],[discount]]/100)</f>
        <v>18</v>
      </c>
      <c r="J2144" t="str">
        <f>_xlfn.XLOOKUP(_xlfn.XLOOKUP(A2144,orders[orderID],orders[customerID],,0),customers__2[customerID],customers__2[companyName],,0)</f>
        <v>Rattlesnake Canyon Grocery</v>
      </c>
      <c r="K2144" t="str">
        <f>_xlfn.XLOOKUP(Table9[[#This Row],[Company Name]],customers__2[companyName],customers__2[country],,0)</f>
        <v>USA</v>
      </c>
      <c r="L2144">
        <f>MONTH(Table9[[#This Row],[OrderDate ]])</f>
        <v>5</v>
      </c>
      <c r="M2144" t="str">
        <f>TEXT(Table9[[#This Row],[OrderDate ]],"mmm")</f>
        <v>May</v>
      </c>
      <c r="N2144">
        <f>YEAR(Table9[[#This Row],[OrderDate ]])</f>
        <v>2015</v>
      </c>
    </row>
    <row r="2145" spans="1:14" x14ac:dyDescent="0.3">
      <c r="A2145">
        <v>11077</v>
      </c>
      <c r="B2145" s="2">
        <f>_xlfn.XLOOKUP(Table9[[#This Row],[orderID]],orders[orderID],orders[orderDate],,0)</f>
        <v>42130</v>
      </c>
      <c r="C2145">
        <f>_xlfn.XLOOKUP(A2145,order_details[orderID],order_details[productID],,0)</f>
        <v>2</v>
      </c>
      <c r="D2145" t="str">
        <f>_xlfn.XLOOKUP(C2145,products[productID],products[productName],,0)</f>
        <v>Chang</v>
      </c>
      <c r="E2145" t="str">
        <f>_xlfn.XLOOKUP(_xlfn.XLOOKUP(Table9[[#This Row],[ProductName ]],products[productName],products[categoryID],,0),categories[categoryID],categories[categoryName],,0)</f>
        <v>Beverages</v>
      </c>
      <c r="F2145">
        <v>1</v>
      </c>
      <c r="G2145">
        <v>32</v>
      </c>
      <c r="H2145">
        <v>0</v>
      </c>
      <c r="I2145">
        <f>Table9[[#This Row],[quantity]]*Table9[[#This Row],[unitPrice]]*(1-Table9[[#This Row],[discount]]/100)</f>
        <v>32</v>
      </c>
      <c r="J2145" t="str">
        <f>_xlfn.XLOOKUP(_xlfn.XLOOKUP(A2145,orders[orderID],orders[customerID],,0),customers__2[customerID],customers__2[companyName],,0)</f>
        <v>Rattlesnake Canyon Grocery</v>
      </c>
      <c r="K2145" t="str">
        <f>_xlfn.XLOOKUP(Table9[[#This Row],[Company Name]],customers__2[companyName],customers__2[country],,0)</f>
        <v>USA</v>
      </c>
      <c r="L2145">
        <f>MONTH(Table9[[#This Row],[OrderDate ]])</f>
        <v>5</v>
      </c>
      <c r="M2145" t="str">
        <f>TEXT(Table9[[#This Row],[OrderDate ]],"mmm")</f>
        <v>May</v>
      </c>
      <c r="N2145">
        <f>YEAR(Table9[[#This Row],[OrderDate ]])</f>
        <v>2015</v>
      </c>
    </row>
    <row r="2146" spans="1:14" x14ac:dyDescent="0.3">
      <c r="A2146">
        <v>11077</v>
      </c>
      <c r="B2146" s="2">
        <f>_xlfn.XLOOKUP(Table9[[#This Row],[orderID]],orders[orderID],orders[orderDate],,0)</f>
        <v>42130</v>
      </c>
      <c r="C2146">
        <f>_xlfn.XLOOKUP(A2146,order_details[orderID],order_details[productID],,0)</f>
        <v>2</v>
      </c>
      <c r="D2146" t="str">
        <f>_xlfn.XLOOKUP(C2146,products[productID],products[productName],,0)</f>
        <v>Chang</v>
      </c>
      <c r="E2146" t="str">
        <f>_xlfn.XLOOKUP(_xlfn.XLOOKUP(Table9[[#This Row],[ProductName ]],products[productName],products[categoryID],,0),categories[categoryID],categories[categoryName],,0)</f>
        <v>Beverages</v>
      </c>
      <c r="F2146">
        <v>2</v>
      </c>
      <c r="G2146">
        <v>18</v>
      </c>
      <c r="H2146">
        <v>5</v>
      </c>
      <c r="I2146">
        <f>Table9[[#This Row],[quantity]]*Table9[[#This Row],[unitPrice]]*(1-Table9[[#This Row],[discount]]/100)</f>
        <v>34.199999999999996</v>
      </c>
      <c r="J2146" t="str">
        <f>_xlfn.XLOOKUP(_xlfn.XLOOKUP(A2146,orders[orderID],orders[customerID],,0),customers__2[customerID],customers__2[companyName],,0)</f>
        <v>Rattlesnake Canyon Grocery</v>
      </c>
      <c r="K2146" t="str">
        <f>_xlfn.XLOOKUP(Table9[[#This Row],[Company Name]],customers__2[companyName],customers__2[country],,0)</f>
        <v>USA</v>
      </c>
      <c r="L2146">
        <f>MONTH(Table9[[#This Row],[OrderDate ]])</f>
        <v>5</v>
      </c>
      <c r="M2146" t="str">
        <f>TEXT(Table9[[#This Row],[OrderDate ]],"mmm")</f>
        <v>May</v>
      </c>
      <c r="N2146">
        <f>YEAR(Table9[[#This Row],[OrderDate ]])</f>
        <v>2015</v>
      </c>
    </row>
    <row r="2147" spans="1:14" x14ac:dyDescent="0.3">
      <c r="A2147">
        <v>11077</v>
      </c>
      <c r="B2147" s="2">
        <f>_xlfn.XLOOKUP(Table9[[#This Row],[orderID]],orders[orderID],orders[orderDate],,0)</f>
        <v>42130</v>
      </c>
      <c r="C2147">
        <f>_xlfn.XLOOKUP(A2147,order_details[orderID],order_details[productID],,0)</f>
        <v>2</v>
      </c>
      <c r="D2147" t="str">
        <f>_xlfn.XLOOKUP(C2147,products[productID],products[productName],,0)</f>
        <v>Chang</v>
      </c>
      <c r="E2147" t="str">
        <f>_xlfn.XLOOKUP(_xlfn.XLOOKUP(Table9[[#This Row],[ProductName ]],products[productName],products[categoryID],,0),categories[categoryID],categories[categoryName],,0)</f>
        <v>Beverages</v>
      </c>
      <c r="F2147">
        <v>3</v>
      </c>
      <c r="G2147">
        <v>965</v>
      </c>
      <c r="H2147">
        <v>0</v>
      </c>
      <c r="I2147">
        <f>Table9[[#This Row],[quantity]]*Table9[[#This Row],[unitPrice]]*(1-Table9[[#This Row],[discount]]/100)</f>
        <v>2895</v>
      </c>
      <c r="J2147" t="str">
        <f>_xlfn.XLOOKUP(_xlfn.XLOOKUP(A2147,orders[orderID],orders[customerID],,0),customers__2[customerID],customers__2[companyName],,0)</f>
        <v>Rattlesnake Canyon Grocery</v>
      </c>
      <c r="K2147" t="str">
        <f>_xlfn.XLOOKUP(Table9[[#This Row],[Company Name]],customers__2[companyName],customers__2[country],,0)</f>
        <v>USA</v>
      </c>
      <c r="L2147">
        <f>MONTH(Table9[[#This Row],[OrderDate ]])</f>
        <v>5</v>
      </c>
      <c r="M2147" t="str">
        <f>TEXT(Table9[[#This Row],[OrderDate ]],"mmm")</f>
        <v>May</v>
      </c>
      <c r="N2147">
        <f>YEAR(Table9[[#This Row],[OrderDate ]])</f>
        <v>2015</v>
      </c>
    </row>
    <row r="2148" spans="1:14" x14ac:dyDescent="0.3">
      <c r="A2148">
        <v>11077</v>
      </c>
      <c r="B2148" s="2">
        <f>_xlfn.XLOOKUP(Table9[[#This Row],[orderID]],orders[orderID],orders[orderDate],,0)</f>
        <v>42130</v>
      </c>
      <c r="C2148">
        <f>_xlfn.XLOOKUP(A2148,order_details[orderID],order_details[productID],,0)</f>
        <v>2</v>
      </c>
      <c r="D2148" t="str">
        <f>_xlfn.XLOOKUP(C2148,products[productID],products[productName],,0)</f>
        <v>Chang</v>
      </c>
      <c r="E2148" t="str">
        <f>_xlfn.XLOOKUP(_xlfn.XLOOKUP(Table9[[#This Row],[ProductName ]],products[productName],products[categoryID],,0),categories[categoryID],categories[categoryName],,0)</f>
        <v>Beverages</v>
      </c>
      <c r="F2148">
        <v>3</v>
      </c>
      <c r="G2148">
        <v>12</v>
      </c>
      <c r="H2148">
        <v>2</v>
      </c>
      <c r="I2148">
        <f>Table9[[#This Row],[quantity]]*Table9[[#This Row],[unitPrice]]*(1-Table9[[#This Row],[discount]]/100)</f>
        <v>35.28</v>
      </c>
      <c r="J2148" t="str">
        <f>_xlfn.XLOOKUP(_xlfn.XLOOKUP(A2148,orders[orderID],orders[customerID],,0),customers__2[customerID],customers__2[companyName],,0)</f>
        <v>Rattlesnake Canyon Grocery</v>
      </c>
      <c r="K2148" t="str">
        <f>_xlfn.XLOOKUP(Table9[[#This Row],[Company Name]],customers__2[companyName],customers__2[country],,0)</f>
        <v>USA</v>
      </c>
      <c r="L2148">
        <f>MONTH(Table9[[#This Row],[OrderDate ]])</f>
        <v>5</v>
      </c>
      <c r="M2148" t="str">
        <f>TEXT(Table9[[#This Row],[OrderDate ]],"mmm")</f>
        <v>May</v>
      </c>
      <c r="N2148">
        <f>YEAR(Table9[[#This Row],[OrderDate ]])</f>
        <v>2015</v>
      </c>
    </row>
    <row r="2149" spans="1:14" x14ac:dyDescent="0.3">
      <c r="A2149">
        <v>11077</v>
      </c>
      <c r="B2149" s="2">
        <f>_xlfn.XLOOKUP(Table9[[#This Row],[orderID]],orders[orderID],orders[orderDate],,0)</f>
        <v>42130</v>
      </c>
      <c r="C2149">
        <f>_xlfn.XLOOKUP(A2149,order_details[orderID],order_details[productID],,0)</f>
        <v>2</v>
      </c>
      <c r="D2149" t="str">
        <f>_xlfn.XLOOKUP(C2149,products[productID],products[productName],,0)</f>
        <v>Chang</v>
      </c>
      <c r="E2149" t="str">
        <f>_xlfn.XLOOKUP(_xlfn.XLOOKUP(Table9[[#This Row],[ProductName ]],products[productName],products[categoryID],,0),categories[categoryID],categories[categoryName],,0)</f>
        <v>Beverages</v>
      </c>
      <c r="F2149">
        <v>2</v>
      </c>
      <c r="G2149">
        <v>7</v>
      </c>
      <c r="H2149">
        <v>0</v>
      </c>
      <c r="I2149">
        <f>Table9[[#This Row],[quantity]]*Table9[[#This Row],[unitPrice]]*(1-Table9[[#This Row],[discount]]/100)</f>
        <v>14</v>
      </c>
      <c r="J2149" t="str">
        <f>_xlfn.XLOOKUP(_xlfn.XLOOKUP(A2149,orders[orderID],orders[customerID],,0),customers__2[customerID],customers__2[companyName],,0)</f>
        <v>Rattlesnake Canyon Grocery</v>
      </c>
      <c r="K2149" t="str">
        <f>_xlfn.XLOOKUP(Table9[[#This Row],[Company Name]],customers__2[companyName],customers__2[country],,0)</f>
        <v>USA</v>
      </c>
      <c r="L2149">
        <f>MONTH(Table9[[#This Row],[OrderDate ]])</f>
        <v>5</v>
      </c>
      <c r="M2149" t="str">
        <f>TEXT(Table9[[#This Row],[OrderDate ]],"mmm")</f>
        <v>May</v>
      </c>
      <c r="N2149">
        <f>YEAR(Table9[[#This Row],[OrderDate ]])</f>
        <v>2015</v>
      </c>
    </row>
    <row r="2150" spans="1:14" x14ac:dyDescent="0.3">
      <c r="A2150">
        <v>11077</v>
      </c>
      <c r="B2150" s="2">
        <f>_xlfn.XLOOKUP(Table9[[#This Row],[orderID]],orders[orderID],orders[orderDate],,0)</f>
        <v>42130</v>
      </c>
      <c r="C2150">
        <f>_xlfn.XLOOKUP(A2150,order_details[orderID],order_details[productID],,0)</f>
        <v>2</v>
      </c>
      <c r="D2150" t="str">
        <f>_xlfn.XLOOKUP(C2150,products[productID],products[productName],,0)</f>
        <v>Chang</v>
      </c>
      <c r="E2150" t="str">
        <f>_xlfn.XLOOKUP(_xlfn.XLOOKUP(Table9[[#This Row],[ProductName ]],products[productName],products[categoryID],,0),categories[categoryID],categories[categoryName],,0)</f>
        <v>Beverages</v>
      </c>
      <c r="F2150">
        <v>2</v>
      </c>
      <c r="G2150">
        <v>24</v>
      </c>
      <c r="H2150">
        <v>0</v>
      </c>
      <c r="I2150">
        <f>Table9[[#This Row],[quantity]]*Table9[[#This Row],[unitPrice]]*(1-Table9[[#This Row],[discount]]/100)</f>
        <v>48</v>
      </c>
      <c r="J2150" t="str">
        <f>_xlfn.XLOOKUP(_xlfn.XLOOKUP(A2150,orders[orderID],orders[customerID],,0),customers__2[customerID],customers__2[companyName],,0)</f>
        <v>Rattlesnake Canyon Grocery</v>
      </c>
      <c r="K2150" t="str">
        <f>_xlfn.XLOOKUP(Table9[[#This Row],[Company Name]],customers__2[companyName],customers__2[country],,0)</f>
        <v>USA</v>
      </c>
      <c r="L2150">
        <f>MONTH(Table9[[#This Row],[OrderDate ]])</f>
        <v>5</v>
      </c>
      <c r="M2150" t="str">
        <f>TEXT(Table9[[#This Row],[OrderDate ]],"mmm")</f>
        <v>May</v>
      </c>
      <c r="N2150">
        <f>YEAR(Table9[[#This Row],[OrderDate ]])</f>
        <v>2015</v>
      </c>
    </row>
    <row r="2151" spans="1:14" x14ac:dyDescent="0.3">
      <c r="A2151">
        <v>11077</v>
      </c>
      <c r="B2151" s="2">
        <f>_xlfn.XLOOKUP(Table9[[#This Row],[orderID]],orders[orderID],orders[orderDate],,0)</f>
        <v>42130</v>
      </c>
      <c r="C2151">
        <f>_xlfn.XLOOKUP(A2151,order_details[orderID],order_details[productID],,0)</f>
        <v>2</v>
      </c>
      <c r="D2151" t="str">
        <f>_xlfn.XLOOKUP(C2151,products[productID],products[productName],,0)</f>
        <v>Chang</v>
      </c>
      <c r="E2151" t="str">
        <f>_xlfn.XLOOKUP(_xlfn.XLOOKUP(Table9[[#This Row],[ProductName ]],products[productName],products[categoryID],,0),categories[categoryID],categories[categoryName],,0)</f>
        <v>Beverages</v>
      </c>
      <c r="F2151">
        <v>2</v>
      </c>
      <c r="G2151">
        <v>34</v>
      </c>
      <c r="H2151">
        <v>6</v>
      </c>
      <c r="I2151">
        <f>Table9[[#This Row],[quantity]]*Table9[[#This Row],[unitPrice]]*(1-Table9[[#This Row],[discount]]/100)</f>
        <v>63.919999999999995</v>
      </c>
      <c r="J2151" t="str">
        <f>_xlfn.XLOOKUP(_xlfn.XLOOKUP(A2151,orders[orderID],orders[customerID],,0),customers__2[customerID],customers__2[companyName],,0)</f>
        <v>Rattlesnake Canyon Grocery</v>
      </c>
      <c r="K2151" t="str">
        <f>_xlfn.XLOOKUP(Table9[[#This Row],[Company Name]],customers__2[companyName],customers__2[country],,0)</f>
        <v>USA</v>
      </c>
      <c r="L2151">
        <f>MONTH(Table9[[#This Row],[OrderDate ]])</f>
        <v>5</v>
      </c>
      <c r="M2151" t="str">
        <f>TEXT(Table9[[#This Row],[OrderDate ]],"mmm")</f>
        <v>May</v>
      </c>
      <c r="N2151">
        <f>YEAR(Table9[[#This Row],[OrderDate ]])</f>
        <v>2015</v>
      </c>
    </row>
    <row r="2152" spans="1:14" x14ac:dyDescent="0.3">
      <c r="A2152">
        <v>11077</v>
      </c>
      <c r="B2152" s="2">
        <f>_xlfn.XLOOKUP(Table9[[#This Row],[orderID]],orders[orderID],orders[orderDate],,0)</f>
        <v>42130</v>
      </c>
      <c r="C2152">
        <f>_xlfn.XLOOKUP(A2152,order_details[orderID],order_details[productID],,0)</f>
        <v>2</v>
      </c>
      <c r="D2152" t="str">
        <f>_xlfn.XLOOKUP(C2152,products[productID],products[productName],,0)</f>
        <v>Chang</v>
      </c>
      <c r="E2152" t="str">
        <f>_xlfn.XLOOKUP(_xlfn.XLOOKUP(Table9[[#This Row],[ProductName ]],products[productName],products[categoryID],,0),categories[categoryID],categories[categoryName],,0)</f>
        <v>Beverages</v>
      </c>
      <c r="F2152">
        <v>2</v>
      </c>
      <c r="G2152">
        <v>3325</v>
      </c>
      <c r="H2152">
        <v>3</v>
      </c>
      <c r="I2152">
        <f>Table9[[#This Row],[quantity]]*Table9[[#This Row],[unitPrice]]*(1-Table9[[#This Row],[discount]]/100)</f>
        <v>6450.5</v>
      </c>
      <c r="J2152" t="str">
        <f>_xlfn.XLOOKUP(_xlfn.XLOOKUP(A2152,orders[orderID],orders[customerID],,0),customers__2[customerID],customers__2[companyName],,0)</f>
        <v>Rattlesnake Canyon Grocery</v>
      </c>
      <c r="K2152" t="str">
        <f>_xlfn.XLOOKUP(Table9[[#This Row],[Company Name]],customers__2[companyName],customers__2[country],,0)</f>
        <v>USA</v>
      </c>
      <c r="L2152">
        <f>MONTH(Table9[[#This Row],[OrderDate ]])</f>
        <v>5</v>
      </c>
      <c r="M2152" t="str">
        <f>TEXT(Table9[[#This Row],[OrderDate ]],"mmm")</f>
        <v>May</v>
      </c>
      <c r="N2152">
        <f>YEAR(Table9[[#This Row],[OrderDate ]])</f>
        <v>2015</v>
      </c>
    </row>
    <row r="2153" spans="1:14" x14ac:dyDescent="0.3">
      <c r="A2153">
        <v>11077</v>
      </c>
      <c r="B2153" s="2">
        <f>_xlfn.XLOOKUP(Table9[[#This Row],[orderID]],orders[orderID],orders[orderDate],,0)</f>
        <v>42130</v>
      </c>
      <c r="C2153">
        <f>_xlfn.XLOOKUP(A2153,order_details[orderID],order_details[productID],,0)</f>
        <v>2</v>
      </c>
      <c r="D2153" t="str">
        <f>_xlfn.XLOOKUP(C2153,products[productID],products[productName],,0)</f>
        <v>Chang</v>
      </c>
      <c r="E2153" t="str">
        <f>_xlfn.XLOOKUP(_xlfn.XLOOKUP(Table9[[#This Row],[ProductName ]],products[productName],products[categoryID],,0),categories[categoryID],categories[categoryName],,0)</f>
        <v>Beverages</v>
      </c>
      <c r="F2153">
        <v>1</v>
      </c>
      <c r="G2153">
        <v>17</v>
      </c>
      <c r="H2153">
        <v>0</v>
      </c>
      <c r="I2153">
        <f>Table9[[#This Row],[quantity]]*Table9[[#This Row],[unitPrice]]*(1-Table9[[#This Row],[discount]]/100)</f>
        <v>17</v>
      </c>
      <c r="J2153" t="str">
        <f>_xlfn.XLOOKUP(_xlfn.XLOOKUP(A2153,orders[orderID],orders[customerID],,0),customers__2[customerID],customers__2[companyName],,0)</f>
        <v>Rattlesnake Canyon Grocery</v>
      </c>
      <c r="K2153" t="str">
        <f>_xlfn.XLOOKUP(Table9[[#This Row],[Company Name]],customers__2[companyName],customers__2[country],,0)</f>
        <v>USA</v>
      </c>
      <c r="L2153">
        <f>MONTH(Table9[[#This Row],[OrderDate ]])</f>
        <v>5</v>
      </c>
      <c r="M2153" t="str">
        <f>TEXT(Table9[[#This Row],[OrderDate ]],"mmm")</f>
        <v>May</v>
      </c>
      <c r="N2153">
        <f>YEAR(Table9[[#This Row],[OrderDate ]])</f>
        <v>2015</v>
      </c>
    </row>
    <row r="2154" spans="1:14" x14ac:dyDescent="0.3">
      <c r="A2154">
        <v>11077</v>
      </c>
      <c r="B2154" s="2">
        <f>_xlfn.XLOOKUP(Table9[[#This Row],[orderID]],orders[orderID],orders[orderDate],,0)</f>
        <v>42130</v>
      </c>
      <c r="C2154">
        <f>_xlfn.XLOOKUP(A2154,order_details[orderID],order_details[productID],,0)</f>
        <v>2</v>
      </c>
      <c r="D2154" t="str">
        <f>_xlfn.XLOOKUP(C2154,products[productID],products[productName],,0)</f>
        <v>Chang</v>
      </c>
      <c r="E2154" t="str">
        <f>_xlfn.XLOOKUP(_xlfn.XLOOKUP(Table9[[#This Row],[ProductName ]],products[productName],products[categoryID],,0),categories[categoryID],categories[categoryName],,0)</f>
        <v>Beverages</v>
      </c>
      <c r="F2154">
        <v>2</v>
      </c>
      <c r="G2154">
        <v>15</v>
      </c>
      <c r="H2154">
        <v>1</v>
      </c>
      <c r="I2154">
        <f>Table9[[#This Row],[quantity]]*Table9[[#This Row],[unitPrice]]*(1-Table9[[#This Row],[discount]]/100)</f>
        <v>29.7</v>
      </c>
      <c r="J2154" t="str">
        <f>_xlfn.XLOOKUP(_xlfn.XLOOKUP(A2154,orders[orderID],orders[customerID],,0),customers__2[customerID],customers__2[companyName],,0)</f>
        <v>Rattlesnake Canyon Grocery</v>
      </c>
      <c r="K2154" t="str">
        <f>_xlfn.XLOOKUP(Table9[[#This Row],[Company Name]],customers__2[companyName],customers__2[country],,0)</f>
        <v>USA</v>
      </c>
      <c r="L2154">
        <f>MONTH(Table9[[#This Row],[OrderDate ]])</f>
        <v>5</v>
      </c>
      <c r="M2154" t="str">
        <f>TEXT(Table9[[#This Row],[OrderDate ]],"mmm")</f>
        <v>May</v>
      </c>
      <c r="N2154">
        <f>YEAR(Table9[[#This Row],[OrderDate ]])</f>
        <v>2015</v>
      </c>
    </row>
    <row r="2155" spans="1:14" x14ac:dyDescent="0.3">
      <c r="A2155">
        <v>11077</v>
      </c>
      <c r="B2155" s="2">
        <f>_xlfn.XLOOKUP(Table9[[#This Row],[orderID]],orders[orderID],orders[orderDate],,0)</f>
        <v>42130</v>
      </c>
      <c r="C2155">
        <f>_xlfn.XLOOKUP(A2155,order_details[orderID],order_details[productID],,0)</f>
        <v>2</v>
      </c>
      <c r="D2155" t="str">
        <f>_xlfn.XLOOKUP(C2155,products[productID],products[productName],,0)</f>
        <v>Chang</v>
      </c>
      <c r="E2155" t="str">
        <f>_xlfn.XLOOKUP(_xlfn.XLOOKUP(Table9[[#This Row],[ProductName ]],products[productName],products[categoryID],,0),categories[categoryID],categories[categoryName],,0)</f>
        <v>Beverages</v>
      </c>
      <c r="F2155">
        <v>4</v>
      </c>
      <c r="G2155">
        <v>775</v>
      </c>
      <c r="H2155">
        <v>0</v>
      </c>
      <c r="I2155">
        <f>Table9[[#This Row],[quantity]]*Table9[[#This Row],[unitPrice]]*(1-Table9[[#This Row],[discount]]/100)</f>
        <v>3100</v>
      </c>
      <c r="J2155" t="str">
        <f>_xlfn.XLOOKUP(_xlfn.XLOOKUP(A2155,orders[orderID],orders[customerID],,0),customers__2[customerID],customers__2[companyName],,0)</f>
        <v>Rattlesnake Canyon Grocery</v>
      </c>
      <c r="K2155" t="str">
        <f>_xlfn.XLOOKUP(Table9[[#This Row],[Company Name]],customers__2[companyName],customers__2[country],,0)</f>
        <v>USA</v>
      </c>
      <c r="L2155">
        <f>MONTH(Table9[[#This Row],[OrderDate ]])</f>
        <v>5</v>
      </c>
      <c r="M2155" t="str">
        <f>TEXT(Table9[[#This Row],[OrderDate ]],"mmm")</f>
        <v>May</v>
      </c>
      <c r="N2155">
        <f>YEAR(Table9[[#This Row],[OrderDate ]])</f>
        <v>2015</v>
      </c>
    </row>
    <row r="2156" spans="1:14" x14ac:dyDescent="0.3">
      <c r="A2156">
        <v>11077</v>
      </c>
      <c r="B2156" s="2">
        <f>_xlfn.XLOOKUP(Table9[[#This Row],[orderID]],orders[orderID],orders[orderDate],,0)</f>
        <v>42130</v>
      </c>
      <c r="C2156">
        <f>_xlfn.XLOOKUP(A2156,order_details[orderID],order_details[productID],,0)</f>
        <v>2</v>
      </c>
      <c r="D2156" t="str">
        <f>_xlfn.XLOOKUP(C2156,products[productID],products[productName],,0)</f>
        <v>Chang</v>
      </c>
      <c r="E2156" t="str">
        <f>_xlfn.XLOOKUP(_xlfn.XLOOKUP(Table9[[#This Row],[ProductName ]],products[productName],products[categoryID],,0),categories[categoryID],categories[categoryName],,0)</f>
        <v>Beverages</v>
      </c>
      <c r="F2156">
        <v>2</v>
      </c>
      <c r="G2156">
        <v>13</v>
      </c>
      <c r="H2156">
        <v>0</v>
      </c>
      <c r="I2156">
        <f>Table9[[#This Row],[quantity]]*Table9[[#This Row],[unitPrice]]*(1-Table9[[#This Row],[discount]]/100)</f>
        <v>26</v>
      </c>
      <c r="J2156" t="str">
        <f>_xlfn.XLOOKUP(_xlfn.XLOOKUP(A2156,orders[orderID],orders[customerID],,0),customers__2[customerID],customers__2[companyName],,0)</f>
        <v>Rattlesnake Canyon Grocery</v>
      </c>
      <c r="K2156" t="str">
        <f>_xlfn.XLOOKUP(Table9[[#This Row],[Company Name]],customers__2[companyName],customers__2[country],,0)</f>
        <v>USA</v>
      </c>
      <c r="L2156">
        <f>MONTH(Table9[[#This Row],[OrderDate ]])</f>
        <v>5</v>
      </c>
      <c r="M2156" t="str">
        <f>TEXT(Table9[[#This Row],[OrderDate ]],"mmm")</f>
        <v>May</v>
      </c>
      <c r="N2156">
        <f>YEAR(Table9[[#This Row],[OrderDate ]])</f>
        <v>2015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307AE-4CBF-4A4C-83E2-AF85B04E989A}">
  <dimension ref="A3:M27"/>
  <sheetViews>
    <sheetView topLeftCell="D1" zoomScale="92" zoomScaleNormal="115" workbookViewId="0">
      <selection activeCell="H24" sqref="H24"/>
    </sheetView>
  </sheetViews>
  <sheetFormatPr defaultRowHeight="14.4" x14ac:dyDescent="0.3"/>
  <cols>
    <col min="1" max="1" width="10.88671875" bestFit="1" customWidth="1"/>
    <col min="2" max="2" width="12.21875" bestFit="1" customWidth="1"/>
    <col min="3" max="3" width="16.77734375" bestFit="1" customWidth="1"/>
    <col min="4" max="4" width="16.44140625" bestFit="1" customWidth="1"/>
    <col min="5" max="5" width="28.21875" bestFit="1" customWidth="1"/>
    <col min="6" max="6" width="15.5546875" bestFit="1" customWidth="1"/>
    <col min="9" max="9" width="15.109375" bestFit="1" customWidth="1"/>
    <col min="10" max="10" width="16.6640625" bestFit="1" customWidth="1"/>
    <col min="12" max="12" width="18.6640625" bestFit="1" customWidth="1"/>
    <col min="13" max="13" width="16.6640625" bestFit="1" customWidth="1"/>
  </cols>
  <sheetData>
    <row r="3" spans="1:13" x14ac:dyDescent="0.3">
      <c r="A3" s="4" t="s">
        <v>585</v>
      </c>
      <c r="B3" s="4" t="s">
        <v>586</v>
      </c>
      <c r="C3" t="s">
        <v>583</v>
      </c>
      <c r="E3" s="4" t="s">
        <v>579</v>
      </c>
      <c r="F3" t="s">
        <v>600</v>
      </c>
      <c r="I3" s="4" t="s">
        <v>580</v>
      </c>
      <c r="J3" t="s">
        <v>583</v>
      </c>
      <c r="L3" s="4" t="s">
        <v>603</v>
      </c>
      <c r="M3" t="s">
        <v>583</v>
      </c>
    </row>
    <row r="4" spans="1:13" x14ac:dyDescent="0.3">
      <c r="A4">
        <v>2013</v>
      </c>
      <c r="B4" t="s">
        <v>593</v>
      </c>
      <c r="C4" s="5">
        <v>203479.75</v>
      </c>
      <c r="E4" t="s">
        <v>430</v>
      </c>
      <c r="F4" s="1">
        <v>156</v>
      </c>
      <c r="I4" t="s">
        <v>3</v>
      </c>
      <c r="J4" s="5">
        <v>5183274.6700000009</v>
      </c>
      <c r="L4" t="s">
        <v>84</v>
      </c>
      <c r="M4" s="7">
        <v>108335</v>
      </c>
    </row>
    <row r="5" spans="1:13" x14ac:dyDescent="0.3">
      <c r="B5" t="s">
        <v>594</v>
      </c>
      <c r="C5" s="5">
        <v>216368.92999999996</v>
      </c>
      <c r="E5" t="s">
        <v>428</v>
      </c>
      <c r="F5" s="1">
        <v>113</v>
      </c>
      <c r="I5" t="s">
        <v>5</v>
      </c>
      <c r="J5" s="5">
        <v>2156806.8200000003</v>
      </c>
      <c r="L5" t="s">
        <v>118</v>
      </c>
      <c r="M5" s="7">
        <v>2060471.2700000005</v>
      </c>
    </row>
    <row r="6" spans="1:13" x14ac:dyDescent="0.3">
      <c r="B6" t="s">
        <v>595</v>
      </c>
      <c r="C6" s="5">
        <v>205641.15000000002</v>
      </c>
      <c r="E6" t="s">
        <v>448</v>
      </c>
      <c r="F6" s="1">
        <v>90</v>
      </c>
      <c r="I6" t="s">
        <v>7</v>
      </c>
      <c r="J6" s="5">
        <v>3772781.5999999996</v>
      </c>
      <c r="L6" t="s">
        <v>243</v>
      </c>
      <c r="M6" s="7">
        <v>267851.90000000002</v>
      </c>
    </row>
    <row r="7" spans="1:13" x14ac:dyDescent="0.3">
      <c r="B7" t="s">
        <v>596</v>
      </c>
      <c r="C7" s="5">
        <v>335118.95</v>
      </c>
      <c r="E7" t="s">
        <v>458</v>
      </c>
      <c r="F7" s="1">
        <v>89</v>
      </c>
      <c r="I7" t="s">
        <v>9</v>
      </c>
      <c r="J7" s="5">
        <v>2255252.77</v>
      </c>
      <c r="L7" t="s">
        <v>98</v>
      </c>
      <c r="M7" s="7">
        <v>1491590.1899999997</v>
      </c>
    </row>
    <row r="8" spans="1:13" x14ac:dyDescent="0.3">
      <c r="B8" t="s">
        <v>597</v>
      </c>
      <c r="C8" s="5">
        <v>394417.32</v>
      </c>
      <c r="E8" t="s">
        <v>446</v>
      </c>
      <c r="F8" s="1">
        <v>79</v>
      </c>
      <c r="I8" t="s">
        <v>11</v>
      </c>
      <c r="J8" s="5">
        <v>764022.03000000014</v>
      </c>
      <c r="L8" t="s">
        <v>75</v>
      </c>
      <c r="M8" s="7">
        <v>439446.47</v>
      </c>
    </row>
    <row r="9" spans="1:13" x14ac:dyDescent="0.3">
      <c r="B9" t="s">
        <v>598</v>
      </c>
      <c r="C9" s="5">
        <v>382548.55999999994</v>
      </c>
      <c r="E9" t="s">
        <v>464</v>
      </c>
      <c r="F9" s="1">
        <v>78</v>
      </c>
      <c r="I9" t="s">
        <v>13</v>
      </c>
      <c r="J9" s="5">
        <v>4720229.87</v>
      </c>
      <c r="L9" t="s">
        <v>328</v>
      </c>
      <c r="M9" s="7">
        <v>365653.80000000005</v>
      </c>
    </row>
    <row r="10" spans="1:13" x14ac:dyDescent="0.3">
      <c r="A10">
        <v>2014</v>
      </c>
      <c r="B10" t="s">
        <v>587</v>
      </c>
      <c r="C10" s="5">
        <v>547760.89999999991</v>
      </c>
      <c r="E10" t="s">
        <v>474</v>
      </c>
      <c r="F10" s="1">
        <v>77</v>
      </c>
      <c r="I10" t="s">
        <v>15</v>
      </c>
      <c r="J10" s="5">
        <v>1331686.99</v>
      </c>
      <c r="L10" t="s">
        <v>381</v>
      </c>
      <c r="M10" s="7">
        <v>289686.90000000002</v>
      </c>
    </row>
    <row r="11" spans="1:13" x14ac:dyDescent="0.3">
      <c r="B11" t="s">
        <v>588</v>
      </c>
      <c r="C11" s="5">
        <v>344426.52999999997</v>
      </c>
      <c r="E11" t="s">
        <v>460</v>
      </c>
      <c r="F11" s="1">
        <v>76</v>
      </c>
      <c r="I11" t="s">
        <v>17</v>
      </c>
      <c r="J11" s="5">
        <v>2618095.64</v>
      </c>
      <c r="L11" t="s">
        <v>60</v>
      </c>
      <c r="M11" s="7">
        <v>1296350.56</v>
      </c>
    </row>
    <row r="12" spans="1:13" x14ac:dyDescent="0.3">
      <c r="B12" t="s">
        <v>589</v>
      </c>
      <c r="C12" s="5">
        <v>264913.96000000002</v>
      </c>
      <c r="E12" t="s">
        <v>452</v>
      </c>
      <c r="F12" s="1">
        <v>70</v>
      </c>
      <c r="I12" t="s">
        <v>582</v>
      </c>
      <c r="J12" s="5">
        <v>22802150.389999997</v>
      </c>
      <c r="L12" t="s">
        <v>30</v>
      </c>
      <c r="M12" s="7">
        <v>4756640.58</v>
      </c>
    </row>
    <row r="13" spans="1:13" x14ac:dyDescent="0.3">
      <c r="B13" t="s">
        <v>590</v>
      </c>
      <c r="C13" s="5">
        <v>1304576.9800000002</v>
      </c>
      <c r="E13" t="s">
        <v>440</v>
      </c>
      <c r="F13" s="1">
        <v>69</v>
      </c>
      <c r="L13" t="s">
        <v>190</v>
      </c>
      <c r="M13" s="7">
        <v>2447261.3499999996</v>
      </c>
    </row>
    <row r="14" spans="1:13" x14ac:dyDescent="0.3">
      <c r="B14" t="s">
        <v>591</v>
      </c>
      <c r="C14" s="5">
        <v>828871.10000000021</v>
      </c>
      <c r="E14" t="s">
        <v>582</v>
      </c>
      <c r="F14" s="1">
        <v>897</v>
      </c>
      <c r="L14" t="s">
        <v>146</v>
      </c>
      <c r="M14" s="7">
        <v>145933.69000000003</v>
      </c>
    </row>
    <row r="15" spans="1:13" x14ac:dyDescent="0.3">
      <c r="B15" t="s">
        <v>592</v>
      </c>
      <c r="C15" s="5">
        <v>857632.4</v>
      </c>
      <c r="L15" t="s">
        <v>36</v>
      </c>
      <c r="M15" s="7">
        <v>349474.35</v>
      </c>
    </row>
    <row r="16" spans="1:13" x14ac:dyDescent="0.3">
      <c r="B16" t="s">
        <v>593</v>
      </c>
      <c r="C16" s="5">
        <v>444238.44000000006</v>
      </c>
      <c r="L16" t="s">
        <v>316</v>
      </c>
      <c r="M16" s="7">
        <v>105083</v>
      </c>
    </row>
    <row r="17" spans="1:13" x14ac:dyDescent="0.3">
      <c r="B17" t="s">
        <v>594</v>
      </c>
      <c r="C17" s="5">
        <v>961035.53</v>
      </c>
      <c r="L17" t="s">
        <v>399</v>
      </c>
      <c r="M17" s="7">
        <v>43334</v>
      </c>
    </row>
    <row r="18" spans="1:13" x14ac:dyDescent="0.3">
      <c r="B18" t="s">
        <v>595</v>
      </c>
      <c r="C18" s="5">
        <v>1697286.82</v>
      </c>
      <c r="L18" t="s">
        <v>151</v>
      </c>
      <c r="M18" s="7">
        <v>350355.1</v>
      </c>
    </row>
    <row r="19" spans="1:13" x14ac:dyDescent="0.3">
      <c r="B19" t="s">
        <v>596</v>
      </c>
      <c r="C19" s="5">
        <v>1584527.46</v>
      </c>
      <c r="L19" t="s">
        <v>65</v>
      </c>
      <c r="M19" s="7">
        <v>628456.9800000001</v>
      </c>
    </row>
    <row r="20" spans="1:13" x14ac:dyDescent="0.3">
      <c r="B20" t="s">
        <v>597</v>
      </c>
      <c r="C20" s="5">
        <v>845679.14</v>
      </c>
      <c r="L20" t="s">
        <v>50</v>
      </c>
      <c r="M20" s="7">
        <v>1170700.6099999999</v>
      </c>
    </row>
    <row r="21" spans="1:13" x14ac:dyDescent="0.3">
      <c r="B21" t="s">
        <v>598</v>
      </c>
      <c r="C21" s="5">
        <v>1841103.1100000003</v>
      </c>
      <c r="L21" t="s">
        <v>92</v>
      </c>
      <c r="M21" s="7">
        <v>872498.92999999993</v>
      </c>
    </row>
    <row r="22" spans="1:13" x14ac:dyDescent="0.3">
      <c r="A22">
        <v>2015</v>
      </c>
      <c r="B22" t="s">
        <v>587</v>
      </c>
      <c r="C22" s="5">
        <v>1689260.2999999998</v>
      </c>
      <c r="L22" t="s">
        <v>44</v>
      </c>
      <c r="M22" s="7">
        <v>535274.17000000004</v>
      </c>
    </row>
    <row r="23" spans="1:13" x14ac:dyDescent="0.3">
      <c r="B23" t="s">
        <v>588</v>
      </c>
      <c r="C23" s="5">
        <v>3185921.3</v>
      </c>
      <c r="L23" t="s">
        <v>168</v>
      </c>
      <c r="M23" s="7">
        <v>4113714.1900000004</v>
      </c>
    </row>
    <row r="24" spans="1:13" x14ac:dyDescent="0.3">
      <c r="B24" t="s">
        <v>589</v>
      </c>
      <c r="C24" s="5">
        <v>1490387.91</v>
      </c>
      <c r="L24" t="s">
        <v>173</v>
      </c>
      <c r="M24" s="7">
        <v>964037.35000000009</v>
      </c>
    </row>
    <row r="25" spans="1:13" x14ac:dyDescent="0.3">
      <c r="B25" t="s">
        <v>590</v>
      </c>
      <c r="C25" s="5">
        <v>2469743.2499999995</v>
      </c>
      <c r="L25" t="s">
        <v>582</v>
      </c>
      <c r="M25" s="7">
        <v>22802150.390000004</v>
      </c>
    </row>
    <row r="26" spans="1:13" x14ac:dyDescent="0.3">
      <c r="B26" t="s">
        <v>591</v>
      </c>
      <c r="C26" s="5">
        <v>707210.6</v>
      </c>
    </row>
    <row r="27" spans="1:13" x14ac:dyDescent="0.3">
      <c r="A27" t="s">
        <v>582</v>
      </c>
      <c r="C27" s="5">
        <v>22802150.390000004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63780-7357-4E26-AE71-3B0E976724CC}">
  <dimension ref="A3:A37"/>
  <sheetViews>
    <sheetView topLeftCell="A28" workbookViewId="0">
      <selection activeCell="D11" sqref="D11"/>
    </sheetView>
  </sheetViews>
  <sheetFormatPr defaultRowHeight="14.4" x14ac:dyDescent="0.3"/>
  <cols>
    <col min="1" max="1" width="8.88671875" style="11"/>
  </cols>
  <sheetData>
    <row r="3" spans="1:1" x14ac:dyDescent="0.3">
      <c r="A3" s="10" t="s">
        <v>606</v>
      </c>
    </row>
    <row r="5" spans="1:1" x14ac:dyDescent="0.3">
      <c r="A5" s="11" t="s">
        <v>607</v>
      </c>
    </row>
    <row r="6" spans="1:1" x14ac:dyDescent="0.3">
      <c r="A6" s="11" t="s">
        <v>608</v>
      </c>
    </row>
    <row r="7" spans="1:1" x14ac:dyDescent="0.3">
      <c r="A7" s="11" t="s">
        <v>609</v>
      </c>
    </row>
    <row r="8" spans="1:1" x14ac:dyDescent="0.3">
      <c r="A8" s="11" t="s">
        <v>610</v>
      </c>
    </row>
    <row r="10" spans="1:1" x14ac:dyDescent="0.3">
      <c r="A10" s="11" t="s">
        <v>611</v>
      </c>
    </row>
    <row r="11" spans="1:1" x14ac:dyDescent="0.3">
      <c r="A11" s="11" t="s">
        <v>612</v>
      </c>
    </row>
    <row r="12" spans="1:1" x14ac:dyDescent="0.3">
      <c r="A12" s="11" t="s">
        <v>613</v>
      </c>
    </row>
    <row r="13" spans="1:1" x14ac:dyDescent="0.3">
      <c r="A13" s="11" t="s">
        <v>614</v>
      </c>
    </row>
    <row r="15" spans="1:1" x14ac:dyDescent="0.3">
      <c r="A15" s="11" t="s">
        <v>615</v>
      </c>
    </row>
    <row r="16" spans="1:1" x14ac:dyDescent="0.3">
      <c r="A16" s="11" t="s">
        <v>616</v>
      </c>
    </row>
    <row r="17" spans="1:1" x14ac:dyDescent="0.3">
      <c r="A17" s="11" t="s">
        <v>617</v>
      </c>
    </row>
    <row r="19" spans="1:1" x14ac:dyDescent="0.3">
      <c r="A19" s="11" t="s">
        <v>618</v>
      </c>
    </row>
    <row r="20" spans="1:1" x14ac:dyDescent="0.3">
      <c r="A20" s="11" t="s">
        <v>619</v>
      </c>
    </row>
    <row r="21" spans="1:1" x14ac:dyDescent="0.3">
      <c r="A21" s="11" t="s">
        <v>620</v>
      </c>
    </row>
    <row r="23" spans="1:1" x14ac:dyDescent="0.3">
      <c r="A23" s="11" t="s">
        <v>621</v>
      </c>
    </row>
    <row r="25" spans="1:1" x14ac:dyDescent="0.3">
      <c r="A25" s="10" t="s">
        <v>622</v>
      </c>
    </row>
    <row r="27" spans="1:1" x14ac:dyDescent="0.3">
      <c r="A27" s="11" t="s">
        <v>623</v>
      </c>
    </row>
    <row r="29" spans="1:1" x14ac:dyDescent="0.3">
      <c r="A29" s="11" t="s">
        <v>624</v>
      </c>
    </row>
    <row r="31" spans="1:1" x14ac:dyDescent="0.3">
      <c r="A31" s="11" t="s">
        <v>625</v>
      </c>
    </row>
    <row r="33" spans="1:1" x14ac:dyDescent="0.3">
      <c r="A33" s="11" t="s">
        <v>626</v>
      </c>
    </row>
    <row r="35" spans="1:1" x14ac:dyDescent="0.3">
      <c r="A35" s="11" t="s">
        <v>627</v>
      </c>
    </row>
    <row r="37" spans="1:1" x14ac:dyDescent="0.3">
      <c r="A37" s="11" t="s">
        <v>621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EF139-3E99-417F-987E-CAF54EB2C3BE}">
  <dimension ref="D9:U38"/>
  <sheetViews>
    <sheetView showGridLines="0" tabSelected="1" zoomScale="55" zoomScaleNormal="77" workbookViewId="0">
      <selection activeCell="AB16" sqref="AB16"/>
    </sheetView>
  </sheetViews>
  <sheetFormatPr defaultRowHeight="14.4" x14ac:dyDescent="0.3"/>
  <cols>
    <col min="1" max="1" width="8.88671875" customWidth="1"/>
    <col min="2" max="3" width="4.77734375" customWidth="1"/>
    <col min="4" max="4" width="15.77734375" bestFit="1" customWidth="1"/>
    <col min="5" max="5" width="3.109375" customWidth="1"/>
    <col min="6" max="6" width="15" bestFit="1" customWidth="1"/>
    <col min="7" max="7" width="3.109375" customWidth="1"/>
    <col min="8" max="19" width="4.77734375" customWidth="1"/>
    <col min="20" max="20" width="28.77734375" bestFit="1" customWidth="1"/>
    <col min="21" max="21" width="12.21875" bestFit="1" customWidth="1"/>
    <col min="22" max="24" width="4.77734375" customWidth="1"/>
  </cols>
  <sheetData>
    <row r="9" spans="4:6" x14ac:dyDescent="0.3">
      <c r="D9" s="6" t="s">
        <v>601</v>
      </c>
      <c r="F9" s="6" t="s">
        <v>602</v>
      </c>
    </row>
    <row r="10" spans="4:6" x14ac:dyDescent="0.3">
      <c r="D10" s="9">
        <v>22802150.390000012</v>
      </c>
      <c r="F10" s="8">
        <v>2155</v>
      </c>
    </row>
    <row r="28" spans="20:21" x14ac:dyDescent="0.3">
      <c r="T28" s="4" t="s">
        <v>604</v>
      </c>
      <c r="U28" t="s">
        <v>605</v>
      </c>
    </row>
    <row r="29" spans="20:21" x14ac:dyDescent="0.3">
      <c r="T29" t="s">
        <v>187</v>
      </c>
      <c r="U29" s="5">
        <v>2447261.3499999996</v>
      </c>
    </row>
    <row r="30" spans="20:21" x14ac:dyDescent="0.3">
      <c r="T30" t="s">
        <v>318</v>
      </c>
      <c r="U30" s="5">
        <v>2358005.87</v>
      </c>
    </row>
    <row r="31" spans="20:21" x14ac:dyDescent="0.3">
      <c r="T31" t="s">
        <v>287</v>
      </c>
      <c r="U31" s="5">
        <v>2117570.0300000003</v>
      </c>
    </row>
    <row r="32" spans="20:21" x14ac:dyDescent="0.3">
      <c r="T32" t="s">
        <v>114</v>
      </c>
      <c r="U32" s="5">
        <v>1698320.69</v>
      </c>
    </row>
    <row r="33" spans="20:21" x14ac:dyDescent="0.3">
      <c r="T33" t="s">
        <v>306</v>
      </c>
      <c r="U33" s="5">
        <v>822602.23</v>
      </c>
    </row>
    <row r="34" spans="20:21" x14ac:dyDescent="0.3">
      <c r="T34" t="s">
        <v>196</v>
      </c>
      <c r="U34" s="5">
        <v>737532.98</v>
      </c>
    </row>
    <row r="35" spans="20:21" x14ac:dyDescent="0.3">
      <c r="T35" t="s">
        <v>136</v>
      </c>
      <c r="U35" s="5">
        <v>717459.34000000008</v>
      </c>
    </row>
    <row r="36" spans="20:21" x14ac:dyDescent="0.3">
      <c r="T36" t="s">
        <v>132</v>
      </c>
      <c r="U36" s="5">
        <v>645656.6</v>
      </c>
    </row>
    <row r="37" spans="20:21" x14ac:dyDescent="0.3">
      <c r="T37" t="s">
        <v>216</v>
      </c>
      <c r="U37" s="5">
        <v>587312.34</v>
      </c>
    </row>
    <row r="38" spans="20:21" x14ac:dyDescent="0.3">
      <c r="T38" t="s">
        <v>46</v>
      </c>
      <c r="U38" s="5">
        <v>525044.01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D2EA01-87CB-488C-B636-6D9C1EE0AA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shippers</vt:lpstr>
      <vt:lpstr>products</vt:lpstr>
      <vt:lpstr>employees</vt:lpstr>
      <vt:lpstr>categories</vt:lpstr>
      <vt:lpstr>customers</vt:lpstr>
      <vt:lpstr>orders</vt:lpstr>
      <vt:lpstr>order_details</vt:lpstr>
      <vt:lpstr>Analysis</vt:lpstr>
      <vt:lpstr>Pi</vt:lpstr>
      <vt:lpstr>Insight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Anugrah Seputra</dc:creator>
  <cp:lastModifiedBy>Anugrah Seputra</cp:lastModifiedBy>
  <dcterms:created xsi:type="dcterms:W3CDTF">2015-06-05T18:17:20Z</dcterms:created>
  <dcterms:modified xsi:type="dcterms:W3CDTF">2026-01-20T16:41:44Z</dcterms:modified>
</cp:coreProperties>
</file>